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1" autoFilterDateGrouping="1"/>
  </bookViews>
  <sheets>
    <sheet name="Base_Cobranzas" sheetId="1" state="hidden" r:id="rId1"/>
    <sheet name="Prada" sheetId="2" state="visible" r:id="rId2"/>
    <sheet name="Beyond" sheetId="3" state="visible" r:id="rId3"/>
    <sheet name="Venecia" sheetId="4" state="visible" r:id="rId4"/>
    <sheet name="Reporte_General" sheetId="5" state="visible" r:id="rId5"/>
    <sheet name="Reporte_Cliente" sheetId="6" state="visible" r:id="rId6"/>
    <sheet name="Reporte_Proyecto" sheetId="7" state="visible" r:id="rId7"/>
  </sheets>
  <definedNames/>
  <calcPr calcId="191029" calcMode="auto" fullCalcOnLoad="1" forceFullCalc="1"/>
</workbook>
</file>

<file path=xl/styles.xml><?xml version="1.0" encoding="utf-8"?>
<styleSheet xmlns="http://schemas.openxmlformats.org/spreadsheetml/2006/main">
  <numFmts count="7">
    <numFmt numFmtId="164" formatCode="_-* #,##0_-;\-* #,##0_-;_-* &quot;-&quot;??_-;_-@_-"/>
    <numFmt numFmtId="165" formatCode="_-* #,##0.00_-;\-* #,##0.00_-;_-* &quot;-&quot;??_-;_-@_-"/>
    <numFmt numFmtId="166" formatCode="0.0%"/>
    <numFmt numFmtId="167" formatCode="dd/mm/yyyy"/>
    <numFmt numFmtId="168" formatCode="yyyy-mm-dd h:mm:ss"/>
    <numFmt numFmtId="169" formatCode="#,##0;-#,##0;-"/>
    <numFmt numFmtId="170" formatCode="#,##0;\-#,##0;\-"/>
  </numFmts>
  <fonts count="22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0"/>
      <sz val="11"/>
      <scheme val="minor"/>
    </font>
    <font>
      <name val="Aptos Narrow"/>
      <family val="2"/>
      <b val="1"/>
      <color theme="1"/>
      <sz val="16"/>
      <scheme val="minor"/>
    </font>
    <font>
      <name val="Aptos Narrow"/>
      <family val="2"/>
      <b val="1"/>
      <color theme="1"/>
      <sz val="18"/>
      <scheme val="minor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theme="0"/>
      <sz val="11"/>
      <scheme val="minor"/>
    </font>
    <font>
      <name val="Aptos Narrow"/>
      <family val="2"/>
      <b val="1"/>
      <color rgb="FFFFFFFF"/>
      <sz val="16"/>
    </font>
    <font>
      <name val="Aptos Narrow"/>
      <family val="2"/>
      <b val="1"/>
      <color rgb="FFFFFFFF"/>
      <sz val="13"/>
    </font>
    <font>
      <name val="Aptos Narrow"/>
      <family val="2"/>
      <b val="1"/>
      <color rgb="FF0F2344"/>
      <sz val="13"/>
    </font>
    <font>
      <name val="Aptos Narrow"/>
      <family val="2"/>
      <b val="1"/>
      <color theme="0"/>
      <sz val="14"/>
      <scheme val="minor"/>
    </font>
    <font>
      <name val="Aptos Narrow"/>
      <family val="2"/>
      <b val="1"/>
      <color theme="1"/>
      <sz val="14"/>
      <scheme val="minor"/>
    </font>
    <font>
      <name val="Aptos Narrow"/>
      <family val="2"/>
      <b val="1"/>
      <color rgb="FFFFFFFF"/>
      <sz val="12"/>
    </font>
    <font>
      <name val="Aptos Narrow"/>
      <family val="2"/>
      <b val="1"/>
      <color rgb="FFF4F6F8"/>
      <sz val="12"/>
      <scheme val="minor"/>
    </font>
    <font>
      <name val="Aptos Narrow"/>
      <family val="2"/>
      <b val="1"/>
      <sz val="12"/>
      <scheme val="minor"/>
    </font>
    <font>
      <name val="Aptos Narrow"/>
      <family val="2"/>
      <b val="1"/>
      <color theme="0"/>
      <sz val="11"/>
    </font>
    <font>
      <name val="Aptos Narrow"/>
      <family val="2"/>
      <color rgb="FF0F2344"/>
      <sz val="11"/>
    </font>
    <font>
      <name val="Aptos Narrow"/>
      <family val="2"/>
      <b val="1"/>
      <color rgb="FFFFFFFF"/>
      <sz val="11"/>
    </font>
    <font>
      <name val="Aptos Narrow"/>
      <family val="2"/>
      <b val="1"/>
      <color rgb="FF0F2344"/>
      <sz val="12"/>
    </font>
    <font>
      <name val="Aptos Narrow"/>
      <b val="1"/>
      <i val="1"/>
      <sz val="11"/>
    </font>
    <font>
      <name val="Aptos Narrow"/>
      <sz val="11"/>
    </font>
  </fonts>
  <fills count="23">
    <fill>
      <patternFill/>
    </fill>
    <fill>
      <patternFill patternType="gray125"/>
    </fill>
    <fill>
      <patternFill patternType="solid">
        <fgColor theme="2" tint="-0.0999786370433668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A7679"/>
        <bgColor indexed="64"/>
      </patternFill>
    </fill>
    <fill>
      <patternFill patternType="solid">
        <fgColor rgb="FF0F2344"/>
        <bgColor indexed="64"/>
      </patternFill>
    </fill>
    <fill>
      <patternFill patternType="solid">
        <fgColor rgb="FF80171B"/>
        <bgColor indexed="64"/>
      </patternFill>
    </fill>
    <fill>
      <patternFill patternType="solid">
        <fgColor rgb="00F2F2F2"/>
      </patternFill>
    </fill>
    <fill>
      <patternFill patternType="solid">
        <fgColor rgb="00D0D0D0"/>
      </patternFill>
    </fill>
    <fill>
      <patternFill patternType="solid">
        <fgColor rgb="FF0F2344"/>
      </patternFill>
    </fill>
    <fill>
      <patternFill patternType="solid">
        <fgColor rgb="FFC17510"/>
      </patternFill>
    </fill>
    <fill>
      <patternFill patternType="solid">
        <fgColor rgb="FFF9DABD"/>
      </patternFill>
    </fill>
    <fill>
      <patternFill patternType="solid">
        <fgColor rgb="FFC17510"/>
        <bgColor indexed="64"/>
      </patternFill>
    </fill>
    <fill>
      <patternFill patternType="solid">
        <fgColor rgb="FFF9DABD"/>
        <bgColor indexed="64"/>
      </patternFill>
    </fill>
    <fill>
      <patternFill patternType="solid">
        <fgColor rgb="FFDC0D22"/>
      </patternFill>
    </fill>
    <fill>
      <patternFill patternType="solid">
        <fgColor theme="0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80171B"/>
      </patternFill>
    </fill>
    <fill>
      <patternFill patternType="solid">
        <fgColor theme="0"/>
      </patternFill>
    </fill>
    <fill>
      <patternFill patternType="solid">
        <fgColor rgb="FFF4F6F8"/>
      </patternFill>
    </fill>
    <fill>
      <patternFill patternType="solid">
        <fgColor rgb="FFFFFFFF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1" fillId="0" borderId="0"/>
    <xf numFmtId="43" fontId="1" fillId="0" borderId="0"/>
    <xf numFmtId="9" fontId="1" fillId="0" borderId="0"/>
  </cellStyleXfs>
  <cellXfs count="122">
    <xf numFmtId="0" fontId="0" fillId="0" borderId="0" pivotButton="0" quotePrefix="0" xfId="0"/>
    <xf numFmtId="0" fontId="4" fillId="0" borderId="0" pivotButton="0" quotePrefix="0" xfId="0"/>
    <xf numFmtId="164" fontId="0" fillId="0" borderId="0" pivotButton="0" quotePrefix="0" xfId="1"/>
    <xf numFmtId="164" fontId="0" fillId="0" borderId="0" pivotButton="0" quotePrefix="0" xfId="0"/>
    <xf numFmtId="0" fontId="0" fillId="0" borderId="1" pivotButton="0" quotePrefix="0" xfId="0"/>
    <xf numFmtId="164" fontId="0" fillId="2" borderId="0" pivotButton="0" quotePrefix="0" xfId="1"/>
    <xf numFmtId="164" fontId="0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164" fontId="0" fillId="4" borderId="0" pivotButton="0" quotePrefix="0" xfId="1"/>
    <xf numFmtId="0" fontId="2" fillId="5" borderId="1" pivotButton="0" quotePrefix="0" xfId="0"/>
    <xf numFmtId="165" fontId="2" fillId="5" borderId="1" pivotButton="0" quotePrefix="0" xfId="1"/>
    <xf numFmtId="9" fontId="0" fillId="6" borderId="1" applyAlignment="1" pivotButton="0" quotePrefix="0" xfId="2">
      <alignment horizontal="center" vertical="center"/>
    </xf>
    <xf numFmtId="9" fontId="0" fillId="0" borderId="1" applyAlignment="1" pivotButton="0" quotePrefix="0" xfId="2">
      <alignment horizontal="center"/>
    </xf>
    <xf numFmtId="0" fontId="3" fillId="7" borderId="1" applyAlignment="1" pivotButton="0" quotePrefix="0" xfId="0">
      <alignment horizontal="center"/>
    </xf>
    <xf numFmtId="165" fontId="3" fillId="7" borderId="1" pivotButton="0" quotePrefix="0" xfId="0"/>
    <xf numFmtId="9" fontId="3" fillId="8" borderId="1" applyAlignment="1" pivotButton="0" quotePrefix="0" xfId="2">
      <alignment horizontal="center" vertical="center"/>
    </xf>
    <xf numFmtId="164" fontId="2" fillId="5" borderId="1" pivotButton="0" quotePrefix="0" xfId="1"/>
    <xf numFmtId="164" fontId="0" fillId="0" borderId="1" pivotButton="0" quotePrefix="0" xfId="0"/>
    <xf numFmtId="164" fontId="3" fillId="7" borderId="1" pivotButton="0" quotePrefix="0" xfId="0"/>
    <xf numFmtId="164" fontId="0" fillId="6" borderId="1" applyAlignment="1" pivotButton="0" quotePrefix="0" xfId="1">
      <alignment horizontal="center" vertical="center"/>
    </xf>
    <xf numFmtId="164" fontId="0" fillId="0" borderId="1" applyAlignment="1" pivotButton="0" quotePrefix="0" xfId="1">
      <alignment horizontal="center"/>
    </xf>
    <xf numFmtId="164" fontId="0" fillId="0" borderId="1" applyAlignment="1" pivotButton="0" quotePrefix="0" xfId="0">
      <alignment horizontal="center"/>
    </xf>
    <xf numFmtId="164" fontId="3" fillId="8" borderId="1" applyAlignment="1" pivotButton="0" quotePrefix="0" xfId="1">
      <alignment horizontal="center" vertical="center"/>
    </xf>
    <xf numFmtId="0" fontId="3" fillId="0" borderId="0" pivotButton="0" quotePrefix="0" xfId="0"/>
    <xf numFmtId="17" fontId="3" fillId="7" borderId="1" pivotButton="0" quotePrefix="0" xfId="0"/>
    <xf numFmtId="17" fontId="3" fillId="7" borderId="1" applyAlignment="1" pivotButton="0" quotePrefix="0" xfId="0">
      <alignment horizontal="center"/>
    </xf>
    <xf numFmtId="14" fontId="0" fillId="0" borderId="0" pivotButton="0" quotePrefix="0" xfId="0"/>
    <xf numFmtId="0" fontId="3" fillId="8" borderId="1" applyAlignment="1" pivotButton="0" quotePrefix="0" xfId="0">
      <alignment horizontal="center" vertical="center" wrapText="1"/>
    </xf>
    <xf numFmtId="0" fontId="3" fillId="8" borderId="2" applyAlignment="1" pivotButton="0" quotePrefix="0" xfId="0">
      <alignment horizontal="center" vertical="center" wrapText="1"/>
    </xf>
    <xf numFmtId="166" fontId="0" fillId="0" borderId="1" applyAlignment="1" pivotButton="0" quotePrefix="0" xfId="2">
      <alignment horizontal="center"/>
    </xf>
    <xf numFmtId="164" fontId="6" fillId="6" borderId="1" applyAlignment="1" pivotButton="0" quotePrefix="0" xfId="1">
      <alignment horizontal="center" vertical="center"/>
    </xf>
    <xf numFmtId="164" fontId="6" fillId="0" borderId="0" pivotButton="0" quotePrefix="0" xfId="0"/>
    <xf numFmtId="164" fontId="7" fillId="8" borderId="1" applyAlignment="1" pivotButton="0" quotePrefix="0" xfId="1">
      <alignment horizontal="center" vertical="center"/>
    </xf>
    <xf numFmtId="166" fontId="0" fillId="6" borderId="1" applyAlignment="1" pivotButton="0" quotePrefix="0" xfId="2">
      <alignment horizontal="center" vertical="center"/>
    </xf>
    <xf numFmtId="0" fontId="2" fillId="0" borderId="0" pivotButton="0" quotePrefix="0" xfId="0"/>
    <xf numFmtId="0" fontId="3" fillId="7" borderId="1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3" fillId="8" borderId="1" applyAlignment="1" pivotButton="0" quotePrefix="0" xfId="0">
      <alignment horizontal="center" vertical="center"/>
    </xf>
    <xf numFmtId="4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66" fontId="0" fillId="0" borderId="0" pivotButton="0" quotePrefix="0" xfId="0"/>
    <xf numFmtId="169" fontId="5" fillId="0" borderId="0" applyAlignment="1" pivotButton="0" quotePrefix="0" xfId="0">
      <alignment horizontal="center"/>
    </xf>
    <xf numFmtId="169" fontId="3" fillId="7" borderId="1" applyAlignment="1" pivotButton="0" quotePrefix="0" xfId="0">
      <alignment horizontal="center"/>
    </xf>
    <xf numFmtId="169" fontId="0" fillId="0" borderId="5" pivotButton="0" quotePrefix="0" xfId="0"/>
    <xf numFmtId="166" fontId="3" fillId="8" borderId="1" applyAlignment="1" pivotButton="0" quotePrefix="0" xfId="0">
      <alignment horizontal="center" vertical="center"/>
    </xf>
    <xf numFmtId="169" fontId="0" fillId="0" borderId="6" pivotButton="0" quotePrefix="0" xfId="0"/>
    <xf numFmtId="166" fontId="3" fillId="8" borderId="1" applyAlignment="1" pivotButton="0" quotePrefix="0" xfId="0">
      <alignment horizontal="center" vertical="center" wrapText="1"/>
    </xf>
    <xf numFmtId="169" fontId="3" fillId="8" borderId="1" applyAlignment="1" pivotButton="0" quotePrefix="0" xfId="0">
      <alignment horizontal="center" vertical="center" wrapText="1"/>
    </xf>
    <xf numFmtId="166" fontId="3" fillId="8" borderId="2" applyAlignment="1" pivotButton="0" quotePrefix="0" xfId="0">
      <alignment horizontal="center" vertical="center" wrapText="1"/>
    </xf>
    <xf numFmtId="169" fontId="3" fillId="8" borderId="2" applyAlignment="1" pivotButton="0" quotePrefix="0" xfId="0">
      <alignment horizontal="center" vertical="center" wrapText="1"/>
    </xf>
    <xf numFmtId="169" fontId="2" fillId="5" borderId="1" pivotButton="0" quotePrefix="0" xfId="1"/>
    <xf numFmtId="166" fontId="0" fillId="6" borderId="1" applyAlignment="1" pivotButton="0" quotePrefix="0" xfId="2">
      <alignment horizontal="center" vertical="center"/>
    </xf>
    <xf numFmtId="169" fontId="0" fillId="6" borderId="1" applyAlignment="1" pivotButton="0" quotePrefix="0" xfId="1">
      <alignment horizontal="center" vertical="center"/>
    </xf>
    <xf numFmtId="169" fontId="0" fillId="0" borderId="1" pivotButton="0" quotePrefix="0" xfId="0"/>
    <xf numFmtId="166" fontId="0" fillId="0" borderId="1" applyAlignment="1" pivotButton="0" quotePrefix="0" xfId="2">
      <alignment horizontal="center"/>
    </xf>
    <xf numFmtId="169" fontId="0" fillId="0" borderId="1" applyAlignment="1" pivotButton="0" quotePrefix="0" xfId="1">
      <alignment horizontal="center"/>
    </xf>
    <xf numFmtId="169" fontId="0" fillId="0" borderId="1" applyAlignment="1" pivotButton="0" quotePrefix="0" xfId="0">
      <alignment horizontal="center"/>
    </xf>
    <xf numFmtId="166" fontId="0" fillId="6" borderId="1" applyAlignment="1" pivotButton="0" quotePrefix="0" xfId="1">
      <alignment horizontal="center" vertical="center"/>
    </xf>
    <xf numFmtId="169" fontId="6" fillId="6" borderId="1" applyAlignment="1" pivotButton="0" quotePrefix="0" xfId="1">
      <alignment horizontal="center" vertical="center"/>
    </xf>
    <xf numFmtId="169" fontId="6" fillId="0" borderId="0" pivotButton="0" quotePrefix="0" xfId="0"/>
    <xf numFmtId="169" fontId="3" fillId="7" borderId="1" pivotButton="0" quotePrefix="0" xfId="0"/>
    <xf numFmtId="166" fontId="3" fillId="8" borderId="1" applyAlignment="1" pivotButton="0" quotePrefix="0" xfId="2">
      <alignment horizontal="center" vertical="center"/>
    </xf>
    <xf numFmtId="169" fontId="3" fillId="8" borderId="1" applyAlignment="1" pivotButton="0" quotePrefix="0" xfId="1">
      <alignment horizontal="center" vertical="center"/>
    </xf>
    <xf numFmtId="166" fontId="3" fillId="8" borderId="1" applyAlignment="1" pivotButton="0" quotePrefix="0" xfId="1">
      <alignment horizontal="center" vertical="center"/>
    </xf>
    <xf numFmtId="169" fontId="7" fillId="8" borderId="1" applyAlignment="1" pivotButton="0" quotePrefix="0" xfId="1">
      <alignment horizontal="center" vertical="center"/>
    </xf>
    <xf numFmtId="1" fontId="3" fillId="7" borderId="1" applyAlignment="1" pivotButton="0" quotePrefix="0" xfId="0">
      <alignment horizontal="center"/>
    </xf>
    <xf numFmtId="169" fontId="1" fillId="0" borderId="0" pivotButton="0" quotePrefix="0" xfId="1"/>
    <xf numFmtId="169" fontId="1" fillId="9" borderId="0" pivotButton="0" quotePrefix="0" xfId="1"/>
    <xf numFmtId="169" fontId="1" fillId="10" borderId="0" pivotButton="0" quotePrefix="0" xfId="1"/>
    <xf numFmtId="169" fontId="1" fillId="2" borderId="0" pivotButton="0" quotePrefix="0" xfId="0"/>
    <xf numFmtId="0" fontId="1" fillId="0" borderId="0" pivotButton="0" quotePrefix="0" xfId="0"/>
    <xf numFmtId="169" fontId="1" fillId="2" borderId="0" pivotButton="0" quotePrefix="0" xfId="1"/>
    <xf numFmtId="167" fontId="0" fillId="0" borderId="0" pivotButton="0" quotePrefix="0" xfId="0"/>
    <xf numFmtId="168" fontId="0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8" fillId="11" borderId="0" applyAlignment="1" pivotButton="0" quotePrefix="0" xfId="0">
      <alignment horizontal="center" vertical="center"/>
    </xf>
    <xf numFmtId="0" fontId="9" fillId="12" borderId="0" applyAlignment="1" pivotButton="0" quotePrefix="0" xfId="0">
      <alignment horizontal="center" vertical="center"/>
    </xf>
    <xf numFmtId="0" fontId="10" fillId="13" borderId="0" applyAlignment="1" pivotButton="0" quotePrefix="0" xfId="0">
      <alignment horizontal="center" vertical="center"/>
    </xf>
    <xf numFmtId="170" fontId="11" fillId="14" borderId="0" applyAlignment="1" pivotButton="0" quotePrefix="0" xfId="0">
      <alignment horizontal="center" vertical="center"/>
    </xf>
    <xf numFmtId="170" fontId="12" fillId="15" borderId="0" applyAlignment="1" pivotButton="0" quotePrefix="0" xfId="0">
      <alignment horizontal="center" vertical="center"/>
    </xf>
    <xf numFmtId="0" fontId="13" fillId="16" borderId="0" applyAlignment="1" pivotButton="0" quotePrefix="0" xfId="0">
      <alignment horizontal="center" vertical="center" wrapText="1"/>
    </xf>
    <xf numFmtId="0" fontId="14" fillId="14" borderId="0" applyAlignment="1" pivotButton="0" quotePrefix="0" xfId="0">
      <alignment horizontal="center" vertical="center" wrapText="1"/>
    </xf>
    <xf numFmtId="170" fontId="14" fillId="14" borderId="0" applyAlignment="1" pivotButton="0" quotePrefix="0" xfId="0">
      <alignment horizontal="center" vertical="center" wrapText="1"/>
    </xf>
    <xf numFmtId="0" fontId="15" fillId="15" borderId="0" applyAlignment="1" pivotButton="0" quotePrefix="0" xfId="0">
      <alignment horizontal="center" vertical="center" wrapText="1"/>
    </xf>
    <xf numFmtId="0" fontId="16" fillId="7" borderId="0" applyAlignment="1" pivotButton="0" quotePrefix="0" xfId="0">
      <alignment horizontal="center" vertical="center" wrapText="1"/>
    </xf>
    <xf numFmtId="0" fontId="1" fillId="17" borderId="0" applyAlignment="1" pivotButton="0" quotePrefix="0" xfId="0">
      <alignment horizontal="center" vertical="center" wrapText="1"/>
    </xf>
    <xf numFmtId="170" fontId="1" fillId="17" borderId="0" applyAlignment="1" pivotButton="0" quotePrefix="0" xfId="1">
      <alignment horizontal="center" vertical="center" wrapText="1"/>
    </xf>
    <xf numFmtId="170" fontId="17" fillId="17" borderId="0" applyAlignment="1" pivotButton="0" quotePrefix="0" xfId="0">
      <alignment horizontal="center" vertical="center" wrapText="1"/>
    </xf>
    <xf numFmtId="166" fontId="17" fillId="17" borderId="0" applyAlignment="1" pivotButton="0" quotePrefix="0" xfId="0">
      <alignment horizontal="center" vertical="center" wrapText="1"/>
    </xf>
    <xf numFmtId="0" fontId="1" fillId="18" borderId="0" applyAlignment="1" pivotButton="0" quotePrefix="0" xfId="0">
      <alignment horizontal="center" vertical="center" wrapText="1"/>
    </xf>
    <xf numFmtId="170" fontId="1" fillId="18" borderId="0" applyAlignment="1" pivotButton="0" quotePrefix="0" xfId="1">
      <alignment horizontal="center" vertical="center" wrapText="1"/>
    </xf>
    <xf numFmtId="170" fontId="17" fillId="18" borderId="0" applyAlignment="1" pivotButton="0" quotePrefix="0" xfId="0">
      <alignment horizontal="center" vertical="center" wrapText="1"/>
    </xf>
    <xf numFmtId="166" fontId="17" fillId="18" borderId="0" applyAlignment="1" pivotButton="0" quotePrefix="0" xfId="0">
      <alignment horizontal="center" vertical="center" wrapText="1"/>
    </xf>
    <xf numFmtId="170" fontId="1" fillId="18" borderId="0" applyAlignment="1" pivotButton="0" quotePrefix="0" xfId="0">
      <alignment horizontal="center" vertical="center" wrapText="1"/>
    </xf>
    <xf numFmtId="0" fontId="18" fillId="19" borderId="0" applyAlignment="1" pivotButton="0" quotePrefix="0" xfId="0">
      <alignment horizontal="center" vertical="center" wrapText="1"/>
    </xf>
    <xf numFmtId="0" fontId="17" fillId="20" borderId="0" applyAlignment="1" pivotButton="0" quotePrefix="0" xfId="0">
      <alignment horizontal="center" vertical="center" wrapText="1"/>
    </xf>
    <xf numFmtId="170" fontId="17" fillId="20" borderId="0" applyAlignment="1" pivotButton="0" quotePrefix="0" xfId="0">
      <alignment horizontal="center" vertical="center" wrapText="1"/>
    </xf>
    <xf numFmtId="1" fontId="17" fillId="20" borderId="0" applyAlignment="1" pivotButton="0" quotePrefix="0" xfId="0">
      <alignment horizontal="center" vertical="center" wrapText="1"/>
    </xf>
    <xf numFmtId="166" fontId="1" fillId="20" borderId="0" applyAlignment="1" pivotButton="0" quotePrefix="0" xfId="0">
      <alignment horizontal="center" vertical="center" wrapText="1"/>
    </xf>
    <xf numFmtId="0" fontId="17" fillId="21" borderId="0" applyAlignment="1" pivotButton="0" quotePrefix="0" xfId="0">
      <alignment horizontal="center" vertical="center" wrapText="1"/>
    </xf>
    <xf numFmtId="170" fontId="17" fillId="21" borderId="0" applyAlignment="1" pivotButton="0" quotePrefix="0" xfId="0">
      <alignment horizontal="center" vertical="center" wrapText="1"/>
    </xf>
    <xf numFmtId="1" fontId="17" fillId="21" borderId="0" applyAlignment="1" pivotButton="0" quotePrefix="0" xfId="0">
      <alignment horizontal="center" vertical="center" wrapText="1"/>
    </xf>
    <xf numFmtId="166" fontId="1" fillId="21" borderId="0" applyAlignment="1" pivotButton="0" quotePrefix="0" xfId="0">
      <alignment horizontal="center" vertical="center" wrapText="1"/>
    </xf>
    <xf numFmtId="0" fontId="13" fillId="19" borderId="0" applyAlignment="1" pivotButton="0" quotePrefix="0" xfId="0">
      <alignment horizontal="center" vertical="center" wrapText="1"/>
    </xf>
    <xf numFmtId="0" fontId="19" fillId="17" borderId="0" applyAlignment="1" pivotButton="0" quotePrefix="0" xfId="0">
      <alignment horizontal="center" vertical="center" wrapText="1"/>
    </xf>
    <xf numFmtId="170" fontId="1" fillId="17" borderId="0" applyAlignment="1" pivotButton="0" quotePrefix="0" xfId="0">
      <alignment horizontal="center" vertical="center" wrapText="1"/>
    </xf>
    <xf numFmtId="166" fontId="1" fillId="17" borderId="0" applyAlignment="1" pivotButton="0" quotePrefix="0" xfId="0">
      <alignment horizontal="center" vertical="center" wrapText="1"/>
    </xf>
    <xf numFmtId="170" fontId="17" fillId="22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19" fillId="18" borderId="0" applyAlignment="1" pivotButton="0" quotePrefix="0" xfId="0">
      <alignment horizontal="center" vertical="center" wrapText="1"/>
    </xf>
    <xf numFmtId="166" fontId="1" fillId="18" borderId="0" applyAlignment="1" pivotButton="0" quotePrefix="0" xfId="0">
      <alignment horizontal="center" vertical="center" wrapText="1"/>
    </xf>
    <xf numFmtId="0" fontId="18" fillId="11" borderId="0" applyAlignment="1" pivotButton="0" quotePrefix="0" xfId="0">
      <alignment horizontal="center" vertical="center" wrapText="1"/>
    </xf>
    <xf numFmtId="170" fontId="18" fillId="11" borderId="0" applyAlignment="1" pivotButton="0" quotePrefix="0" xfId="1">
      <alignment horizontal="center" vertical="center" wrapText="1"/>
    </xf>
    <xf numFmtId="166" fontId="3" fillId="7" borderId="0" applyAlignment="1" pivotButton="0" quotePrefix="0" xfId="0">
      <alignment horizontal="center" vertical="center" wrapText="1"/>
    </xf>
    <xf numFmtId="170" fontId="3" fillId="7" borderId="0" applyAlignment="1" pivotButton="0" quotePrefix="0" xfId="1">
      <alignment horizontal="center" vertical="center" wrapText="1"/>
    </xf>
    <xf numFmtId="170" fontId="3" fillId="7" borderId="0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 wrapText="1"/>
    </xf>
  </cellXfs>
  <cellStyles count="3">
    <cellStyle name="Normal" xfId="0" builtinId="0"/>
    <cellStyle name="Millares" xfId="1" builtinId="3"/>
    <cellStyle name="Porcentaje" xfId="2" builtinId="5"/>
  </cellStyles>
  <dxfs count="1">
    <dxf>
      <font>
        <b val="1"/>
        <color rgb="FF80171B"/>
      </font>
      <fill>
        <patternFill patternType="solid">
          <bgColor rgb="FFF9DABD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251461</colOff>
      <row>0</row>
      <rowOff>0</rowOff>
    </from>
    <to>
      <col>2</col>
      <colOff>137160</colOff>
      <row>1</row>
      <rowOff>367447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251461" y="0"/>
          <a:ext cx="1470659" cy="786547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251461</colOff>
      <row>0</row>
      <rowOff>0</rowOff>
    </from>
    <to>
      <col>2</col>
      <colOff>137160</colOff>
      <row>1</row>
      <rowOff>352207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251461" y="0"/>
          <a:ext cx="1470659" cy="786547"/>
        </a:xfrm>
        <a:prstGeom prst="rect">
          <avLst/>
        </a:prstGeom>
        <a:ln>
          <a:prstDash val="solid"/>
        </a:ln>
      </spPr>
    </pic>
    <clientData/>
  </two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251461</colOff>
      <row>0</row>
      <rowOff>0</rowOff>
    </from>
    <to>
      <col>1</col>
      <colOff>121920</colOff>
      <row>1</row>
      <rowOff>329347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251461" y="0"/>
          <a:ext cx="1470659" cy="786547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Z7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  <col width="15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  <col width="15" customWidth="1" min="51" max="51"/>
    <col width="15" customWidth="1" min="52" max="52"/>
    <col width="15" customWidth="1" min="53" max="53"/>
    <col width="15" customWidth="1" min="54" max="54"/>
    <col width="15" customWidth="1" min="55" max="55"/>
    <col width="15" customWidth="1" min="56" max="56"/>
    <col width="15" customWidth="1" min="57" max="57"/>
    <col width="15" customWidth="1" min="58" max="58"/>
    <col width="15" customWidth="1" min="59" max="59"/>
    <col width="15" customWidth="1" min="60" max="60"/>
    <col width="15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5" customWidth="1" min="75" max="75"/>
    <col width="15" customWidth="1" min="76" max="76"/>
    <col width="15" customWidth="1" min="77" max="77"/>
    <col width="15" customWidth="1" min="78" max="78"/>
  </cols>
  <sheetData>
    <row r="1">
      <c r="A1" t="inlineStr">
        <is>
          <t>Proyecto</t>
        </is>
      </c>
      <c r="B1" t="inlineStr">
        <is>
          <t>Etapa</t>
        </is>
      </c>
      <c r="C1" t="inlineStr">
        <is>
          <t>Tipo_Construccion_1</t>
        </is>
      </c>
      <c r="D1" t="inlineStr">
        <is>
          <t>Nombre_Tipo_Construccion_1</t>
        </is>
      </c>
      <c r="E1" t="inlineStr">
        <is>
          <t>TipoInmueble_1</t>
        </is>
      </c>
      <c r="F1" t="inlineStr">
        <is>
          <t>NroInmueble_1</t>
        </is>
      </c>
      <c r="G1" t="inlineStr">
        <is>
          <t>PrecioLista_1</t>
        </is>
      </c>
      <c r="H1" t="inlineStr">
        <is>
          <t>PrecioVenta_1</t>
        </is>
      </c>
      <c r="I1" t="inlineStr">
        <is>
          <t>Tipo_Construccion_2</t>
        </is>
      </c>
      <c r="J1" t="inlineStr">
        <is>
          <t>Nombre_Tipo_Construccion_2</t>
        </is>
      </c>
      <c r="K1" t="inlineStr">
        <is>
          <t>TipoInmueble_2</t>
        </is>
      </c>
      <c r="L1" t="inlineStr">
        <is>
          <t>NroInmueble_2</t>
        </is>
      </c>
      <c r="M1" t="inlineStr">
        <is>
          <t>PrecioLista_2</t>
        </is>
      </c>
      <c r="N1" t="inlineStr">
        <is>
          <t>PrecioVenta_2</t>
        </is>
      </c>
      <c r="O1" t="inlineStr">
        <is>
          <t>Tipo_Construccion_3</t>
        </is>
      </c>
      <c r="P1" t="inlineStr">
        <is>
          <t>Nombre_Tipo_Construccion_3</t>
        </is>
      </c>
      <c r="Q1" t="inlineStr">
        <is>
          <t>TipoInmueble_3</t>
        </is>
      </c>
      <c r="R1" t="inlineStr">
        <is>
          <t>NroInmueble_3</t>
        </is>
      </c>
      <c r="S1" t="inlineStr">
        <is>
          <t>PrecioLista_3</t>
        </is>
      </c>
      <c r="T1" t="inlineStr">
        <is>
          <t>PrecioVenta_3</t>
        </is>
      </c>
      <c r="U1" t="inlineStr">
        <is>
          <t>Tipo_Construccion_4</t>
        </is>
      </c>
      <c r="V1" t="inlineStr">
        <is>
          <t>Nombre_Tipo_Construccion_4</t>
        </is>
      </c>
      <c r="W1" t="inlineStr">
        <is>
          <t>TipoInmueble_4</t>
        </is>
      </c>
      <c r="X1" t="inlineStr">
        <is>
          <t>NroInmueble_4</t>
        </is>
      </c>
      <c r="Y1" t="inlineStr">
        <is>
          <t>PrecioLista_4</t>
        </is>
      </c>
      <c r="Z1" t="inlineStr">
        <is>
          <t>PrecioVenta_4</t>
        </is>
      </c>
      <c r="AA1" t="inlineStr">
        <is>
          <t>Nombres_Titular</t>
        </is>
      </c>
      <c r="AB1" t="inlineStr">
        <is>
          <t>NroDocumento</t>
        </is>
      </c>
      <c r="AC1" t="inlineStr">
        <is>
          <t>Direccion</t>
        </is>
      </c>
      <c r="AD1" t="inlineStr">
        <is>
          <t>TelefonoCasa</t>
        </is>
      </c>
      <c r="AE1" t="inlineStr">
        <is>
          <t>TelefonoCelular</t>
        </is>
      </c>
      <c r="AF1" t="inlineStr">
        <is>
          <t>CorreoElectronico</t>
        </is>
      </c>
      <c r="AG1" t="inlineStr">
        <is>
          <t>Provincia</t>
        </is>
      </c>
      <c r="AH1" t="inlineStr">
        <is>
          <t>Distrito</t>
        </is>
      </c>
      <c r="AI1" t="inlineStr">
        <is>
          <t>Fecha_Programada</t>
        </is>
      </c>
      <c r="AJ1" t="inlineStr">
        <is>
          <t>FechaPago</t>
        </is>
      </c>
      <c r="AK1" t="inlineStr">
        <is>
          <t>Tipo_Cuota</t>
        </is>
      </c>
      <c r="AL1" t="inlineStr">
        <is>
          <t>Nro_Cuota</t>
        </is>
      </c>
      <c r="AM1" t="inlineStr">
        <is>
          <t>Capital</t>
        </is>
      </c>
      <c r="AN1" t="inlineStr">
        <is>
          <t>Intereses</t>
        </is>
      </c>
      <c r="AO1" t="inlineStr">
        <is>
          <t>GastosAdministrativos</t>
        </is>
      </c>
      <c r="AP1" t="inlineStr">
        <is>
          <t>Monto_Cuota</t>
        </is>
      </c>
      <c r="AQ1" t="inlineStr">
        <is>
          <t>Monto_Cuota_Pagado</t>
        </is>
      </c>
      <c r="AR1" t="inlineStr">
        <is>
          <t>SaldoPorPagarCuota</t>
        </is>
      </c>
      <c r="AS1" t="inlineStr">
        <is>
          <t>MontoMora</t>
        </is>
      </c>
      <c r="AT1" t="inlineStr">
        <is>
          <t>TipoFinanciamiento</t>
        </is>
      </c>
      <c r="AU1" t="inlineStr">
        <is>
          <t>Entidad_Financiera</t>
        </is>
      </c>
      <c r="AV1" t="inlineStr">
        <is>
          <t>Nro_Cuenta</t>
        </is>
      </c>
      <c r="AW1" t="inlineStr">
        <is>
          <t>Medio_Pago</t>
        </is>
      </c>
      <c r="AX1" t="inlineStr">
        <is>
          <t>Nro_Documento</t>
        </is>
      </c>
      <c r="AY1" t="inlineStr">
        <is>
          <t>Nro_Operacion</t>
        </is>
      </c>
      <c r="AZ1" t="inlineStr">
        <is>
          <t>Verificado</t>
        </is>
      </c>
      <c r="BA1" t="inlineStr">
        <is>
          <t>OrigenFondo</t>
        </is>
      </c>
      <c r="BB1" t="inlineStr">
        <is>
          <t>TipoCambio</t>
        </is>
      </c>
      <c r="BC1" t="inlineStr">
        <is>
          <t>Estado</t>
        </is>
      </c>
      <c r="BD1" t="inlineStr">
        <is>
          <t>Estado_Letra</t>
        </is>
      </c>
      <c r="BE1" t="inlineStr">
        <is>
          <t>Ubicación_Letra</t>
        </is>
      </c>
      <c r="BF1" t="inlineStr">
        <is>
          <t>Casuistica_Cuota</t>
        </is>
      </c>
      <c r="BG1" t="inlineStr">
        <is>
          <t>Accio_Cuota</t>
        </is>
      </c>
      <c r="BH1" t="inlineStr">
        <is>
          <t>FechaPromesa</t>
        </is>
      </c>
      <c r="BI1" t="inlineStr">
        <is>
          <t>ValorCompromiso</t>
        </is>
      </c>
      <c r="BJ1" t="inlineStr">
        <is>
          <t>Porcentaje</t>
        </is>
      </c>
      <c r="BK1" t="inlineStr">
        <is>
          <t>Comentario_Cuota</t>
        </is>
      </c>
      <c r="BL1" t="inlineStr">
        <is>
          <t>Fecha_Modificiacion_Seguimiento</t>
        </is>
      </c>
      <c r="BM1" t="inlineStr">
        <is>
          <t>Usuario_Modificiacion_Seguimiento</t>
        </is>
      </c>
      <c r="BN1" t="inlineStr">
        <is>
          <t>Doc_Adjunto</t>
        </is>
      </c>
      <c r="BO1" t="inlineStr">
        <is>
          <t>FechaOperacionComercial</t>
        </is>
      </c>
      <c r="BP1" t="inlineStr">
        <is>
          <t>Asesor_Comercial</t>
        </is>
      </c>
      <c r="BQ1" t="inlineStr">
        <is>
          <t>Asesor_Banco</t>
        </is>
      </c>
      <c r="BR1" t="inlineStr">
        <is>
          <t>Correlativo</t>
        </is>
      </c>
      <c r="BS1" t="inlineStr">
        <is>
          <t>Fecha_Registro_Pago_Cargado</t>
        </is>
      </c>
      <c r="BT1" t="inlineStr">
        <is>
          <t>IdCotizacion</t>
        </is>
      </c>
      <c r="BU1" t="inlineStr">
        <is>
          <t>Doc_Contable</t>
        </is>
      </c>
      <c r="BV1" t="inlineStr">
        <is>
          <t>Monto_EstadoCuenta</t>
        </is>
      </c>
      <c r="BW1" t="inlineStr">
        <is>
          <t>Archivo_Origen</t>
        </is>
      </c>
      <c r="BX1" t="inlineStr">
        <is>
          <t>Anio_Descarga</t>
        </is>
      </c>
      <c r="BY1" t="inlineStr">
        <is>
          <t>Fecha_Inicio_Reporte</t>
        </is>
      </c>
      <c r="BZ1" t="inlineStr">
        <is>
          <t>Fecha_Fin_Reporte</t>
        </is>
      </c>
    </row>
    <row r="2">
      <c r="A2" t="inlineStr">
        <is>
          <t>RESIDENCIAL PRADA</t>
        </is>
      </c>
      <c r="B2" t="inlineStr">
        <is>
          <t>Etapa 1</t>
        </is>
      </c>
      <c r="C2" t="inlineStr">
        <is>
          <t>Edificio</t>
        </is>
      </c>
      <c r="D2" t="inlineStr">
        <is>
          <t>A</t>
        </is>
      </c>
      <c r="E2" t="inlineStr">
        <is>
          <t>Departamento</t>
        </is>
      </c>
      <c r="F2" t="inlineStr">
        <is>
          <t>103</t>
        </is>
      </c>
      <c r="G2" s="39" t="n">
        <v>520400</v>
      </c>
      <c r="H2" s="39" t="n">
        <v>520400</v>
      </c>
      <c r="M2" s="39" t="n"/>
      <c r="N2" s="39" t="n"/>
      <c r="S2" s="39" t="n"/>
      <c r="T2" s="39" t="n"/>
      <c r="Y2" s="39" t="n"/>
      <c r="Z2" s="39" t="n"/>
      <c r="AA2" t="inlineStr">
        <is>
          <t>Ayleen Katia Messarina Rios</t>
        </is>
      </c>
      <c r="AB2" t="inlineStr">
        <is>
          <t>70512701</t>
        </is>
      </c>
      <c r="AC2" t="inlineStr">
        <is>
          <t>Departamento 101 Urbanización Santa Rosa de Surco etapa 2 Mz D Lt 23</t>
        </is>
      </c>
      <c r="AD2" t="n">
        <v>978722675</v>
      </c>
      <c r="AE2" t="inlineStr">
        <is>
          <t>978722675</t>
        </is>
      </c>
      <c r="AF2" t="inlineStr">
        <is>
          <t>ayleen30mr@gmail.com</t>
        </is>
      </c>
      <c r="AG2" t="inlineStr">
        <is>
          <t>LIMA</t>
        </is>
      </c>
      <c r="AH2" t="inlineStr">
        <is>
          <t>SANTIAGO DE SURCO</t>
        </is>
      </c>
      <c r="AI2" s="75" t="n">
        <v>45578</v>
      </c>
      <c r="AJ2" s="75" t="n">
        <v>45578</v>
      </c>
      <c r="AK2" t="inlineStr">
        <is>
          <t>SEPARACION</t>
        </is>
      </c>
      <c r="AL2" t="n">
        <v>1</v>
      </c>
      <c r="AM2" t="n">
        <v>3000</v>
      </c>
      <c r="AN2" t="n">
        <v>0</v>
      </c>
      <c r="AO2" t="n">
        <v>0</v>
      </c>
      <c r="AP2" s="39" t="n">
        <v>3000</v>
      </c>
      <c r="AQ2" s="39" t="n">
        <v>3000</v>
      </c>
      <c r="AR2" s="39" t="n">
        <v>0</v>
      </c>
      <c r="AS2" t="n">
        <v>0</v>
      </c>
      <c r="AT2" t="inlineStr">
        <is>
          <t>Crédito Hipotecario</t>
        </is>
      </c>
      <c r="AU2" t="inlineStr">
        <is>
          <t>Scotiabank Perú</t>
        </is>
      </c>
      <c r="AV2" t="inlineStr">
        <is>
          <t>000-2768484</t>
        </is>
      </c>
      <c r="AW2" t="inlineStr">
        <is>
          <t>TRANSFERENCIA BANCARIA</t>
        </is>
      </c>
      <c r="AY2" t="inlineStr">
        <is>
          <t>01871075</t>
        </is>
      </c>
      <c r="AZ2" t="inlineStr">
        <is>
          <t>No</t>
        </is>
      </c>
      <c r="BB2" t="n">
        <v>4</v>
      </c>
      <c r="BC2" t="inlineStr">
        <is>
          <t>CANCELADO</t>
        </is>
      </c>
      <c r="BN2" t="inlineStr">
        <is>
          <t>Si</t>
        </is>
      </c>
      <c r="BO2" s="76" t="n">
        <v>45663.58819444444</v>
      </c>
      <c r="BP2" t="inlineStr">
        <is>
          <t>Kenny Salazar S</t>
        </is>
      </c>
      <c r="BR2" t="n">
        <v>31</v>
      </c>
      <c r="BS2" t="inlineStr">
        <is>
          <t>26/06/2026 17:22</t>
        </is>
      </c>
      <c r="BW2" t="inlineStr">
        <is>
          <t>Cobranzas_2024.csv</t>
        </is>
      </c>
      <c r="BX2" t="n">
        <v>2024</v>
      </c>
      <c r="BY2" t="inlineStr">
        <is>
          <t>01/01/2024</t>
        </is>
      </c>
      <c r="BZ2" t="inlineStr">
        <is>
          <t>30/06/2031</t>
        </is>
      </c>
    </row>
    <row r="3">
      <c r="A3" t="inlineStr">
        <is>
          <t>RESIDENCIAL PRADA</t>
        </is>
      </c>
      <c r="B3" t="inlineStr">
        <is>
          <t>Etapa 1</t>
        </is>
      </c>
      <c r="C3" t="inlineStr">
        <is>
          <t>Edificio</t>
        </is>
      </c>
      <c r="D3" t="inlineStr">
        <is>
          <t>A</t>
        </is>
      </c>
      <c r="E3" t="inlineStr">
        <is>
          <t>Departamento</t>
        </is>
      </c>
      <c r="F3" t="inlineStr">
        <is>
          <t>302</t>
        </is>
      </c>
      <c r="G3" s="39" t="n">
        <v>435500</v>
      </c>
      <c r="H3" s="39" t="n">
        <v>435500</v>
      </c>
      <c r="M3" s="39" t="n"/>
      <c r="N3" s="39" t="n"/>
      <c r="S3" s="39" t="n"/>
      <c r="T3" s="39" t="n"/>
      <c r="Y3" s="39" t="n"/>
      <c r="Z3" s="39" t="n"/>
      <c r="AA3" t="inlineStr">
        <is>
          <t>Cristhiam Ortiz Angeles</t>
        </is>
      </c>
      <c r="AB3" t="inlineStr">
        <is>
          <t>45110882</t>
        </is>
      </c>
      <c r="AC3" t="inlineStr">
        <is>
          <t>Av. Olavegoya 1879 departamento 301</t>
        </is>
      </c>
      <c r="AD3" t="n">
        <v>992532732</v>
      </c>
      <c r="AE3" t="inlineStr">
        <is>
          <t>992532732</t>
        </is>
      </c>
      <c r="AF3" t="inlineStr">
        <is>
          <t>Cristhian4520@gmail.com</t>
        </is>
      </c>
      <c r="AG3" t="inlineStr">
        <is>
          <t>LIMA</t>
        </is>
      </c>
      <c r="AH3" t="inlineStr">
        <is>
          <t>JESUS MARIA</t>
        </is>
      </c>
      <c r="AI3" s="75" t="n">
        <v>45473</v>
      </c>
      <c r="AJ3" s="75" t="n">
        <v>45473</v>
      </c>
      <c r="AK3" t="inlineStr">
        <is>
          <t>SEPARACION</t>
        </is>
      </c>
      <c r="AL3" t="n">
        <v>1</v>
      </c>
      <c r="AM3" t="n">
        <v>3000</v>
      </c>
      <c r="AN3" t="n">
        <v>0</v>
      </c>
      <c r="AO3" t="n">
        <v>0</v>
      </c>
      <c r="AP3" s="39" t="n">
        <v>3000</v>
      </c>
      <c r="AQ3" s="39" t="n">
        <v>3000</v>
      </c>
      <c r="AR3" s="39" t="n">
        <v>0</v>
      </c>
      <c r="AS3" t="n">
        <v>0</v>
      </c>
      <c r="AT3" t="inlineStr">
        <is>
          <t>Crédito Hipotecario</t>
        </is>
      </c>
      <c r="AU3" t="inlineStr">
        <is>
          <t>Scotiabank Perú</t>
        </is>
      </c>
      <c r="AV3" t="inlineStr">
        <is>
          <t>000-2768484</t>
        </is>
      </c>
      <c r="AW3" t="inlineStr">
        <is>
          <t>TRANSFERENCIA BANCARIA</t>
        </is>
      </c>
      <c r="AX3" t="n">
        <v>45110882</v>
      </c>
      <c r="AY3" t="inlineStr">
        <is>
          <t>01226077</t>
        </is>
      </c>
      <c r="AZ3" t="inlineStr">
        <is>
          <t>No</t>
        </is>
      </c>
      <c r="BA3" t="inlineStr">
        <is>
          <t>NO PRECISA</t>
        </is>
      </c>
      <c r="BB3" t="n">
        <v>4</v>
      </c>
      <c r="BC3" t="inlineStr">
        <is>
          <t>CANCELADO</t>
        </is>
      </c>
      <c r="BN3" t="inlineStr">
        <is>
          <t>Si</t>
        </is>
      </c>
      <c r="BO3" s="76" t="n">
        <v>45499.61319444444</v>
      </c>
      <c r="BP3" t="inlineStr">
        <is>
          <t>Kenny Salazar S</t>
        </is>
      </c>
      <c r="BR3" t="n">
        <v>34</v>
      </c>
      <c r="BS3" t="inlineStr">
        <is>
          <t>02/06/2026 15:34</t>
        </is>
      </c>
      <c r="BW3" t="inlineStr">
        <is>
          <t>Cobranzas_2024.csv</t>
        </is>
      </c>
      <c r="BX3" t="n">
        <v>2024</v>
      </c>
      <c r="BY3" t="inlineStr">
        <is>
          <t>01/01/2024</t>
        </is>
      </c>
      <c r="BZ3" t="inlineStr">
        <is>
          <t>30/06/2031</t>
        </is>
      </c>
    </row>
    <row r="4">
      <c r="A4" t="inlineStr">
        <is>
          <t>RESIDENCIAL PRADA</t>
        </is>
      </c>
      <c r="B4" t="inlineStr">
        <is>
          <t>Etapa 1</t>
        </is>
      </c>
      <c r="C4" t="inlineStr">
        <is>
          <t>Edificio</t>
        </is>
      </c>
      <c r="D4" t="inlineStr">
        <is>
          <t>A</t>
        </is>
      </c>
      <c r="E4" t="inlineStr">
        <is>
          <t>Departamento</t>
        </is>
      </c>
      <c r="F4" t="inlineStr">
        <is>
          <t>302</t>
        </is>
      </c>
      <c r="G4" s="39" t="n">
        <v>435500</v>
      </c>
      <c r="H4" s="39" t="n">
        <v>435500</v>
      </c>
      <c r="M4" s="39" t="n"/>
      <c r="N4" s="39" t="n"/>
      <c r="S4" s="39" t="n"/>
      <c r="T4" s="39" t="n"/>
      <c r="Y4" s="39" t="n"/>
      <c r="Z4" s="39" t="n"/>
      <c r="AA4" t="inlineStr">
        <is>
          <t>Cristhiam Ortiz Angeles</t>
        </is>
      </c>
      <c r="AB4" t="inlineStr">
        <is>
          <t>45110882</t>
        </is>
      </c>
      <c r="AC4" t="inlineStr">
        <is>
          <t>Av. Olavegoya 1879 departamento 301</t>
        </is>
      </c>
      <c r="AD4" t="n">
        <v>992532732</v>
      </c>
      <c r="AE4" t="inlineStr">
        <is>
          <t>992532732</t>
        </is>
      </c>
      <c r="AF4" t="inlineStr">
        <is>
          <t>Cristhian4520@gmail.com</t>
        </is>
      </c>
      <c r="AG4" t="inlineStr">
        <is>
          <t>LIMA</t>
        </is>
      </c>
      <c r="AH4" t="inlineStr">
        <is>
          <t>JESUS MARIA</t>
        </is>
      </c>
      <c r="AI4" s="75" t="n">
        <v>45499</v>
      </c>
      <c r="AJ4" s="75" t="n">
        <v>45499</v>
      </c>
      <c r="AK4" t="inlineStr">
        <is>
          <t>CUOTA INICIAL</t>
        </is>
      </c>
      <c r="AL4" t="n">
        <v>1</v>
      </c>
      <c r="AM4" t="n">
        <v>20000</v>
      </c>
      <c r="AN4" t="n">
        <v>0</v>
      </c>
      <c r="AO4" t="n">
        <v>0</v>
      </c>
      <c r="AP4" s="39" t="n">
        <v>20000</v>
      </c>
      <c r="AQ4" s="39" t="n">
        <v>20000</v>
      </c>
      <c r="AR4" s="39" t="n">
        <v>0</v>
      </c>
      <c r="AS4" t="n">
        <v>0</v>
      </c>
      <c r="AT4" t="inlineStr">
        <is>
          <t>Crédito Hipotecario</t>
        </is>
      </c>
      <c r="AU4" t="inlineStr">
        <is>
          <t>Scotiabank Perú</t>
        </is>
      </c>
      <c r="AV4" t="inlineStr">
        <is>
          <t>000-2768484</t>
        </is>
      </c>
      <c r="AW4" t="inlineStr">
        <is>
          <t>CHEQUE DE GERENCIA</t>
        </is>
      </c>
      <c r="AX4" t="n">
        <v>45110882</v>
      </c>
      <c r="AY4" t="inlineStr">
        <is>
          <t>162515191002194000000022290</t>
        </is>
      </c>
      <c r="AZ4" t="inlineStr">
        <is>
          <t>Si</t>
        </is>
      </c>
      <c r="BA4" t="inlineStr">
        <is>
          <t>NO PRECISA</t>
        </is>
      </c>
      <c r="BB4" t="n">
        <v>4</v>
      </c>
      <c r="BC4" t="inlineStr">
        <is>
          <t>CANCELADO</t>
        </is>
      </c>
      <c r="BN4" t="inlineStr">
        <is>
          <t>Si</t>
        </is>
      </c>
      <c r="BO4" s="76" t="n">
        <v>45499.61319444444</v>
      </c>
      <c r="BP4" t="inlineStr">
        <is>
          <t>Kenny Salazar S</t>
        </is>
      </c>
      <c r="BR4" t="n">
        <v>34</v>
      </c>
      <c r="BS4" t="inlineStr">
        <is>
          <t>04/06/2026 14:01</t>
        </is>
      </c>
      <c r="BW4" t="inlineStr">
        <is>
          <t>Cobranzas_2024.csv</t>
        </is>
      </c>
      <c r="BX4" t="n">
        <v>2024</v>
      </c>
      <c r="BY4" t="inlineStr">
        <is>
          <t>01/01/2024</t>
        </is>
      </c>
      <c r="BZ4" t="inlineStr">
        <is>
          <t>30/06/2031</t>
        </is>
      </c>
    </row>
    <row r="5">
      <c r="A5" t="inlineStr">
        <is>
          <t>RESIDENCIAL PRADA</t>
        </is>
      </c>
      <c r="B5" t="inlineStr">
        <is>
          <t>Etapa 1</t>
        </is>
      </c>
      <c r="C5" t="inlineStr">
        <is>
          <t>Edificio</t>
        </is>
      </c>
      <c r="D5" t="inlineStr">
        <is>
          <t>A</t>
        </is>
      </c>
      <c r="E5" t="inlineStr">
        <is>
          <t>Departamento</t>
        </is>
      </c>
      <c r="F5" t="inlineStr">
        <is>
          <t>302</t>
        </is>
      </c>
      <c r="G5" s="39" t="n">
        <v>435500</v>
      </c>
      <c r="H5" s="39" t="n">
        <v>435500</v>
      </c>
      <c r="M5" s="39" t="n"/>
      <c r="N5" s="39" t="n"/>
      <c r="S5" s="39" t="n"/>
      <c r="T5" s="39" t="n"/>
      <c r="Y5" s="39" t="n"/>
      <c r="Z5" s="39" t="n"/>
      <c r="AA5" t="inlineStr">
        <is>
          <t>Cristhiam Ortiz Angeles</t>
        </is>
      </c>
      <c r="AB5" t="inlineStr">
        <is>
          <t>45110882</t>
        </is>
      </c>
      <c r="AC5" t="inlineStr">
        <is>
          <t>Av. Olavegoya 1879 departamento 301</t>
        </is>
      </c>
      <c r="AD5" t="n">
        <v>992532732</v>
      </c>
      <c r="AE5" t="inlineStr">
        <is>
          <t>992532732</t>
        </is>
      </c>
      <c r="AF5" t="inlineStr">
        <is>
          <t>Cristhian4520@gmail.com</t>
        </is>
      </c>
      <c r="AG5" t="inlineStr">
        <is>
          <t>LIMA</t>
        </is>
      </c>
      <c r="AH5" t="inlineStr">
        <is>
          <t>JESUS MARIA</t>
        </is>
      </c>
      <c r="AI5" s="75" t="n">
        <v>45534</v>
      </c>
      <c r="AJ5" s="75" t="n">
        <v>45538</v>
      </c>
      <c r="AK5" t="inlineStr">
        <is>
          <t>CUOTA INICIAL</t>
        </is>
      </c>
      <c r="AL5" t="n">
        <v>2</v>
      </c>
      <c r="AM5" t="n">
        <v>8775</v>
      </c>
      <c r="AN5" t="n">
        <v>0</v>
      </c>
      <c r="AO5" t="n">
        <v>0</v>
      </c>
      <c r="AP5" s="39" t="n">
        <v>8775</v>
      </c>
      <c r="AQ5" s="39" t="n">
        <v>8775</v>
      </c>
      <c r="AR5" s="39" t="n">
        <v>0</v>
      </c>
      <c r="AS5" t="n">
        <v>0</v>
      </c>
      <c r="AT5" t="inlineStr">
        <is>
          <t>Crédito Hipotecario</t>
        </is>
      </c>
      <c r="AU5" t="inlineStr">
        <is>
          <t>Scotiabank Perú</t>
        </is>
      </c>
      <c r="AV5" t="inlineStr">
        <is>
          <t>000-2768484</t>
        </is>
      </c>
      <c r="AW5" t="inlineStr">
        <is>
          <t>TRANSFERENCIA BANCARIA</t>
        </is>
      </c>
      <c r="AY5" t="inlineStr">
        <is>
          <t>U26966</t>
        </is>
      </c>
      <c r="AZ5" t="inlineStr">
        <is>
          <t>No</t>
        </is>
      </c>
      <c r="BB5" t="n">
        <v>4</v>
      </c>
      <c r="BC5" t="inlineStr">
        <is>
          <t>CANCELADO</t>
        </is>
      </c>
      <c r="BN5" t="inlineStr">
        <is>
          <t>Si</t>
        </is>
      </c>
      <c r="BO5" s="76" t="n">
        <v>45499.61319444444</v>
      </c>
      <c r="BP5" t="inlineStr">
        <is>
          <t>Kenny Salazar S</t>
        </is>
      </c>
      <c r="BR5" t="n">
        <v>34</v>
      </c>
      <c r="BS5" t="inlineStr">
        <is>
          <t>07/07/2026 08:47</t>
        </is>
      </c>
      <c r="BW5" t="inlineStr">
        <is>
          <t>Cobranzas_2024.csv</t>
        </is>
      </c>
      <c r="BX5" t="n">
        <v>2024</v>
      </c>
      <c r="BY5" t="inlineStr">
        <is>
          <t>01/01/2024</t>
        </is>
      </c>
      <c r="BZ5" t="inlineStr">
        <is>
          <t>30/06/2031</t>
        </is>
      </c>
    </row>
    <row r="6">
      <c r="A6" t="inlineStr">
        <is>
          <t>RESIDENCIAL PRADA</t>
        </is>
      </c>
      <c r="B6" t="inlineStr">
        <is>
          <t>Etapa 1</t>
        </is>
      </c>
      <c r="C6" t="inlineStr">
        <is>
          <t>Edificio</t>
        </is>
      </c>
      <c r="D6" t="inlineStr">
        <is>
          <t>A</t>
        </is>
      </c>
      <c r="E6" t="inlineStr">
        <is>
          <t>Departamento</t>
        </is>
      </c>
      <c r="F6" t="inlineStr">
        <is>
          <t>302</t>
        </is>
      </c>
      <c r="G6" s="39" t="n">
        <v>435500</v>
      </c>
      <c r="H6" s="39" t="n">
        <v>435500</v>
      </c>
      <c r="M6" s="39" t="n"/>
      <c r="N6" s="39" t="n"/>
      <c r="S6" s="39" t="n"/>
      <c r="T6" s="39" t="n"/>
      <c r="Y6" s="39" t="n"/>
      <c r="Z6" s="39" t="n"/>
      <c r="AA6" t="inlineStr">
        <is>
          <t>Cristhiam Ortiz Angeles</t>
        </is>
      </c>
      <c r="AB6" t="inlineStr">
        <is>
          <t>45110882</t>
        </is>
      </c>
      <c r="AC6" t="inlineStr">
        <is>
          <t>Av. Olavegoya 1879 departamento 301</t>
        </is>
      </c>
      <c r="AD6" t="n">
        <v>992532732</v>
      </c>
      <c r="AE6" t="inlineStr">
        <is>
          <t>992532732</t>
        </is>
      </c>
      <c r="AF6" t="inlineStr">
        <is>
          <t>Cristhian4520@gmail.com</t>
        </is>
      </c>
      <c r="AG6" t="inlineStr">
        <is>
          <t>LIMA</t>
        </is>
      </c>
      <c r="AH6" t="inlineStr">
        <is>
          <t>JESUS MARIA</t>
        </is>
      </c>
      <c r="AI6" s="75" t="n">
        <v>45565</v>
      </c>
      <c r="AJ6" s="75" t="n">
        <v>45538</v>
      </c>
      <c r="AK6" t="inlineStr">
        <is>
          <t>CUOTA INICIAL</t>
        </is>
      </c>
      <c r="AL6" t="n">
        <v>3</v>
      </c>
      <c r="AM6" t="n">
        <v>0</v>
      </c>
      <c r="AN6" t="n">
        <v>0</v>
      </c>
      <c r="AO6" t="n">
        <v>0</v>
      </c>
      <c r="AP6" s="39" t="n">
        <v>11775</v>
      </c>
      <c r="AQ6" s="39" t="n">
        <v>1225</v>
      </c>
      <c r="AR6" s="39" t="n">
        <v>0</v>
      </c>
      <c r="AS6" t="n">
        <v>0</v>
      </c>
      <c r="AT6" t="inlineStr">
        <is>
          <t>Crédito Hipotecario</t>
        </is>
      </c>
      <c r="AU6" t="inlineStr">
        <is>
          <t>Scotiabank Perú</t>
        </is>
      </c>
      <c r="AV6" t="inlineStr">
        <is>
          <t>000-2768484</t>
        </is>
      </c>
      <c r="AW6" t="inlineStr">
        <is>
          <t>TRANSFERENCIA BANCARIA</t>
        </is>
      </c>
      <c r="AY6" t="inlineStr">
        <is>
          <t>U26966</t>
        </is>
      </c>
      <c r="AZ6" t="inlineStr">
        <is>
          <t>No</t>
        </is>
      </c>
      <c r="BB6" t="n">
        <v>4</v>
      </c>
      <c r="BC6" t="inlineStr">
        <is>
          <t>CANCELADO</t>
        </is>
      </c>
      <c r="BN6" t="inlineStr">
        <is>
          <t>Si</t>
        </is>
      </c>
      <c r="BO6" s="76" t="n">
        <v>45499.61319444444</v>
      </c>
      <c r="BP6" t="inlineStr">
        <is>
          <t>Kenny Salazar S</t>
        </is>
      </c>
      <c r="BR6" t="n">
        <v>34</v>
      </c>
      <c r="BS6" t="inlineStr">
        <is>
          <t>07/07/2026 08:47</t>
        </is>
      </c>
      <c r="BW6" t="inlineStr">
        <is>
          <t>Cobranzas_2024.csv</t>
        </is>
      </c>
      <c r="BX6" t="n">
        <v>2024</v>
      </c>
      <c r="BY6" t="inlineStr">
        <is>
          <t>01/01/2024</t>
        </is>
      </c>
      <c r="BZ6" t="inlineStr">
        <is>
          <t>30/06/2031</t>
        </is>
      </c>
    </row>
    <row r="7">
      <c r="A7" t="inlineStr">
        <is>
          <t>RESIDENCIAL PRADA</t>
        </is>
      </c>
      <c r="B7" t="inlineStr">
        <is>
          <t>Etapa 1</t>
        </is>
      </c>
      <c r="C7" t="inlineStr">
        <is>
          <t>Edificio</t>
        </is>
      </c>
      <c r="D7" t="inlineStr">
        <is>
          <t>A</t>
        </is>
      </c>
      <c r="E7" t="inlineStr">
        <is>
          <t>Departamento</t>
        </is>
      </c>
      <c r="F7" t="inlineStr">
        <is>
          <t>302</t>
        </is>
      </c>
      <c r="G7" s="39" t="n">
        <v>435500</v>
      </c>
      <c r="H7" s="39" t="n">
        <v>435500</v>
      </c>
      <c r="M7" s="39" t="n"/>
      <c r="N7" s="39" t="n"/>
      <c r="S7" s="39" t="n"/>
      <c r="T7" s="39" t="n"/>
      <c r="Y7" s="39" t="n"/>
      <c r="Z7" s="39" t="n"/>
      <c r="AA7" t="inlineStr">
        <is>
          <t>Cristhiam Ortiz Angeles</t>
        </is>
      </c>
      <c r="AB7" t="inlineStr">
        <is>
          <t>45110882</t>
        </is>
      </c>
      <c r="AC7" t="inlineStr">
        <is>
          <t>Av. Olavegoya 1879 departamento 301</t>
        </is>
      </c>
      <c r="AD7" t="n">
        <v>992532732</v>
      </c>
      <c r="AE7" t="inlineStr">
        <is>
          <t>992532732</t>
        </is>
      </c>
      <c r="AF7" t="inlineStr">
        <is>
          <t>Cristhian4520@gmail.com</t>
        </is>
      </c>
      <c r="AG7" t="inlineStr">
        <is>
          <t>LIMA</t>
        </is>
      </c>
      <c r="AH7" t="inlineStr">
        <is>
          <t>JESUS MARIA</t>
        </is>
      </c>
      <c r="AI7" s="75" t="n">
        <v>45565</v>
      </c>
      <c r="AJ7" s="75" t="n">
        <v>45569</v>
      </c>
      <c r="AK7" t="inlineStr">
        <is>
          <t>CUOTA INICIAL</t>
        </is>
      </c>
      <c r="AL7" t="n">
        <v>3</v>
      </c>
      <c r="AM7" t="n">
        <v>0</v>
      </c>
      <c r="AN7" t="n">
        <v>0</v>
      </c>
      <c r="AO7" t="n">
        <v>0</v>
      </c>
      <c r="AP7" s="39" t="n">
        <v>0</v>
      </c>
      <c r="AQ7" s="39" t="n">
        <v>10000</v>
      </c>
      <c r="AR7" s="39" t="n">
        <v>0</v>
      </c>
      <c r="AS7" t="n">
        <v>0</v>
      </c>
      <c r="AT7" t="inlineStr">
        <is>
          <t>Crédito Hipotecario</t>
        </is>
      </c>
      <c r="AU7" t="inlineStr">
        <is>
          <t>Scotiabank Perú</t>
        </is>
      </c>
      <c r="AV7" t="inlineStr">
        <is>
          <t>000-2768484</t>
        </is>
      </c>
      <c r="AW7" t="inlineStr">
        <is>
          <t>TRANSFERENCIA BANCARIA</t>
        </is>
      </c>
      <c r="AY7" t="inlineStr">
        <is>
          <t>U27618</t>
        </is>
      </c>
      <c r="AZ7" t="inlineStr">
        <is>
          <t>No</t>
        </is>
      </c>
      <c r="BB7" t="n">
        <v>4</v>
      </c>
      <c r="BC7" t="inlineStr">
        <is>
          <t>CANCELADO</t>
        </is>
      </c>
      <c r="BN7" t="inlineStr">
        <is>
          <t>Si</t>
        </is>
      </c>
      <c r="BO7" s="76" t="n">
        <v>45499.61319444444</v>
      </c>
      <c r="BP7" t="inlineStr">
        <is>
          <t>Kenny Salazar S</t>
        </is>
      </c>
      <c r="BR7" t="n">
        <v>34</v>
      </c>
      <c r="BS7" t="inlineStr">
        <is>
          <t>07/07/2026 08:52</t>
        </is>
      </c>
      <c r="BW7" t="inlineStr">
        <is>
          <t>Cobranzas_2024.csv</t>
        </is>
      </c>
      <c r="BX7" t="n">
        <v>2024</v>
      </c>
      <c r="BY7" t="inlineStr">
        <is>
          <t>01/01/2024</t>
        </is>
      </c>
      <c r="BZ7" t="inlineStr">
        <is>
          <t>30/06/2031</t>
        </is>
      </c>
    </row>
    <row r="8">
      <c r="A8" t="inlineStr">
        <is>
          <t>RESIDENCIAL PRADA</t>
        </is>
      </c>
      <c r="B8" t="inlineStr">
        <is>
          <t>Etapa 1</t>
        </is>
      </c>
      <c r="C8" t="inlineStr">
        <is>
          <t>Edificio</t>
        </is>
      </c>
      <c r="D8" t="inlineStr">
        <is>
          <t>A</t>
        </is>
      </c>
      <c r="E8" t="inlineStr">
        <is>
          <t>Departamento</t>
        </is>
      </c>
      <c r="F8" t="inlineStr">
        <is>
          <t>302</t>
        </is>
      </c>
      <c r="G8" s="39" t="n">
        <v>435500</v>
      </c>
      <c r="H8" s="39" t="n">
        <v>435500</v>
      </c>
      <c r="M8" s="39" t="n"/>
      <c r="N8" s="39" t="n"/>
      <c r="S8" s="39" t="n"/>
      <c r="T8" s="39" t="n"/>
      <c r="Y8" s="39" t="n"/>
      <c r="Z8" s="39" t="n"/>
      <c r="AA8" t="inlineStr">
        <is>
          <t>Cristhiam Ortiz Angeles</t>
        </is>
      </c>
      <c r="AB8" t="inlineStr">
        <is>
          <t>45110882</t>
        </is>
      </c>
      <c r="AC8" t="inlineStr">
        <is>
          <t>Av. Olavegoya 1879 departamento 301</t>
        </is>
      </c>
      <c r="AD8" t="n">
        <v>992532732</v>
      </c>
      <c r="AE8" t="inlineStr">
        <is>
          <t>992532732</t>
        </is>
      </c>
      <c r="AF8" t="inlineStr">
        <is>
          <t>Cristhian4520@gmail.com</t>
        </is>
      </c>
      <c r="AG8" t="inlineStr">
        <is>
          <t>LIMA</t>
        </is>
      </c>
      <c r="AH8" t="inlineStr">
        <is>
          <t>JESUS MARIA</t>
        </is>
      </c>
      <c r="AI8" s="75" t="n">
        <v>45565</v>
      </c>
      <c r="AJ8" s="75" t="n">
        <v>45693</v>
      </c>
      <c r="AK8" t="inlineStr">
        <is>
          <t>CUOTA INICIAL</t>
        </is>
      </c>
      <c r="AL8" t="n">
        <v>3</v>
      </c>
      <c r="AM8" t="n">
        <v>11775</v>
      </c>
      <c r="AN8" t="n">
        <v>0</v>
      </c>
      <c r="AO8" t="n">
        <v>0</v>
      </c>
      <c r="AP8" s="39" t="n">
        <v>0</v>
      </c>
      <c r="AQ8" s="39" t="n">
        <v>550</v>
      </c>
      <c r="AR8" s="39" t="n">
        <v>0</v>
      </c>
      <c r="AS8" t="n">
        <v>0</v>
      </c>
      <c r="AT8" t="inlineStr">
        <is>
          <t>Crédito Hipotecario</t>
        </is>
      </c>
      <c r="AU8" t="inlineStr">
        <is>
          <t>Scotiabank Perú</t>
        </is>
      </c>
      <c r="AV8" t="inlineStr">
        <is>
          <t>000-2768484</t>
        </is>
      </c>
      <c r="AW8" t="inlineStr">
        <is>
          <t>TRANSFERENCIA BANCARIA</t>
        </is>
      </c>
      <c r="AY8" t="inlineStr">
        <is>
          <t>U28731</t>
        </is>
      </c>
      <c r="AZ8" t="inlineStr">
        <is>
          <t>No</t>
        </is>
      </c>
      <c r="BB8" t="n">
        <v>4</v>
      </c>
      <c r="BC8" t="inlineStr">
        <is>
          <t>CANCELADO</t>
        </is>
      </c>
      <c r="BN8" t="inlineStr">
        <is>
          <t>Si</t>
        </is>
      </c>
      <c r="BO8" s="76" t="n">
        <v>45499.61319444444</v>
      </c>
      <c r="BP8" t="inlineStr">
        <is>
          <t>Kenny Salazar S</t>
        </is>
      </c>
      <c r="BR8" t="n">
        <v>34</v>
      </c>
      <c r="BS8" t="inlineStr">
        <is>
          <t>07/07/2026 08:56</t>
        </is>
      </c>
      <c r="BW8" t="inlineStr">
        <is>
          <t>Cobranzas_2024.csv</t>
        </is>
      </c>
      <c r="BX8" t="n">
        <v>2024</v>
      </c>
      <c r="BY8" t="inlineStr">
        <is>
          <t>01/01/2024</t>
        </is>
      </c>
      <c r="BZ8" t="inlineStr">
        <is>
          <t>30/06/2031</t>
        </is>
      </c>
    </row>
    <row r="9">
      <c r="A9" t="inlineStr">
        <is>
          <t>RESIDENCIAL PRADA</t>
        </is>
      </c>
      <c r="B9" t="inlineStr">
        <is>
          <t>Etapa 1</t>
        </is>
      </c>
      <c r="C9" t="inlineStr">
        <is>
          <t>Edificio</t>
        </is>
      </c>
      <c r="D9" t="inlineStr">
        <is>
          <t>A</t>
        </is>
      </c>
      <c r="E9" t="inlineStr">
        <is>
          <t>Departamento</t>
        </is>
      </c>
      <c r="F9" t="inlineStr">
        <is>
          <t>302</t>
        </is>
      </c>
      <c r="G9" s="39" t="n">
        <v>435500</v>
      </c>
      <c r="H9" s="39" t="n">
        <v>435500</v>
      </c>
      <c r="M9" s="39" t="n"/>
      <c r="N9" s="39" t="n"/>
      <c r="S9" s="39" t="n"/>
      <c r="T9" s="39" t="n"/>
      <c r="Y9" s="39" t="n"/>
      <c r="Z9" s="39" t="n"/>
      <c r="AA9" t="inlineStr">
        <is>
          <t>Cristhiam Ortiz Angeles</t>
        </is>
      </c>
      <c r="AB9" t="inlineStr">
        <is>
          <t>45110882</t>
        </is>
      </c>
      <c r="AC9" t="inlineStr">
        <is>
          <t>Av. Olavegoya 1879 departamento 301</t>
        </is>
      </c>
      <c r="AD9" t="n">
        <v>992532732</v>
      </c>
      <c r="AE9" t="inlineStr">
        <is>
          <t>992532732</t>
        </is>
      </c>
      <c r="AF9" t="inlineStr">
        <is>
          <t>Cristhian4520@gmail.com</t>
        </is>
      </c>
      <c r="AG9" t="inlineStr">
        <is>
          <t>LIMA</t>
        </is>
      </c>
      <c r="AH9" t="inlineStr">
        <is>
          <t>JESUS MARIA</t>
        </is>
      </c>
      <c r="AI9" s="75" t="n">
        <v>45656</v>
      </c>
      <c r="AJ9" s="75" t="n">
        <v>45693</v>
      </c>
      <c r="AK9" t="inlineStr">
        <is>
          <t>CUOTA INICIAL</t>
        </is>
      </c>
      <c r="AL9" t="n">
        <v>4</v>
      </c>
      <c r="AM9" t="n">
        <v>21000</v>
      </c>
      <c r="AN9" t="n">
        <v>0</v>
      </c>
      <c r="AO9" t="n">
        <v>0</v>
      </c>
      <c r="AP9" s="39" t="n">
        <v>21000</v>
      </c>
      <c r="AQ9" s="39" t="n">
        <v>21000</v>
      </c>
      <c r="AR9" s="39" t="n">
        <v>0</v>
      </c>
      <c r="AS9" t="n">
        <v>0</v>
      </c>
      <c r="AT9" t="inlineStr">
        <is>
          <t>Crédito Hipotecario</t>
        </is>
      </c>
      <c r="AU9" t="inlineStr">
        <is>
          <t>Scotiabank Perú</t>
        </is>
      </c>
      <c r="AV9" t="inlineStr">
        <is>
          <t>000-2768484</t>
        </is>
      </c>
      <c r="AW9" t="inlineStr">
        <is>
          <t>TRANSFERENCIA BANCARIA</t>
        </is>
      </c>
      <c r="AY9" t="inlineStr">
        <is>
          <t>U28731</t>
        </is>
      </c>
      <c r="AZ9" t="inlineStr">
        <is>
          <t>No</t>
        </is>
      </c>
      <c r="BB9" t="n">
        <v>4</v>
      </c>
      <c r="BC9" t="inlineStr">
        <is>
          <t>CANCELADO</t>
        </is>
      </c>
      <c r="BN9" t="inlineStr">
        <is>
          <t>Si</t>
        </is>
      </c>
      <c r="BO9" s="76" t="n">
        <v>45499.61319444444</v>
      </c>
      <c r="BP9" t="inlineStr">
        <is>
          <t>Kenny Salazar S</t>
        </is>
      </c>
      <c r="BR9" t="n">
        <v>34</v>
      </c>
      <c r="BS9" t="inlineStr">
        <is>
          <t>07/07/2026 08:56</t>
        </is>
      </c>
      <c r="BW9" t="inlineStr">
        <is>
          <t>Cobranzas_2024.csv</t>
        </is>
      </c>
      <c r="BX9" t="n">
        <v>2024</v>
      </c>
      <c r="BY9" t="inlineStr">
        <is>
          <t>01/01/2024</t>
        </is>
      </c>
      <c r="BZ9" t="inlineStr">
        <is>
          <t>30/06/2031</t>
        </is>
      </c>
    </row>
    <row r="10">
      <c r="A10" t="inlineStr">
        <is>
          <t>RESIDENCIAL BEYOND</t>
        </is>
      </c>
      <c r="B10" t="inlineStr">
        <is>
          <t>Etapa 1</t>
        </is>
      </c>
      <c r="C10" t="inlineStr">
        <is>
          <t>Edificio</t>
        </is>
      </c>
      <c r="D10" t="inlineStr">
        <is>
          <t>A</t>
        </is>
      </c>
      <c r="E10" t="inlineStr">
        <is>
          <t>Departamento</t>
        </is>
      </c>
      <c r="F10" t="inlineStr">
        <is>
          <t>505</t>
        </is>
      </c>
      <c r="G10" s="39" t="n">
        <v>532100</v>
      </c>
      <c r="H10" s="39" t="n">
        <v>500000</v>
      </c>
      <c r="M10" s="39" t="n"/>
      <c r="N10" s="39" t="n"/>
      <c r="S10" s="39" t="n"/>
      <c r="T10" s="39" t="n"/>
      <c r="Y10" s="39" t="n"/>
      <c r="Z10" s="39" t="n"/>
      <c r="AA10" t="inlineStr">
        <is>
          <t>Dante Enrique Segura Florian</t>
        </is>
      </c>
      <c r="AB10" t="inlineStr">
        <is>
          <t xml:space="preserve">45587286		</t>
        </is>
      </c>
      <c r="AC10" t="inlineStr">
        <is>
          <t>1845 San Andres Dr Pitsburg CA 94565</t>
        </is>
      </c>
      <c r="AD10" t="n">
        <v>15103330517</v>
      </c>
      <c r="AE10" t="inlineStr">
        <is>
          <t>+15103330517</t>
        </is>
      </c>
      <c r="AF10" t="inlineStr">
        <is>
          <t xml:space="preserve">d.segura@uaa.edu		</t>
        </is>
      </c>
      <c r="AG10" t="inlineStr">
        <is>
          <t>LIMA</t>
        </is>
      </c>
      <c r="AH10" t="inlineStr">
        <is>
          <t>CERCADO DE LIMA</t>
        </is>
      </c>
      <c r="AI10" s="75" t="n">
        <v>45368</v>
      </c>
      <c r="AJ10" s="75" t="n">
        <v>45368</v>
      </c>
      <c r="AK10" t="inlineStr">
        <is>
          <t>SEPARACION</t>
        </is>
      </c>
      <c r="AL10" t="n">
        <v>1</v>
      </c>
      <c r="AM10" t="n">
        <v>3000</v>
      </c>
      <c r="AN10" t="n">
        <v>0</v>
      </c>
      <c r="AO10" t="n">
        <v>0</v>
      </c>
      <c r="AP10" s="39" t="n">
        <v>3000</v>
      </c>
      <c r="AQ10" s="39" t="n">
        <v>3000</v>
      </c>
      <c r="AR10" s="39" t="n">
        <v>0</v>
      </c>
      <c r="AS10" t="n">
        <v>0</v>
      </c>
      <c r="AT10" t="inlineStr">
        <is>
          <t>Crédito Directo</t>
        </is>
      </c>
      <c r="AU10" t="inlineStr">
        <is>
          <t>Banco de Credito del Perú</t>
        </is>
      </c>
      <c r="AV10" t="inlineStr">
        <is>
          <t>194-7325779-0-65</t>
        </is>
      </c>
      <c r="AW10" t="inlineStr">
        <is>
          <t>TRANSFERENCIA BANCARIA</t>
        </is>
      </c>
      <c r="AY10" t="inlineStr">
        <is>
          <t>7844655595634</t>
        </is>
      </c>
      <c r="AZ10" t="inlineStr">
        <is>
          <t>No</t>
        </is>
      </c>
      <c r="BB10" t="n">
        <v>4</v>
      </c>
      <c r="BC10" t="inlineStr">
        <is>
          <t>CANCELADO</t>
        </is>
      </c>
      <c r="BN10" t="inlineStr">
        <is>
          <t>Si</t>
        </is>
      </c>
      <c r="BO10" s="76" t="n">
        <v>45386.40347222222</v>
      </c>
      <c r="BP10" t="inlineStr">
        <is>
          <t>Carla Michue M</t>
        </is>
      </c>
      <c r="BR10" t="n">
        <v>35</v>
      </c>
      <c r="BS10" t="inlineStr">
        <is>
          <t>25/05/2026 17:28</t>
        </is>
      </c>
      <c r="BW10" t="inlineStr">
        <is>
          <t>Cobranzas_2024.csv</t>
        </is>
      </c>
      <c r="BX10" t="n">
        <v>2024</v>
      </c>
      <c r="BY10" t="inlineStr">
        <is>
          <t>01/01/2024</t>
        </is>
      </c>
      <c r="BZ10" t="inlineStr">
        <is>
          <t>30/06/2031</t>
        </is>
      </c>
    </row>
    <row r="11">
      <c r="A11" t="inlineStr">
        <is>
          <t>RESIDENCIAL PRADA</t>
        </is>
      </c>
      <c r="B11" t="inlineStr">
        <is>
          <t>Etapa 1</t>
        </is>
      </c>
      <c r="C11" t="inlineStr">
        <is>
          <t>Edificio</t>
        </is>
      </c>
      <c r="D11" t="inlineStr">
        <is>
          <t>A</t>
        </is>
      </c>
      <c r="E11" t="inlineStr">
        <is>
          <t>Departamento</t>
        </is>
      </c>
      <c r="F11" t="inlineStr">
        <is>
          <t>703</t>
        </is>
      </c>
      <c r="G11" s="39" t="n">
        <v>654000</v>
      </c>
      <c r="H11" s="39" t="n">
        <v>654000</v>
      </c>
      <c r="I11" t="inlineStr">
        <is>
          <t>Edificio</t>
        </is>
      </c>
      <c r="J11" t="inlineStr">
        <is>
          <t>A</t>
        </is>
      </c>
      <c r="K11" t="inlineStr">
        <is>
          <t>Estacionamiento</t>
        </is>
      </c>
      <c r="L11" t="inlineStr">
        <is>
          <t>E 06 - D 04</t>
        </is>
      </c>
      <c r="M11" s="39" t="n">
        <v>57500</v>
      </c>
      <c r="N11" s="39" t="n">
        <v>57500</v>
      </c>
      <c r="S11" s="39" t="n"/>
      <c r="T11" s="39" t="n"/>
      <c r="Y11" s="39" t="n"/>
      <c r="Z11" s="39" t="n"/>
      <c r="AA11" t="inlineStr">
        <is>
          <t xml:space="preserve">David Edgar Valencia Cordova </t>
        </is>
      </c>
      <c r="AB11" t="inlineStr">
        <is>
          <t>41844906</t>
        </is>
      </c>
      <c r="AC11" t="inlineStr">
        <is>
          <t>P. Joven Año Nuevo Jr. Montero Rosas 860</t>
        </is>
      </c>
      <c r="AD11" t="n">
        <v>991846561</v>
      </c>
      <c r="AE11" t="inlineStr">
        <is>
          <t>991846561</t>
        </is>
      </c>
      <c r="AF11" t="inlineStr">
        <is>
          <t>davico29@gmail.com</t>
        </is>
      </c>
      <c r="AG11" t="inlineStr">
        <is>
          <t>LIMA</t>
        </is>
      </c>
      <c r="AH11" t="inlineStr">
        <is>
          <t>COMAS</t>
        </is>
      </c>
      <c r="AI11" s="75" t="n">
        <v>45655</v>
      </c>
      <c r="AJ11" s="75" t="n">
        <v>45655</v>
      </c>
      <c r="AK11" t="inlineStr">
        <is>
          <t>SEPARACION</t>
        </is>
      </c>
      <c r="AL11" t="n">
        <v>1</v>
      </c>
      <c r="AM11" t="n">
        <v>3000</v>
      </c>
      <c r="AN11" t="n">
        <v>0</v>
      </c>
      <c r="AO11" t="n">
        <v>0</v>
      </c>
      <c r="AP11" s="39" t="n">
        <v>3000</v>
      </c>
      <c r="AQ11" s="39" t="n">
        <v>3000</v>
      </c>
      <c r="AR11" s="39" t="n">
        <v>0</v>
      </c>
      <c r="AS11" t="n">
        <v>0</v>
      </c>
      <c r="AT11" t="inlineStr">
        <is>
          <t>Crédito Hipotecario</t>
        </is>
      </c>
      <c r="AU11" t="inlineStr">
        <is>
          <t>Scotiabank Perú</t>
        </is>
      </c>
      <c r="AV11" t="inlineStr">
        <is>
          <t>000-2768484</t>
        </is>
      </c>
      <c r="AW11" t="inlineStr">
        <is>
          <t>TRANSFERENCIA BANCARIA</t>
        </is>
      </c>
      <c r="AX11" t="n">
        <v>41844906</v>
      </c>
      <c r="AY11" t="inlineStr">
        <is>
          <t>00000082000000000</t>
        </is>
      </c>
      <c r="AZ11" t="inlineStr">
        <is>
          <t>No</t>
        </is>
      </c>
      <c r="BA11" t="inlineStr">
        <is>
          <t>NO PRECISA</t>
        </is>
      </c>
      <c r="BB11" t="n">
        <v>4</v>
      </c>
      <c r="BC11" t="inlineStr">
        <is>
          <t>CANCELADO</t>
        </is>
      </c>
      <c r="BN11" t="inlineStr">
        <is>
          <t>Si</t>
        </is>
      </c>
      <c r="BO11" s="76" t="n">
        <v>45687.61736111111</v>
      </c>
      <c r="BP11" t="inlineStr">
        <is>
          <t>Kenny Salazar S</t>
        </is>
      </c>
      <c r="BR11" t="n">
        <v>38</v>
      </c>
      <c r="BS11" t="inlineStr">
        <is>
          <t>02/06/2026 18:05</t>
        </is>
      </c>
      <c r="BW11" t="inlineStr">
        <is>
          <t>Cobranzas_2024.csv</t>
        </is>
      </c>
      <c r="BX11" t="n">
        <v>2024</v>
      </c>
      <c r="BY11" t="inlineStr">
        <is>
          <t>01/01/2024</t>
        </is>
      </c>
      <c r="BZ11" t="inlineStr">
        <is>
          <t>30/06/2031</t>
        </is>
      </c>
    </row>
    <row r="12">
      <c r="A12" t="inlineStr">
        <is>
          <t>RESIDENCIAL PRADA</t>
        </is>
      </c>
      <c r="B12" t="inlineStr">
        <is>
          <t>Etapa 1</t>
        </is>
      </c>
      <c r="C12" t="inlineStr">
        <is>
          <t>Edificio</t>
        </is>
      </c>
      <c r="D12" t="inlineStr">
        <is>
          <t>A</t>
        </is>
      </c>
      <c r="E12" t="inlineStr">
        <is>
          <t>Departamento</t>
        </is>
      </c>
      <c r="F12" t="inlineStr">
        <is>
          <t>205</t>
        </is>
      </c>
      <c r="G12" s="39" t="n">
        <v>490000</v>
      </c>
      <c r="H12" s="39" t="n">
        <v>490000</v>
      </c>
      <c r="M12" s="39" t="n"/>
      <c r="N12" s="39" t="n"/>
      <c r="S12" s="39" t="n"/>
      <c r="T12" s="39" t="n"/>
      <c r="Y12" s="39" t="n"/>
      <c r="Z12" s="39" t="n"/>
      <c r="AA12" t="inlineStr">
        <is>
          <t>Elizabeth Rocio Urbina Ñañez</t>
        </is>
      </c>
      <c r="AB12" t="inlineStr">
        <is>
          <t>71404863</t>
        </is>
      </c>
      <c r="AC12" t="inlineStr">
        <is>
          <t>Av. Arequipa 2651</t>
        </is>
      </c>
      <c r="AE12" t="inlineStr">
        <is>
          <t>943921218</t>
        </is>
      </c>
      <c r="AF12" t="inlineStr">
        <is>
          <t>elizabethurbina9624@gmail.com</t>
        </is>
      </c>
      <c r="AG12" t="inlineStr">
        <is>
          <t>LIMA</t>
        </is>
      </c>
      <c r="AH12" t="inlineStr">
        <is>
          <t>LINCE</t>
        </is>
      </c>
      <c r="AI12" s="75" t="n">
        <v>45620</v>
      </c>
      <c r="AJ12" s="75" t="n">
        <v>45620</v>
      </c>
      <c r="AK12" t="inlineStr">
        <is>
          <t>SEPARACION</t>
        </is>
      </c>
      <c r="AL12" t="n">
        <v>1</v>
      </c>
      <c r="AM12" t="n">
        <v>2000</v>
      </c>
      <c r="AN12" t="n">
        <v>0</v>
      </c>
      <c r="AO12" t="n">
        <v>0</v>
      </c>
      <c r="AP12" s="39" t="n">
        <v>2000</v>
      </c>
      <c r="AQ12" s="39" t="n">
        <v>2000</v>
      </c>
      <c r="AR12" s="39" t="n">
        <v>0</v>
      </c>
      <c r="AS12" t="n">
        <v>0</v>
      </c>
      <c r="AT12" t="inlineStr">
        <is>
          <t>Crédito Hipotecario</t>
        </is>
      </c>
      <c r="AU12" t="inlineStr">
        <is>
          <t>Scotiabank Perú</t>
        </is>
      </c>
      <c r="AV12" t="inlineStr">
        <is>
          <t>000-2768484</t>
        </is>
      </c>
      <c r="AW12" t="inlineStr">
        <is>
          <t>TRANSFERENCIA BANCARIA</t>
        </is>
      </c>
      <c r="AY12" t="inlineStr">
        <is>
          <t>FD893378</t>
        </is>
      </c>
      <c r="AZ12" t="inlineStr">
        <is>
          <t>No</t>
        </is>
      </c>
      <c r="BB12" t="n">
        <v>4</v>
      </c>
      <c r="BC12" t="inlineStr">
        <is>
          <t>CANCELADO</t>
        </is>
      </c>
      <c r="BN12" t="inlineStr">
        <is>
          <t>Si</t>
        </is>
      </c>
      <c r="BO12" s="76" t="n">
        <v>45750.73263888889</v>
      </c>
      <c r="BP12" t="inlineStr">
        <is>
          <t>Carla Michue M</t>
        </is>
      </c>
      <c r="BR12" t="n">
        <v>5</v>
      </c>
      <c r="BS12" t="inlineStr">
        <is>
          <t>29/06/2026 21:44</t>
        </is>
      </c>
      <c r="BW12" t="inlineStr">
        <is>
          <t>Cobranzas_2024.csv</t>
        </is>
      </c>
      <c r="BX12" t="n">
        <v>2024</v>
      </c>
      <c r="BY12" t="inlineStr">
        <is>
          <t>01/01/2024</t>
        </is>
      </c>
      <c r="BZ12" t="inlineStr">
        <is>
          <t>30/06/2031</t>
        </is>
      </c>
    </row>
    <row r="13">
      <c r="A13" t="inlineStr">
        <is>
          <t>RESIDENCIAL PRADA</t>
        </is>
      </c>
      <c r="B13" t="inlineStr">
        <is>
          <t>Etapa 1</t>
        </is>
      </c>
      <c r="C13" t="inlineStr">
        <is>
          <t>Edificio</t>
        </is>
      </c>
      <c r="D13" t="inlineStr">
        <is>
          <t>A</t>
        </is>
      </c>
      <c r="E13" t="inlineStr">
        <is>
          <t>Departamento</t>
        </is>
      </c>
      <c r="F13" t="inlineStr">
        <is>
          <t>101</t>
        </is>
      </c>
      <c r="G13" s="39" t="n">
        <v>637000</v>
      </c>
      <c r="H13" s="39" t="n">
        <v>637000</v>
      </c>
      <c r="M13" s="39" t="n"/>
      <c r="N13" s="39" t="n"/>
      <c r="S13" s="39" t="n"/>
      <c r="T13" s="39" t="n"/>
      <c r="Y13" s="39" t="n"/>
      <c r="Z13" s="39" t="n"/>
      <c r="AA13" t="inlineStr">
        <is>
          <t>Elmo Calatayud Chumbes</t>
        </is>
      </c>
      <c r="AB13" t="inlineStr">
        <is>
          <t>15580131</t>
        </is>
      </c>
      <c r="AC13" t="inlineStr">
        <is>
          <t>Avenida Tomas Valles 1530 Block 14 departamento 204</t>
        </is>
      </c>
      <c r="AD13" t="n">
        <v>955600933</v>
      </c>
      <c r="AE13" t="inlineStr">
        <is>
          <t>955600933</t>
        </is>
      </c>
      <c r="AF13" t="inlineStr">
        <is>
          <t>ec.calatayud@gmail.com</t>
        </is>
      </c>
      <c r="AG13" t="inlineStr">
        <is>
          <t>LIMA</t>
        </is>
      </c>
      <c r="AH13" t="inlineStr">
        <is>
          <t>LOS OLIVOS</t>
        </is>
      </c>
      <c r="AI13" s="75" t="n">
        <v>45595</v>
      </c>
      <c r="AJ13" s="75" t="n">
        <v>45595</v>
      </c>
      <c r="AK13" t="inlineStr">
        <is>
          <t>SEPARACION</t>
        </is>
      </c>
      <c r="AL13" t="n">
        <v>1</v>
      </c>
      <c r="AM13" t="n">
        <v>3000</v>
      </c>
      <c r="AN13" t="n">
        <v>0</v>
      </c>
      <c r="AO13" t="n">
        <v>0</v>
      </c>
      <c r="AP13" s="39" t="n">
        <v>3000</v>
      </c>
      <c r="AQ13" s="39" t="n">
        <v>3000</v>
      </c>
      <c r="AR13" s="39" t="n">
        <v>0</v>
      </c>
      <c r="AS13" t="n">
        <v>0</v>
      </c>
      <c r="AT13" t="inlineStr">
        <is>
          <t>Crédito Hipotecario</t>
        </is>
      </c>
      <c r="AU13" t="inlineStr">
        <is>
          <t>Scotiabank Perú</t>
        </is>
      </c>
      <c r="AV13" t="inlineStr">
        <is>
          <t>000-2768484</t>
        </is>
      </c>
      <c r="AW13" t="inlineStr">
        <is>
          <t>TRANSFERENCIA BANCARIA</t>
        </is>
      </c>
      <c r="AY13" t="inlineStr">
        <is>
          <t>04797111</t>
        </is>
      </c>
      <c r="AZ13" t="inlineStr">
        <is>
          <t>No</t>
        </is>
      </c>
      <c r="BB13" t="n">
        <v>4</v>
      </c>
      <c r="BC13" t="inlineStr">
        <is>
          <t>CANCELADO</t>
        </is>
      </c>
      <c r="BN13" t="inlineStr">
        <is>
          <t>Si</t>
        </is>
      </c>
      <c r="BO13" s="76" t="n">
        <v>45626.65</v>
      </c>
      <c r="BP13" t="inlineStr">
        <is>
          <t>Kenny Salazar S</t>
        </is>
      </c>
      <c r="BR13" t="n">
        <v>25</v>
      </c>
      <c r="BS13" t="inlineStr">
        <is>
          <t>26/06/2026 14:52</t>
        </is>
      </c>
      <c r="BW13" t="inlineStr">
        <is>
          <t>Cobranzas_2024.csv</t>
        </is>
      </c>
      <c r="BX13" t="n">
        <v>2024</v>
      </c>
      <c r="BY13" t="inlineStr">
        <is>
          <t>01/01/2024</t>
        </is>
      </c>
      <c r="BZ13" t="inlineStr">
        <is>
          <t>30/06/2031</t>
        </is>
      </c>
    </row>
    <row r="14">
      <c r="A14" t="inlineStr">
        <is>
          <t>RESIDENCIAL PRADA</t>
        </is>
      </c>
      <c r="B14" t="inlineStr">
        <is>
          <t>Etapa 1</t>
        </is>
      </c>
      <c r="C14" t="inlineStr">
        <is>
          <t>Edificio</t>
        </is>
      </c>
      <c r="D14" t="inlineStr">
        <is>
          <t>A</t>
        </is>
      </c>
      <c r="E14" t="inlineStr">
        <is>
          <t>Departamento</t>
        </is>
      </c>
      <c r="F14" t="inlineStr">
        <is>
          <t>101</t>
        </is>
      </c>
      <c r="G14" s="39" t="n">
        <v>637000</v>
      </c>
      <c r="H14" s="39" t="n">
        <v>637000</v>
      </c>
      <c r="M14" s="39" t="n"/>
      <c r="N14" s="39" t="n"/>
      <c r="S14" s="39" t="n"/>
      <c r="T14" s="39" t="n"/>
      <c r="Y14" s="39" t="n"/>
      <c r="Z14" s="39" t="n"/>
      <c r="AA14" t="inlineStr">
        <is>
          <t>Elmo Calatayud Chumbes</t>
        </is>
      </c>
      <c r="AB14" t="inlineStr">
        <is>
          <t>15580131</t>
        </is>
      </c>
      <c r="AC14" t="inlineStr">
        <is>
          <t>Avenida Tomas Valles 1530 Block 14 departamento 204</t>
        </is>
      </c>
      <c r="AD14" t="n">
        <v>955600933</v>
      </c>
      <c r="AE14" t="inlineStr">
        <is>
          <t>955600933</t>
        </is>
      </c>
      <c r="AF14" t="inlineStr">
        <is>
          <t>ec.calatayud@gmail.com</t>
        </is>
      </c>
      <c r="AG14" t="inlineStr">
        <is>
          <t>LIMA</t>
        </is>
      </c>
      <c r="AH14" t="inlineStr">
        <is>
          <t>LOS OLIVOS</t>
        </is>
      </c>
      <c r="AI14" s="75" t="n">
        <v>45626</v>
      </c>
      <c r="AJ14" s="75" t="n">
        <v>45626</v>
      </c>
      <c r="AK14" t="inlineStr">
        <is>
          <t>CUOTA INICIAL</t>
        </is>
      </c>
      <c r="AL14" t="n">
        <v>1</v>
      </c>
      <c r="AM14" t="n">
        <v>27000</v>
      </c>
      <c r="AN14" t="n">
        <v>0</v>
      </c>
      <c r="AO14" t="n">
        <v>0</v>
      </c>
      <c r="AP14" s="39" t="n">
        <v>27000</v>
      </c>
      <c r="AQ14" s="39" t="n">
        <v>27000</v>
      </c>
      <c r="AR14" s="39" t="n">
        <v>0</v>
      </c>
      <c r="AS14" t="n">
        <v>0</v>
      </c>
      <c r="AT14" t="inlineStr">
        <is>
          <t>Crédito Hipotecario</t>
        </is>
      </c>
      <c r="AU14" t="inlineStr">
        <is>
          <t>Scotiabank Perú</t>
        </is>
      </c>
      <c r="AV14" t="inlineStr">
        <is>
          <t>000-2768484</t>
        </is>
      </c>
      <c r="AW14" t="inlineStr">
        <is>
          <t>TRANSFERENCIA BANCARIA</t>
        </is>
      </c>
      <c r="AY14" t="inlineStr">
        <is>
          <t>78446555266223</t>
        </is>
      </c>
      <c r="AZ14" t="inlineStr">
        <is>
          <t>No</t>
        </is>
      </c>
      <c r="BB14" t="n">
        <v>4</v>
      </c>
      <c r="BC14" t="inlineStr">
        <is>
          <t>CANCELADO</t>
        </is>
      </c>
      <c r="BN14" t="inlineStr">
        <is>
          <t>Si</t>
        </is>
      </c>
      <c r="BO14" s="76" t="n">
        <v>45626.65</v>
      </c>
      <c r="BP14" t="inlineStr">
        <is>
          <t>Kenny Salazar S</t>
        </is>
      </c>
      <c r="BR14" t="n">
        <v>25</v>
      </c>
      <c r="BS14" t="inlineStr">
        <is>
          <t>26/06/2026 14:53</t>
        </is>
      </c>
      <c r="BW14" t="inlineStr">
        <is>
          <t>Cobranzas_2024.csv</t>
        </is>
      </c>
      <c r="BX14" t="n">
        <v>2024</v>
      </c>
      <c r="BY14" t="inlineStr">
        <is>
          <t>01/01/2024</t>
        </is>
      </c>
      <c r="BZ14" t="inlineStr">
        <is>
          <t>30/06/2031</t>
        </is>
      </c>
    </row>
    <row r="15">
      <c r="A15" t="inlineStr">
        <is>
          <t>RESIDENCIAL PRADA</t>
        </is>
      </c>
      <c r="B15" t="inlineStr">
        <is>
          <t>Etapa 1</t>
        </is>
      </c>
      <c r="C15" t="inlineStr">
        <is>
          <t>Edificio</t>
        </is>
      </c>
      <c r="D15" t="inlineStr">
        <is>
          <t>A</t>
        </is>
      </c>
      <c r="E15" t="inlineStr">
        <is>
          <t>Departamento</t>
        </is>
      </c>
      <c r="F15" t="inlineStr">
        <is>
          <t>101</t>
        </is>
      </c>
      <c r="G15" s="39" t="n">
        <v>637000</v>
      </c>
      <c r="H15" s="39" t="n">
        <v>637000</v>
      </c>
      <c r="M15" s="39" t="n"/>
      <c r="N15" s="39" t="n"/>
      <c r="S15" s="39" t="n"/>
      <c r="T15" s="39" t="n"/>
      <c r="Y15" s="39" t="n"/>
      <c r="Z15" s="39" t="n"/>
      <c r="AA15" t="inlineStr">
        <is>
          <t>Elmo Calatayud Chumbes</t>
        </is>
      </c>
      <c r="AB15" t="inlineStr">
        <is>
          <t>15580131</t>
        </is>
      </c>
      <c r="AC15" t="inlineStr">
        <is>
          <t>Avenida Tomas Valles 1530 Block 14 departamento 204</t>
        </is>
      </c>
      <c r="AD15" t="n">
        <v>955600933</v>
      </c>
      <c r="AE15" t="inlineStr">
        <is>
          <t>955600933</t>
        </is>
      </c>
      <c r="AF15" t="inlineStr">
        <is>
          <t>ec.calatayud@gmail.com</t>
        </is>
      </c>
      <c r="AG15" t="inlineStr">
        <is>
          <t>LIMA</t>
        </is>
      </c>
      <c r="AH15" t="inlineStr">
        <is>
          <t>LOS OLIVOS</t>
        </is>
      </c>
      <c r="AI15" s="75" t="n">
        <v>45626</v>
      </c>
      <c r="AJ15" s="75" t="n">
        <v>45626</v>
      </c>
      <c r="AK15" t="inlineStr">
        <is>
          <t>CUOTA INICIAL</t>
        </is>
      </c>
      <c r="AL15" t="n">
        <v>2</v>
      </c>
      <c r="AM15" t="n">
        <v>3000</v>
      </c>
      <c r="AN15" t="n">
        <v>0</v>
      </c>
      <c r="AO15" t="n">
        <v>0</v>
      </c>
      <c r="AP15" s="39" t="n">
        <v>3000</v>
      </c>
      <c r="AQ15" s="39" t="n">
        <v>3000</v>
      </c>
      <c r="AR15" s="39" t="n">
        <v>0</v>
      </c>
      <c r="AS15" t="n">
        <v>0</v>
      </c>
      <c r="AT15" t="inlineStr">
        <is>
          <t>Crédito Hipotecario</t>
        </is>
      </c>
      <c r="AU15" t="inlineStr">
        <is>
          <t>Scotiabank Perú</t>
        </is>
      </c>
      <c r="AV15" t="inlineStr">
        <is>
          <t>000-2768484</t>
        </is>
      </c>
      <c r="AW15" t="inlineStr">
        <is>
          <t>TRANSFERENCIA BANCARIA</t>
        </is>
      </c>
      <c r="AY15" t="inlineStr">
        <is>
          <t>7844655544194</t>
        </is>
      </c>
      <c r="AZ15" t="inlineStr">
        <is>
          <t>No</t>
        </is>
      </c>
      <c r="BB15" t="n">
        <v>4</v>
      </c>
      <c r="BC15" t="inlineStr">
        <is>
          <t>CANCELADO</t>
        </is>
      </c>
      <c r="BN15" t="inlineStr">
        <is>
          <t>Si</t>
        </is>
      </c>
      <c r="BO15" s="76" t="n">
        <v>45626.65</v>
      </c>
      <c r="BP15" t="inlineStr">
        <is>
          <t>Kenny Salazar S</t>
        </is>
      </c>
      <c r="BR15" t="n">
        <v>25</v>
      </c>
      <c r="BS15" t="inlineStr">
        <is>
          <t>26/06/2026 14:53</t>
        </is>
      </c>
      <c r="BW15" t="inlineStr">
        <is>
          <t>Cobranzas_2024.csv</t>
        </is>
      </c>
      <c r="BX15" t="n">
        <v>2024</v>
      </c>
      <c r="BY15" t="inlineStr">
        <is>
          <t>01/01/2024</t>
        </is>
      </c>
      <c r="BZ15" t="inlineStr">
        <is>
          <t>30/06/2031</t>
        </is>
      </c>
    </row>
    <row r="16">
      <c r="A16" t="inlineStr">
        <is>
          <t>RESIDENCIAL PRADA</t>
        </is>
      </c>
      <c r="B16" t="inlineStr">
        <is>
          <t>Etapa 1</t>
        </is>
      </c>
      <c r="C16" t="inlineStr">
        <is>
          <t>Edificio</t>
        </is>
      </c>
      <c r="D16" t="inlineStr">
        <is>
          <t>A</t>
        </is>
      </c>
      <c r="E16" t="inlineStr">
        <is>
          <t>Departamento</t>
        </is>
      </c>
      <c r="F16" t="inlineStr">
        <is>
          <t>101</t>
        </is>
      </c>
      <c r="G16" s="39" t="n">
        <v>637000</v>
      </c>
      <c r="H16" s="39" t="n">
        <v>637000</v>
      </c>
      <c r="M16" s="39" t="n"/>
      <c r="N16" s="39" t="n"/>
      <c r="S16" s="39" t="n"/>
      <c r="T16" s="39" t="n"/>
      <c r="Y16" s="39" t="n"/>
      <c r="Z16" s="39" t="n"/>
      <c r="AA16" t="inlineStr">
        <is>
          <t>Elmo Calatayud Chumbes</t>
        </is>
      </c>
      <c r="AB16" t="inlineStr">
        <is>
          <t>15580131</t>
        </is>
      </c>
      <c r="AC16" t="inlineStr">
        <is>
          <t>Avenida Tomas Valles 1530 Block 14 departamento 204</t>
        </is>
      </c>
      <c r="AD16" t="n">
        <v>955600933</v>
      </c>
      <c r="AE16" t="inlineStr">
        <is>
          <t>955600933</t>
        </is>
      </c>
      <c r="AF16" t="inlineStr">
        <is>
          <t>ec.calatayud@gmail.com</t>
        </is>
      </c>
      <c r="AG16" t="inlineStr">
        <is>
          <t>LIMA</t>
        </is>
      </c>
      <c r="AH16" t="inlineStr">
        <is>
          <t>LOS OLIVOS</t>
        </is>
      </c>
      <c r="AI16" s="75" t="n">
        <v>45656</v>
      </c>
      <c r="AJ16" s="75" t="n">
        <v>45656</v>
      </c>
      <c r="AK16" t="inlineStr">
        <is>
          <t>CUOTA INICIAL</t>
        </is>
      </c>
      <c r="AL16" t="n">
        <v>3</v>
      </c>
      <c r="AM16" t="n">
        <v>0</v>
      </c>
      <c r="AN16" t="n">
        <v>0</v>
      </c>
      <c r="AO16" t="n">
        <v>0</v>
      </c>
      <c r="AP16" s="39" t="n">
        <v>30700</v>
      </c>
      <c r="AQ16" s="39" t="n">
        <v>30000</v>
      </c>
      <c r="AR16" s="39" t="n">
        <v>0</v>
      </c>
      <c r="AS16" t="n">
        <v>0</v>
      </c>
      <c r="AT16" t="inlineStr">
        <is>
          <t>Crédito Hipotecario</t>
        </is>
      </c>
      <c r="AU16" t="inlineStr">
        <is>
          <t>Scotiabank Perú</t>
        </is>
      </c>
      <c r="AV16" t="inlineStr">
        <is>
          <t>000-2768484</t>
        </is>
      </c>
      <c r="AW16" t="inlineStr">
        <is>
          <t>TRANSFERENCIA BANCARIA</t>
        </is>
      </c>
      <c r="AY16" t="inlineStr">
        <is>
          <t>7844655610530</t>
        </is>
      </c>
      <c r="AZ16" t="inlineStr">
        <is>
          <t>No</t>
        </is>
      </c>
      <c r="BB16" t="n">
        <v>4</v>
      </c>
      <c r="BC16" t="inlineStr">
        <is>
          <t>CANCELADO</t>
        </is>
      </c>
      <c r="BN16" t="inlineStr">
        <is>
          <t>Si</t>
        </is>
      </c>
      <c r="BO16" s="76" t="n">
        <v>45626.65</v>
      </c>
      <c r="BP16" t="inlineStr">
        <is>
          <t>Kenny Salazar S</t>
        </is>
      </c>
      <c r="BR16" t="n">
        <v>25</v>
      </c>
      <c r="BS16" t="inlineStr">
        <is>
          <t>26/06/2026 14:55</t>
        </is>
      </c>
      <c r="BW16" t="inlineStr">
        <is>
          <t>Cobranzas_2024.csv</t>
        </is>
      </c>
      <c r="BX16" t="n">
        <v>2024</v>
      </c>
      <c r="BY16" t="inlineStr">
        <is>
          <t>01/01/2024</t>
        </is>
      </c>
      <c r="BZ16" t="inlineStr">
        <is>
          <t>30/06/2031</t>
        </is>
      </c>
    </row>
    <row r="17">
      <c r="A17" t="inlineStr">
        <is>
          <t>RESIDENCIAL PRADA</t>
        </is>
      </c>
      <c r="B17" t="inlineStr">
        <is>
          <t>Etapa 1</t>
        </is>
      </c>
      <c r="C17" t="inlineStr">
        <is>
          <t>Edificio</t>
        </is>
      </c>
      <c r="D17" t="inlineStr">
        <is>
          <t>A</t>
        </is>
      </c>
      <c r="E17" t="inlineStr">
        <is>
          <t>Departamento</t>
        </is>
      </c>
      <c r="F17" t="inlineStr">
        <is>
          <t>101</t>
        </is>
      </c>
      <c r="G17" s="39" t="n">
        <v>637000</v>
      </c>
      <c r="H17" s="39" t="n">
        <v>637000</v>
      </c>
      <c r="M17" s="39" t="n"/>
      <c r="N17" s="39" t="n"/>
      <c r="S17" s="39" t="n"/>
      <c r="T17" s="39" t="n"/>
      <c r="Y17" s="39" t="n"/>
      <c r="Z17" s="39" t="n"/>
      <c r="AA17" t="inlineStr">
        <is>
          <t>Elmo Calatayud Chumbes</t>
        </is>
      </c>
      <c r="AB17" t="inlineStr">
        <is>
          <t>15580131</t>
        </is>
      </c>
      <c r="AC17" t="inlineStr">
        <is>
          <t>Avenida Tomas Valles 1530 Block 14 departamento 204</t>
        </is>
      </c>
      <c r="AD17" t="n">
        <v>955600933</v>
      </c>
      <c r="AE17" t="inlineStr">
        <is>
          <t>955600933</t>
        </is>
      </c>
      <c r="AF17" t="inlineStr">
        <is>
          <t>ec.calatayud@gmail.com</t>
        </is>
      </c>
      <c r="AG17" t="inlineStr">
        <is>
          <t>LIMA</t>
        </is>
      </c>
      <c r="AH17" t="inlineStr">
        <is>
          <t>LOS OLIVOS</t>
        </is>
      </c>
      <c r="AI17" s="75" t="n">
        <v>45656</v>
      </c>
      <c r="AJ17" s="75" t="n">
        <v>45656</v>
      </c>
      <c r="AK17" t="inlineStr">
        <is>
          <t>CUOTA INICIAL</t>
        </is>
      </c>
      <c r="AL17" t="n">
        <v>3</v>
      </c>
      <c r="AM17" t="n">
        <v>30700</v>
      </c>
      <c r="AN17" t="n">
        <v>0</v>
      </c>
      <c r="AO17" t="n">
        <v>0</v>
      </c>
      <c r="AP17" s="39" t="n">
        <v>0</v>
      </c>
      <c r="AQ17" s="39" t="n">
        <v>700</v>
      </c>
      <c r="AR17" s="39" t="n">
        <v>0</v>
      </c>
      <c r="AS17" t="n">
        <v>0</v>
      </c>
      <c r="AT17" t="inlineStr">
        <is>
          <t>Crédito Hipotecario</t>
        </is>
      </c>
      <c r="AU17" t="inlineStr">
        <is>
          <t>Scotiabank Perú</t>
        </is>
      </c>
      <c r="AV17" t="inlineStr">
        <is>
          <t>000-2768484</t>
        </is>
      </c>
      <c r="AW17" t="inlineStr">
        <is>
          <t>TRANSFERENCIA BANCARIA</t>
        </is>
      </c>
      <c r="AY17" t="inlineStr">
        <is>
          <t>7844655610860</t>
        </is>
      </c>
      <c r="AZ17" t="inlineStr">
        <is>
          <t>No</t>
        </is>
      </c>
      <c r="BB17" t="n">
        <v>4</v>
      </c>
      <c r="BC17" t="inlineStr">
        <is>
          <t>CANCELADO</t>
        </is>
      </c>
      <c r="BN17" t="inlineStr">
        <is>
          <t>Si</t>
        </is>
      </c>
      <c r="BO17" s="76" t="n">
        <v>45626.65</v>
      </c>
      <c r="BP17" t="inlineStr">
        <is>
          <t>Kenny Salazar S</t>
        </is>
      </c>
      <c r="BR17" t="n">
        <v>25</v>
      </c>
      <c r="BS17" t="inlineStr">
        <is>
          <t>26/06/2026 14:56</t>
        </is>
      </c>
      <c r="BW17" t="inlineStr">
        <is>
          <t>Cobranzas_2024.csv</t>
        </is>
      </c>
      <c r="BX17" t="n">
        <v>2024</v>
      </c>
      <c r="BY17" t="inlineStr">
        <is>
          <t>01/01/2024</t>
        </is>
      </c>
      <c r="BZ17" t="inlineStr">
        <is>
          <t>30/06/2031</t>
        </is>
      </c>
    </row>
    <row r="18">
      <c r="A18" t="inlineStr">
        <is>
          <t>RESIDENCIAL PRADA</t>
        </is>
      </c>
      <c r="B18" t="inlineStr">
        <is>
          <t>Etapa 1</t>
        </is>
      </c>
      <c r="C18" t="inlineStr">
        <is>
          <t>Edificio</t>
        </is>
      </c>
      <c r="D18" t="inlineStr">
        <is>
          <t>A</t>
        </is>
      </c>
      <c r="E18" t="inlineStr">
        <is>
          <t>Departamento</t>
        </is>
      </c>
      <c r="F18" t="inlineStr">
        <is>
          <t>203</t>
        </is>
      </c>
      <c r="G18" s="39" t="n">
        <v>654000</v>
      </c>
      <c r="H18" s="39" t="n">
        <v>654000</v>
      </c>
      <c r="I18" t="inlineStr">
        <is>
          <t>Edificio</t>
        </is>
      </c>
      <c r="J18" t="inlineStr">
        <is>
          <t>A</t>
        </is>
      </c>
      <c r="K18" t="inlineStr">
        <is>
          <t>Estacionamiento</t>
        </is>
      </c>
      <c r="L18" t="inlineStr">
        <is>
          <t>E 12 - D 09</t>
        </is>
      </c>
      <c r="M18" s="39" t="n">
        <v>56300</v>
      </c>
      <c r="N18" s="39" t="n">
        <v>56300</v>
      </c>
      <c r="S18" s="39" t="n"/>
      <c r="T18" s="39" t="n"/>
      <c r="Y18" s="39" t="n"/>
      <c r="Z18" s="39" t="n"/>
      <c r="AA18" t="inlineStr">
        <is>
          <t>Gilberto Videla Flores</t>
        </is>
      </c>
      <c r="AB18" t="inlineStr">
        <is>
          <t>06571347</t>
        </is>
      </c>
      <c r="AC18" t="inlineStr">
        <is>
          <t>Mz D Lt 7 Urb. La Estrella</t>
        </is>
      </c>
      <c r="AE18" t="inlineStr">
        <is>
          <t>969742622</t>
        </is>
      </c>
      <c r="AF18" t="inlineStr">
        <is>
          <t>gvidelaf@gmail.com</t>
        </is>
      </c>
      <c r="AG18" t="inlineStr">
        <is>
          <t>LIMA</t>
        </is>
      </c>
      <c r="AH18" t="inlineStr">
        <is>
          <t>LOS OLIVOS</t>
        </is>
      </c>
      <c r="AI18" s="75" t="n">
        <v>45535</v>
      </c>
      <c r="AJ18" s="75" t="n">
        <v>45535</v>
      </c>
      <c r="AK18" t="inlineStr">
        <is>
          <t>SEPARACION</t>
        </is>
      </c>
      <c r="AL18" t="n">
        <v>1</v>
      </c>
      <c r="AM18" t="n">
        <v>3000</v>
      </c>
      <c r="AN18" t="n">
        <v>0</v>
      </c>
      <c r="AO18" t="n">
        <v>0</v>
      </c>
      <c r="AP18" s="39" t="n">
        <v>3000</v>
      </c>
      <c r="AQ18" s="39" t="n">
        <v>3000</v>
      </c>
      <c r="AR18" s="39" t="n">
        <v>0</v>
      </c>
      <c r="AS18" t="n">
        <v>0</v>
      </c>
      <c r="AT18" t="inlineStr">
        <is>
          <t>Crédito Directo</t>
        </is>
      </c>
      <c r="AU18" t="inlineStr">
        <is>
          <t>Scotiabank Perú</t>
        </is>
      </c>
      <c r="AV18" t="inlineStr">
        <is>
          <t>000-2768484</t>
        </is>
      </c>
      <c r="AW18" t="inlineStr">
        <is>
          <t>POS VISA</t>
        </is>
      </c>
      <c r="AX18" t="n">
        <v>6571347</v>
      </c>
      <c r="AY18" t="inlineStr">
        <is>
          <t>0059</t>
        </is>
      </c>
      <c r="AZ18" t="inlineStr">
        <is>
          <t>No</t>
        </is>
      </c>
      <c r="BA18" t="inlineStr">
        <is>
          <t>NO PRECISA</t>
        </is>
      </c>
      <c r="BB18" t="n">
        <v>1</v>
      </c>
      <c r="BC18" t="inlineStr">
        <is>
          <t>CANCELADO</t>
        </is>
      </c>
      <c r="BN18" t="inlineStr">
        <is>
          <t>Si</t>
        </is>
      </c>
      <c r="BO18" s="76" t="n">
        <v>45539.38055555556</v>
      </c>
      <c r="BP18" t="inlineStr">
        <is>
          <t>Carla Michue M</t>
        </is>
      </c>
      <c r="BR18" t="n">
        <v>24</v>
      </c>
      <c r="BS18" t="inlineStr">
        <is>
          <t>29/05/2026 12:21</t>
        </is>
      </c>
      <c r="BW18" t="inlineStr">
        <is>
          <t>Cobranzas_2024.csv</t>
        </is>
      </c>
      <c r="BX18" t="n">
        <v>2024</v>
      </c>
      <c r="BY18" t="inlineStr">
        <is>
          <t>01/01/2024</t>
        </is>
      </c>
      <c r="BZ18" t="inlineStr">
        <is>
          <t>30/06/2031</t>
        </is>
      </c>
    </row>
    <row r="19">
      <c r="A19" t="inlineStr">
        <is>
          <t>RESIDENCIAL PRADA</t>
        </is>
      </c>
      <c r="B19" t="inlineStr">
        <is>
          <t>Etapa 1</t>
        </is>
      </c>
      <c r="C19" t="inlineStr">
        <is>
          <t>Edificio</t>
        </is>
      </c>
      <c r="D19" t="inlineStr">
        <is>
          <t>A</t>
        </is>
      </c>
      <c r="E19" t="inlineStr">
        <is>
          <t>Departamento</t>
        </is>
      </c>
      <c r="F19" t="inlineStr">
        <is>
          <t>203</t>
        </is>
      </c>
      <c r="G19" s="39" t="n">
        <v>654000</v>
      </c>
      <c r="H19" s="39" t="n">
        <v>654000</v>
      </c>
      <c r="I19" t="inlineStr">
        <is>
          <t>Edificio</t>
        </is>
      </c>
      <c r="J19" t="inlineStr">
        <is>
          <t>A</t>
        </is>
      </c>
      <c r="K19" t="inlineStr">
        <is>
          <t>Estacionamiento</t>
        </is>
      </c>
      <c r="L19" t="inlineStr">
        <is>
          <t>E 12 - D 09</t>
        </is>
      </c>
      <c r="M19" s="39" t="n">
        <v>56300</v>
      </c>
      <c r="N19" s="39" t="n">
        <v>56300</v>
      </c>
      <c r="S19" s="39" t="n"/>
      <c r="T19" s="39" t="n"/>
      <c r="Y19" s="39" t="n"/>
      <c r="Z19" s="39" t="n"/>
      <c r="AA19" t="inlineStr">
        <is>
          <t>Gilberto Videla Flores</t>
        </is>
      </c>
      <c r="AB19" t="inlineStr">
        <is>
          <t>06571347</t>
        </is>
      </c>
      <c r="AC19" t="inlineStr">
        <is>
          <t>Mz D Lt 7 Urb. La Estrella</t>
        </is>
      </c>
      <c r="AE19" t="inlineStr">
        <is>
          <t>969742622</t>
        </is>
      </c>
      <c r="AF19" t="inlineStr">
        <is>
          <t>gvidelaf@gmail.com</t>
        </is>
      </c>
      <c r="AG19" t="inlineStr">
        <is>
          <t>LIMA</t>
        </is>
      </c>
      <c r="AH19" t="inlineStr">
        <is>
          <t>LOS OLIVOS</t>
        </is>
      </c>
      <c r="AI19" s="75" t="n">
        <v>45539</v>
      </c>
      <c r="AJ19" s="75" t="n">
        <v>45539</v>
      </c>
      <c r="AK19" t="inlineStr">
        <is>
          <t>CUOTA INICIAL</t>
        </is>
      </c>
      <c r="AL19" t="n">
        <v>2</v>
      </c>
      <c r="AM19" t="n">
        <v>281120</v>
      </c>
      <c r="AN19" t="n">
        <v>0</v>
      </c>
      <c r="AO19" t="n">
        <v>0</v>
      </c>
      <c r="AP19" s="39" t="n">
        <v>281120</v>
      </c>
      <c r="AQ19" s="39" t="n">
        <v>281120</v>
      </c>
      <c r="AR19" s="39" t="n">
        <v>0</v>
      </c>
      <c r="AS19" t="n">
        <v>0</v>
      </c>
      <c r="AT19" t="inlineStr">
        <is>
          <t>Crédito Directo</t>
        </is>
      </c>
      <c r="AU19" t="inlineStr">
        <is>
          <t>Scotiabank Perú</t>
        </is>
      </c>
      <c r="AV19" t="inlineStr">
        <is>
          <t>000-2768484</t>
        </is>
      </c>
      <c r="AW19" t="inlineStr">
        <is>
          <t>TRANSFERENCIA BANCARIA</t>
        </is>
      </c>
      <c r="AY19" t="inlineStr">
        <is>
          <t>0953413</t>
        </is>
      </c>
      <c r="AZ19" t="inlineStr">
        <is>
          <t>No</t>
        </is>
      </c>
      <c r="BB19" t="n">
        <v>4</v>
      </c>
      <c r="BC19" t="inlineStr">
        <is>
          <t>CANCELADO</t>
        </is>
      </c>
      <c r="BN19" t="inlineStr">
        <is>
          <t>Si</t>
        </is>
      </c>
      <c r="BO19" s="76" t="n">
        <v>45539.38055555556</v>
      </c>
      <c r="BP19" t="inlineStr">
        <is>
          <t>Carla Michue M</t>
        </is>
      </c>
      <c r="BR19" t="n">
        <v>24</v>
      </c>
      <c r="BS19" t="inlineStr">
        <is>
          <t>30/06/2026 16:33</t>
        </is>
      </c>
      <c r="BW19" t="inlineStr">
        <is>
          <t>Cobranzas_2024.csv</t>
        </is>
      </c>
      <c r="BX19" t="n">
        <v>2024</v>
      </c>
      <c r="BY19" t="inlineStr">
        <is>
          <t>01/01/2024</t>
        </is>
      </c>
      <c r="BZ19" t="inlineStr">
        <is>
          <t>30/06/2031</t>
        </is>
      </c>
    </row>
    <row r="20">
      <c r="A20" t="inlineStr">
        <is>
          <t>RESIDENCIAL PRADA</t>
        </is>
      </c>
      <c r="B20" t="inlineStr">
        <is>
          <t>Etapa 1</t>
        </is>
      </c>
      <c r="C20" t="inlineStr">
        <is>
          <t>Edificio</t>
        </is>
      </c>
      <c r="D20" t="inlineStr">
        <is>
          <t>A</t>
        </is>
      </c>
      <c r="E20" t="inlineStr">
        <is>
          <t>Departamento</t>
        </is>
      </c>
      <c r="F20" t="inlineStr">
        <is>
          <t>203</t>
        </is>
      </c>
      <c r="G20" s="39" t="n">
        <v>654000</v>
      </c>
      <c r="H20" s="39" t="n">
        <v>654000</v>
      </c>
      <c r="I20" t="inlineStr">
        <is>
          <t>Edificio</t>
        </is>
      </c>
      <c r="J20" t="inlineStr">
        <is>
          <t>A</t>
        </is>
      </c>
      <c r="K20" t="inlineStr">
        <is>
          <t>Estacionamiento</t>
        </is>
      </c>
      <c r="L20" t="inlineStr">
        <is>
          <t>E 12 - D 09</t>
        </is>
      </c>
      <c r="M20" s="39" t="n">
        <v>56300</v>
      </c>
      <c r="N20" s="39" t="n">
        <v>56300</v>
      </c>
      <c r="S20" s="39" t="n"/>
      <c r="T20" s="39" t="n"/>
      <c r="Y20" s="39" t="n"/>
      <c r="Z20" s="39" t="n"/>
      <c r="AA20" t="inlineStr">
        <is>
          <t>Gilberto Videla Flores</t>
        </is>
      </c>
      <c r="AB20" t="inlineStr">
        <is>
          <t>06571347</t>
        </is>
      </c>
      <c r="AC20" t="inlineStr">
        <is>
          <t>Mz D Lt 7 Urb. La Estrella</t>
        </is>
      </c>
      <c r="AE20" t="inlineStr">
        <is>
          <t>969742622</t>
        </is>
      </c>
      <c r="AF20" t="inlineStr">
        <is>
          <t>gvidelaf@gmail.com</t>
        </is>
      </c>
      <c r="AG20" t="inlineStr">
        <is>
          <t>LIMA</t>
        </is>
      </c>
      <c r="AH20" t="inlineStr">
        <is>
          <t>LOS OLIVOS</t>
        </is>
      </c>
      <c r="AI20" s="75" t="n">
        <v>45559</v>
      </c>
      <c r="AJ20" s="75" t="n">
        <v>45559</v>
      </c>
      <c r="AK20" t="inlineStr">
        <is>
          <t>SALDO FINANCIAR</t>
        </is>
      </c>
      <c r="AL20" t="n">
        <v>3</v>
      </c>
      <c r="AM20" t="n">
        <v>248605</v>
      </c>
      <c r="AN20" t="n">
        <v>0</v>
      </c>
      <c r="AO20" t="n">
        <v>0</v>
      </c>
      <c r="AP20" s="39" t="n">
        <v>248605</v>
      </c>
      <c r="AQ20" s="39" t="n">
        <v>248605</v>
      </c>
      <c r="AR20" s="39" t="n">
        <v>0</v>
      </c>
      <c r="AS20" t="n">
        <v>0</v>
      </c>
      <c r="AT20" t="inlineStr">
        <is>
          <t>Crédito Directo</t>
        </is>
      </c>
      <c r="AU20" t="inlineStr">
        <is>
          <t>Scotiabank Perú</t>
        </is>
      </c>
      <c r="AV20" t="inlineStr">
        <is>
          <t>000-2768484</t>
        </is>
      </c>
      <c r="AW20" t="inlineStr">
        <is>
          <t>TRANSFERENCIA BANCARIA</t>
        </is>
      </c>
      <c r="AY20" t="inlineStr">
        <is>
          <t>0036913</t>
        </is>
      </c>
      <c r="AZ20" t="inlineStr">
        <is>
          <t>No</t>
        </is>
      </c>
      <c r="BB20" t="n">
        <v>4</v>
      </c>
      <c r="BC20" t="inlineStr">
        <is>
          <t>CANCELADO</t>
        </is>
      </c>
      <c r="BN20" t="inlineStr">
        <is>
          <t>Si</t>
        </is>
      </c>
      <c r="BO20" s="76" t="n">
        <v>45539.38055555556</v>
      </c>
      <c r="BP20" t="inlineStr">
        <is>
          <t>Carla Michue M</t>
        </is>
      </c>
      <c r="BR20" t="n">
        <v>24</v>
      </c>
      <c r="BS20" t="inlineStr">
        <is>
          <t>30/06/2026 16:48</t>
        </is>
      </c>
      <c r="BW20" t="inlineStr">
        <is>
          <t>Cobranzas_2024.csv</t>
        </is>
      </c>
      <c r="BX20" t="n">
        <v>2024</v>
      </c>
      <c r="BY20" t="inlineStr">
        <is>
          <t>01/01/2024</t>
        </is>
      </c>
      <c r="BZ20" t="inlineStr">
        <is>
          <t>30/06/2031</t>
        </is>
      </c>
    </row>
    <row r="21">
      <c r="A21" t="inlineStr">
        <is>
          <t>RESIDENCIAL PRADA</t>
        </is>
      </c>
      <c r="B21" t="inlineStr">
        <is>
          <t>Etapa 1</t>
        </is>
      </c>
      <c r="C21" t="inlineStr">
        <is>
          <t>Edificio</t>
        </is>
      </c>
      <c r="D21" t="inlineStr">
        <is>
          <t>A</t>
        </is>
      </c>
      <c r="E21" t="inlineStr">
        <is>
          <t>Departamento</t>
        </is>
      </c>
      <c r="F21" t="inlineStr">
        <is>
          <t>104</t>
        </is>
      </c>
      <c r="G21" s="39" t="n">
        <v>609100</v>
      </c>
      <c r="H21" s="39" t="n">
        <v>609100</v>
      </c>
      <c r="I21" t="inlineStr">
        <is>
          <t>Edificio</t>
        </is>
      </c>
      <c r="J21" t="inlineStr">
        <is>
          <t>A</t>
        </is>
      </c>
      <c r="K21" t="inlineStr">
        <is>
          <t>Estacionamiento</t>
        </is>
      </c>
      <c r="L21" t="inlineStr">
        <is>
          <t>E 26 - D 20</t>
        </is>
      </c>
      <c r="M21" s="39" t="n">
        <v>64600</v>
      </c>
      <c r="N21" s="39" t="n">
        <v>64600</v>
      </c>
      <c r="S21" s="39" t="n"/>
      <c r="T21" s="39" t="n"/>
      <c r="Y21" s="39" t="n"/>
      <c r="Z21" s="39" t="n"/>
      <c r="AA21" t="inlineStr">
        <is>
          <t>Gilda Victoria Sampi González</t>
        </is>
      </c>
      <c r="AB21" t="inlineStr">
        <is>
          <t>43636501</t>
        </is>
      </c>
      <c r="AC21" t="inlineStr">
        <is>
          <t>Av. Brasil 863 departamento 702-A</t>
        </is>
      </c>
      <c r="AD21" t="n">
        <v>966422784</v>
      </c>
      <c r="AE21" t="inlineStr">
        <is>
          <t xml:space="preserve">966422784		</t>
        </is>
      </c>
      <c r="AF21" t="inlineStr">
        <is>
          <t>victoria.sampi@gmail.com</t>
        </is>
      </c>
      <c r="AG21" t="inlineStr">
        <is>
          <t>LIMA</t>
        </is>
      </c>
      <c r="AH21" t="inlineStr">
        <is>
          <t>JESUS MARIA</t>
        </is>
      </c>
      <c r="AI21" s="75" t="n">
        <v>45494</v>
      </c>
      <c r="AJ21" s="75" t="n">
        <v>45494</v>
      </c>
      <c r="AK21" t="inlineStr">
        <is>
          <t>SEPARACION</t>
        </is>
      </c>
      <c r="AL21" t="n">
        <v>1</v>
      </c>
      <c r="AM21" t="n">
        <v>3000</v>
      </c>
      <c r="AN21" t="n">
        <v>0</v>
      </c>
      <c r="AO21" t="n">
        <v>0</v>
      </c>
      <c r="AP21" s="39" t="n">
        <v>3000</v>
      </c>
      <c r="AQ21" s="39" t="n">
        <v>3000</v>
      </c>
      <c r="AR21" s="39" t="n">
        <v>0</v>
      </c>
      <c r="AS21" t="n">
        <v>0</v>
      </c>
      <c r="AT21" t="inlineStr">
        <is>
          <t>Crédito Hipotecario</t>
        </is>
      </c>
      <c r="AU21" t="inlineStr">
        <is>
          <t>Scotiabank Perú</t>
        </is>
      </c>
      <c r="AV21" t="inlineStr">
        <is>
          <t>000-2768484</t>
        </is>
      </c>
      <c r="AW21" t="inlineStr">
        <is>
          <t>TRANSFERENCIA BANCARIA</t>
        </is>
      </c>
      <c r="AX21" t="n">
        <v>43636501</v>
      </c>
      <c r="AY21" t="inlineStr">
        <is>
          <t>00998929</t>
        </is>
      </c>
      <c r="AZ21" t="inlineStr">
        <is>
          <t>No</t>
        </is>
      </c>
      <c r="BA21" t="inlineStr">
        <is>
          <t>NO PRECISA</t>
        </is>
      </c>
      <c r="BB21" t="n">
        <v>4</v>
      </c>
      <c r="BC21" t="inlineStr">
        <is>
          <t>CANCELADO</t>
        </is>
      </c>
      <c r="BN21" t="inlineStr">
        <is>
          <t>Si</t>
        </is>
      </c>
      <c r="BO21" s="76" t="n">
        <v>45537.59305555555</v>
      </c>
      <c r="BP21" t="inlineStr">
        <is>
          <t>Kenny Salazar S</t>
        </is>
      </c>
      <c r="BR21" t="n">
        <v>32</v>
      </c>
      <c r="BS21" t="inlineStr">
        <is>
          <t>02/06/2026 14:50</t>
        </is>
      </c>
      <c r="BW21" t="inlineStr">
        <is>
          <t>Cobranzas_2024.csv</t>
        </is>
      </c>
      <c r="BX21" t="n">
        <v>2024</v>
      </c>
      <c r="BY21" t="inlineStr">
        <is>
          <t>01/01/2024</t>
        </is>
      </c>
      <c r="BZ21" t="inlineStr">
        <is>
          <t>30/06/2031</t>
        </is>
      </c>
    </row>
    <row r="22">
      <c r="A22" t="inlineStr">
        <is>
          <t>RESIDENCIAL PRADA</t>
        </is>
      </c>
      <c r="B22" t="inlineStr">
        <is>
          <t>Etapa 1</t>
        </is>
      </c>
      <c r="C22" t="inlineStr">
        <is>
          <t>Edificio</t>
        </is>
      </c>
      <c r="D22" t="inlineStr">
        <is>
          <t>A</t>
        </is>
      </c>
      <c r="E22" t="inlineStr">
        <is>
          <t>Departamento</t>
        </is>
      </c>
      <c r="F22" t="inlineStr">
        <is>
          <t>104</t>
        </is>
      </c>
      <c r="G22" s="39" t="n">
        <v>609100</v>
      </c>
      <c r="H22" s="39" t="n">
        <v>609100</v>
      </c>
      <c r="I22" t="inlineStr">
        <is>
          <t>Edificio</t>
        </is>
      </c>
      <c r="J22" t="inlineStr">
        <is>
          <t>A</t>
        </is>
      </c>
      <c r="K22" t="inlineStr">
        <is>
          <t>Estacionamiento</t>
        </is>
      </c>
      <c r="L22" t="inlineStr">
        <is>
          <t>E 26 - D 20</t>
        </is>
      </c>
      <c r="M22" s="39" t="n">
        <v>64600</v>
      </c>
      <c r="N22" s="39" t="n">
        <v>64600</v>
      </c>
      <c r="S22" s="39" t="n"/>
      <c r="T22" s="39" t="n"/>
      <c r="Y22" s="39" t="n"/>
      <c r="Z22" s="39" t="n"/>
      <c r="AA22" t="inlineStr">
        <is>
          <t>Gilda Victoria Sampi González</t>
        </is>
      </c>
      <c r="AB22" t="inlineStr">
        <is>
          <t>43636501</t>
        </is>
      </c>
      <c r="AC22" t="inlineStr">
        <is>
          <t>Av. Brasil 863 departamento 702-A</t>
        </is>
      </c>
      <c r="AD22" t="n">
        <v>966422784</v>
      </c>
      <c r="AE22" t="inlineStr">
        <is>
          <t xml:space="preserve">966422784		</t>
        </is>
      </c>
      <c r="AF22" t="inlineStr">
        <is>
          <t>victoria.sampi@gmail.com</t>
        </is>
      </c>
      <c r="AG22" t="inlineStr">
        <is>
          <t>LIMA</t>
        </is>
      </c>
      <c r="AH22" t="inlineStr">
        <is>
          <t>JESUS MARIA</t>
        </is>
      </c>
      <c r="AI22" s="75" t="n">
        <v>45537</v>
      </c>
      <c r="AJ22" s="75" t="n">
        <v>45537</v>
      </c>
      <c r="AK22" t="inlineStr">
        <is>
          <t>CUOTA INICIAL</t>
        </is>
      </c>
      <c r="AL22" t="n">
        <v>1</v>
      </c>
      <c r="AM22" t="n">
        <v>134740</v>
      </c>
      <c r="AN22" t="n">
        <v>0</v>
      </c>
      <c r="AO22" t="n">
        <v>0</v>
      </c>
      <c r="AP22" s="39" t="n">
        <v>134740</v>
      </c>
      <c r="AQ22" s="39" t="n">
        <v>134740</v>
      </c>
      <c r="AR22" s="39" t="n">
        <v>0</v>
      </c>
      <c r="AS22" t="n">
        <v>0</v>
      </c>
      <c r="AT22" t="inlineStr">
        <is>
          <t>Crédito Hipotecario</t>
        </is>
      </c>
      <c r="AU22" t="inlineStr">
        <is>
          <t>Scotiabank Perú</t>
        </is>
      </c>
      <c r="AV22" t="inlineStr">
        <is>
          <t>000-2768484</t>
        </is>
      </c>
      <c r="AW22" t="inlineStr">
        <is>
          <t>TRANSFERENCIA BANCARIA</t>
        </is>
      </c>
      <c r="AX22" t="n">
        <v>43636501</v>
      </c>
      <c r="AY22" t="inlineStr">
        <is>
          <t>009107870</t>
        </is>
      </c>
      <c r="AZ22" t="inlineStr">
        <is>
          <t>No</t>
        </is>
      </c>
      <c r="BA22" t="inlineStr">
        <is>
          <t>NO PRECISA</t>
        </is>
      </c>
      <c r="BB22" t="n">
        <v>4</v>
      </c>
      <c r="BC22" t="inlineStr">
        <is>
          <t>CANCELADO</t>
        </is>
      </c>
      <c r="BN22" t="inlineStr">
        <is>
          <t>Si</t>
        </is>
      </c>
      <c r="BO22" s="76" t="n">
        <v>45537.59305555555</v>
      </c>
      <c r="BP22" t="inlineStr">
        <is>
          <t>Kenny Salazar S</t>
        </is>
      </c>
      <c r="BR22" t="n">
        <v>32</v>
      </c>
      <c r="BS22" t="inlineStr">
        <is>
          <t>04/06/2026 09:52</t>
        </is>
      </c>
      <c r="BW22" t="inlineStr">
        <is>
          <t>Cobranzas_2024.csv</t>
        </is>
      </c>
      <c r="BX22" t="n">
        <v>2024</v>
      </c>
      <c r="BY22" t="inlineStr">
        <is>
          <t>01/01/2024</t>
        </is>
      </c>
      <c r="BZ22" t="inlineStr">
        <is>
          <t>30/06/2031</t>
        </is>
      </c>
    </row>
    <row r="23">
      <c r="A23" t="inlineStr">
        <is>
          <t>RESIDENCIAL PRADA</t>
        </is>
      </c>
      <c r="B23" t="inlineStr">
        <is>
          <t>Etapa 1</t>
        </is>
      </c>
      <c r="C23" t="inlineStr">
        <is>
          <t>Edificio</t>
        </is>
      </c>
      <c r="D23" t="inlineStr">
        <is>
          <t>A</t>
        </is>
      </c>
      <c r="E23" t="inlineStr">
        <is>
          <t>Departamento</t>
        </is>
      </c>
      <c r="F23" t="inlineStr">
        <is>
          <t>605</t>
        </is>
      </c>
      <c r="G23" s="39" t="n">
        <v>501000</v>
      </c>
      <c r="H23" s="39" t="n">
        <v>501000</v>
      </c>
      <c r="I23" t="inlineStr">
        <is>
          <t>Edificio</t>
        </is>
      </c>
      <c r="J23" t="inlineStr">
        <is>
          <t>A</t>
        </is>
      </c>
      <c r="K23" t="inlineStr">
        <is>
          <t>Estacionamiento</t>
        </is>
      </c>
      <c r="L23" t="inlineStr">
        <is>
          <t>E 07 - D 05</t>
        </is>
      </c>
      <c r="M23" s="39" t="n">
        <v>57300</v>
      </c>
      <c r="N23" s="39" t="n">
        <v>57300</v>
      </c>
      <c r="S23" s="39" t="n"/>
      <c r="T23" s="39" t="n"/>
      <c r="Y23" s="39" t="n"/>
      <c r="Z23" s="39" t="n"/>
      <c r="AA23" t="inlineStr">
        <is>
          <t>Jose Humberto Pehovaz Diez</t>
        </is>
      </c>
      <c r="AB23" t="inlineStr">
        <is>
          <t>49073756</t>
        </is>
      </c>
      <c r="AC23" t="inlineStr">
        <is>
          <t>-</t>
        </is>
      </c>
      <c r="AE23" t="inlineStr">
        <is>
          <t>952256518</t>
        </is>
      </c>
      <c r="AF23" t="inlineStr">
        <is>
          <t>josehp99@gmail.com</t>
        </is>
      </c>
      <c r="AG23" t="inlineStr">
        <is>
          <t>LIMA</t>
        </is>
      </c>
      <c r="AH23" t="inlineStr">
        <is>
          <t>MAGDALENA DEL MAR</t>
        </is>
      </c>
      <c r="AI23" s="75" t="n">
        <v>45338</v>
      </c>
      <c r="AJ23" s="75" t="n">
        <v>45698</v>
      </c>
      <c r="AK23" t="inlineStr">
        <is>
          <t>SEPARACION</t>
        </is>
      </c>
      <c r="AL23" t="n">
        <v>1</v>
      </c>
      <c r="AM23" t="n">
        <v>3000</v>
      </c>
      <c r="AN23" t="n">
        <v>0</v>
      </c>
      <c r="AO23" t="n">
        <v>0</v>
      </c>
      <c r="AP23" s="39" t="n">
        <v>3000</v>
      </c>
      <c r="AQ23" s="39" t="n">
        <v>3000</v>
      </c>
      <c r="AR23" s="39" t="n">
        <v>0</v>
      </c>
      <c r="AS23" t="n">
        <v>0</v>
      </c>
      <c r="AT23" t="inlineStr">
        <is>
          <t>Crédito Hipotecario</t>
        </is>
      </c>
      <c r="AU23" t="inlineStr">
        <is>
          <t>Scotiabank Perú</t>
        </is>
      </c>
      <c r="AV23" t="inlineStr">
        <is>
          <t>000-2768484</t>
        </is>
      </c>
      <c r="AW23" t="inlineStr">
        <is>
          <t>TRANSFERENCIA BANCARIA</t>
        </is>
      </c>
      <c r="AX23" t="n">
        <v>49073756</v>
      </c>
      <c r="AY23" t="inlineStr">
        <is>
          <t>7844655534521</t>
        </is>
      </c>
      <c r="AZ23" t="inlineStr">
        <is>
          <t>No</t>
        </is>
      </c>
      <c r="BA23" t="inlineStr">
        <is>
          <t>NO PRECISA</t>
        </is>
      </c>
      <c r="BB23" t="n">
        <v>1</v>
      </c>
      <c r="BC23" t="inlineStr">
        <is>
          <t>CANCELADO</t>
        </is>
      </c>
      <c r="BN23" t="inlineStr">
        <is>
          <t>Si</t>
        </is>
      </c>
      <c r="BO23" s="76" t="n">
        <v>45709.69652777778</v>
      </c>
      <c r="BP23" t="inlineStr">
        <is>
          <t>Carla Michue M</t>
        </is>
      </c>
      <c r="BR23" t="n">
        <v>10</v>
      </c>
      <c r="BS23" t="inlineStr">
        <is>
          <t>29/05/2026 12:21</t>
        </is>
      </c>
      <c r="BW23" t="inlineStr">
        <is>
          <t>Cobranzas_2024.csv</t>
        </is>
      </c>
      <c r="BX23" t="n">
        <v>2024</v>
      </c>
      <c r="BY23" t="inlineStr">
        <is>
          <t>01/01/2024</t>
        </is>
      </c>
      <c r="BZ23" t="inlineStr">
        <is>
          <t>30/06/2031</t>
        </is>
      </c>
    </row>
    <row r="24">
      <c r="A24" t="inlineStr">
        <is>
          <t>RESIDENCIAL PRADA</t>
        </is>
      </c>
      <c r="B24" t="inlineStr">
        <is>
          <t>Etapa 1</t>
        </is>
      </c>
      <c r="C24" t="inlineStr">
        <is>
          <t>Edificio</t>
        </is>
      </c>
      <c r="D24" t="inlineStr">
        <is>
          <t>A</t>
        </is>
      </c>
      <c r="E24" t="inlineStr">
        <is>
          <t>Departamento</t>
        </is>
      </c>
      <c r="F24" t="inlineStr">
        <is>
          <t>201</t>
        </is>
      </c>
      <c r="G24" s="39" t="n">
        <v>622500</v>
      </c>
      <c r="H24" s="39" t="n">
        <v>622500</v>
      </c>
      <c r="M24" s="39" t="n"/>
      <c r="N24" s="39" t="n"/>
      <c r="S24" s="39" t="n"/>
      <c r="T24" s="39" t="n"/>
      <c r="Y24" s="39" t="n"/>
      <c r="Z24" s="39" t="n"/>
      <c r="AA24" t="inlineStr">
        <is>
          <t>Joseluis Gaspar Zapata Flores</t>
        </is>
      </c>
      <c r="AB24" t="inlineStr">
        <is>
          <t>46730672</t>
        </is>
      </c>
      <c r="AC24" t="inlineStr">
        <is>
          <t>Jr. Los Clavles 141 P. J  El Progreso 1er Sector</t>
        </is>
      </c>
      <c r="AE24" t="inlineStr">
        <is>
          <t>948041027</t>
        </is>
      </c>
      <c r="AF24" t="inlineStr">
        <is>
          <t>jlzapata91@gmail.com</t>
        </is>
      </c>
      <c r="AG24" t="inlineStr">
        <is>
          <t>LIMA</t>
        </is>
      </c>
      <c r="AH24" t="inlineStr">
        <is>
          <t>CARABAYLLO</t>
        </is>
      </c>
      <c r="AI24" s="75" t="n">
        <v>45479</v>
      </c>
      <c r="AJ24" s="75" t="n">
        <v>45479</v>
      </c>
      <c r="AK24" t="inlineStr">
        <is>
          <t>CUOTA INICIAL</t>
        </is>
      </c>
      <c r="AL24" t="n">
        <v>1</v>
      </c>
      <c r="AM24" t="n">
        <v>3000</v>
      </c>
      <c r="AN24" t="n">
        <v>0</v>
      </c>
      <c r="AO24" t="n">
        <v>0</v>
      </c>
      <c r="AP24" s="39" t="n">
        <v>3000</v>
      </c>
      <c r="AQ24" s="39" t="n">
        <v>3000</v>
      </c>
      <c r="AR24" s="39" t="n">
        <v>0</v>
      </c>
      <c r="AS24" t="n">
        <v>0</v>
      </c>
      <c r="AT24" t="inlineStr">
        <is>
          <t>Ahorro</t>
        </is>
      </c>
      <c r="AU24" t="inlineStr">
        <is>
          <t>Scotiabank Perú</t>
        </is>
      </c>
      <c r="AV24" t="inlineStr">
        <is>
          <t>000-2768484</t>
        </is>
      </c>
      <c r="AW24" t="inlineStr">
        <is>
          <t>TRANSFERENCIA BANCARIA</t>
        </is>
      </c>
      <c r="AY24" t="inlineStr">
        <is>
          <t>03343387</t>
        </is>
      </c>
      <c r="AZ24" t="inlineStr">
        <is>
          <t>Si</t>
        </is>
      </c>
      <c r="BB24" t="n">
        <v>4</v>
      </c>
      <c r="BC24" t="inlineStr">
        <is>
          <t>CANCELADO</t>
        </is>
      </c>
      <c r="BN24" t="inlineStr">
        <is>
          <t>Si</t>
        </is>
      </c>
      <c r="BO24" s="76" t="n">
        <v>45488.65486111111</v>
      </c>
      <c r="BP24" t="inlineStr">
        <is>
          <t>Carla Michue M</t>
        </is>
      </c>
      <c r="BR24" t="n">
        <v>6</v>
      </c>
      <c r="BS24" t="inlineStr">
        <is>
          <t>29/06/2026 01:05</t>
        </is>
      </c>
      <c r="BW24" t="inlineStr">
        <is>
          <t>Cobranzas_2024.csv</t>
        </is>
      </c>
      <c r="BX24" t="n">
        <v>2024</v>
      </c>
      <c r="BY24" t="inlineStr">
        <is>
          <t>01/01/2024</t>
        </is>
      </c>
      <c r="BZ24" t="inlineStr">
        <is>
          <t>30/06/2031</t>
        </is>
      </c>
    </row>
    <row r="25">
      <c r="A25" t="inlineStr">
        <is>
          <t>RESIDENCIAL PRADA</t>
        </is>
      </c>
      <c r="B25" t="inlineStr">
        <is>
          <t>Etapa 1</t>
        </is>
      </c>
      <c r="C25" t="inlineStr">
        <is>
          <t>Edificio</t>
        </is>
      </c>
      <c r="D25" t="inlineStr">
        <is>
          <t>A</t>
        </is>
      </c>
      <c r="E25" t="inlineStr">
        <is>
          <t>Departamento</t>
        </is>
      </c>
      <c r="F25" t="inlineStr">
        <is>
          <t>201</t>
        </is>
      </c>
      <c r="G25" s="39" t="n">
        <v>622500</v>
      </c>
      <c r="H25" s="39" t="n">
        <v>622500</v>
      </c>
      <c r="M25" s="39" t="n"/>
      <c r="N25" s="39" t="n"/>
      <c r="S25" s="39" t="n"/>
      <c r="T25" s="39" t="n"/>
      <c r="Y25" s="39" t="n"/>
      <c r="Z25" s="39" t="n"/>
      <c r="AA25" t="inlineStr">
        <is>
          <t>Joseluis Gaspar Zapata Flores</t>
        </is>
      </c>
      <c r="AB25" t="inlineStr">
        <is>
          <t>46730672</t>
        </is>
      </c>
      <c r="AC25" t="inlineStr">
        <is>
          <t>Jr. Los Clavles 141 P. J  El Progreso 1er Sector</t>
        </is>
      </c>
      <c r="AE25" t="inlineStr">
        <is>
          <t>948041027</t>
        </is>
      </c>
      <c r="AF25" t="inlineStr">
        <is>
          <t>jlzapata91@gmail.com</t>
        </is>
      </c>
      <c r="AG25" t="inlineStr">
        <is>
          <t>LIMA</t>
        </is>
      </c>
      <c r="AH25" t="inlineStr">
        <is>
          <t>CARABAYLLO</t>
        </is>
      </c>
      <c r="AI25" s="75" t="n">
        <v>45488</v>
      </c>
      <c r="AJ25" s="75" t="n">
        <v>45488</v>
      </c>
      <c r="AK25" t="inlineStr">
        <is>
          <t>CUOTA INICIAL</t>
        </is>
      </c>
      <c r="AL25" t="n">
        <v>2</v>
      </c>
      <c r="AM25" t="n">
        <v>20000</v>
      </c>
      <c r="AN25" t="n">
        <v>0</v>
      </c>
      <c r="AO25" t="n">
        <v>0</v>
      </c>
      <c r="AP25" s="39" t="n">
        <v>20000</v>
      </c>
      <c r="AQ25" s="39" t="n">
        <v>20000</v>
      </c>
      <c r="AR25" s="39" t="n">
        <v>0</v>
      </c>
      <c r="AS25" t="n">
        <v>0</v>
      </c>
      <c r="AT25" t="inlineStr">
        <is>
          <t>Ahorro</t>
        </is>
      </c>
      <c r="AU25" t="inlineStr">
        <is>
          <t>Scotiabank Perú</t>
        </is>
      </c>
      <c r="AV25" t="inlineStr">
        <is>
          <t>000-2768484</t>
        </is>
      </c>
      <c r="AW25" t="inlineStr">
        <is>
          <t>TRANSFERENCIA BANCARIA</t>
        </is>
      </c>
      <c r="AY25" t="inlineStr">
        <is>
          <t>7844655656315</t>
        </is>
      </c>
      <c r="AZ25" t="inlineStr">
        <is>
          <t>No</t>
        </is>
      </c>
      <c r="BB25" t="n">
        <v>4</v>
      </c>
      <c r="BC25" t="inlineStr">
        <is>
          <t>CANCELADO</t>
        </is>
      </c>
      <c r="BN25" t="inlineStr">
        <is>
          <t>Si</t>
        </is>
      </c>
      <c r="BO25" s="76" t="n">
        <v>45488.65486111111</v>
      </c>
      <c r="BP25" t="inlineStr">
        <is>
          <t>Carla Michue M</t>
        </is>
      </c>
      <c r="BR25" t="n">
        <v>6</v>
      </c>
      <c r="BS25" t="inlineStr">
        <is>
          <t>29/06/2026 01:06</t>
        </is>
      </c>
      <c r="BW25" t="inlineStr">
        <is>
          <t>Cobranzas_2024.csv</t>
        </is>
      </c>
      <c r="BX25" t="n">
        <v>2024</v>
      </c>
      <c r="BY25" t="inlineStr">
        <is>
          <t>01/01/2024</t>
        </is>
      </c>
      <c r="BZ25" t="inlineStr">
        <is>
          <t>30/06/2031</t>
        </is>
      </c>
    </row>
    <row r="26">
      <c r="A26" t="inlineStr">
        <is>
          <t>RESIDENCIAL PRADA</t>
        </is>
      </c>
      <c r="B26" t="inlineStr">
        <is>
          <t>Etapa 1</t>
        </is>
      </c>
      <c r="C26" t="inlineStr">
        <is>
          <t>Edificio</t>
        </is>
      </c>
      <c r="D26" t="inlineStr">
        <is>
          <t>A</t>
        </is>
      </c>
      <c r="E26" t="inlineStr">
        <is>
          <t>Departamento</t>
        </is>
      </c>
      <c r="F26" t="inlineStr">
        <is>
          <t>201</t>
        </is>
      </c>
      <c r="G26" s="39" t="n">
        <v>622500</v>
      </c>
      <c r="H26" s="39" t="n">
        <v>622500</v>
      </c>
      <c r="M26" s="39" t="n"/>
      <c r="N26" s="39" t="n"/>
      <c r="S26" s="39" t="n"/>
      <c r="T26" s="39" t="n"/>
      <c r="Y26" s="39" t="n"/>
      <c r="Z26" s="39" t="n"/>
      <c r="AA26" t="inlineStr">
        <is>
          <t>Joseluis Gaspar Zapata Flores</t>
        </is>
      </c>
      <c r="AB26" t="inlineStr">
        <is>
          <t>46730672</t>
        </is>
      </c>
      <c r="AC26" t="inlineStr">
        <is>
          <t>Jr. Los Clavles 141 P. J  El Progreso 1er Sector</t>
        </is>
      </c>
      <c r="AE26" t="inlineStr">
        <is>
          <t>948041027</t>
        </is>
      </c>
      <c r="AF26" t="inlineStr">
        <is>
          <t>jlzapata91@gmail.com</t>
        </is>
      </c>
      <c r="AG26" t="inlineStr">
        <is>
          <t>LIMA</t>
        </is>
      </c>
      <c r="AH26" t="inlineStr">
        <is>
          <t>CARABAYLLO</t>
        </is>
      </c>
      <c r="AI26" s="75" t="n">
        <v>45656</v>
      </c>
      <c r="AJ26" s="75" t="n">
        <v>45722</v>
      </c>
      <c r="AK26" t="inlineStr">
        <is>
          <t>CUOTA INICIAL</t>
        </is>
      </c>
      <c r="AL26" t="n">
        <v>3</v>
      </c>
      <c r="AM26" t="n">
        <v>0</v>
      </c>
      <c r="AN26" t="n">
        <v>0</v>
      </c>
      <c r="AO26" t="n">
        <v>0</v>
      </c>
      <c r="AP26" s="39" t="n">
        <v>67000</v>
      </c>
      <c r="AQ26" s="39" t="n">
        <v>65000</v>
      </c>
      <c r="AR26" s="39" t="n">
        <v>0</v>
      </c>
      <c r="AS26" t="n">
        <v>0</v>
      </c>
      <c r="AT26" t="inlineStr">
        <is>
          <t>Ahorro</t>
        </is>
      </c>
      <c r="AU26" t="inlineStr">
        <is>
          <t>Scotiabank Perú</t>
        </is>
      </c>
      <c r="AV26" t="inlineStr">
        <is>
          <t>000-2768484</t>
        </is>
      </c>
      <c r="AW26" t="inlineStr">
        <is>
          <t>TRANSFERENCIA BANCARIA</t>
        </is>
      </c>
      <c r="AY26" t="inlineStr">
        <is>
          <t>u26563</t>
        </is>
      </c>
      <c r="AZ26" t="inlineStr">
        <is>
          <t>No</t>
        </is>
      </c>
      <c r="BB26" t="n">
        <v>4</v>
      </c>
      <c r="BC26" t="inlineStr">
        <is>
          <t>CANCELADO</t>
        </is>
      </c>
      <c r="BN26" t="inlineStr">
        <is>
          <t>Si</t>
        </is>
      </c>
      <c r="BO26" s="76" t="n">
        <v>45488.65486111111</v>
      </c>
      <c r="BP26" t="inlineStr">
        <is>
          <t>Carla Michue M</t>
        </is>
      </c>
      <c r="BR26" t="n">
        <v>6</v>
      </c>
      <c r="BS26" t="inlineStr">
        <is>
          <t>29/06/2026 01:07</t>
        </is>
      </c>
      <c r="BW26" t="inlineStr">
        <is>
          <t>Cobranzas_2024.csv</t>
        </is>
      </c>
      <c r="BX26" t="n">
        <v>2024</v>
      </c>
      <c r="BY26" t="inlineStr">
        <is>
          <t>01/01/2024</t>
        </is>
      </c>
      <c r="BZ26" t="inlineStr">
        <is>
          <t>30/06/2031</t>
        </is>
      </c>
    </row>
    <row r="27">
      <c r="A27" t="inlineStr">
        <is>
          <t>RESIDENCIAL PRADA</t>
        </is>
      </c>
      <c r="B27" t="inlineStr">
        <is>
          <t>Etapa 1</t>
        </is>
      </c>
      <c r="C27" t="inlineStr">
        <is>
          <t>Edificio</t>
        </is>
      </c>
      <c r="D27" t="inlineStr">
        <is>
          <t>A</t>
        </is>
      </c>
      <c r="E27" t="inlineStr">
        <is>
          <t>Departamento</t>
        </is>
      </c>
      <c r="F27" t="inlineStr">
        <is>
          <t>201</t>
        </is>
      </c>
      <c r="G27" s="39" t="n">
        <v>622500</v>
      </c>
      <c r="H27" s="39" t="n">
        <v>622500</v>
      </c>
      <c r="M27" s="39" t="n"/>
      <c r="N27" s="39" t="n"/>
      <c r="S27" s="39" t="n"/>
      <c r="T27" s="39" t="n"/>
      <c r="Y27" s="39" t="n"/>
      <c r="Z27" s="39" t="n"/>
      <c r="AA27" t="inlineStr">
        <is>
          <t>Joseluis Gaspar Zapata Flores</t>
        </is>
      </c>
      <c r="AB27" t="inlineStr">
        <is>
          <t>46730672</t>
        </is>
      </c>
      <c r="AC27" t="inlineStr">
        <is>
          <t>Jr. Los Clavles 141 P. J  El Progreso 1er Sector</t>
        </is>
      </c>
      <c r="AE27" t="inlineStr">
        <is>
          <t>948041027</t>
        </is>
      </c>
      <c r="AF27" t="inlineStr">
        <is>
          <t>jlzapata91@gmail.com</t>
        </is>
      </c>
      <c r="AG27" t="inlineStr">
        <is>
          <t>LIMA</t>
        </is>
      </c>
      <c r="AH27" t="inlineStr">
        <is>
          <t>CARABAYLLO</t>
        </is>
      </c>
      <c r="AI27" s="75" t="n">
        <v>45656</v>
      </c>
      <c r="AJ27" s="75" t="n">
        <v>45722</v>
      </c>
      <c r="AK27" t="inlineStr">
        <is>
          <t>CUOTA INICIAL</t>
        </is>
      </c>
      <c r="AL27" t="n">
        <v>3</v>
      </c>
      <c r="AM27" t="n">
        <v>67000</v>
      </c>
      <c r="AN27" t="n">
        <v>0</v>
      </c>
      <c r="AO27" t="n">
        <v>0</v>
      </c>
      <c r="AP27" s="39" t="n">
        <v>0</v>
      </c>
      <c r="AQ27" s="39" t="n">
        <v>2000</v>
      </c>
      <c r="AR27" s="39" t="n">
        <v>0</v>
      </c>
      <c r="AS27" t="n">
        <v>0</v>
      </c>
      <c r="AT27" t="inlineStr">
        <is>
          <t>Ahorro</t>
        </is>
      </c>
      <c r="AU27" t="inlineStr">
        <is>
          <t>Scotiabank Perú</t>
        </is>
      </c>
      <c r="AV27" t="inlineStr">
        <is>
          <t>000-2768484</t>
        </is>
      </c>
      <c r="AW27" t="inlineStr">
        <is>
          <t>TRANSFERENCIA BANCARIA</t>
        </is>
      </c>
      <c r="AY27" t="inlineStr">
        <is>
          <t>7844655541508</t>
        </is>
      </c>
      <c r="AZ27" t="inlineStr">
        <is>
          <t>No</t>
        </is>
      </c>
      <c r="BB27" t="n">
        <v>4</v>
      </c>
      <c r="BC27" t="inlineStr">
        <is>
          <t>CANCELADO</t>
        </is>
      </c>
      <c r="BN27" t="inlineStr">
        <is>
          <t>Si</t>
        </is>
      </c>
      <c r="BO27" s="76" t="n">
        <v>45488.65486111111</v>
      </c>
      <c r="BP27" t="inlineStr">
        <is>
          <t>Carla Michue M</t>
        </is>
      </c>
      <c r="BR27" t="n">
        <v>6</v>
      </c>
      <c r="BS27" t="inlineStr">
        <is>
          <t>29/06/2026 01:08</t>
        </is>
      </c>
      <c r="BW27" t="inlineStr">
        <is>
          <t>Cobranzas_2024.csv</t>
        </is>
      </c>
      <c r="BX27" t="n">
        <v>2024</v>
      </c>
      <c r="BY27" t="inlineStr">
        <is>
          <t>01/01/2024</t>
        </is>
      </c>
      <c r="BZ27" t="inlineStr">
        <is>
          <t>30/06/2031</t>
        </is>
      </c>
    </row>
    <row r="28">
      <c r="A28" t="inlineStr">
        <is>
          <t>RESIDENCIAL PRADA</t>
        </is>
      </c>
      <c r="B28" t="inlineStr">
        <is>
          <t>Etapa 1</t>
        </is>
      </c>
      <c r="C28" t="inlineStr">
        <is>
          <t>Edificio</t>
        </is>
      </c>
      <c r="D28" t="inlineStr">
        <is>
          <t>A</t>
        </is>
      </c>
      <c r="E28" t="inlineStr">
        <is>
          <t>Departamento</t>
        </is>
      </c>
      <c r="F28" t="inlineStr">
        <is>
          <t>501</t>
        </is>
      </c>
      <c r="G28" s="39" t="n">
        <v>612000</v>
      </c>
      <c r="H28" s="39" t="n">
        <v>612000</v>
      </c>
      <c r="M28" s="39" t="n"/>
      <c r="N28" s="39" t="n"/>
      <c r="S28" s="39" t="n"/>
      <c r="T28" s="39" t="n"/>
      <c r="Y28" s="39" t="n"/>
      <c r="Z28" s="39" t="n"/>
      <c r="AA28" t="inlineStr">
        <is>
          <t>Juan Carlos Ángeles Milla</t>
        </is>
      </c>
      <c r="AB28" t="inlineStr">
        <is>
          <t>32403305</t>
        </is>
      </c>
      <c r="AC28" t="inlineStr">
        <is>
          <t>Av. Miraflores 218</t>
        </is>
      </c>
      <c r="AE28" t="inlineStr">
        <is>
          <t>942097700</t>
        </is>
      </c>
      <c r="AF28" t="inlineStr">
        <is>
          <t>Vidang72@hotmail.com</t>
        </is>
      </c>
      <c r="AG28" t="inlineStr">
        <is>
          <t>HUAYLAS</t>
        </is>
      </c>
      <c r="AH28" t="inlineStr">
        <is>
          <t>HUAYLAS</t>
        </is>
      </c>
      <c r="AI28" s="75" t="n">
        <v>45520</v>
      </c>
      <c r="AJ28" s="75" t="n">
        <v>45520</v>
      </c>
      <c r="AK28" t="inlineStr">
        <is>
          <t>SEPARACION</t>
        </is>
      </c>
      <c r="AL28" t="n">
        <v>1</v>
      </c>
      <c r="AM28" t="n">
        <v>3000</v>
      </c>
      <c r="AN28" t="n">
        <v>0</v>
      </c>
      <c r="AO28" t="n">
        <v>0</v>
      </c>
      <c r="AP28" s="39" t="n">
        <v>3000</v>
      </c>
      <c r="AQ28" s="39" t="n">
        <v>3000</v>
      </c>
      <c r="AR28" s="39" t="n">
        <v>0</v>
      </c>
      <c r="AS28" t="n">
        <v>0</v>
      </c>
      <c r="AT28" t="inlineStr">
        <is>
          <t>Ahorro</t>
        </is>
      </c>
      <c r="AU28" t="inlineStr">
        <is>
          <t>Scotiabank Perú</t>
        </is>
      </c>
      <c r="AV28" t="inlineStr">
        <is>
          <t>000-2768484</t>
        </is>
      </c>
      <c r="AW28" t="inlineStr">
        <is>
          <t>TRANSFERENCIA BANCARIA</t>
        </is>
      </c>
      <c r="AX28" t="n">
        <v>32403305</v>
      </c>
      <c r="AY28" t="inlineStr">
        <is>
          <t>02431073</t>
        </is>
      </c>
      <c r="AZ28" t="inlineStr">
        <is>
          <t>No</t>
        </is>
      </c>
      <c r="BA28" t="inlineStr">
        <is>
          <t>NO PRECISA</t>
        </is>
      </c>
      <c r="BB28" t="n">
        <v>1</v>
      </c>
      <c r="BC28" t="inlineStr">
        <is>
          <t>CANCELADO</t>
        </is>
      </c>
      <c r="BN28" t="inlineStr">
        <is>
          <t>Si</t>
        </is>
      </c>
      <c r="BO28" s="76" t="n">
        <v>45541.59444444445</v>
      </c>
      <c r="BP28" t="inlineStr">
        <is>
          <t>Carla Michue M</t>
        </is>
      </c>
      <c r="BR28" t="n">
        <v>21</v>
      </c>
      <c r="BS28" t="inlineStr">
        <is>
          <t>29/05/2026 12:21</t>
        </is>
      </c>
      <c r="BW28" t="inlineStr">
        <is>
          <t>Cobranzas_2024.csv</t>
        </is>
      </c>
      <c r="BX28" t="n">
        <v>2024</v>
      </c>
      <c r="BY28" t="inlineStr">
        <is>
          <t>01/01/2024</t>
        </is>
      </c>
      <c r="BZ28" t="inlineStr">
        <is>
          <t>30/06/2031</t>
        </is>
      </c>
    </row>
    <row r="29">
      <c r="A29" t="inlineStr">
        <is>
          <t>RESIDENCIAL PRADA</t>
        </is>
      </c>
      <c r="B29" t="inlineStr">
        <is>
          <t>Etapa 1</t>
        </is>
      </c>
      <c r="C29" t="inlineStr">
        <is>
          <t>Edificio</t>
        </is>
      </c>
      <c r="D29" t="inlineStr">
        <is>
          <t>A</t>
        </is>
      </c>
      <c r="E29" t="inlineStr">
        <is>
          <t>Departamento</t>
        </is>
      </c>
      <c r="F29" t="inlineStr">
        <is>
          <t>501</t>
        </is>
      </c>
      <c r="G29" s="39" t="n">
        <v>612000</v>
      </c>
      <c r="H29" s="39" t="n">
        <v>612000</v>
      </c>
      <c r="M29" s="39" t="n"/>
      <c r="N29" s="39" t="n"/>
      <c r="S29" s="39" t="n"/>
      <c r="T29" s="39" t="n"/>
      <c r="Y29" s="39" t="n"/>
      <c r="Z29" s="39" t="n"/>
      <c r="AA29" t="inlineStr">
        <is>
          <t>Juan Carlos Ángeles Milla</t>
        </is>
      </c>
      <c r="AB29" t="inlineStr">
        <is>
          <t>32403305</t>
        </is>
      </c>
      <c r="AC29" t="inlineStr">
        <is>
          <t>Av. Miraflores 218</t>
        </is>
      </c>
      <c r="AE29" t="inlineStr">
        <is>
          <t>942097700</t>
        </is>
      </c>
      <c r="AF29" t="inlineStr">
        <is>
          <t>Vidang72@hotmail.com</t>
        </is>
      </c>
      <c r="AG29" t="inlineStr">
        <is>
          <t>HUAYLAS</t>
        </is>
      </c>
      <c r="AH29" t="inlineStr">
        <is>
          <t>HUAYLAS</t>
        </is>
      </c>
      <c r="AI29" s="75" t="n">
        <v>45541</v>
      </c>
      <c r="AJ29" s="75" t="n">
        <v>45541</v>
      </c>
      <c r="AK29" t="inlineStr">
        <is>
          <t>CUOTA INICIAL</t>
        </is>
      </c>
      <c r="AL29" t="n">
        <v>2</v>
      </c>
      <c r="AM29" t="n">
        <v>29500</v>
      </c>
      <c r="AN29" t="n">
        <v>0</v>
      </c>
      <c r="AO29" t="n">
        <v>0</v>
      </c>
      <c r="AP29" s="39" t="n">
        <v>29500</v>
      </c>
      <c r="AQ29" s="39" t="n">
        <v>29500</v>
      </c>
      <c r="AR29" s="39" t="n">
        <v>0</v>
      </c>
      <c r="AS29" t="n">
        <v>0</v>
      </c>
      <c r="AT29" t="inlineStr">
        <is>
          <t>Ahorro</t>
        </is>
      </c>
      <c r="AU29" t="inlineStr">
        <is>
          <t>Scotiabank Perú</t>
        </is>
      </c>
      <c r="AV29" t="inlineStr">
        <is>
          <t>000-2768484</t>
        </is>
      </c>
      <c r="AW29" t="inlineStr">
        <is>
          <t>TRANSFERENCIA BANCARIA</t>
        </is>
      </c>
      <c r="AX29" t="n">
        <v>32403305</v>
      </c>
      <c r="AY29" t="inlineStr">
        <is>
          <t>0500010059</t>
        </is>
      </c>
      <c r="AZ29" t="inlineStr">
        <is>
          <t>No</t>
        </is>
      </c>
      <c r="BA29" t="inlineStr">
        <is>
          <t>NO PRECISA</t>
        </is>
      </c>
      <c r="BB29" t="n">
        <v>1</v>
      </c>
      <c r="BC29" t="inlineStr">
        <is>
          <t>CANCELADO</t>
        </is>
      </c>
      <c r="BN29" t="inlineStr">
        <is>
          <t>Si</t>
        </is>
      </c>
      <c r="BO29" s="76" t="n">
        <v>45541.59444444445</v>
      </c>
      <c r="BP29" t="inlineStr">
        <is>
          <t>Carla Michue M</t>
        </is>
      </c>
      <c r="BR29" t="n">
        <v>21</v>
      </c>
      <c r="BS29" t="inlineStr">
        <is>
          <t>29/05/2026 12:21</t>
        </is>
      </c>
      <c r="BW29" t="inlineStr">
        <is>
          <t>Cobranzas_2024.csv</t>
        </is>
      </c>
      <c r="BX29" t="n">
        <v>2024</v>
      </c>
      <c r="BY29" t="inlineStr">
        <is>
          <t>01/01/2024</t>
        </is>
      </c>
      <c r="BZ29" t="inlineStr">
        <is>
          <t>30/06/2031</t>
        </is>
      </c>
    </row>
    <row r="30">
      <c r="A30" t="inlineStr">
        <is>
          <t>RESIDENCIAL PRADA</t>
        </is>
      </c>
      <c r="B30" t="inlineStr">
        <is>
          <t>Etapa 1</t>
        </is>
      </c>
      <c r="C30" t="inlineStr">
        <is>
          <t>Edificio</t>
        </is>
      </c>
      <c r="D30" t="inlineStr">
        <is>
          <t>A</t>
        </is>
      </c>
      <c r="E30" t="inlineStr">
        <is>
          <t>Departamento</t>
        </is>
      </c>
      <c r="F30" t="inlineStr">
        <is>
          <t>403</t>
        </is>
      </c>
      <c r="G30" s="39" t="n">
        <v>654000</v>
      </c>
      <c r="H30" s="39" t="n">
        <v>654000</v>
      </c>
      <c r="M30" s="39" t="n"/>
      <c r="N30" s="39" t="n"/>
      <c r="S30" s="39" t="n"/>
      <c r="T30" s="39" t="n"/>
      <c r="Y30" s="39" t="n"/>
      <c r="Z30" s="39" t="n"/>
      <c r="AA30" t="inlineStr">
        <is>
          <t>Liliana Lucila Luciano Claros</t>
        </is>
      </c>
      <c r="AB30" t="inlineStr">
        <is>
          <t>15764694</t>
        </is>
      </c>
      <c r="AC30" t="inlineStr">
        <is>
          <t xml:space="preserve">MZ M5 – Lt. 7 urb. Paseo del Mar </t>
        </is>
      </c>
      <c r="AE30" t="inlineStr">
        <is>
          <t>982406857</t>
        </is>
      </c>
      <c r="AF30" t="inlineStr">
        <is>
          <t>liliana31_micaela@hotmail.com</t>
        </is>
      </c>
      <c r="AG30" t="inlineStr">
        <is>
          <t>SANTA</t>
        </is>
      </c>
      <c r="AH30" t="inlineStr">
        <is>
          <t>NUEVO CHIMBOTE</t>
        </is>
      </c>
      <c r="AI30" s="75" t="n">
        <v>45586</v>
      </c>
      <c r="AJ30" s="75" t="n">
        <v>45586</v>
      </c>
      <c r="AK30" t="inlineStr">
        <is>
          <t>SEPARACION</t>
        </is>
      </c>
      <c r="AL30" t="n">
        <v>1</v>
      </c>
      <c r="AM30" t="n">
        <v>3000</v>
      </c>
      <c r="AN30" t="n">
        <v>0</v>
      </c>
      <c r="AO30" t="n">
        <v>0</v>
      </c>
      <c r="AP30" s="39" t="n">
        <v>3000</v>
      </c>
      <c r="AQ30" s="39" t="n">
        <v>3000</v>
      </c>
      <c r="AR30" s="39" t="n">
        <v>0</v>
      </c>
      <c r="AS30" t="n">
        <v>0</v>
      </c>
      <c r="AT30" t="inlineStr">
        <is>
          <t>Crédito Hipotecario</t>
        </is>
      </c>
      <c r="AU30" t="inlineStr">
        <is>
          <t>Scotiabank Perú</t>
        </is>
      </c>
      <c r="AV30" t="inlineStr">
        <is>
          <t>000-2768484</t>
        </is>
      </c>
      <c r="AW30" t="inlineStr">
        <is>
          <t>EFECTIVO</t>
        </is>
      </c>
      <c r="AX30" t="n">
        <v>15764694</v>
      </c>
      <c r="AY30" t="inlineStr">
        <is>
          <t>0500010056</t>
        </is>
      </c>
      <c r="AZ30" t="inlineStr">
        <is>
          <t>No</t>
        </is>
      </c>
      <c r="BA30" t="inlineStr">
        <is>
          <t>NO PRECISA</t>
        </is>
      </c>
      <c r="BB30" t="n">
        <v>1</v>
      </c>
      <c r="BC30" t="inlineStr">
        <is>
          <t>CANCELADO</t>
        </is>
      </c>
      <c r="BN30" t="inlineStr">
        <is>
          <t>Si</t>
        </is>
      </c>
      <c r="BO30" s="76" t="n">
        <v>45619.38611111111</v>
      </c>
      <c r="BP30" t="inlineStr">
        <is>
          <t>Carla Michue M</t>
        </is>
      </c>
      <c r="BR30" t="n">
        <v>1</v>
      </c>
      <c r="BS30" t="inlineStr">
        <is>
          <t>29/05/2026 12:20</t>
        </is>
      </c>
      <c r="BW30" t="inlineStr">
        <is>
          <t>Cobranzas_2024.csv</t>
        </is>
      </c>
      <c r="BX30" t="n">
        <v>2024</v>
      </c>
      <c r="BY30" t="inlineStr">
        <is>
          <t>01/01/2024</t>
        </is>
      </c>
      <c r="BZ30" t="inlineStr">
        <is>
          <t>30/06/2031</t>
        </is>
      </c>
    </row>
    <row r="31">
      <c r="A31" t="inlineStr">
        <is>
          <t>RESIDENCIAL PRADA</t>
        </is>
      </c>
      <c r="B31" t="inlineStr">
        <is>
          <t>Etapa 1</t>
        </is>
      </c>
      <c r="C31" t="inlineStr">
        <is>
          <t>Edificio</t>
        </is>
      </c>
      <c r="D31" t="inlineStr">
        <is>
          <t>A</t>
        </is>
      </c>
      <c r="E31" t="inlineStr">
        <is>
          <t>Departamento</t>
        </is>
      </c>
      <c r="F31" t="inlineStr">
        <is>
          <t>403</t>
        </is>
      </c>
      <c r="G31" s="39" t="n">
        <v>654000</v>
      </c>
      <c r="H31" s="39" t="n">
        <v>654000</v>
      </c>
      <c r="M31" s="39" t="n"/>
      <c r="N31" s="39" t="n"/>
      <c r="S31" s="39" t="n"/>
      <c r="T31" s="39" t="n"/>
      <c r="Y31" s="39" t="n"/>
      <c r="Z31" s="39" t="n"/>
      <c r="AA31" t="inlineStr">
        <is>
          <t>Liliana Lucila Luciano Claros</t>
        </is>
      </c>
      <c r="AB31" t="inlineStr">
        <is>
          <t>15764694</t>
        </is>
      </c>
      <c r="AC31" t="inlineStr">
        <is>
          <t xml:space="preserve">MZ M5 – Lt. 7 urb. Paseo del Mar </t>
        </is>
      </c>
      <c r="AE31" t="inlineStr">
        <is>
          <t>982406857</t>
        </is>
      </c>
      <c r="AF31" t="inlineStr">
        <is>
          <t>liliana31_micaela@hotmail.com</t>
        </is>
      </c>
      <c r="AG31" t="inlineStr">
        <is>
          <t>SANTA</t>
        </is>
      </c>
      <c r="AH31" t="inlineStr">
        <is>
          <t>NUEVO CHIMBOTE</t>
        </is>
      </c>
      <c r="AI31" s="75" t="n">
        <v>45619</v>
      </c>
      <c r="AJ31" s="75" t="n">
        <v>45619</v>
      </c>
      <c r="AK31" t="inlineStr">
        <is>
          <t>CUOTA INICIAL</t>
        </is>
      </c>
      <c r="AL31" t="n">
        <v>2</v>
      </c>
      <c r="AM31" t="n">
        <v>97800</v>
      </c>
      <c r="AN31" t="n">
        <v>0</v>
      </c>
      <c r="AO31" t="n">
        <v>0</v>
      </c>
      <c r="AP31" s="39" t="n">
        <v>97800</v>
      </c>
      <c r="AQ31" s="39" t="n">
        <v>97800</v>
      </c>
      <c r="AR31" s="39" t="n">
        <v>0</v>
      </c>
      <c r="AS31" t="n">
        <v>0</v>
      </c>
      <c r="AT31" t="inlineStr">
        <is>
          <t>Crédito Hipotecario</t>
        </is>
      </c>
      <c r="AU31" t="inlineStr">
        <is>
          <t>Scotiabank Perú</t>
        </is>
      </c>
      <c r="AV31" t="inlineStr">
        <is>
          <t>000-2768484</t>
        </is>
      </c>
      <c r="AW31" t="inlineStr">
        <is>
          <t>TRANSFERENCIA BANCARIA</t>
        </is>
      </c>
      <c r="AY31" t="inlineStr">
        <is>
          <t>12007725</t>
        </is>
      </c>
      <c r="AZ31" t="inlineStr">
        <is>
          <t>No</t>
        </is>
      </c>
      <c r="BB31" t="n">
        <v>4</v>
      </c>
      <c r="BC31" t="inlineStr">
        <is>
          <t>CANCELADO</t>
        </is>
      </c>
      <c r="BN31" t="inlineStr">
        <is>
          <t>Si</t>
        </is>
      </c>
      <c r="BO31" s="76" t="n">
        <v>45619.38611111111</v>
      </c>
      <c r="BP31" t="inlineStr">
        <is>
          <t>Carla Michue M</t>
        </is>
      </c>
      <c r="BR31" t="n">
        <v>1</v>
      </c>
      <c r="BS31" t="inlineStr">
        <is>
          <t>07/07/2026 09:30</t>
        </is>
      </c>
      <c r="BW31" t="inlineStr">
        <is>
          <t>Cobranzas_2024.csv</t>
        </is>
      </c>
      <c r="BX31" t="n">
        <v>2024</v>
      </c>
      <c r="BY31" t="inlineStr">
        <is>
          <t>01/01/2024</t>
        </is>
      </c>
      <c r="BZ31" t="inlineStr">
        <is>
          <t>30/06/2031</t>
        </is>
      </c>
    </row>
    <row r="32">
      <c r="A32" t="inlineStr">
        <is>
          <t>RESIDENCIAL PRADA</t>
        </is>
      </c>
      <c r="B32" t="inlineStr">
        <is>
          <t>Etapa 1</t>
        </is>
      </c>
      <c r="C32" t="inlineStr">
        <is>
          <t>Edificio</t>
        </is>
      </c>
      <c r="D32" t="inlineStr">
        <is>
          <t>A</t>
        </is>
      </c>
      <c r="E32" t="inlineStr">
        <is>
          <t>Departamento</t>
        </is>
      </c>
      <c r="F32" t="inlineStr">
        <is>
          <t>403</t>
        </is>
      </c>
      <c r="G32" s="39" t="n">
        <v>654000</v>
      </c>
      <c r="H32" s="39" t="n">
        <v>654000</v>
      </c>
      <c r="M32" s="39" t="n"/>
      <c r="N32" s="39" t="n"/>
      <c r="S32" s="39" t="n"/>
      <c r="T32" s="39" t="n"/>
      <c r="Y32" s="39" t="n"/>
      <c r="Z32" s="39" t="n"/>
      <c r="AA32" t="inlineStr">
        <is>
          <t>Liliana Lucila Luciano Claros</t>
        </is>
      </c>
      <c r="AB32" t="inlineStr">
        <is>
          <t>15764694</t>
        </is>
      </c>
      <c r="AC32" t="inlineStr">
        <is>
          <t xml:space="preserve">MZ M5 – Lt. 7 urb. Paseo del Mar </t>
        </is>
      </c>
      <c r="AE32" t="inlineStr">
        <is>
          <t>982406857</t>
        </is>
      </c>
      <c r="AF32" t="inlineStr">
        <is>
          <t>liliana31_micaela@hotmail.com</t>
        </is>
      </c>
      <c r="AG32" t="inlineStr">
        <is>
          <t>SANTA</t>
        </is>
      </c>
      <c r="AH32" t="inlineStr">
        <is>
          <t>NUEVO CHIMBOTE</t>
        </is>
      </c>
      <c r="AI32" s="75" t="n">
        <v>45631</v>
      </c>
      <c r="AJ32" s="75" t="n">
        <v>45631</v>
      </c>
      <c r="AK32" t="inlineStr">
        <is>
          <t>CUOTA INICIAL</t>
        </is>
      </c>
      <c r="AL32" t="n">
        <v>3</v>
      </c>
      <c r="AM32" t="n">
        <v>30000</v>
      </c>
      <c r="AN32" t="n">
        <v>0</v>
      </c>
      <c r="AO32" t="n">
        <v>0</v>
      </c>
      <c r="AP32" s="39" t="n">
        <v>30000</v>
      </c>
      <c r="AQ32" s="39" t="n">
        <v>30000</v>
      </c>
      <c r="AR32" s="39" t="n">
        <v>0</v>
      </c>
      <c r="AS32" t="n">
        <v>0</v>
      </c>
      <c r="AT32" t="inlineStr">
        <is>
          <t>Crédito Hipotecario</t>
        </is>
      </c>
      <c r="AU32" t="inlineStr">
        <is>
          <t>Scotiabank Perú</t>
        </is>
      </c>
      <c r="AV32" t="inlineStr">
        <is>
          <t>000-2768484</t>
        </is>
      </c>
      <c r="AW32" t="inlineStr">
        <is>
          <t>DEPOSITO EN CUENTA</t>
        </is>
      </c>
      <c r="AX32" t="n">
        <v>15764694</v>
      </c>
      <c r="AY32" t="inlineStr">
        <is>
          <t>05000010069</t>
        </is>
      </c>
      <c r="AZ32" t="inlineStr">
        <is>
          <t>No</t>
        </is>
      </c>
      <c r="BA32" t="inlineStr">
        <is>
          <t>NO PRECISA</t>
        </is>
      </c>
      <c r="BB32" t="n">
        <v>1</v>
      </c>
      <c r="BC32" t="inlineStr">
        <is>
          <t>CANCELADO</t>
        </is>
      </c>
      <c r="BN32" t="inlineStr">
        <is>
          <t>Si</t>
        </is>
      </c>
      <c r="BO32" s="76" t="n">
        <v>45619.38611111111</v>
      </c>
      <c r="BP32" t="inlineStr">
        <is>
          <t>Carla Michue M</t>
        </is>
      </c>
      <c r="BR32" t="n">
        <v>1</v>
      </c>
      <c r="BS32" t="inlineStr">
        <is>
          <t>29/05/2026 12:20</t>
        </is>
      </c>
      <c r="BW32" t="inlineStr">
        <is>
          <t>Cobranzas_2024.csv</t>
        </is>
      </c>
      <c r="BX32" t="n">
        <v>2024</v>
      </c>
      <c r="BY32" t="inlineStr">
        <is>
          <t>01/01/2024</t>
        </is>
      </c>
      <c r="BZ32" t="inlineStr">
        <is>
          <t>30/06/2031</t>
        </is>
      </c>
    </row>
    <row r="33">
      <c r="A33" t="inlineStr">
        <is>
          <t>RESIDENCIAL PRADA</t>
        </is>
      </c>
      <c r="B33" t="inlineStr">
        <is>
          <t>Etapa 1</t>
        </is>
      </c>
      <c r="C33" t="inlineStr">
        <is>
          <t>Edificio</t>
        </is>
      </c>
      <c r="D33" t="inlineStr">
        <is>
          <t>A</t>
        </is>
      </c>
      <c r="E33" t="inlineStr">
        <is>
          <t>Departamento</t>
        </is>
      </c>
      <c r="F33" t="inlineStr">
        <is>
          <t>403</t>
        </is>
      </c>
      <c r="G33" s="39" t="n">
        <v>654000</v>
      </c>
      <c r="H33" s="39" t="n">
        <v>654000</v>
      </c>
      <c r="M33" s="39" t="n"/>
      <c r="N33" s="39" t="n"/>
      <c r="S33" s="39" t="n"/>
      <c r="T33" s="39" t="n"/>
      <c r="Y33" s="39" t="n"/>
      <c r="Z33" s="39" t="n"/>
      <c r="AA33" t="inlineStr">
        <is>
          <t>Liliana Lucila Luciano Claros</t>
        </is>
      </c>
      <c r="AB33" t="inlineStr">
        <is>
          <t>15764694</t>
        </is>
      </c>
      <c r="AC33" t="inlineStr">
        <is>
          <t xml:space="preserve">MZ M5 – Lt. 7 urb. Paseo del Mar </t>
        </is>
      </c>
      <c r="AE33" t="inlineStr">
        <is>
          <t>982406857</t>
        </is>
      </c>
      <c r="AF33" t="inlineStr">
        <is>
          <t>liliana31_micaela@hotmail.com</t>
        </is>
      </c>
      <c r="AG33" t="inlineStr">
        <is>
          <t>SANTA</t>
        </is>
      </c>
      <c r="AH33" t="inlineStr">
        <is>
          <t>NUEVO CHIMBOTE</t>
        </is>
      </c>
      <c r="AI33" s="75" t="n">
        <v>45657</v>
      </c>
      <c r="AJ33" s="75" t="n">
        <v>45723</v>
      </c>
      <c r="AK33" t="inlineStr">
        <is>
          <t>SALDO FINANCIAR</t>
        </is>
      </c>
      <c r="AL33" t="n">
        <v>4</v>
      </c>
      <c r="AM33" t="n">
        <v>523200</v>
      </c>
      <c r="AN33" t="n">
        <v>0</v>
      </c>
      <c r="AO33" t="n">
        <v>0</v>
      </c>
      <c r="AP33" s="39" t="n">
        <v>523200</v>
      </c>
      <c r="AQ33" s="39" t="n">
        <v>523200</v>
      </c>
      <c r="AR33" s="39" t="n">
        <v>0</v>
      </c>
      <c r="AS33" t="n">
        <v>0</v>
      </c>
      <c r="AT33" t="inlineStr">
        <is>
          <t>Crédito Hipotecario</t>
        </is>
      </c>
      <c r="AU33" t="inlineStr">
        <is>
          <t>Scotiabank Perú</t>
        </is>
      </c>
      <c r="AV33" t="inlineStr">
        <is>
          <t>000-2768484</t>
        </is>
      </c>
      <c r="AW33" t="inlineStr">
        <is>
          <t>TRANSFERENCIA BANCARIA</t>
        </is>
      </c>
      <c r="AY33" t="inlineStr">
        <is>
          <t>07032025</t>
        </is>
      </c>
      <c r="AZ33" t="inlineStr">
        <is>
          <t>Si</t>
        </is>
      </c>
      <c r="BB33" t="n">
        <v>4</v>
      </c>
      <c r="BC33" t="inlineStr">
        <is>
          <t>CANCELADO</t>
        </is>
      </c>
      <c r="BN33" t="inlineStr">
        <is>
          <t>Si</t>
        </is>
      </c>
      <c r="BO33" s="76" t="n">
        <v>45619.38611111111</v>
      </c>
      <c r="BP33" t="inlineStr">
        <is>
          <t>Carla Michue M</t>
        </is>
      </c>
      <c r="BR33" t="n">
        <v>1</v>
      </c>
      <c r="BS33" t="inlineStr">
        <is>
          <t>07/07/2026 09:31</t>
        </is>
      </c>
      <c r="BW33" t="inlineStr">
        <is>
          <t>Cobranzas_2024.csv</t>
        </is>
      </c>
      <c r="BX33" t="n">
        <v>2024</v>
      </c>
      <c r="BY33" t="inlineStr">
        <is>
          <t>01/01/2024</t>
        </is>
      </c>
      <c r="BZ33" t="inlineStr">
        <is>
          <t>30/06/2031</t>
        </is>
      </c>
    </row>
    <row r="34">
      <c r="A34" t="inlineStr">
        <is>
          <t>RESIDENCIAL PRADA</t>
        </is>
      </c>
      <c r="B34" t="inlineStr">
        <is>
          <t>Etapa 1</t>
        </is>
      </c>
      <c r="C34" t="inlineStr">
        <is>
          <t>Edificio</t>
        </is>
      </c>
      <c r="D34" t="inlineStr">
        <is>
          <t>A</t>
        </is>
      </c>
      <c r="E34" t="inlineStr">
        <is>
          <t>Departamento</t>
        </is>
      </c>
      <c r="F34" t="inlineStr">
        <is>
          <t>603</t>
        </is>
      </c>
      <c r="G34" s="39" t="n">
        <v>654000</v>
      </c>
      <c r="H34" s="39" t="n">
        <v>654000</v>
      </c>
      <c r="M34" s="39" t="n"/>
      <c r="N34" s="39" t="n"/>
      <c r="S34" s="39" t="n"/>
      <c r="T34" s="39" t="n"/>
      <c r="Y34" s="39" t="n"/>
      <c r="Z34" s="39" t="n"/>
      <c r="AA34" t="inlineStr">
        <is>
          <t>Luis Alberto Ovalle Huamanguilla</t>
        </is>
      </c>
      <c r="AB34" t="inlineStr">
        <is>
          <t>43953371</t>
        </is>
      </c>
      <c r="AC34" t="inlineStr">
        <is>
          <t>JR. NAPO NRO. 821</t>
        </is>
      </c>
      <c r="AE34" t="inlineStr">
        <is>
          <t>992764943</t>
        </is>
      </c>
      <c r="AF34" t="inlineStr">
        <is>
          <t>aovalle2212@gmail.com</t>
        </is>
      </c>
      <c r="AG34" t="inlineStr">
        <is>
          <t>LIMA</t>
        </is>
      </c>
      <c r="AH34" t="inlineStr">
        <is>
          <t>BREÑA</t>
        </is>
      </c>
      <c r="AI34" s="75" t="n">
        <v>45477</v>
      </c>
      <c r="AJ34" s="75" t="n">
        <v>45477</v>
      </c>
      <c r="AK34" t="inlineStr">
        <is>
          <t>SEPARACION</t>
        </is>
      </c>
      <c r="AL34" t="n">
        <v>1</v>
      </c>
      <c r="AM34" t="n">
        <v>3000</v>
      </c>
      <c r="AN34" t="n">
        <v>0</v>
      </c>
      <c r="AO34" t="n">
        <v>0</v>
      </c>
      <c r="AP34" s="39" t="n">
        <v>3000</v>
      </c>
      <c r="AQ34" s="39" t="n">
        <v>3000</v>
      </c>
      <c r="AR34" s="39" t="n">
        <v>0</v>
      </c>
      <c r="AS34" t="n">
        <v>0</v>
      </c>
      <c r="AT34" t="inlineStr">
        <is>
          <t>Ahorro</t>
        </is>
      </c>
      <c r="AU34" t="inlineStr">
        <is>
          <t>Scotiabank Perú</t>
        </is>
      </c>
      <c r="AV34" t="inlineStr">
        <is>
          <t>000-2768484</t>
        </is>
      </c>
      <c r="AW34" t="inlineStr">
        <is>
          <t>TRANSFERENCIA BANCARIA</t>
        </is>
      </c>
      <c r="AY34" t="inlineStr">
        <is>
          <t>901866</t>
        </is>
      </c>
      <c r="AZ34" t="inlineStr">
        <is>
          <t>No</t>
        </is>
      </c>
      <c r="BB34" t="n">
        <v>4</v>
      </c>
      <c r="BC34" t="inlineStr">
        <is>
          <t>CANCELADO</t>
        </is>
      </c>
      <c r="BN34" t="inlineStr">
        <is>
          <t>Si</t>
        </is>
      </c>
      <c r="BO34" s="76" t="n">
        <v>45567.69444444445</v>
      </c>
      <c r="BP34" t="inlineStr">
        <is>
          <t>Carla Michue M</t>
        </is>
      </c>
      <c r="BR34" t="n">
        <v>11</v>
      </c>
      <c r="BS34" t="inlineStr">
        <is>
          <t>07/07/2026 10:58</t>
        </is>
      </c>
      <c r="BW34" t="inlineStr">
        <is>
          <t>Cobranzas_2024.csv</t>
        </is>
      </c>
      <c r="BX34" t="n">
        <v>2024</v>
      </c>
      <c r="BY34" t="inlineStr">
        <is>
          <t>01/01/2024</t>
        </is>
      </c>
      <c r="BZ34" t="inlineStr">
        <is>
          <t>30/06/2031</t>
        </is>
      </c>
    </row>
    <row r="35">
      <c r="A35" t="inlineStr">
        <is>
          <t>RESIDENCIAL PRADA</t>
        </is>
      </c>
      <c r="B35" t="inlineStr">
        <is>
          <t>Etapa 1</t>
        </is>
      </c>
      <c r="C35" t="inlineStr">
        <is>
          <t>Edificio</t>
        </is>
      </c>
      <c r="D35" t="inlineStr">
        <is>
          <t>A</t>
        </is>
      </c>
      <c r="E35" t="inlineStr">
        <is>
          <t>Departamento</t>
        </is>
      </c>
      <c r="F35" t="inlineStr">
        <is>
          <t>603</t>
        </is>
      </c>
      <c r="G35" s="39" t="n">
        <v>654000</v>
      </c>
      <c r="H35" s="39" t="n">
        <v>654000</v>
      </c>
      <c r="M35" s="39" t="n"/>
      <c r="N35" s="39" t="n"/>
      <c r="S35" s="39" t="n"/>
      <c r="T35" s="39" t="n"/>
      <c r="Y35" s="39" t="n"/>
      <c r="Z35" s="39" t="n"/>
      <c r="AA35" t="inlineStr">
        <is>
          <t>Luis Alberto Ovalle Huamanguilla</t>
        </is>
      </c>
      <c r="AB35" t="inlineStr">
        <is>
          <t>43953371</t>
        </is>
      </c>
      <c r="AC35" t="inlineStr">
        <is>
          <t>JR. NAPO NRO. 821</t>
        </is>
      </c>
      <c r="AE35" t="inlineStr">
        <is>
          <t>992764943</t>
        </is>
      </c>
      <c r="AF35" t="inlineStr">
        <is>
          <t>aovalle2212@gmail.com</t>
        </is>
      </c>
      <c r="AG35" t="inlineStr">
        <is>
          <t>LIMA</t>
        </is>
      </c>
      <c r="AH35" t="inlineStr">
        <is>
          <t>BREÑA</t>
        </is>
      </c>
      <c r="AI35" s="75" t="n">
        <v>45656</v>
      </c>
      <c r="AJ35" s="75" t="n">
        <v>45567</v>
      </c>
      <c r="AK35" t="inlineStr">
        <is>
          <t>SEPARACION</t>
        </is>
      </c>
      <c r="AL35" t="n">
        <v>5</v>
      </c>
      <c r="AM35" t="n">
        <v>5000</v>
      </c>
      <c r="AN35" t="n">
        <v>0</v>
      </c>
      <c r="AO35" t="n">
        <v>0</v>
      </c>
      <c r="AP35" s="39" t="n">
        <v>5000</v>
      </c>
      <c r="AQ35" s="39" t="n">
        <v>5000</v>
      </c>
      <c r="AR35" s="39" t="n">
        <v>0</v>
      </c>
      <c r="AS35" t="n">
        <v>0</v>
      </c>
      <c r="AT35" t="inlineStr">
        <is>
          <t>Ahorro</t>
        </is>
      </c>
      <c r="AU35" t="inlineStr">
        <is>
          <t>Scotiabank Perú</t>
        </is>
      </c>
      <c r="AV35" t="inlineStr">
        <is>
          <t>000-2768484</t>
        </is>
      </c>
      <c r="AW35" t="inlineStr">
        <is>
          <t>TRANSFERENCIA BANCARIA</t>
        </is>
      </c>
      <c r="AY35" t="inlineStr">
        <is>
          <t>06056215</t>
        </is>
      </c>
      <c r="AZ35" t="inlineStr">
        <is>
          <t>No</t>
        </is>
      </c>
      <c r="BB35" t="n">
        <v>4</v>
      </c>
      <c r="BC35" t="inlineStr">
        <is>
          <t>CANCELADO</t>
        </is>
      </c>
      <c r="BN35" t="inlineStr">
        <is>
          <t>Si</t>
        </is>
      </c>
      <c r="BO35" s="76" t="n">
        <v>45567.69444444445</v>
      </c>
      <c r="BP35" t="inlineStr">
        <is>
          <t>Carla Michue M</t>
        </is>
      </c>
      <c r="BR35" t="n">
        <v>11</v>
      </c>
      <c r="BS35" t="inlineStr">
        <is>
          <t>07/07/2026 11:03</t>
        </is>
      </c>
      <c r="BW35" t="inlineStr">
        <is>
          <t>Cobranzas_2024.csv</t>
        </is>
      </c>
      <c r="BX35" t="n">
        <v>2024</v>
      </c>
      <c r="BY35" t="inlineStr">
        <is>
          <t>01/01/2024</t>
        </is>
      </c>
      <c r="BZ35" t="inlineStr">
        <is>
          <t>30/06/2031</t>
        </is>
      </c>
    </row>
    <row r="36">
      <c r="A36" t="inlineStr">
        <is>
          <t>RESIDENCIAL PRADA</t>
        </is>
      </c>
      <c r="B36" t="inlineStr">
        <is>
          <t>Etapa 1</t>
        </is>
      </c>
      <c r="C36" t="inlineStr">
        <is>
          <t>Edificio</t>
        </is>
      </c>
      <c r="D36" t="inlineStr">
        <is>
          <t>A</t>
        </is>
      </c>
      <c r="E36" t="inlineStr">
        <is>
          <t>Departamento</t>
        </is>
      </c>
      <c r="F36" t="inlineStr">
        <is>
          <t>603</t>
        </is>
      </c>
      <c r="G36" s="39" t="n">
        <v>654000</v>
      </c>
      <c r="H36" s="39" t="n">
        <v>654000</v>
      </c>
      <c r="M36" s="39" t="n"/>
      <c r="N36" s="39" t="n"/>
      <c r="S36" s="39" t="n"/>
      <c r="T36" s="39" t="n"/>
      <c r="Y36" s="39" t="n"/>
      <c r="Z36" s="39" t="n"/>
      <c r="AA36" t="inlineStr">
        <is>
          <t>Luis Alberto Ovalle Huamanguilla</t>
        </is>
      </c>
      <c r="AB36" t="inlineStr">
        <is>
          <t>43953371</t>
        </is>
      </c>
      <c r="AC36" t="inlineStr">
        <is>
          <t>JR. NAPO NRO. 821</t>
        </is>
      </c>
      <c r="AE36" t="inlineStr">
        <is>
          <t>992764943</t>
        </is>
      </c>
      <c r="AF36" t="inlineStr">
        <is>
          <t>aovalle2212@gmail.com</t>
        </is>
      </c>
      <c r="AG36" t="inlineStr">
        <is>
          <t>LIMA</t>
        </is>
      </c>
      <c r="AH36" t="inlineStr">
        <is>
          <t>BREÑA</t>
        </is>
      </c>
      <c r="AI36" s="75" t="n">
        <v>45656</v>
      </c>
      <c r="AJ36" s="75" t="n">
        <v>45567</v>
      </c>
      <c r="AK36" t="inlineStr">
        <is>
          <t>CUOTA INICIAL</t>
        </is>
      </c>
      <c r="AL36" t="n">
        <v>1</v>
      </c>
      <c r="AM36" t="n">
        <v>57400</v>
      </c>
      <c r="AN36" t="n">
        <v>0</v>
      </c>
      <c r="AO36" t="n">
        <v>0</v>
      </c>
      <c r="AP36" s="39" t="n">
        <v>57400</v>
      </c>
      <c r="AQ36" s="39" t="n">
        <v>20000</v>
      </c>
      <c r="AR36" s="39" t="n">
        <v>0</v>
      </c>
      <c r="AS36" t="n">
        <v>0</v>
      </c>
      <c r="AT36" t="inlineStr">
        <is>
          <t>Ahorro</t>
        </is>
      </c>
      <c r="AU36" t="inlineStr">
        <is>
          <t>Scotiabank Perú</t>
        </is>
      </c>
      <c r="AV36" t="inlineStr">
        <is>
          <t>000-2768484</t>
        </is>
      </c>
      <c r="AW36" t="inlineStr">
        <is>
          <t>TRANSFERENCIA BANCARIA</t>
        </is>
      </c>
      <c r="AY36" t="inlineStr">
        <is>
          <t>06056215</t>
        </is>
      </c>
      <c r="AZ36" t="inlineStr">
        <is>
          <t>No</t>
        </is>
      </c>
      <c r="BB36" t="n">
        <v>4</v>
      </c>
      <c r="BC36" t="inlineStr">
        <is>
          <t>CANCELADO</t>
        </is>
      </c>
      <c r="BN36" t="inlineStr">
        <is>
          <t>Si</t>
        </is>
      </c>
      <c r="BO36" s="76" t="n">
        <v>45567.69444444445</v>
      </c>
      <c r="BP36" t="inlineStr">
        <is>
          <t>Carla Michue M</t>
        </is>
      </c>
      <c r="BR36" t="n">
        <v>11</v>
      </c>
      <c r="BS36" t="inlineStr">
        <is>
          <t>07/07/2026 11:03</t>
        </is>
      </c>
      <c r="BW36" t="inlineStr">
        <is>
          <t>Cobranzas_2024.csv</t>
        </is>
      </c>
      <c r="BX36" t="n">
        <v>2024</v>
      </c>
      <c r="BY36" t="inlineStr">
        <is>
          <t>01/01/2024</t>
        </is>
      </c>
      <c r="BZ36" t="inlineStr">
        <is>
          <t>30/06/2031</t>
        </is>
      </c>
    </row>
    <row r="37">
      <c r="A37" t="inlineStr">
        <is>
          <t>RESIDENCIAL PRADA</t>
        </is>
      </c>
      <c r="B37" t="inlineStr">
        <is>
          <t>Etapa 1</t>
        </is>
      </c>
      <c r="C37" t="inlineStr">
        <is>
          <t>Edificio</t>
        </is>
      </c>
      <c r="D37" t="inlineStr">
        <is>
          <t>A</t>
        </is>
      </c>
      <c r="E37" t="inlineStr">
        <is>
          <t>Departamento</t>
        </is>
      </c>
      <c r="F37" t="inlineStr">
        <is>
          <t>603</t>
        </is>
      </c>
      <c r="G37" s="39" t="n">
        <v>654000</v>
      </c>
      <c r="H37" s="39" t="n">
        <v>654000</v>
      </c>
      <c r="M37" s="39" t="n"/>
      <c r="N37" s="39" t="n"/>
      <c r="S37" s="39" t="n"/>
      <c r="T37" s="39" t="n"/>
      <c r="Y37" s="39" t="n"/>
      <c r="Z37" s="39" t="n"/>
      <c r="AA37" t="inlineStr">
        <is>
          <t>Luis Alberto Ovalle Huamanguilla</t>
        </is>
      </c>
      <c r="AB37" t="inlineStr">
        <is>
          <t>43953371</t>
        </is>
      </c>
      <c r="AC37" t="inlineStr">
        <is>
          <t>JR. NAPO NRO. 821</t>
        </is>
      </c>
      <c r="AE37" t="inlineStr">
        <is>
          <t>992764943</t>
        </is>
      </c>
      <c r="AF37" t="inlineStr">
        <is>
          <t>aovalle2212@gmail.com</t>
        </is>
      </c>
      <c r="AG37" t="inlineStr">
        <is>
          <t>LIMA</t>
        </is>
      </c>
      <c r="AH37" t="inlineStr">
        <is>
          <t>BREÑA</t>
        </is>
      </c>
      <c r="AI37" s="75" t="n">
        <v>45656</v>
      </c>
      <c r="AJ37" s="75" t="n">
        <v>45723</v>
      </c>
      <c r="AK37" t="inlineStr">
        <is>
          <t>CUOTA INICIAL</t>
        </is>
      </c>
      <c r="AL37" t="n">
        <v>1</v>
      </c>
      <c r="AM37" t="n">
        <v>0</v>
      </c>
      <c r="AN37" t="n">
        <v>0</v>
      </c>
      <c r="AO37" t="n">
        <v>0</v>
      </c>
      <c r="AP37" s="39" t="n">
        <v>0</v>
      </c>
      <c r="AQ37" s="39" t="n">
        <v>37400</v>
      </c>
      <c r="AR37" s="39" t="n">
        <v>0</v>
      </c>
      <c r="AS37" t="n">
        <v>0</v>
      </c>
      <c r="AT37" t="inlineStr">
        <is>
          <t>Ahorro</t>
        </is>
      </c>
      <c r="AU37" t="inlineStr">
        <is>
          <t>Scotiabank Perú</t>
        </is>
      </c>
      <c r="AV37" t="inlineStr">
        <is>
          <t>000-2768484</t>
        </is>
      </c>
      <c r="AW37" t="inlineStr">
        <is>
          <t>TRANSFERENCIA BANCARIA</t>
        </is>
      </c>
      <c r="AY37" t="inlineStr">
        <is>
          <t>U26926</t>
        </is>
      </c>
      <c r="AZ37" t="inlineStr">
        <is>
          <t>No</t>
        </is>
      </c>
      <c r="BB37" t="n">
        <v>4</v>
      </c>
      <c r="BC37" t="inlineStr">
        <is>
          <t>CANCELADO</t>
        </is>
      </c>
      <c r="BN37" t="inlineStr">
        <is>
          <t>Si</t>
        </is>
      </c>
      <c r="BO37" s="76" t="n">
        <v>45567.69444444445</v>
      </c>
      <c r="BP37" t="inlineStr">
        <is>
          <t>Carla Michue M</t>
        </is>
      </c>
      <c r="BR37" t="n">
        <v>11</v>
      </c>
      <c r="BS37" t="inlineStr">
        <is>
          <t>07/07/2026 11:04</t>
        </is>
      </c>
      <c r="BW37" t="inlineStr">
        <is>
          <t>Cobranzas_2024.csv</t>
        </is>
      </c>
      <c r="BX37" t="n">
        <v>2024</v>
      </c>
      <c r="BY37" t="inlineStr">
        <is>
          <t>01/01/2024</t>
        </is>
      </c>
      <c r="BZ37" t="inlineStr">
        <is>
          <t>30/06/2031</t>
        </is>
      </c>
    </row>
    <row r="38">
      <c r="A38" t="inlineStr">
        <is>
          <t>RESIDENCIAL PRADA</t>
        </is>
      </c>
      <c r="B38" t="inlineStr">
        <is>
          <t>Etapa 1</t>
        </is>
      </c>
      <c r="C38" t="inlineStr">
        <is>
          <t>Edificio</t>
        </is>
      </c>
      <c r="D38" t="inlineStr">
        <is>
          <t>A</t>
        </is>
      </c>
      <c r="E38" t="inlineStr">
        <is>
          <t>Departamento</t>
        </is>
      </c>
      <c r="F38" t="inlineStr">
        <is>
          <t>202</t>
        </is>
      </c>
      <c r="G38" s="39" t="n">
        <v>446900</v>
      </c>
      <c r="H38" s="39" t="n">
        <v>446900</v>
      </c>
      <c r="M38" s="39" t="n"/>
      <c r="N38" s="39" t="n"/>
      <c r="S38" s="39" t="n"/>
      <c r="T38" s="39" t="n"/>
      <c r="Y38" s="39" t="n"/>
      <c r="Z38" s="39" t="n"/>
      <c r="AA38" t="inlineStr">
        <is>
          <t>María Cristina Collazos Romero</t>
        </is>
      </c>
      <c r="AB38" t="inlineStr">
        <is>
          <t>31676885</t>
        </is>
      </c>
      <c r="AC38" t="inlineStr">
        <is>
          <t>Jr. Huandoy 242</t>
        </is>
      </c>
      <c r="AD38" t="n">
        <v>969870030</v>
      </c>
      <c r="AE38" t="inlineStr">
        <is>
          <t>969870030</t>
        </is>
      </c>
      <c r="AF38" t="inlineStr">
        <is>
          <t>gerenciasnacks1@gmail.com</t>
        </is>
      </c>
      <c r="AG38" t="inlineStr">
        <is>
          <t>HUARAZ</t>
        </is>
      </c>
      <c r="AH38" t="inlineStr">
        <is>
          <t>HUARAZ</t>
        </is>
      </c>
      <c r="AI38" s="75" t="n">
        <v>45526</v>
      </c>
      <c r="AJ38" s="75" t="n">
        <v>45526</v>
      </c>
      <c r="AK38" t="inlineStr">
        <is>
          <t>SEPARACION</t>
        </is>
      </c>
      <c r="AL38" t="n">
        <v>1</v>
      </c>
      <c r="AM38" t="n">
        <v>3000</v>
      </c>
      <c r="AN38" t="n">
        <v>0</v>
      </c>
      <c r="AO38" t="n">
        <v>0</v>
      </c>
      <c r="AP38" s="39" t="n">
        <v>3000</v>
      </c>
      <c r="AQ38" s="39" t="n">
        <v>3000</v>
      </c>
      <c r="AR38" s="39" t="n">
        <v>0</v>
      </c>
      <c r="AS38" t="n">
        <v>0</v>
      </c>
      <c r="AT38" t="inlineStr">
        <is>
          <t>Crédito Hipotecario</t>
        </is>
      </c>
      <c r="AU38" t="inlineStr">
        <is>
          <t>Scotiabank Perú</t>
        </is>
      </c>
      <c r="AV38" t="inlineStr">
        <is>
          <t>000-2768484</t>
        </is>
      </c>
      <c r="AW38" t="inlineStr">
        <is>
          <t>TRANSFERENCIA BANCARIA</t>
        </is>
      </c>
      <c r="AX38" t="n">
        <v>31676885</v>
      </c>
      <c r="AY38" t="inlineStr">
        <is>
          <t>0500010101</t>
        </is>
      </c>
      <c r="AZ38" t="inlineStr">
        <is>
          <t>No</t>
        </is>
      </c>
      <c r="BA38" t="inlineStr">
        <is>
          <t>NO PRECISA</t>
        </is>
      </c>
      <c r="BB38" t="n">
        <v>4</v>
      </c>
      <c r="BC38" t="inlineStr">
        <is>
          <t>CANCELADO</t>
        </is>
      </c>
      <c r="BN38" t="inlineStr">
        <is>
          <t>Si</t>
        </is>
      </c>
      <c r="BO38" s="76" t="n">
        <v>45911.60694444444</v>
      </c>
      <c r="BP38" t="inlineStr">
        <is>
          <t>Kenny Salazar S</t>
        </is>
      </c>
      <c r="BR38" t="n">
        <v>33</v>
      </c>
      <c r="BS38" t="inlineStr">
        <is>
          <t>02/06/2026 15:10</t>
        </is>
      </c>
      <c r="BW38" t="inlineStr">
        <is>
          <t>Cobranzas_2024.csv</t>
        </is>
      </c>
      <c r="BX38" t="n">
        <v>2024</v>
      </c>
      <c r="BY38" t="inlineStr">
        <is>
          <t>01/01/2024</t>
        </is>
      </c>
      <c r="BZ38" t="inlineStr">
        <is>
          <t>30/06/2031</t>
        </is>
      </c>
    </row>
    <row r="39">
      <c r="A39" t="inlineStr">
        <is>
          <t>RESIDENCIAL PRADA</t>
        </is>
      </c>
      <c r="B39" t="inlineStr">
        <is>
          <t>Etapa 1</t>
        </is>
      </c>
      <c r="C39" t="inlineStr">
        <is>
          <t>Edificio</t>
        </is>
      </c>
      <c r="D39" t="inlineStr">
        <is>
          <t>A</t>
        </is>
      </c>
      <c r="E39" t="inlineStr">
        <is>
          <t>Departamento</t>
        </is>
      </c>
      <c r="F39" t="inlineStr">
        <is>
          <t>505</t>
        </is>
      </c>
      <c r="G39" s="39" t="n">
        <v>490000</v>
      </c>
      <c r="H39" s="39" t="n">
        <v>490000</v>
      </c>
      <c r="M39" s="39" t="n"/>
      <c r="N39" s="39" t="n"/>
      <c r="S39" s="39" t="n"/>
      <c r="T39" s="39" t="n"/>
      <c r="Y39" s="39" t="n"/>
      <c r="Z39" s="39" t="n"/>
      <c r="AA39" t="inlineStr">
        <is>
          <t xml:space="preserve">Marina Francisca Vasquez Samaniego </t>
        </is>
      </c>
      <c r="AB39" t="inlineStr">
        <is>
          <t>19907001</t>
        </is>
      </c>
      <c r="AC39" t="inlineStr">
        <is>
          <t>Huandoy 887</t>
        </is>
      </c>
      <c r="AD39" t="n">
        <v>964247615</v>
      </c>
      <c r="AE39" t="inlineStr">
        <is>
          <t>964247615</t>
        </is>
      </c>
      <c r="AF39" t="inlineStr">
        <is>
          <t>francisca4547@hotmail.com</t>
        </is>
      </c>
      <c r="AG39" t="inlineStr">
        <is>
          <t>LIMA</t>
        </is>
      </c>
      <c r="AH39" t="inlineStr">
        <is>
          <t>SAN MIGUEL</t>
        </is>
      </c>
      <c r="AI39" s="75" t="n">
        <v>45617</v>
      </c>
      <c r="AJ39" s="75" t="n">
        <v>45617</v>
      </c>
      <c r="AK39" t="inlineStr">
        <is>
          <t>SEPARACION</t>
        </is>
      </c>
      <c r="AL39" t="n">
        <v>1</v>
      </c>
      <c r="AM39" t="n">
        <v>3000</v>
      </c>
      <c r="AN39" t="n">
        <v>0</v>
      </c>
      <c r="AO39" t="n">
        <v>0</v>
      </c>
      <c r="AP39" s="39" t="n">
        <v>3000</v>
      </c>
      <c r="AQ39" s="39" t="n">
        <v>3000</v>
      </c>
      <c r="AR39" s="39" t="n">
        <v>0</v>
      </c>
      <c r="AS39" t="n">
        <v>0</v>
      </c>
      <c r="AT39" t="inlineStr">
        <is>
          <t>Crédito Hipotecario</t>
        </is>
      </c>
      <c r="AU39" t="inlineStr">
        <is>
          <t>Scotiabank Perú</t>
        </is>
      </c>
      <c r="AV39" t="inlineStr">
        <is>
          <t>000-2768484</t>
        </is>
      </c>
      <c r="AW39" t="inlineStr">
        <is>
          <t>TRANSFERENCIA BANCARIA</t>
        </is>
      </c>
      <c r="AX39" t="n">
        <v>19907001</v>
      </c>
      <c r="AY39" t="inlineStr">
        <is>
          <t>00951165</t>
        </is>
      </c>
      <c r="AZ39" t="inlineStr">
        <is>
          <t>No</t>
        </is>
      </c>
      <c r="BA39" t="inlineStr">
        <is>
          <t>NO PRECISA</t>
        </is>
      </c>
      <c r="BB39" t="n">
        <v>4</v>
      </c>
      <c r="BC39" t="inlineStr">
        <is>
          <t>CANCELADO</t>
        </is>
      </c>
      <c r="BN39" t="inlineStr">
        <is>
          <t>Si</t>
        </is>
      </c>
      <c r="BO39" s="76" t="n">
        <v>45652.61666666667</v>
      </c>
      <c r="BP39" t="inlineStr">
        <is>
          <t>Kenny Salazar S</t>
        </is>
      </c>
      <c r="BR39" t="n">
        <v>37</v>
      </c>
      <c r="BS39" t="inlineStr">
        <is>
          <t>02/06/2026 17:25</t>
        </is>
      </c>
      <c r="BW39" t="inlineStr">
        <is>
          <t>Cobranzas_2024.csv</t>
        </is>
      </c>
      <c r="BX39" t="n">
        <v>2024</v>
      </c>
      <c r="BY39" t="inlineStr">
        <is>
          <t>01/01/2024</t>
        </is>
      </c>
      <c r="BZ39" t="inlineStr">
        <is>
          <t>30/06/2031</t>
        </is>
      </c>
    </row>
    <row r="40">
      <c r="A40" t="inlineStr">
        <is>
          <t>RESIDENCIAL PRADA</t>
        </is>
      </c>
      <c r="B40" t="inlineStr">
        <is>
          <t>Etapa 1</t>
        </is>
      </c>
      <c r="C40" t="inlineStr">
        <is>
          <t>Edificio</t>
        </is>
      </c>
      <c r="D40" t="inlineStr">
        <is>
          <t>A</t>
        </is>
      </c>
      <c r="E40" t="inlineStr">
        <is>
          <t>Departamento</t>
        </is>
      </c>
      <c r="F40" t="inlineStr">
        <is>
          <t>505</t>
        </is>
      </c>
      <c r="G40" s="39" t="n">
        <v>490000</v>
      </c>
      <c r="H40" s="39" t="n">
        <v>490000</v>
      </c>
      <c r="M40" s="39" t="n"/>
      <c r="N40" s="39" t="n"/>
      <c r="S40" s="39" t="n"/>
      <c r="T40" s="39" t="n"/>
      <c r="Y40" s="39" t="n"/>
      <c r="Z40" s="39" t="n"/>
      <c r="AA40" t="inlineStr">
        <is>
          <t xml:space="preserve">Marina Francisca Vasquez Samaniego </t>
        </is>
      </c>
      <c r="AB40" t="inlineStr">
        <is>
          <t>19907001</t>
        </is>
      </c>
      <c r="AC40" t="inlineStr">
        <is>
          <t>Huandoy 887</t>
        </is>
      </c>
      <c r="AD40" t="n">
        <v>964247615</v>
      </c>
      <c r="AE40" t="inlineStr">
        <is>
          <t>964247615</t>
        </is>
      </c>
      <c r="AF40" t="inlineStr">
        <is>
          <t>francisca4547@hotmail.com</t>
        </is>
      </c>
      <c r="AG40" t="inlineStr">
        <is>
          <t>LIMA</t>
        </is>
      </c>
      <c r="AH40" t="inlineStr">
        <is>
          <t>SAN MIGUEL</t>
        </is>
      </c>
      <c r="AI40" s="75" t="n">
        <v>45652</v>
      </c>
      <c r="AJ40" s="75" t="n">
        <v>45652</v>
      </c>
      <c r="AK40" t="inlineStr">
        <is>
          <t>CUOTA INICIAL</t>
        </is>
      </c>
      <c r="AL40" t="n">
        <v>1</v>
      </c>
      <c r="AM40" t="n">
        <v>20000</v>
      </c>
      <c r="AN40" t="n">
        <v>0</v>
      </c>
      <c r="AO40" t="n">
        <v>0</v>
      </c>
      <c r="AP40" s="39" t="n">
        <v>20000</v>
      </c>
      <c r="AQ40" s="39" t="n">
        <v>20000</v>
      </c>
      <c r="AR40" s="39" t="n">
        <v>0</v>
      </c>
      <c r="AS40" t="n">
        <v>0</v>
      </c>
      <c r="AT40" t="inlineStr">
        <is>
          <t>Crédito Hipotecario</t>
        </is>
      </c>
      <c r="AU40" t="inlineStr">
        <is>
          <t>Scotiabank Perú</t>
        </is>
      </c>
      <c r="AV40" t="inlineStr">
        <is>
          <t>000-2768484</t>
        </is>
      </c>
      <c r="AW40" t="inlineStr">
        <is>
          <t>TRANSFERENCIA BANCARIA</t>
        </is>
      </c>
      <c r="AY40" t="inlineStr">
        <is>
          <t>6204304</t>
        </is>
      </c>
      <c r="AZ40" t="inlineStr">
        <is>
          <t>No</t>
        </is>
      </c>
      <c r="BB40" t="n">
        <v>4</v>
      </c>
      <c r="BC40" t="inlineStr">
        <is>
          <t>CANCELADO</t>
        </is>
      </c>
      <c r="BN40" t="inlineStr">
        <is>
          <t>Si</t>
        </is>
      </c>
      <c r="BO40" s="76" t="n">
        <v>45652.61666666667</v>
      </c>
      <c r="BP40" t="inlineStr">
        <is>
          <t>Kenny Salazar S</t>
        </is>
      </c>
      <c r="BR40" t="n">
        <v>37</v>
      </c>
      <c r="BS40" t="inlineStr">
        <is>
          <t>07/07/2026 10:35</t>
        </is>
      </c>
      <c r="BW40" t="inlineStr">
        <is>
          <t>Cobranzas_2024.csv</t>
        </is>
      </c>
      <c r="BX40" t="n">
        <v>2024</v>
      </c>
      <c r="BY40" t="inlineStr">
        <is>
          <t>01/01/2024</t>
        </is>
      </c>
      <c r="BZ40" t="inlineStr">
        <is>
          <t>30/06/2031</t>
        </is>
      </c>
    </row>
    <row r="41">
      <c r="A41" t="inlineStr">
        <is>
          <t>RESIDENCIAL PRADA</t>
        </is>
      </c>
      <c r="B41" t="inlineStr">
        <is>
          <t>Etapa 1</t>
        </is>
      </c>
      <c r="C41" t="inlineStr">
        <is>
          <t>Edificio</t>
        </is>
      </c>
      <c r="D41" t="inlineStr">
        <is>
          <t>A</t>
        </is>
      </c>
      <c r="E41" t="inlineStr">
        <is>
          <t>Departamento</t>
        </is>
      </c>
      <c r="F41" t="inlineStr">
        <is>
          <t>701</t>
        </is>
      </c>
      <c r="G41" s="39" t="n">
        <v>592500</v>
      </c>
      <c r="H41" s="39" t="n">
        <v>592500</v>
      </c>
      <c r="M41" s="39" t="n"/>
      <c r="N41" s="39" t="n"/>
      <c r="S41" s="39" t="n"/>
      <c r="T41" s="39" t="n"/>
      <c r="Y41" s="39" t="n"/>
      <c r="Z41" s="39" t="n"/>
      <c r="AA41" t="inlineStr">
        <is>
          <t>Richard Humberto Lima Garcia</t>
        </is>
      </c>
      <c r="AB41" t="inlineStr">
        <is>
          <t>10606793</t>
        </is>
      </c>
      <c r="AC41" t="inlineStr">
        <is>
          <t>Mz E2 lote 10 Urb Coovitiomar - Ancón</t>
        </is>
      </c>
      <c r="AE41" t="inlineStr">
        <is>
          <t>940170759</t>
        </is>
      </c>
      <c r="AF41" t="inlineStr">
        <is>
          <t>richard_13_312@hotmail.com</t>
        </is>
      </c>
      <c r="AG41" t="inlineStr">
        <is>
          <t>LIMA</t>
        </is>
      </c>
      <c r="AH41" t="inlineStr">
        <is>
          <t>SANTA ROSA</t>
        </is>
      </c>
      <c r="AI41" s="75" t="n">
        <v>45593</v>
      </c>
      <c r="AJ41" s="75" t="n">
        <v>45593</v>
      </c>
      <c r="AK41" t="inlineStr">
        <is>
          <t>SEPARACION</t>
        </is>
      </c>
      <c r="AL41" t="n">
        <v>1</v>
      </c>
      <c r="AM41" t="n">
        <v>3000</v>
      </c>
      <c r="AN41" t="n">
        <v>0</v>
      </c>
      <c r="AO41" t="n">
        <v>0</v>
      </c>
      <c r="AP41" s="39" t="n">
        <v>3000</v>
      </c>
      <c r="AQ41" s="39" t="n">
        <v>3000</v>
      </c>
      <c r="AR41" s="39" t="n">
        <v>0</v>
      </c>
      <c r="AS41" t="n">
        <v>0</v>
      </c>
      <c r="AT41" t="inlineStr">
        <is>
          <t>Crédito Hipotecario</t>
        </is>
      </c>
      <c r="AU41" t="inlineStr">
        <is>
          <t>Scotiabank Perú</t>
        </is>
      </c>
      <c r="AV41" t="inlineStr">
        <is>
          <t>000-2768484</t>
        </is>
      </c>
      <c r="AW41" t="inlineStr">
        <is>
          <t>TRANSFERENCIA BANCARIA</t>
        </is>
      </c>
      <c r="AX41" t="n">
        <v>10606793</v>
      </c>
      <c r="AY41" t="inlineStr">
        <is>
          <t>01525977</t>
        </is>
      </c>
      <c r="AZ41" t="inlineStr">
        <is>
          <t>No</t>
        </is>
      </c>
      <c r="BA41" t="inlineStr">
        <is>
          <t>NO PRECISA</t>
        </is>
      </c>
      <c r="BB41" t="n">
        <v>1</v>
      </c>
      <c r="BC41" t="inlineStr">
        <is>
          <t>CANCELADO</t>
        </is>
      </c>
      <c r="BN41" t="inlineStr">
        <is>
          <t>Si</t>
        </is>
      </c>
      <c r="BO41" s="76" t="n">
        <v>45638.38819444444</v>
      </c>
      <c r="BP41" t="inlineStr">
        <is>
          <t>Carla Michue M</t>
        </is>
      </c>
      <c r="BR41" t="n">
        <v>3</v>
      </c>
      <c r="BS41" t="inlineStr">
        <is>
          <t>29/05/2026 12:21</t>
        </is>
      </c>
      <c r="BW41" t="inlineStr">
        <is>
          <t>Cobranzas_2024.csv</t>
        </is>
      </c>
      <c r="BX41" t="n">
        <v>2024</v>
      </c>
      <c r="BY41" t="inlineStr">
        <is>
          <t>01/01/2024</t>
        </is>
      </c>
      <c r="BZ41" t="inlineStr">
        <is>
          <t>30/06/2031</t>
        </is>
      </c>
    </row>
    <row r="42">
      <c r="A42" t="inlineStr">
        <is>
          <t>RESIDENCIAL PRADA</t>
        </is>
      </c>
      <c r="B42" t="inlineStr">
        <is>
          <t>Etapa 1</t>
        </is>
      </c>
      <c r="C42" t="inlineStr">
        <is>
          <t>Edificio</t>
        </is>
      </c>
      <c r="D42" t="inlineStr">
        <is>
          <t>A</t>
        </is>
      </c>
      <c r="E42" t="inlineStr">
        <is>
          <t>Departamento</t>
        </is>
      </c>
      <c r="F42" t="inlineStr">
        <is>
          <t>701</t>
        </is>
      </c>
      <c r="G42" s="39" t="n">
        <v>592500</v>
      </c>
      <c r="H42" s="39" t="n">
        <v>592500</v>
      </c>
      <c r="M42" s="39" t="n"/>
      <c r="N42" s="39" t="n"/>
      <c r="S42" s="39" t="n"/>
      <c r="T42" s="39" t="n"/>
      <c r="Y42" s="39" t="n"/>
      <c r="Z42" s="39" t="n"/>
      <c r="AA42" t="inlineStr">
        <is>
          <t>Richard Humberto Lima Garcia</t>
        </is>
      </c>
      <c r="AB42" t="inlineStr">
        <is>
          <t>10606793</t>
        </is>
      </c>
      <c r="AC42" t="inlineStr">
        <is>
          <t>Mz E2 lote 10 Urb Coovitiomar - Ancón</t>
        </is>
      </c>
      <c r="AE42" t="inlineStr">
        <is>
          <t>940170759</t>
        </is>
      </c>
      <c r="AF42" t="inlineStr">
        <is>
          <t>richard_13_312@hotmail.com</t>
        </is>
      </c>
      <c r="AG42" t="inlineStr">
        <is>
          <t>LIMA</t>
        </is>
      </c>
      <c r="AH42" t="inlineStr">
        <is>
          <t>SANTA ROSA</t>
        </is>
      </c>
      <c r="AI42" s="75" t="n">
        <v>45618</v>
      </c>
      <c r="AJ42" s="75" t="n">
        <v>45618</v>
      </c>
      <c r="AK42" t="inlineStr">
        <is>
          <t>CUOTA INICIAL</t>
        </is>
      </c>
      <c r="AL42" t="n">
        <v>2</v>
      </c>
      <c r="AM42" t="n">
        <v>48000</v>
      </c>
      <c r="AN42" t="n">
        <v>0</v>
      </c>
      <c r="AO42" t="n">
        <v>0</v>
      </c>
      <c r="AP42" s="39" t="n">
        <v>48000</v>
      </c>
      <c r="AQ42" s="39" t="n">
        <v>48000</v>
      </c>
      <c r="AR42" s="39" t="n">
        <v>0</v>
      </c>
      <c r="AS42" t="n">
        <v>0</v>
      </c>
      <c r="AT42" t="inlineStr">
        <is>
          <t>Crédito Hipotecario</t>
        </is>
      </c>
      <c r="AU42" t="inlineStr">
        <is>
          <t>Scotiabank Perú</t>
        </is>
      </c>
      <c r="AV42" t="inlineStr">
        <is>
          <t>000-2768484</t>
        </is>
      </c>
      <c r="AW42" t="inlineStr">
        <is>
          <t>TRANSFERENCIA BANCARIA</t>
        </is>
      </c>
      <c r="AY42" t="inlineStr">
        <is>
          <t>0144739</t>
        </is>
      </c>
      <c r="AZ42" t="inlineStr">
        <is>
          <t>No</t>
        </is>
      </c>
      <c r="BB42" t="n">
        <v>4</v>
      </c>
      <c r="BC42" t="inlineStr">
        <is>
          <t>CANCELADO</t>
        </is>
      </c>
      <c r="BN42" t="inlineStr">
        <is>
          <t>Si</t>
        </is>
      </c>
      <c r="BO42" s="76" t="n">
        <v>45638.38819444444</v>
      </c>
      <c r="BP42" t="inlineStr">
        <is>
          <t>Carla Michue M</t>
        </is>
      </c>
      <c r="BR42" t="n">
        <v>3</v>
      </c>
      <c r="BS42" t="inlineStr">
        <is>
          <t>14/07/2026 09:05</t>
        </is>
      </c>
      <c r="BW42" t="inlineStr">
        <is>
          <t>Cobranzas_2024.csv</t>
        </is>
      </c>
      <c r="BX42" t="n">
        <v>2024</v>
      </c>
      <c r="BY42" t="inlineStr">
        <is>
          <t>01/01/2024</t>
        </is>
      </c>
      <c r="BZ42" t="inlineStr">
        <is>
          <t>30/06/2031</t>
        </is>
      </c>
    </row>
    <row r="43">
      <c r="A43" t="inlineStr">
        <is>
          <t>RESIDENCIAL PRADA</t>
        </is>
      </c>
      <c r="B43" t="inlineStr">
        <is>
          <t>Etapa 1</t>
        </is>
      </c>
      <c r="C43" t="inlineStr">
        <is>
          <t>Edificio</t>
        </is>
      </c>
      <c r="D43" t="inlineStr">
        <is>
          <t>A</t>
        </is>
      </c>
      <c r="E43" t="inlineStr">
        <is>
          <t>Departamento</t>
        </is>
      </c>
      <c r="F43" t="inlineStr">
        <is>
          <t>701</t>
        </is>
      </c>
      <c r="G43" s="39" t="n">
        <v>592500</v>
      </c>
      <c r="H43" s="39" t="n">
        <v>592500</v>
      </c>
      <c r="M43" s="39" t="n"/>
      <c r="N43" s="39" t="n"/>
      <c r="S43" s="39" t="n"/>
      <c r="T43" s="39" t="n"/>
      <c r="Y43" s="39" t="n"/>
      <c r="Z43" s="39" t="n"/>
      <c r="AA43" t="inlineStr">
        <is>
          <t>Richard Humberto Lima Garcia</t>
        </is>
      </c>
      <c r="AB43" t="inlineStr">
        <is>
          <t>10606793</t>
        </is>
      </c>
      <c r="AC43" t="inlineStr">
        <is>
          <t>Mz E2 lote 10 Urb Coovitiomar - Ancón</t>
        </is>
      </c>
      <c r="AE43" t="inlineStr">
        <is>
          <t>940170759</t>
        </is>
      </c>
      <c r="AF43" t="inlineStr">
        <is>
          <t>richard_13_312@hotmail.com</t>
        </is>
      </c>
      <c r="AG43" t="inlineStr">
        <is>
          <t>LIMA</t>
        </is>
      </c>
      <c r="AH43" t="inlineStr">
        <is>
          <t>SANTA ROSA</t>
        </is>
      </c>
      <c r="AI43" s="75" t="n">
        <v>45638</v>
      </c>
      <c r="AJ43" s="75" t="n">
        <v>45638</v>
      </c>
      <c r="AK43" t="inlineStr">
        <is>
          <t>CUOTA INICIAL</t>
        </is>
      </c>
      <c r="AL43" t="n">
        <v>3</v>
      </c>
      <c r="AM43" t="n">
        <v>8250</v>
      </c>
      <c r="AN43" t="n">
        <v>0</v>
      </c>
      <c r="AO43" t="n">
        <v>0</v>
      </c>
      <c r="AP43" s="39" t="n">
        <v>8250</v>
      </c>
      <c r="AQ43" s="39" t="n">
        <v>8250</v>
      </c>
      <c r="AR43" s="39" t="n">
        <v>0</v>
      </c>
      <c r="AS43" t="n">
        <v>0</v>
      </c>
      <c r="AT43" t="inlineStr">
        <is>
          <t>Crédito Hipotecario</t>
        </is>
      </c>
      <c r="AU43" t="inlineStr">
        <is>
          <t>Scotiabank Perú</t>
        </is>
      </c>
      <c r="AV43" t="inlineStr">
        <is>
          <t>000-2768484</t>
        </is>
      </c>
      <c r="AW43" t="inlineStr">
        <is>
          <t>TRANSFERENCIA BANCARIA</t>
        </is>
      </c>
      <c r="AX43" t="n">
        <v>10606793</v>
      </c>
      <c r="AY43" t="inlineStr">
        <is>
          <t>02209753</t>
        </is>
      </c>
      <c r="AZ43" t="inlineStr">
        <is>
          <t>No</t>
        </is>
      </c>
      <c r="BA43" t="inlineStr">
        <is>
          <t>NO PRECISA</t>
        </is>
      </c>
      <c r="BB43" t="n">
        <v>1</v>
      </c>
      <c r="BC43" t="inlineStr">
        <is>
          <t>CANCELADO</t>
        </is>
      </c>
      <c r="BN43" t="inlineStr">
        <is>
          <t>Si</t>
        </is>
      </c>
      <c r="BO43" s="76" t="n">
        <v>45638.38819444444</v>
      </c>
      <c r="BP43" t="inlineStr">
        <is>
          <t>Carla Michue M</t>
        </is>
      </c>
      <c r="BR43" t="n">
        <v>3</v>
      </c>
      <c r="BS43" t="inlineStr">
        <is>
          <t>29/05/2026 12:21</t>
        </is>
      </c>
      <c r="BW43" t="inlineStr">
        <is>
          <t>Cobranzas_2024.csv</t>
        </is>
      </c>
      <c r="BX43" t="n">
        <v>2024</v>
      </c>
      <c r="BY43" t="inlineStr">
        <is>
          <t>01/01/2024</t>
        </is>
      </c>
      <c r="BZ43" t="inlineStr">
        <is>
          <t>30/06/2031</t>
        </is>
      </c>
    </row>
    <row r="44">
      <c r="A44" t="inlineStr">
        <is>
          <t>RESIDENCIAL PRADA</t>
        </is>
      </c>
      <c r="B44" t="inlineStr">
        <is>
          <t>Etapa 1</t>
        </is>
      </c>
      <c r="C44" t="inlineStr">
        <is>
          <t>Edificio</t>
        </is>
      </c>
      <c r="D44" t="inlineStr">
        <is>
          <t>A</t>
        </is>
      </c>
      <c r="E44" t="inlineStr">
        <is>
          <t>Departamento</t>
        </is>
      </c>
      <c r="F44" t="inlineStr">
        <is>
          <t>705</t>
        </is>
      </c>
      <c r="G44" s="39" t="n">
        <v>496000</v>
      </c>
      <c r="H44" s="39" t="n">
        <v>496000</v>
      </c>
      <c r="M44" s="39" t="n"/>
      <c r="N44" s="39" t="n"/>
      <c r="S44" s="39" t="n"/>
      <c r="T44" s="39" t="n"/>
      <c r="Y44" s="39" t="n"/>
      <c r="Z44" s="39" t="n"/>
      <c r="AA44" t="inlineStr">
        <is>
          <t>Sthefany Carolina Rodriguez Huamán</t>
        </is>
      </c>
      <c r="AB44" t="inlineStr">
        <is>
          <t>70270427</t>
        </is>
      </c>
      <c r="AC44" t="inlineStr">
        <is>
          <t>-</t>
        </is>
      </c>
      <c r="AE44" t="inlineStr">
        <is>
          <t>989492681</t>
        </is>
      </c>
      <c r="AF44" t="inlineStr">
        <is>
          <t>sthefany.rodriguez2207@gmail.com</t>
        </is>
      </c>
      <c r="AG44" t="inlineStr">
        <is>
          <t>LIMA</t>
        </is>
      </c>
      <c r="AH44" t="inlineStr">
        <is>
          <t>CERCADO DE LIMA</t>
        </is>
      </c>
      <c r="AI44" s="75" t="n">
        <v>45586</v>
      </c>
      <c r="AJ44" s="75" t="n">
        <v>45586</v>
      </c>
      <c r="AK44" t="inlineStr">
        <is>
          <t>SEPARACION</t>
        </is>
      </c>
      <c r="AL44" t="n">
        <v>1</v>
      </c>
      <c r="AM44" t="n">
        <v>200</v>
      </c>
      <c r="AN44" t="n">
        <v>0</v>
      </c>
      <c r="AO44" t="n">
        <v>0</v>
      </c>
      <c r="AP44" s="39" t="n">
        <v>200</v>
      </c>
      <c r="AQ44" s="39" t="n">
        <v>200</v>
      </c>
      <c r="AR44" s="39" t="n">
        <v>0</v>
      </c>
      <c r="AS44" t="n">
        <v>0</v>
      </c>
      <c r="AT44" t="inlineStr">
        <is>
          <t>Ahorro</t>
        </is>
      </c>
      <c r="AU44" t="inlineStr">
        <is>
          <t>Scotiabank Perú</t>
        </is>
      </c>
      <c r="AV44" t="inlineStr">
        <is>
          <t>000-2768484</t>
        </is>
      </c>
      <c r="AW44" t="inlineStr">
        <is>
          <t>TRANSFERENCIA BANCARIA</t>
        </is>
      </c>
      <c r="AX44" t="n">
        <v>70270427</v>
      </c>
      <c r="AY44" t="inlineStr">
        <is>
          <t>7844655610334</t>
        </is>
      </c>
      <c r="AZ44" t="inlineStr">
        <is>
          <t>No</t>
        </is>
      </c>
      <c r="BA44" t="inlineStr">
        <is>
          <t>NO PRECISA</t>
        </is>
      </c>
      <c r="BB44" t="n">
        <v>1</v>
      </c>
      <c r="BC44" t="inlineStr">
        <is>
          <t>CANCELADO</t>
        </is>
      </c>
      <c r="BN44" t="inlineStr">
        <is>
          <t>Si</t>
        </is>
      </c>
      <c r="BO44" s="76" t="n">
        <v>45829.38958333333</v>
      </c>
      <c r="BP44" t="inlineStr">
        <is>
          <t>Carla Michue M</t>
        </is>
      </c>
      <c r="BR44" t="n">
        <v>2</v>
      </c>
      <c r="BS44" t="inlineStr">
        <is>
          <t>29/05/2026 12:20</t>
        </is>
      </c>
      <c r="BW44" t="inlineStr">
        <is>
          <t>Cobranzas_2024.csv</t>
        </is>
      </c>
      <c r="BX44" t="n">
        <v>2024</v>
      </c>
      <c r="BY44" t="inlineStr">
        <is>
          <t>01/01/2024</t>
        </is>
      </c>
      <c r="BZ44" t="inlineStr">
        <is>
          <t>30/06/2031</t>
        </is>
      </c>
    </row>
    <row r="45">
      <c r="A45" t="inlineStr">
        <is>
          <t>RESIDENCIAL PRADA</t>
        </is>
      </c>
      <c r="B45" t="inlineStr">
        <is>
          <t>Etapa 1</t>
        </is>
      </c>
      <c r="C45" t="inlineStr">
        <is>
          <t>Edificio</t>
        </is>
      </c>
      <c r="D45" t="inlineStr">
        <is>
          <t>A</t>
        </is>
      </c>
      <c r="E45" t="inlineStr">
        <is>
          <t>Departamento</t>
        </is>
      </c>
      <c r="F45" t="inlineStr">
        <is>
          <t>705</t>
        </is>
      </c>
      <c r="G45" s="39" t="n">
        <v>496000</v>
      </c>
      <c r="H45" s="39" t="n">
        <v>496000</v>
      </c>
      <c r="M45" s="39" t="n"/>
      <c r="N45" s="39" t="n"/>
      <c r="S45" s="39" t="n"/>
      <c r="T45" s="39" t="n"/>
      <c r="Y45" s="39" t="n"/>
      <c r="Z45" s="39" t="n"/>
      <c r="AA45" t="inlineStr">
        <is>
          <t>Sthefany Carolina Rodriguez Huamán</t>
        </is>
      </c>
      <c r="AB45" t="inlineStr">
        <is>
          <t>70270427</t>
        </is>
      </c>
      <c r="AC45" t="inlineStr">
        <is>
          <t>-</t>
        </is>
      </c>
      <c r="AE45" t="inlineStr">
        <is>
          <t>989492681</t>
        </is>
      </c>
      <c r="AF45" t="inlineStr">
        <is>
          <t>sthefany.rodriguez2207@gmail.com</t>
        </is>
      </c>
      <c r="AG45" t="inlineStr">
        <is>
          <t>LIMA</t>
        </is>
      </c>
      <c r="AH45" t="inlineStr">
        <is>
          <t>CERCADO DE LIMA</t>
        </is>
      </c>
      <c r="AI45" s="75" t="n">
        <v>45587</v>
      </c>
      <c r="AJ45" s="75" t="n">
        <v>45587</v>
      </c>
      <c r="AK45" t="inlineStr">
        <is>
          <t>SEPARACION</t>
        </is>
      </c>
      <c r="AL45" t="n">
        <v>2</v>
      </c>
      <c r="AM45" t="n">
        <v>2800</v>
      </c>
      <c r="AN45" t="n">
        <v>0</v>
      </c>
      <c r="AO45" t="n">
        <v>0</v>
      </c>
      <c r="AP45" s="39" t="n">
        <v>2800</v>
      </c>
      <c r="AQ45" s="39" t="n">
        <v>2800</v>
      </c>
      <c r="AR45" s="39" t="n">
        <v>0</v>
      </c>
      <c r="AS45" t="n">
        <v>0</v>
      </c>
      <c r="AT45" t="inlineStr">
        <is>
          <t>Ahorro</t>
        </is>
      </c>
      <c r="AU45" t="inlineStr">
        <is>
          <t>Scotiabank Perú</t>
        </is>
      </c>
      <c r="AV45" t="inlineStr">
        <is>
          <t>000-2768484</t>
        </is>
      </c>
      <c r="AW45" t="inlineStr">
        <is>
          <t>EFECTIVO</t>
        </is>
      </c>
      <c r="AX45" t="n">
        <v>70270427</v>
      </c>
      <c r="AY45" t="inlineStr">
        <is>
          <t>0500010021</t>
        </is>
      </c>
      <c r="AZ45" t="inlineStr">
        <is>
          <t>No</t>
        </is>
      </c>
      <c r="BA45" t="inlineStr">
        <is>
          <t>NO PRECISA</t>
        </is>
      </c>
      <c r="BB45" t="n">
        <v>1</v>
      </c>
      <c r="BC45" t="inlineStr">
        <is>
          <t>CANCELADO</t>
        </is>
      </c>
      <c r="BN45" t="inlineStr">
        <is>
          <t>Si</t>
        </is>
      </c>
      <c r="BO45" s="76" t="n">
        <v>45829.38958333333</v>
      </c>
      <c r="BP45" t="inlineStr">
        <is>
          <t>Carla Michue M</t>
        </is>
      </c>
      <c r="BR45" t="n">
        <v>2</v>
      </c>
      <c r="BS45" t="inlineStr">
        <is>
          <t>29/05/2026 12:20</t>
        </is>
      </c>
      <c r="BW45" t="inlineStr">
        <is>
          <t>Cobranzas_2024.csv</t>
        </is>
      </c>
      <c r="BX45" t="n">
        <v>2024</v>
      </c>
      <c r="BY45" t="inlineStr">
        <is>
          <t>01/01/2024</t>
        </is>
      </c>
      <c r="BZ45" t="inlineStr">
        <is>
          <t>30/06/2031</t>
        </is>
      </c>
    </row>
    <row r="46">
      <c r="A46" t="inlineStr">
        <is>
          <t>RESIDENCIAL BEYOND</t>
        </is>
      </c>
      <c r="B46" t="inlineStr">
        <is>
          <t>Etapa 1</t>
        </is>
      </c>
      <c r="C46" t="inlineStr">
        <is>
          <t>Edificio</t>
        </is>
      </c>
      <c r="D46" t="inlineStr">
        <is>
          <t>A</t>
        </is>
      </c>
      <c r="E46" t="inlineStr">
        <is>
          <t>Departamento</t>
        </is>
      </c>
      <c r="F46" t="inlineStr">
        <is>
          <t>205</t>
        </is>
      </c>
      <c r="G46" s="39" t="n">
        <v>587000</v>
      </c>
      <c r="H46" s="39" t="n">
        <v>577000</v>
      </c>
      <c r="M46" s="39" t="n"/>
      <c r="N46" s="39" t="n"/>
      <c r="S46" s="39" t="n"/>
      <c r="T46" s="39" t="n"/>
      <c r="Y46" s="39" t="n"/>
      <c r="Z46" s="39" t="n"/>
      <c r="AA46" t="inlineStr">
        <is>
          <t>Tania Milagros Cotrina Vara</t>
        </is>
      </c>
      <c r="AB46" t="inlineStr">
        <is>
          <t>10140034</t>
        </is>
      </c>
      <c r="AC46" t="inlineStr">
        <is>
          <t>Av. Arnaldo Marquez 1526 Dpto. 26</t>
        </is>
      </c>
      <c r="AD46" t="n">
        <v>0</v>
      </c>
      <c r="AE46" t="inlineStr">
        <is>
          <t>941461159</t>
        </is>
      </c>
      <c r="AF46" t="inlineStr">
        <is>
          <t>tamicov@hotmail.com</t>
        </is>
      </c>
      <c r="AG46" t="inlineStr">
        <is>
          <t>LIMA</t>
        </is>
      </c>
      <c r="AH46" t="inlineStr">
        <is>
          <t>JESUS MARIA</t>
        </is>
      </c>
      <c r="AI46" s="75" t="n">
        <v>45641</v>
      </c>
      <c r="AJ46" s="75" t="n">
        <v>45641</v>
      </c>
      <c r="AK46" t="inlineStr">
        <is>
          <t>SEPARACION</t>
        </is>
      </c>
      <c r="AL46" t="n">
        <v>1</v>
      </c>
      <c r="AM46" t="n">
        <v>3000</v>
      </c>
      <c r="AN46" t="n">
        <v>0</v>
      </c>
      <c r="AO46" t="n">
        <v>0</v>
      </c>
      <c r="AP46" s="39" t="n">
        <v>3000</v>
      </c>
      <c r="AQ46" s="39" t="n">
        <v>3000</v>
      </c>
      <c r="AR46" s="39" t="n">
        <v>0</v>
      </c>
      <c r="AS46" t="n">
        <v>0</v>
      </c>
      <c r="AT46" t="inlineStr">
        <is>
          <t>Ahorro</t>
        </is>
      </c>
      <c r="AU46" t="inlineStr">
        <is>
          <t>Banco de Credito del Perú</t>
        </is>
      </c>
      <c r="AV46" t="inlineStr">
        <is>
          <t>194-7325779-0-65</t>
        </is>
      </c>
      <c r="AW46" t="inlineStr">
        <is>
          <t>POS VISA</t>
        </is>
      </c>
      <c r="AX46" t="n">
        <v>10140034</v>
      </c>
      <c r="AY46" t="inlineStr">
        <is>
          <t>594693007</t>
        </is>
      </c>
      <c r="AZ46" t="inlineStr">
        <is>
          <t>No</t>
        </is>
      </c>
      <c r="BA46" t="inlineStr">
        <is>
          <t>NO PRECISA</t>
        </is>
      </c>
      <c r="BB46" t="n">
        <v>4</v>
      </c>
      <c r="BC46" t="inlineStr">
        <is>
          <t>CANCELADO</t>
        </is>
      </c>
      <c r="BN46" t="inlineStr">
        <is>
          <t>Si</t>
        </is>
      </c>
      <c r="BO46" s="76" t="n">
        <v>45918.41597222222</v>
      </c>
      <c r="BP46" t="inlineStr">
        <is>
          <t>Magaly Guevara Perez</t>
        </is>
      </c>
      <c r="BR46" t="n">
        <v>4</v>
      </c>
      <c r="BS46" t="inlineStr">
        <is>
          <t>01/05/2026 11:00</t>
        </is>
      </c>
      <c r="BW46" t="inlineStr">
        <is>
          <t>Cobranzas_2024.csv</t>
        </is>
      </c>
      <c r="BX46" t="n">
        <v>2024</v>
      </c>
      <c r="BY46" t="inlineStr">
        <is>
          <t>01/01/2024</t>
        </is>
      </c>
      <c r="BZ46" t="inlineStr">
        <is>
          <t>30/06/2031</t>
        </is>
      </c>
    </row>
    <row r="47">
      <c r="A47" t="inlineStr">
        <is>
          <t>RESIDENCIAL BEYOND</t>
        </is>
      </c>
      <c r="B47" t="inlineStr">
        <is>
          <t>Etapa 1</t>
        </is>
      </c>
      <c r="C47" t="inlineStr">
        <is>
          <t>Edificio</t>
        </is>
      </c>
      <c r="D47" t="inlineStr">
        <is>
          <t>A</t>
        </is>
      </c>
      <c r="E47" t="inlineStr">
        <is>
          <t>Departamento</t>
        </is>
      </c>
      <c r="F47" t="inlineStr">
        <is>
          <t>1306</t>
        </is>
      </c>
      <c r="G47" s="39" t="n">
        <v>312500</v>
      </c>
      <c r="H47" s="39" t="n">
        <v>265000</v>
      </c>
      <c r="M47" s="39" t="n"/>
      <c r="N47" s="39" t="n"/>
      <c r="S47" s="39" t="n"/>
      <c r="T47" s="39" t="n"/>
      <c r="Y47" s="39" t="n"/>
      <c r="Z47" s="39" t="n"/>
      <c r="AA47" t="inlineStr">
        <is>
          <t>Alejandra Leslye Solorio Peña</t>
        </is>
      </c>
      <c r="AB47" t="inlineStr">
        <is>
          <t>75021688</t>
        </is>
      </c>
      <c r="AC47" t="inlineStr">
        <is>
          <t>Jr. Santiago Wagner 2264</t>
        </is>
      </c>
      <c r="AD47" t="n">
        <v>0</v>
      </c>
      <c r="AE47" t="inlineStr">
        <is>
          <t>984934286</t>
        </is>
      </c>
      <c r="AF47" t="inlineStr">
        <is>
          <t>aleslye3@gamil.com</t>
        </is>
      </c>
      <c r="AG47" t="inlineStr">
        <is>
          <t>LIMA</t>
        </is>
      </c>
      <c r="AH47" t="inlineStr">
        <is>
          <t>CERCADO DE LIMA</t>
        </is>
      </c>
      <c r="AI47" s="75" t="n">
        <v>45919</v>
      </c>
      <c r="AJ47" s="75" t="n">
        <v>45919</v>
      </c>
      <c r="AK47" t="inlineStr">
        <is>
          <t>SEPARACION</t>
        </is>
      </c>
      <c r="AL47" t="n">
        <v>1</v>
      </c>
      <c r="AM47" t="n">
        <v>3000</v>
      </c>
      <c r="AN47" t="n">
        <v>0</v>
      </c>
      <c r="AO47" t="n">
        <v>0</v>
      </c>
      <c r="AP47" s="39" t="n">
        <v>3000</v>
      </c>
      <c r="AQ47" s="39" t="n">
        <v>3000</v>
      </c>
      <c r="AR47" s="39" t="n">
        <v>0</v>
      </c>
      <c r="AS47" t="n">
        <v>0</v>
      </c>
      <c r="AT47" t="inlineStr">
        <is>
          <t>Ahorro</t>
        </is>
      </c>
      <c r="AU47" t="inlineStr">
        <is>
          <t>Banco de Credito del Perú</t>
        </is>
      </c>
      <c r="AV47" t="inlineStr">
        <is>
          <t>194-7325779-0-65</t>
        </is>
      </c>
      <c r="AW47" t="inlineStr">
        <is>
          <t>TRANSFERENCIA BANCARIA</t>
        </is>
      </c>
      <c r="AY47" t="inlineStr">
        <is>
          <t>017776200</t>
        </is>
      </c>
      <c r="AZ47" t="inlineStr">
        <is>
          <t>No</t>
        </is>
      </c>
      <c r="BB47" t="n">
        <v>4</v>
      </c>
      <c r="BC47" t="inlineStr">
        <is>
          <t>CANCELADO</t>
        </is>
      </c>
      <c r="BN47" t="inlineStr">
        <is>
          <t>No</t>
        </is>
      </c>
      <c r="BO47" s="76" t="n">
        <v>45904.80555555555</v>
      </c>
      <c r="BP47" t="inlineStr">
        <is>
          <t>Carla Michue M</t>
        </is>
      </c>
      <c r="BR47" t="n">
        <v>11</v>
      </c>
      <c r="BS47" t="inlineStr">
        <is>
          <t>23/05/2026 19:16</t>
        </is>
      </c>
      <c r="BW47" t="inlineStr">
        <is>
          <t>Cobranzas_2025.csv</t>
        </is>
      </c>
      <c r="BX47" t="n">
        <v>2025</v>
      </c>
      <c r="BY47" t="inlineStr">
        <is>
          <t>01/01/2024</t>
        </is>
      </c>
      <c r="BZ47" t="inlineStr">
        <is>
          <t>30/06/2031</t>
        </is>
      </c>
    </row>
    <row r="48">
      <c r="A48" t="inlineStr">
        <is>
          <t>RESIDENCIAL BEYOND</t>
        </is>
      </c>
      <c r="B48" t="inlineStr">
        <is>
          <t>Etapa 1</t>
        </is>
      </c>
      <c r="C48" t="inlineStr">
        <is>
          <t>Edificio</t>
        </is>
      </c>
      <c r="D48" t="inlineStr">
        <is>
          <t>A</t>
        </is>
      </c>
      <c r="E48" t="inlineStr">
        <is>
          <t>Departamento</t>
        </is>
      </c>
      <c r="F48" t="inlineStr">
        <is>
          <t>1306</t>
        </is>
      </c>
      <c r="G48" s="39" t="n">
        <v>312500</v>
      </c>
      <c r="H48" s="39" t="n">
        <v>265000</v>
      </c>
      <c r="M48" s="39" t="n"/>
      <c r="N48" s="39" t="n"/>
      <c r="S48" s="39" t="n"/>
      <c r="T48" s="39" t="n"/>
      <c r="Y48" s="39" t="n"/>
      <c r="Z48" s="39" t="n"/>
      <c r="AA48" t="inlineStr">
        <is>
          <t>Alejandra Leslye Solorio Peña</t>
        </is>
      </c>
      <c r="AB48" t="inlineStr">
        <is>
          <t>75021688</t>
        </is>
      </c>
      <c r="AC48" t="inlineStr">
        <is>
          <t>Jr. Santiago Wagner 2264</t>
        </is>
      </c>
      <c r="AD48" t="n">
        <v>0</v>
      </c>
      <c r="AE48" t="inlineStr">
        <is>
          <t>984934286</t>
        </is>
      </c>
      <c r="AF48" t="inlineStr">
        <is>
          <t>aleslye3@gamil.com</t>
        </is>
      </c>
      <c r="AG48" t="inlineStr">
        <is>
          <t>LIMA</t>
        </is>
      </c>
      <c r="AH48" t="inlineStr">
        <is>
          <t>CERCADO DE LIMA</t>
        </is>
      </c>
      <c r="AI48" s="75" t="n">
        <v>45904</v>
      </c>
      <c r="AJ48" s="75" t="n">
        <v>45904</v>
      </c>
      <c r="AK48" t="inlineStr">
        <is>
          <t>CUOTA INICIAL</t>
        </is>
      </c>
      <c r="AL48" t="n">
        <v>1</v>
      </c>
      <c r="AM48" t="n">
        <v>65600</v>
      </c>
      <c r="AN48" t="n">
        <v>0</v>
      </c>
      <c r="AO48" t="n">
        <v>0</v>
      </c>
      <c r="AP48" s="39" t="n">
        <v>65600</v>
      </c>
      <c r="AQ48" s="39" t="n">
        <v>65600</v>
      </c>
      <c r="AR48" s="39" t="n">
        <v>0</v>
      </c>
      <c r="AS48" t="n">
        <v>0</v>
      </c>
      <c r="AT48" t="inlineStr">
        <is>
          <t>Ahorro</t>
        </is>
      </c>
      <c r="AU48" t="inlineStr">
        <is>
          <t>Banco de Credito del Perú</t>
        </is>
      </c>
      <c r="AV48" t="inlineStr">
        <is>
          <t>194-7325779-0-65</t>
        </is>
      </c>
      <c r="AW48" t="inlineStr">
        <is>
          <t>TRANSFERENCIA BANCARIA</t>
        </is>
      </c>
      <c r="AY48" t="inlineStr">
        <is>
          <t>0833282</t>
        </is>
      </c>
      <c r="AZ48" t="inlineStr">
        <is>
          <t>No</t>
        </is>
      </c>
      <c r="BB48" t="n">
        <v>4</v>
      </c>
      <c r="BC48" t="inlineStr">
        <is>
          <t>CANCELADO</t>
        </is>
      </c>
      <c r="BN48" t="inlineStr">
        <is>
          <t>No</t>
        </is>
      </c>
      <c r="BO48" s="76" t="n">
        <v>45904.80555555555</v>
      </c>
      <c r="BP48" t="inlineStr">
        <is>
          <t>Carla Michue M</t>
        </is>
      </c>
      <c r="BR48" t="n">
        <v>11</v>
      </c>
      <c r="BS48" t="inlineStr">
        <is>
          <t>23/05/2026 19:22</t>
        </is>
      </c>
      <c r="BW48" t="inlineStr">
        <is>
          <t>Cobranzas_2025.csv</t>
        </is>
      </c>
      <c r="BX48" t="n">
        <v>2025</v>
      </c>
      <c r="BY48" t="inlineStr">
        <is>
          <t>01/01/2024</t>
        </is>
      </c>
      <c r="BZ48" t="inlineStr">
        <is>
          <t>30/06/2031</t>
        </is>
      </c>
    </row>
    <row r="49">
      <c r="A49" t="inlineStr">
        <is>
          <t>RESIDENCIAL PRADA</t>
        </is>
      </c>
      <c r="B49" t="inlineStr">
        <is>
          <t>Etapa 1</t>
        </is>
      </c>
      <c r="C49" t="inlineStr">
        <is>
          <t>Edificio</t>
        </is>
      </c>
      <c r="D49" t="inlineStr">
        <is>
          <t>A</t>
        </is>
      </c>
      <c r="E49" t="inlineStr">
        <is>
          <t>Departamento</t>
        </is>
      </c>
      <c r="F49" t="inlineStr">
        <is>
          <t>301</t>
        </is>
      </c>
      <c r="G49" s="39" t="n">
        <v>630000</v>
      </c>
      <c r="H49" s="39" t="n">
        <v>630000</v>
      </c>
      <c r="M49" s="39" t="n"/>
      <c r="N49" s="39" t="n"/>
      <c r="S49" s="39" t="n"/>
      <c r="T49" s="39" t="n"/>
      <c r="Y49" s="39" t="n"/>
      <c r="Z49" s="39" t="n"/>
      <c r="AA49" t="inlineStr">
        <is>
          <t>Alejandro Jose Navarrete Maldonado</t>
        </is>
      </c>
      <c r="AB49" t="inlineStr">
        <is>
          <t>46304395</t>
        </is>
      </c>
      <c r="AC49" t="inlineStr">
        <is>
          <t xml:space="preserve">Calle Jose Mariano Arce 139 – Dpto. 202 </t>
        </is>
      </c>
      <c r="AE49" t="inlineStr">
        <is>
          <t>956466496</t>
        </is>
      </c>
      <c r="AF49" t="inlineStr">
        <is>
          <t>anavarrete@nmabogados.com.pe</t>
        </is>
      </c>
      <c r="AG49" t="inlineStr">
        <is>
          <t>LIMA</t>
        </is>
      </c>
      <c r="AH49" t="inlineStr">
        <is>
          <t>PUEBLO LIBRE</t>
        </is>
      </c>
      <c r="AI49" s="75" t="n">
        <v>45754</v>
      </c>
      <c r="AJ49" s="75" t="n">
        <v>45754</v>
      </c>
      <c r="AK49" t="inlineStr">
        <is>
          <t>SEPARACION</t>
        </is>
      </c>
      <c r="AL49" t="n">
        <v>1</v>
      </c>
      <c r="AM49" t="n">
        <v>3000</v>
      </c>
      <c r="AN49" t="n">
        <v>0</v>
      </c>
      <c r="AO49" t="n">
        <v>0</v>
      </c>
      <c r="AP49" s="39" t="n">
        <v>3000</v>
      </c>
      <c r="AQ49" s="39" t="n">
        <v>3000</v>
      </c>
      <c r="AR49" s="39" t="n">
        <v>0</v>
      </c>
      <c r="AS49" t="n">
        <v>0</v>
      </c>
      <c r="AT49" t="inlineStr">
        <is>
          <t>Crédito Hipotecario</t>
        </is>
      </c>
      <c r="AU49" t="inlineStr">
        <is>
          <t>Scotiabank Perú</t>
        </is>
      </c>
      <c r="AV49" t="inlineStr">
        <is>
          <t>000-2768484</t>
        </is>
      </c>
      <c r="AW49" t="inlineStr">
        <is>
          <t>TRANSFERENCIA BANCARIA</t>
        </is>
      </c>
      <c r="AX49" t="n">
        <v>46304395</v>
      </c>
      <c r="AY49" t="inlineStr">
        <is>
          <t>2715</t>
        </is>
      </c>
      <c r="AZ49" t="inlineStr">
        <is>
          <t>No</t>
        </is>
      </c>
      <c r="BA49" t="inlineStr">
        <is>
          <t>NO PRECISA</t>
        </is>
      </c>
      <c r="BB49" t="n">
        <v>1</v>
      </c>
      <c r="BC49" t="inlineStr">
        <is>
          <t>CANCELADO</t>
        </is>
      </c>
      <c r="BN49" t="inlineStr">
        <is>
          <t>Si</t>
        </is>
      </c>
      <c r="BO49" s="76" t="n">
        <v>45775.39097222222</v>
      </c>
      <c r="BP49" t="inlineStr">
        <is>
          <t>Carla Michue M</t>
        </is>
      </c>
      <c r="BR49" t="n">
        <v>8</v>
      </c>
      <c r="BS49" t="inlineStr">
        <is>
          <t>29/05/2026 12:21</t>
        </is>
      </c>
      <c r="BW49" t="inlineStr">
        <is>
          <t>Cobranzas_2025.csv</t>
        </is>
      </c>
      <c r="BX49" t="n">
        <v>2025</v>
      </c>
      <c r="BY49" t="inlineStr">
        <is>
          <t>01/01/2024</t>
        </is>
      </c>
      <c r="BZ49" t="inlineStr">
        <is>
          <t>30/06/2031</t>
        </is>
      </c>
    </row>
    <row r="50">
      <c r="A50" t="inlineStr">
        <is>
          <t>RESIDENCIAL PRADA</t>
        </is>
      </c>
      <c r="B50" t="inlineStr">
        <is>
          <t>Etapa 1</t>
        </is>
      </c>
      <c r="C50" t="inlineStr">
        <is>
          <t>Edificio</t>
        </is>
      </c>
      <c r="D50" t="inlineStr">
        <is>
          <t>A</t>
        </is>
      </c>
      <c r="E50" t="inlineStr">
        <is>
          <t>Departamento</t>
        </is>
      </c>
      <c r="F50" t="inlineStr">
        <is>
          <t>301</t>
        </is>
      </c>
      <c r="G50" s="39" t="n">
        <v>630000</v>
      </c>
      <c r="H50" s="39" t="n">
        <v>630000</v>
      </c>
      <c r="M50" s="39" t="n"/>
      <c r="N50" s="39" t="n"/>
      <c r="S50" s="39" t="n"/>
      <c r="T50" s="39" t="n"/>
      <c r="Y50" s="39" t="n"/>
      <c r="Z50" s="39" t="n"/>
      <c r="AA50" t="inlineStr">
        <is>
          <t>Alejandro Jose Navarrete Maldonado</t>
        </is>
      </c>
      <c r="AB50" t="inlineStr">
        <is>
          <t>46304395</t>
        </is>
      </c>
      <c r="AC50" t="inlineStr">
        <is>
          <t xml:space="preserve">Calle Jose Mariano Arce 139 – Dpto. 202 </t>
        </is>
      </c>
      <c r="AE50" t="inlineStr">
        <is>
          <t>956466496</t>
        </is>
      </c>
      <c r="AF50" t="inlineStr">
        <is>
          <t>anavarrete@nmabogados.com.pe</t>
        </is>
      </c>
      <c r="AG50" t="inlineStr">
        <is>
          <t>LIMA</t>
        </is>
      </c>
      <c r="AH50" t="inlineStr">
        <is>
          <t>PUEBLO LIBRE</t>
        </is>
      </c>
      <c r="AI50" s="75" t="n">
        <v>45775</v>
      </c>
      <c r="AJ50" s="75" t="n">
        <v>45775</v>
      </c>
      <c r="AK50" t="inlineStr">
        <is>
          <t>SEPARACION</t>
        </is>
      </c>
      <c r="AL50" t="n">
        <v>6</v>
      </c>
      <c r="AM50" t="n">
        <v>10000</v>
      </c>
      <c r="AN50" t="n">
        <v>0</v>
      </c>
      <c r="AO50" t="n">
        <v>0</v>
      </c>
      <c r="AP50" s="39" t="n">
        <v>10000</v>
      </c>
      <c r="AQ50" s="39" t="n">
        <v>10000</v>
      </c>
      <c r="AR50" s="39" t="n">
        <v>0</v>
      </c>
      <c r="AS50" t="n">
        <v>0</v>
      </c>
      <c r="AT50" t="inlineStr">
        <is>
          <t>Crédito Hipotecario</t>
        </is>
      </c>
      <c r="AU50" t="inlineStr">
        <is>
          <t>Scotiabank Perú</t>
        </is>
      </c>
      <c r="AV50" t="inlineStr">
        <is>
          <t>000-2768484</t>
        </is>
      </c>
      <c r="AW50" t="inlineStr">
        <is>
          <t>TRANSFERENCIA BANCARIA</t>
        </is>
      </c>
      <c r="AY50" t="inlineStr">
        <is>
          <t>8240169</t>
        </is>
      </c>
      <c r="AZ50" t="inlineStr">
        <is>
          <t>No</t>
        </is>
      </c>
      <c r="BB50" t="n">
        <v>4</v>
      </c>
      <c r="BC50" t="inlineStr">
        <is>
          <t>CANCELADO</t>
        </is>
      </c>
      <c r="BN50" t="inlineStr">
        <is>
          <t>Si</t>
        </is>
      </c>
      <c r="BO50" s="76" t="n">
        <v>45775.39097222222</v>
      </c>
      <c r="BP50" t="inlineStr">
        <is>
          <t>Carla Michue M</t>
        </is>
      </c>
      <c r="BR50" t="n">
        <v>8</v>
      </c>
      <c r="BS50" t="inlineStr">
        <is>
          <t>03/07/2026 10:54</t>
        </is>
      </c>
      <c r="BW50" t="inlineStr">
        <is>
          <t>Cobranzas_2025.csv</t>
        </is>
      </c>
      <c r="BX50" t="n">
        <v>2025</v>
      </c>
      <c r="BY50" t="inlineStr">
        <is>
          <t>01/01/2024</t>
        </is>
      </c>
      <c r="BZ50" t="inlineStr">
        <is>
          <t>30/06/2031</t>
        </is>
      </c>
    </row>
    <row r="51">
      <c r="A51" t="inlineStr">
        <is>
          <t>RESIDENCIAL PRADA</t>
        </is>
      </c>
      <c r="B51" t="inlineStr">
        <is>
          <t>Etapa 1</t>
        </is>
      </c>
      <c r="C51" t="inlineStr">
        <is>
          <t>Edificio</t>
        </is>
      </c>
      <c r="D51" t="inlineStr">
        <is>
          <t>A</t>
        </is>
      </c>
      <c r="E51" t="inlineStr">
        <is>
          <t>Departamento</t>
        </is>
      </c>
      <c r="F51" t="inlineStr">
        <is>
          <t>301</t>
        </is>
      </c>
      <c r="G51" s="39" t="n">
        <v>630000</v>
      </c>
      <c r="H51" s="39" t="n">
        <v>630000</v>
      </c>
      <c r="M51" s="39" t="n"/>
      <c r="N51" s="39" t="n"/>
      <c r="S51" s="39" t="n"/>
      <c r="T51" s="39" t="n"/>
      <c r="Y51" s="39" t="n"/>
      <c r="Z51" s="39" t="n"/>
      <c r="AA51" t="inlineStr">
        <is>
          <t>Alejandro Jose Navarrete Maldonado</t>
        </is>
      </c>
      <c r="AB51" t="inlineStr">
        <is>
          <t>46304395</t>
        </is>
      </c>
      <c r="AC51" t="inlineStr">
        <is>
          <t xml:space="preserve">Calle Jose Mariano Arce 139 – Dpto. 202 </t>
        </is>
      </c>
      <c r="AE51" t="inlineStr">
        <is>
          <t>956466496</t>
        </is>
      </c>
      <c r="AF51" t="inlineStr">
        <is>
          <t>anavarrete@nmabogados.com.pe</t>
        </is>
      </c>
      <c r="AG51" t="inlineStr">
        <is>
          <t>LIMA</t>
        </is>
      </c>
      <c r="AH51" t="inlineStr">
        <is>
          <t>PUEBLO LIBRE</t>
        </is>
      </c>
      <c r="AI51" s="75" t="n">
        <v>45775</v>
      </c>
      <c r="AJ51" s="75" t="n">
        <v>45775</v>
      </c>
      <c r="AK51" t="inlineStr">
        <is>
          <t>CUOTA INICIAL</t>
        </is>
      </c>
      <c r="AL51" t="n">
        <v>1</v>
      </c>
      <c r="AM51" t="n">
        <v>45000</v>
      </c>
      <c r="AN51" t="n">
        <v>0</v>
      </c>
      <c r="AO51" t="n">
        <v>0</v>
      </c>
      <c r="AP51" s="39" t="n">
        <v>45000</v>
      </c>
      <c r="AQ51" s="39" t="n">
        <v>45000</v>
      </c>
      <c r="AR51" s="39" t="n">
        <v>0</v>
      </c>
      <c r="AS51" t="n">
        <v>0</v>
      </c>
      <c r="AT51" t="inlineStr">
        <is>
          <t>Crédito Hipotecario</t>
        </is>
      </c>
      <c r="AU51" t="inlineStr">
        <is>
          <t>Scotiabank Perú</t>
        </is>
      </c>
      <c r="AV51" t="inlineStr">
        <is>
          <t>000-2768484</t>
        </is>
      </c>
      <c r="AW51" t="inlineStr">
        <is>
          <t>TRANSFERENCIA BANCARIA</t>
        </is>
      </c>
      <c r="AY51" t="inlineStr">
        <is>
          <t>8240169</t>
        </is>
      </c>
      <c r="AZ51" t="inlineStr">
        <is>
          <t>No</t>
        </is>
      </c>
      <c r="BB51" t="n">
        <v>4</v>
      </c>
      <c r="BC51" t="inlineStr">
        <is>
          <t>CANCELADO</t>
        </is>
      </c>
      <c r="BN51" t="inlineStr">
        <is>
          <t>Si</t>
        </is>
      </c>
      <c r="BO51" s="76" t="n">
        <v>45775.39097222222</v>
      </c>
      <c r="BP51" t="inlineStr">
        <is>
          <t>Carla Michue M</t>
        </is>
      </c>
      <c r="BR51" t="n">
        <v>8</v>
      </c>
      <c r="BS51" t="inlineStr">
        <is>
          <t>03/07/2026 10:54</t>
        </is>
      </c>
      <c r="BW51" t="inlineStr">
        <is>
          <t>Cobranzas_2025.csv</t>
        </is>
      </c>
      <c r="BX51" t="n">
        <v>2025</v>
      </c>
      <c r="BY51" t="inlineStr">
        <is>
          <t>01/01/2024</t>
        </is>
      </c>
      <c r="BZ51" t="inlineStr">
        <is>
          <t>30/06/2031</t>
        </is>
      </c>
    </row>
    <row r="52">
      <c r="A52" t="inlineStr">
        <is>
          <t>RESIDENCIAL PRADA</t>
        </is>
      </c>
      <c r="B52" t="inlineStr">
        <is>
          <t>Etapa 1</t>
        </is>
      </c>
      <c r="C52" t="inlineStr">
        <is>
          <t>Edificio</t>
        </is>
      </c>
      <c r="D52" t="inlineStr">
        <is>
          <t>A</t>
        </is>
      </c>
      <c r="E52" t="inlineStr">
        <is>
          <t>Departamento</t>
        </is>
      </c>
      <c r="F52" t="inlineStr">
        <is>
          <t>301</t>
        </is>
      </c>
      <c r="G52" s="39" t="n">
        <v>630000</v>
      </c>
      <c r="H52" s="39" t="n">
        <v>630000</v>
      </c>
      <c r="M52" s="39" t="n"/>
      <c r="N52" s="39" t="n"/>
      <c r="S52" s="39" t="n"/>
      <c r="T52" s="39" t="n"/>
      <c r="Y52" s="39" t="n"/>
      <c r="Z52" s="39" t="n"/>
      <c r="AA52" t="inlineStr">
        <is>
          <t>Alejandro Jose Navarrete Maldonado</t>
        </is>
      </c>
      <c r="AB52" t="inlineStr">
        <is>
          <t>46304395</t>
        </is>
      </c>
      <c r="AC52" t="inlineStr">
        <is>
          <t xml:space="preserve">Calle Jose Mariano Arce 139 – Dpto. 202 </t>
        </is>
      </c>
      <c r="AE52" t="inlineStr">
        <is>
          <t>956466496</t>
        </is>
      </c>
      <c r="AF52" t="inlineStr">
        <is>
          <t>anavarrete@nmabogados.com.pe</t>
        </is>
      </c>
      <c r="AG52" t="inlineStr">
        <is>
          <t>LIMA</t>
        </is>
      </c>
      <c r="AH52" t="inlineStr">
        <is>
          <t>PUEBLO LIBRE</t>
        </is>
      </c>
      <c r="AI52" s="75" t="n">
        <v>45833</v>
      </c>
      <c r="AJ52" s="75" t="n">
        <v>45833</v>
      </c>
      <c r="AK52" t="inlineStr">
        <is>
          <t>CUOTA INICIAL</t>
        </is>
      </c>
      <c r="AL52" t="n">
        <v>2</v>
      </c>
      <c r="AM52" t="n">
        <v>44000</v>
      </c>
      <c r="AN52" t="n">
        <v>0</v>
      </c>
      <c r="AO52" t="n">
        <v>0</v>
      </c>
      <c r="AP52" s="39" t="n">
        <v>44000</v>
      </c>
      <c r="AQ52" s="39" t="n">
        <v>44000</v>
      </c>
      <c r="AR52" s="39" t="n">
        <v>0</v>
      </c>
      <c r="AS52" t="n">
        <v>0</v>
      </c>
      <c r="AT52" t="inlineStr">
        <is>
          <t>Crédito Hipotecario</t>
        </is>
      </c>
      <c r="AU52" t="inlineStr">
        <is>
          <t>Scotiabank Perú</t>
        </is>
      </c>
      <c r="AV52" t="inlineStr">
        <is>
          <t>000-2768484</t>
        </is>
      </c>
      <c r="AW52" t="inlineStr">
        <is>
          <t>TRANSFERENCIA BANCARIA</t>
        </is>
      </c>
      <c r="AY52" t="inlineStr">
        <is>
          <t>006190692</t>
        </is>
      </c>
      <c r="AZ52" t="inlineStr">
        <is>
          <t>No</t>
        </is>
      </c>
      <c r="BB52" t="n">
        <v>4</v>
      </c>
      <c r="BC52" t="inlineStr">
        <is>
          <t>CANCELADO</t>
        </is>
      </c>
      <c r="BN52" t="inlineStr">
        <is>
          <t>Si</t>
        </is>
      </c>
      <c r="BO52" s="76" t="n">
        <v>45775.39097222222</v>
      </c>
      <c r="BP52" t="inlineStr">
        <is>
          <t>Carla Michue M</t>
        </is>
      </c>
      <c r="BR52" t="n">
        <v>8</v>
      </c>
      <c r="BS52" t="inlineStr">
        <is>
          <t>03/07/2026 10:56</t>
        </is>
      </c>
      <c r="BW52" t="inlineStr">
        <is>
          <t>Cobranzas_2025.csv</t>
        </is>
      </c>
      <c r="BX52" t="n">
        <v>2025</v>
      </c>
      <c r="BY52" t="inlineStr">
        <is>
          <t>01/01/2024</t>
        </is>
      </c>
      <c r="BZ52" t="inlineStr">
        <is>
          <t>30/06/2031</t>
        </is>
      </c>
    </row>
    <row r="53">
      <c r="A53" t="inlineStr">
        <is>
          <t>RESIDENCIAL PRADA</t>
        </is>
      </c>
      <c r="B53" t="inlineStr">
        <is>
          <t>Etapa 1</t>
        </is>
      </c>
      <c r="C53" t="inlineStr">
        <is>
          <t>Edificio</t>
        </is>
      </c>
      <c r="D53" t="inlineStr">
        <is>
          <t>A</t>
        </is>
      </c>
      <c r="E53" t="inlineStr">
        <is>
          <t>Departamento</t>
        </is>
      </c>
      <c r="F53" t="inlineStr">
        <is>
          <t>301</t>
        </is>
      </c>
      <c r="G53" s="39" t="n">
        <v>630000</v>
      </c>
      <c r="H53" s="39" t="n">
        <v>630000</v>
      </c>
      <c r="M53" s="39" t="n"/>
      <c r="N53" s="39" t="n"/>
      <c r="S53" s="39" t="n"/>
      <c r="T53" s="39" t="n"/>
      <c r="Y53" s="39" t="n"/>
      <c r="Z53" s="39" t="n"/>
      <c r="AA53" t="inlineStr">
        <is>
          <t>Alejandro Jose Navarrete Maldonado</t>
        </is>
      </c>
      <c r="AB53" t="inlineStr">
        <is>
          <t>46304395</t>
        </is>
      </c>
      <c r="AC53" t="inlineStr">
        <is>
          <t xml:space="preserve">Calle Jose Mariano Arce 139 – Dpto. 202 </t>
        </is>
      </c>
      <c r="AE53" t="inlineStr">
        <is>
          <t>956466496</t>
        </is>
      </c>
      <c r="AF53" t="inlineStr">
        <is>
          <t>anavarrete@nmabogados.com.pe</t>
        </is>
      </c>
      <c r="AG53" t="inlineStr">
        <is>
          <t>LIMA</t>
        </is>
      </c>
      <c r="AH53" t="inlineStr">
        <is>
          <t>PUEBLO LIBRE</t>
        </is>
      </c>
      <c r="AI53" s="75" t="n">
        <v>45869</v>
      </c>
      <c r="AJ53" s="75" t="n">
        <v>45833</v>
      </c>
      <c r="AK53" t="inlineStr">
        <is>
          <t>SALDO FINANCIAR</t>
        </is>
      </c>
      <c r="AL53" t="n">
        <v>1</v>
      </c>
      <c r="AM53" t="n">
        <v>528000</v>
      </c>
      <c r="AN53" t="n">
        <v>0</v>
      </c>
      <c r="AO53" t="n">
        <v>0</v>
      </c>
      <c r="AP53" s="39" t="n">
        <v>528000</v>
      </c>
      <c r="AQ53" s="39" t="n">
        <v>68000</v>
      </c>
      <c r="AR53" s="39" t="n">
        <v>0</v>
      </c>
      <c r="AS53" t="n">
        <v>0</v>
      </c>
      <c r="AT53" t="inlineStr">
        <is>
          <t>Crédito Hipotecario</t>
        </is>
      </c>
      <c r="AU53" t="inlineStr">
        <is>
          <t>Scotiabank Perú</t>
        </is>
      </c>
      <c r="AV53" t="inlineStr">
        <is>
          <t>000-2768484</t>
        </is>
      </c>
      <c r="AW53" t="inlineStr">
        <is>
          <t>TRANSFERENCIA BANCARIA</t>
        </is>
      </c>
      <c r="AY53" t="inlineStr">
        <is>
          <t>1141936</t>
        </is>
      </c>
      <c r="AZ53" t="inlineStr">
        <is>
          <t>No</t>
        </is>
      </c>
      <c r="BB53" t="n">
        <v>4</v>
      </c>
      <c r="BC53" t="inlineStr">
        <is>
          <t>CANCELADO</t>
        </is>
      </c>
      <c r="BN53" t="inlineStr">
        <is>
          <t>Si</t>
        </is>
      </c>
      <c r="BO53" s="76" t="n">
        <v>45775.39097222222</v>
      </c>
      <c r="BP53" t="inlineStr">
        <is>
          <t>Carla Michue M</t>
        </is>
      </c>
      <c r="BR53" t="n">
        <v>8</v>
      </c>
      <c r="BS53" t="inlineStr">
        <is>
          <t>03/07/2026 11:00</t>
        </is>
      </c>
      <c r="BW53" t="inlineStr">
        <is>
          <t>Cobranzas_2025.csv</t>
        </is>
      </c>
      <c r="BX53" t="n">
        <v>2025</v>
      </c>
      <c r="BY53" t="inlineStr">
        <is>
          <t>01/01/2024</t>
        </is>
      </c>
      <c r="BZ53" t="inlineStr">
        <is>
          <t>30/06/2031</t>
        </is>
      </c>
    </row>
    <row r="54">
      <c r="A54" t="inlineStr">
        <is>
          <t>RESIDENCIAL PRADA</t>
        </is>
      </c>
      <c r="B54" t="inlineStr">
        <is>
          <t>Etapa 1</t>
        </is>
      </c>
      <c r="C54" t="inlineStr">
        <is>
          <t>Edificio</t>
        </is>
      </c>
      <c r="D54" t="inlineStr">
        <is>
          <t>A</t>
        </is>
      </c>
      <c r="E54" t="inlineStr">
        <is>
          <t>Departamento</t>
        </is>
      </c>
      <c r="F54" t="inlineStr">
        <is>
          <t>301</t>
        </is>
      </c>
      <c r="G54" s="39" t="n">
        <v>630000</v>
      </c>
      <c r="H54" s="39" t="n">
        <v>630000</v>
      </c>
      <c r="M54" s="39" t="n"/>
      <c r="N54" s="39" t="n"/>
      <c r="S54" s="39" t="n"/>
      <c r="T54" s="39" t="n"/>
      <c r="Y54" s="39" t="n"/>
      <c r="Z54" s="39" t="n"/>
      <c r="AA54" t="inlineStr">
        <is>
          <t>Alejandro Jose Navarrete Maldonado</t>
        </is>
      </c>
      <c r="AB54" t="inlineStr">
        <is>
          <t>46304395</t>
        </is>
      </c>
      <c r="AC54" t="inlineStr">
        <is>
          <t xml:space="preserve">Calle Jose Mariano Arce 139 – Dpto. 202 </t>
        </is>
      </c>
      <c r="AE54" t="inlineStr">
        <is>
          <t>956466496</t>
        </is>
      </c>
      <c r="AF54" t="inlineStr">
        <is>
          <t>anavarrete@nmabogados.com.pe</t>
        </is>
      </c>
      <c r="AG54" t="inlineStr">
        <is>
          <t>LIMA</t>
        </is>
      </c>
      <c r="AH54" t="inlineStr">
        <is>
          <t>PUEBLO LIBRE</t>
        </is>
      </c>
      <c r="AI54" s="75" t="n">
        <v>45869</v>
      </c>
      <c r="AJ54" s="75" t="n">
        <v>45868</v>
      </c>
      <c r="AK54" t="inlineStr">
        <is>
          <t>SALDO FINANCIAR</t>
        </is>
      </c>
      <c r="AL54" t="n">
        <v>1</v>
      </c>
      <c r="AM54" t="n">
        <v>0</v>
      </c>
      <c r="AN54" t="n">
        <v>0</v>
      </c>
      <c r="AO54" t="n">
        <v>0</v>
      </c>
      <c r="AP54" s="39" t="n">
        <v>0</v>
      </c>
      <c r="AQ54" s="39" t="n">
        <v>460000</v>
      </c>
      <c r="AR54" s="39" t="n">
        <v>0</v>
      </c>
      <c r="AS54" t="n">
        <v>0</v>
      </c>
      <c r="AT54" t="inlineStr">
        <is>
          <t>Crédito Hipotecario</t>
        </is>
      </c>
      <c r="AU54" t="inlineStr">
        <is>
          <t>Scotiabank Perú</t>
        </is>
      </c>
      <c r="AV54" t="inlineStr">
        <is>
          <t>000-2768484</t>
        </is>
      </c>
      <c r="AW54" t="inlineStr">
        <is>
          <t>TRANSFERENCIA BANCARIA</t>
        </is>
      </c>
      <c r="AY54" t="inlineStr">
        <is>
          <t>02708000009</t>
        </is>
      </c>
      <c r="AZ54" t="inlineStr">
        <is>
          <t>No</t>
        </is>
      </c>
      <c r="BB54" t="n">
        <v>4</v>
      </c>
      <c r="BC54" t="inlineStr">
        <is>
          <t>CANCELADO</t>
        </is>
      </c>
      <c r="BN54" t="inlineStr">
        <is>
          <t>Si</t>
        </is>
      </c>
      <c r="BO54" s="76" t="n">
        <v>45775.39097222222</v>
      </c>
      <c r="BP54" t="inlineStr">
        <is>
          <t>Carla Michue M</t>
        </is>
      </c>
      <c r="BR54" t="n">
        <v>8</v>
      </c>
      <c r="BS54" t="inlineStr">
        <is>
          <t>03/07/2026 11:02</t>
        </is>
      </c>
      <c r="BW54" t="inlineStr">
        <is>
          <t>Cobranzas_2025.csv</t>
        </is>
      </c>
      <c r="BX54" t="n">
        <v>2025</v>
      </c>
      <c r="BY54" t="inlineStr">
        <is>
          <t>01/01/2024</t>
        </is>
      </c>
      <c r="BZ54" t="inlineStr">
        <is>
          <t>30/06/2031</t>
        </is>
      </c>
    </row>
    <row r="55">
      <c r="A55" t="inlineStr">
        <is>
          <t>RESIDENCIAL PRADA</t>
        </is>
      </c>
      <c r="B55" t="inlineStr">
        <is>
          <t>Etapa 1</t>
        </is>
      </c>
      <c r="C55" t="inlineStr">
        <is>
          <t>Edificio</t>
        </is>
      </c>
      <c r="D55" t="inlineStr">
        <is>
          <t>A</t>
        </is>
      </c>
      <c r="E55" t="inlineStr">
        <is>
          <t>Estacionamiento</t>
        </is>
      </c>
      <c r="F55" t="inlineStr">
        <is>
          <t>E 23 - D 17</t>
        </is>
      </c>
      <c r="G55" s="39" t="n">
        <v>52000</v>
      </c>
      <c r="H55" s="39" t="n">
        <v>52000</v>
      </c>
      <c r="M55" s="39" t="n"/>
      <c r="N55" s="39" t="n"/>
      <c r="S55" s="39" t="n"/>
      <c r="T55" s="39" t="n"/>
      <c r="Y55" s="39" t="n"/>
      <c r="Z55" s="39" t="n"/>
      <c r="AA55" t="inlineStr">
        <is>
          <t>Alejandro Jose Navarrete Maldonado</t>
        </is>
      </c>
      <c r="AB55" t="inlineStr">
        <is>
          <t>46304395</t>
        </is>
      </c>
      <c r="AC55" t="inlineStr">
        <is>
          <t xml:space="preserve">Calle Jose Mariano Arce 139 – Dpto. 202 </t>
        </is>
      </c>
      <c r="AD55" t="n">
        <v>0</v>
      </c>
      <c r="AE55" t="inlineStr">
        <is>
          <t>956466496</t>
        </is>
      </c>
      <c r="AF55" t="inlineStr">
        <is>
          <t>anavarrete@nmabogados.com.pe</t>
        </is>
      </c>
      <c r="AG55" t="inlineStr">
        <is>
          <t>LIMA</t>
        </is>
      </c>
      <c r="AH55" t="inlineStr">
        <is>
          <t>PUEBLO LIBRE</t>
        </is>
      </c>
      <c r="AI55" s="75" t="n">
        <v>45877</v>
      </c>
      <c r="AJ55" s="75" t="n">
        <v>45873</v>
      </c>
      <c r="AK55" t="inlineStr">
        <is>
          <t>SEPARACION</t>
        </is>
      </c>
      <c r="AL55" t="n">
        <v>1</v>
      </c>
      <c r="AM55" t="n">
        <v>3000</v>
      </c>
      <c r="AN55" t="n">
        <v>0</v>
      </c>
      <c r="AO55" t="n">
        <v>0</v>
      </c>
      <c r="AP55" s="39" t="n">
        <v>3000</v>
      </c>
      <c r="AQ55" s="39" t="n">
        <v>3000</v>
      </c>
      <c r="AR55" s="39" t="n">
        <v>0</v>
      </c>
      <c r="AS55" t="n">
        <v>0</v>
      </c>
      <c r="AT55" t="inlineStr">
        <is>
          <t>Crédito Directo</t>
        </is>
      </c>
      <c r="AU55" t="inlineStr">
        <is>
          <t>Scotiabank Perú</t>
        </is>
      </c>
      <c r="AV55" t="inlineStr">
        <is>
          <t>000-2768484</t>
        </is>
      </c>
      <c r="AW55" t="inlineStr">
        <is>
          <t>TRANSFERENCIA BANCARIA</t>
        </is>
      </c>
      <c r="AY55" t="inlineStr">
        <is>
          <t>2636117</t>
        </is>
      </c>
      <c r="AZ55" t="inlineStr">
        <is>
          <t>No</t>
        </is>
      </c>
      <c r="BB55" t="n">
        <v>4</v>
      </c>
      <c r="BC55" t="inlineStr">
        <is>
          <t>CANCELADO</t>
        </is>
      </c>
      <c r="BN55" t="inlineStr">
        <is>
          <t>Si</t>
        </is>
      </c>
      <c r="BO55" s="76" t="n">
        <v>45961.43263888889</v>
      </c>
      <c r="BP55" t="inlineStr">
        <is>
          <t>Magaly Guevara Perez</t>
        </is>
      </c>
      <c r="BR55" t="n">
        <v>54</v>
      </c>
      <c r="BS55" t="inlineStr">
        <is>
          <t>14/07/2026 10:02</t>
        </is>
      </c>
      <c r="BW55" t="inlineStr">
        <is>
          <t>Cobranzas_2025.csv</t>
        </is>
      </c>
      <c r="BX55" t="n">
        <v>2025</v>
      </c>
      <c r="BY55" t="inlineStr">
        <is>
          <t>01/01/2024</t>
        </is>
      </c>
      <c r="BZ55" t="inlineStr">
        <is>
          <t>30/06/2031</t>
        </is>
      </c>
    </row>
    <row r="56">
      <c r="A56" t="inlineStr">
        <is>
          <t>RESIDENCIAL PRADA</t>
        </is>
      </c>
      <c r="B56" t="inlineStr">
        <is>
          <t>Etapa 1</t>
        </is>
      </c>
      <c r="C56" t="inlineStr">
        <is>
          <t>Edificio</t>
        </is>
      </c>
      <c r="D56" t="inlineStr">
        <is>
          <t>A</t>
        </is>
      </c>
      <c r="E56" t="inlineStr">
        <is>
          <t>Estacionamiento</t>
        </is>
      </c>
      <c r="F56" t="inlineStr">
        <is>
          <t>E 23 - D 17</t>
        </is>
      </c>
      <c r="G56" s="39" t="n">
        <v>52000</v>
      </c>
      <c r="H56" s="39" t="n">
        <v>52000</v>
      </c>
      <c r="M56" s="39" t="n"/>
      <c r="N56" s="39" t="n"/>
      <c r="S56" s="39" t="n"/>
      <c r="T56" s="39" t="n"/>
      <c r="Y56" s="39" t="n"/>
      <c r="Z56" s="39" t="n"/>
      <c r="AA56" t="inlineStr">
        <is>
          <t>Alejandro Jose Navarrete Maldonado</t>
        </is>
      </c>
      <c r="AB56" t="inlineStr">
        <is>
          <t>46304395</t>
        </is>
      </c>
      <c r="AC56" t="inlineStr">
        <is>
          <t xml:space="preserve">Calle Jose Mariano Arce 139 – Dpto. 202 </t>
        </is>
      </c>
      <c r="AD56" t="n">
        <v>0</v>
      </c>
      <c r="AE56" t="inlineStr">
        <is>
          <t>956466496</t>
        </is>
      </c>
      <c r="AF56" t="inlineStr">
        <is>
          <t>anavarrete@nmabogados.com.pe</t>
        </is>
      </c>
      <c r="AG56" t="inlineStr">
        <is>
          <t>LIMA</t>
        </is>
      </c>
      <c r="AH56" t="inlineStr">
        <is>
          <t>PUEBLO LIBRE</t>
        </is>
      </c>
      <c r="AI56" s="75" t="n">
        <v>45877</v>
      </c>
      <c r="AJ56" s="75" t="n">
        <v>45873</v>
      </c>
      <c r="AK56" t="inlineStr">
        <is>
          <t>CUOTA INICIAL</t>
        </is>
      </c>
      <c r="AL56" t="n">
        <v>1</v>
      </c>
      <c r="AM56" t="n">
        <v>7000</v>
      </c>
      <c r="AN56" t="n">
        <v>0</v>
      </c>
      <c r="AO56" t="n">
        <v>0</v>
      </c>
      <c r="AP56" s="39" t="n">
        <v>7000</v>
      </c>
      <c r="AQ56" s="39" t="n">
        <v>7000</v>
      </c>
      <c r="AR56" s="39" t="n">
        <v>0</v>
      </c>
      <c r="AS56" t="n">
        <v>0</v>
      </c>
      <c r="AT56" t="inlineStr">
        <is>
          <t>Crédito Directo</t>
        </is>
      </c>
      <c r="AU56" t="inlineStr">
        <is>
          <t>Scotiabank Perú</t>
        </is>
      </c>
      <c r="AV56" t="inlineStr">
        <is>
          <t>000-2768484</t>
        </is>
      </c>
      <c r="AW56" t="inlineStr">
        <is>
          <t>TRANSFERENCIA BANCARIA</t>
        </is>
      </c>
      <c r="AY56" t="inlineStr">
        <is>
          <t>2636117</t>
        </is>
      </c>
      <c r="AZ56" t="inlineStr">
        <is>
          <t>No</t>
        </is>
      </c>
      <c r="BB56" t="n">
        <v>4</v>
      </c>
      <c r="BC56" t="inlineStr">
        <is>
          <t>CANCELADO</t>
        </is>
      </c>
      <c r="BN56" t="inlineStr">
        <is>
          <t>Si</t>
        </is>
      </c>
      <c r="BO56" s="76" t="n">
        <v>45961.43263888889</v>
      </c>
      <c r="BP56" t="inlineStr">
        <is>
          <t>Magaly Guevara Perez</t>
        </is>
      </c>
      <c r="BR56" t="n">
        <v>54</v>
      </c>
      <c r="BS56" t="inlineStr">
        <is>
          <t>14/07/2026 10:02</t>
        </is>
      </c>
      <c r="BW56" t="inlineStr">
        <is>
          <t>Cobranzas_2025.csv</t>
        </is>
      </c>
      <c r="BX56" t="n">
        <v>2025</v>
      </c>
      <c r="BY56" t="inlineStr">
        <is>
          <t>01/01/2024</t>
        </is>
      </c>
      <c r="BZ56" t="inlineStr">
        <is>
          <t>30/06/2031</t>
        </is>
      </c>
    </row>
    <row r="57">
      <c r="A57" t="inlineStr">
        <is>
          <t>RESIDENCIAL PRADA</t>
        </is>
      </c>
      <c r="B57" t="inlineStr">
        <is>
          <t>Etapa 1</t>
        </is>
      </c>
      <c r="C57" t="inlineStr">
        <is>
          <t>Edificio</t>
        </is>
      </c>
      <c r="D57" t="inlineStr">
        <is>
          <t>A</t>
        </is>
      </c>
      <c r="E57" t="inlineStr">
        <is>
          <t>Estacionamiento</t>
        </is>
      </c>
      <c r="F57" t="inlineStr">
        <is>
          <t>E 23 - D 17</t>
        </is>
      </c>
      <c r="G57" s="39" t="n">
        <v>52000</v>
      </c>
      <c r="H57" s="39" t="n">
        <v>52000</v>
      </c>
      <c r="M57" s="39" t="n"/>
      <c r="N57" s="39" t="n"/>
      <c r="S57" s="39" t="n"/>
      <c r="T57" s="39" t="n"/>
      <c r="Y57" s="39" t="n"/>
      <c r="Z57" s="39" t="n"/>
      <c r="AA57" t="inlineStr">
        <is>
          <t>Alejandro Jose Navarrete Maldonado</t>
        </is>
      </c>
      <c r="AB57" t="inlineStr">
        <is>
          <t>46304395</t>
        </is>
      </c>
      <c r="AC57" t="inlineStr">
        <is>
          <t xml:space="preserve">Calle Jose Mariano Arce 139 – Dpto. 202 </t>
        </is>
      </c>
      <c r="AD57" t="n">
        <v>0</v>
      </c>
      <c r="AE57" t="inlineStr">
        <is>
          <t>956466496</t>
        </is>
      </c>
      <c r="AF57" t="inlineStr">
        <is>
          <t>anavarrete@nmabogados.com.pe</t>
        </is>
      </c>
      <c r="AG57" t="inlineStr">
        <is>
          <t>LIMA</t>
        </is>
      </c>
      <c r="AH57" t="inlineStr">
        <is>
          <t>PUEBLO LIBRE</t>
        </is>
      </c>
      <c r="AI57" s="75" t="n">
        <v>45961</v>
      </c>
      <c r="AJ57" s="75" t="n">
        <v>45961</v>
      </c>
      <c r="AK57" t="inlineStr">
        <is>
          <t>SALDO FINANCIAR</t>
        </is>
      </c>
      <c r="AL57" t="n">
        <v>1</v>
      </c>
      <c r="AM57" t="n">
        <v>14000</v>
      </c>
      <c r="AN57" t="n">
        <v>0</v>
      </c>
      <c r="AO57" t="n">
        <v>0</v>
      </c>
      <c r="AP57" s="39" t="n">
        <v>14000</v>
      </c>
      <c r="AQ57" s="39" t="n">
        <v>14000</v>
      </c>
      <c r="AR57" s="39" t="n">
        <v>0</v>
      </c>
      <c r="AS57" t="n">
        <v>0</v>
      </c>
      <c r="AT57" t="inlineStr">
        <is>
          <t>Crédito Directo</t>
        </is>
      </c>
      <c r="AU57" t="inlineStr">
        <is>
          <t>Scotiabank Perú</t>
        </is>
      </c>
      <c r="AV57" t="inlineStr">
        <is>
          <t>000-2768484</t>
        </is>
      </c>
      <c r="AW57" t="inlineStr">
        <is>
          <t>TRANSFERENCIA BANCARIA</t>
        </is>
      </c>
      <c r="AY57" t="inlineStr">
        <is>
          <t>009555099</t>
        </is>
      </c>
      <c r="AZ57" t="inlineStr">
        <is>
          <t>No</t>
        </is>
      </c>
      <c r="BB57" t="n">
        <v>4</v>
      </c>
      <c r="BC57" t="inlineStr">
        <is>
          <t>CANCELADO</t>
        </is>
      </c>
      <c r="BN57" t="inlineStr">
        <is>
          <t>Si</t>
        </is>
      </c>
      <c r="BO57" s="76" t="n">
        <v>45961.43263888889</v>
      </c>
      <c r="BP57" t="inlineStr">
        <is>
          <t>Magaly Guevara Perez</t>
        </is>
      </c>
      <c r="BR57" t="n">
        <v>54</v>
      </c>
      <c r="BS57" t="inlineStr">
        <is>
          <t>03/07/2026 11:16</t>
        </is>
      </c>
      <c r="BW57" t="inlineStr">
        <is>
          <t>Cobranzas_2025.csv</t>
        </is>
      </c>
      <c r="BX57" t="n">
        <v>2025</v>
      </c>
      <c r="BY57" t="inlineStr">
        <is>
          <t>01/01/2024</t>
        </is>
      </c>
      <c r="BZ57" t="inlineStr">
        <is>
          <t>30/06/2031</t>
        </is>
      </c>
    </row>
    <row r="58">
      <c r="A58" t="inlineStr">
        <is>
          <t>RESIDENCIAL PRADA</t>
        </is>
      </c>
      <c r="B58" t="inlineStr">
        <is>
          <t>Etapa 1</t>
        </is>
      </c>
      <c r="C58" t="inlineStr">
        <is>
          <t>Edificio</t>
        </is>
      </c>
      <c r="D58" t="inlineStr">
        <is>
          <t>A</t>
        </is>
      </c>
      <c r="E58" t="inlineStr">
        <is>
          <t>Estacionamiento</t>
        </is>
      </c>
      <c r="F58" t="inlineStr">
        <is>
          <t>E 23 - D 17</t>
        </is>
      </c>
      <c r="G58" s="39" t="n">
        <v>52000</v>
      </c>
      <c r="H58" s="39" t="n">
        <v>52000</v>
      </c>
      <c r="M58" s="39" t="n"/>
      <c r="N58" s="39" t="n"/>
      <c r="S58" s="39" t="n"/>
      <c r="T58" s="39" t="n"/>
      <c r="Y58" s="39" t="n"/>
      <c r="Z58" s="39" t="n"/>
      <c r="AA58" t="inlineStr">
        <is>
          <t>Alejandro Jose Navarrete Maldonado</t>
        </is>
      </c>
      <c r="AB58" t="inlineStr">
        <is>
          <t>46304395</t>
        </is>
      </c>
      <c r="AC58" t="inlineStr">
        <is>
          <t xml:space="preserve">Calle Jose Mariano Arce 139 – Dpto. 202 </t>
        </is>
      </c>
      <c r="AD58" t="n">
        <v>0</v>
      </c>
      <c r="AE58" t="inlineStr">
        <is>
          <t>956466496</t>
        </is>
      </c>
      <c r="AF58" t="inlineStr">
        <is>
          <t>anavarrete@nmabogados.com.pe</t>
        </is>
      </c>
      <c r="AG58" t="inlineStr">
        <is>
          <t>LIMA</t>
        </is>
      </c>
      <c r="AH58" t="inlineStr">
        <is>
          <t>PUEBLO LIBRE</t>
        </is>
      </c>
      <c r="AI58" s="75" t="n">
        <v>46022</v>
      </c>
      <c r="AJ58" s="75" t="n">
        <v>46022</v>
      </c>
      <c r="AK58" t="inlineStr">
        <is>
          <t>SALDO FINANCIAR</t>
        </is>
      </c>
      <c r="AL58" t="n">
        <v>2</v>
      </c>
      <c r="AM58" t="n">
        <v>14000</v>
      </c>
      <c r="AN58" t="n">
        <v>0</v>
      </c>
      <c r="AO58" t="n">
        <v>0</v>
      </c>
      <c r="AP58" s="39" t="n">
        <v>14000</v>
      </c>
      <c r="AQ58" s="39" t="n">
        <v>14000</v>
      </c>
      <c r="AR58" s="39" t="n">
        <v>0</v>
      </c>
      <c r="AS58" t="n">
        <v>0</v>
      </c>
      <c r="AT58" t="inlineStr">
        <is>
          <t>Crédito Directo</t>
        </is>
      </c>
      <c r="AU58" t="inlineStr">
        <is>
          <t>Scotiabank Perú</t>
        </is>
      </c>
      <c r="AV58" t="inlineStr">
        <is>
          <t>000-2768484</t>
        </is>
      </c>
      <c r="AW58" t="inlineStr">
        <is>
          <t>TRANSFERENCIA BANCARIA</t>
        </is>
      </c>
      <c r="AY58" t="inlineStr">
        <is>
          <t>059881</t>
        </is>
      </c>
      <c r="AZ58" t="inlineStr">
        <is>
          <t>No</t>
        </is>
      </c>
      <c r="BB58" t="n">
        <v>4</v>
      </c>
      <c r="BC58" t="inlineStr">
        <is>
          <t>CANCELADO</t>
        </is>
      </c>
      <c r="BN58" t="inlineStr">
        <is>
          <t>Si</t>
        </is>
      </c>
      <c r="BO58" s="76" t="n">
        <v>45961.43263888889</v>
      </c>
      <c r="BP58" t="inlineStr">
        <is>
          <t>Magaly Guevara Perez</t>
        </is>
      </c>
      <c r="BR58" t="n">
        <v>54</v>
      </c>
      <c r="BS58" t="inlineStr">
        <is>
          <t>03/07/2026 11:18</t>
        </is>
      </c>
      <c r="BW58" t="inlineStr">
        <is>
          <t>Cobranzas_2025.csv</t>
        </is>
      </c>
      <c r="BX58" t="n">
        <v>2025</v>
      </c>
      <c r="BY58" t="inlineStr">
        <is>
          <t>01/01/2024</t>
        </is>
      </c>
      <c r="BZ58" t="inlineStr">
        <is>
          <t>30/06/2031</t>
        </is>
      </c>
    </row>
    <row r="59">
      <c r="A59" t="inlineStr">
        <is>
          <t>RESIDENCIAL PRADA</t>
        </is>
      </c>
      <c r="B59" t="inlineStr">
        <is>
          <t>Etapa 1</t>
        </is>
      </c>
      <c r="C59" t="inlineStr">
        <is>
          <t>Edificio</t>
        </is>
      </c>
      <c r="D59" t="inlineStr">
        <is>
          <t>A</t>
        </is>
      </c>
      <c r="E59" t="inlineStr">
        <is>
          <t>Departamento</t>
        </is>
      </c>
      <c r="F59" t="inlineStr">
        <is>
          <t>504</t>
        </is>
      </c>
      <c r="G59" s="39" t="n">
        <v>417700</v>
      </c>
      <c r="H59" s="39" t="n">
        <v>417700</v>
      </c>
      <c r="M59" s="39" t="n"/>
      <c r="N59" s="39" t="n"/>
      <c r="S59" s="39" t="n"/>
      <c r="T59" s="39" t="n"/>
      <c r="Y59" s="39" t="n"/>
      <c r="Z59" s="39" t="n"/>
      <c r="AA59" t="inlineStr">
        <is>
          <t>Alvaro Geanfranco Mendoza Jump</t>
        </is>
      </c>
      <c r="AB59" t="inlineStr">
        <is>
          <t>72112648</t>
        </is>
      </c>
      <c r="AC59" t="inlineStr">
        <is>
          <t>Urb. San Francisco Mz. B Lt. 11 Departamento de Huanuco, Provincia de Huanuco, Dsitrito Amarilis</t>
        </is>
      </c>
      <c r="AD59" t="n">
        <v>938217737</v>
      </c>
      <c r="AE59" t="inlineStr">
        <is>
          <t>938217737</t>
        </is>
      </c>
      <c r="AF59" t="inlineStr">
        <is>
          <t>alvaromej17@gmail.com</t>
        </is>
      </c>
      <c r="AG59" t="inlineStr">
        <is>
          <t>HUANUCO</t>
        </is>
      </c>
      <c r="AH59" t="inlineStr">
        <is>
          <t>AMARILIS</t>
        </is>
      </c>
      <c r="AI59" s="75" t="n">
        <v>45912</v>
      </c>
      <c r="AJ59" s="75" t="n">
        <v>45912</v>
      </c>
      <c r="AK59" t="inlineStr">
        <is>
          <t>SEPARACION</t>
        </is>
      </c>
      <c r="AL59" t="n">
        <v>1</v>
      </c>
      <c r="AM59" t="n">
        <v>3000</v>
      </c>
      <c r="AN59" t="n">
        <v>0</v>
      </c>
      <c r="AO59" t="n">
        <v>0</v>
      </c>
      <c r="AP59" s="39" t="n">
        <v>3000</v>
      </c>
      <c r="AQ59" s="39" t="n">
        <v>3000</v>
      </c>
      <c r="AR59" s="39" t="n">
        <v>0</v>
      </c>
      <c r="AS59" t="n">
        <v>0</v>
      </c>
      <c r="AT59" t="inlineStr">
        <is>
          <t>Ahorro</t>
        </is>
      </c>
      <c r="AU59" t="inlineStr">
        <is>
          <t>Scotiabank Perú</t>
        </is>
      </c>
      <c r="AV59" t="inlineStr">
        <is>
          <t>000-2768484</t>
        </is>
      </c>
      <c r="AW59" t="inlineStr">
        <is>
          <t>TRANSFERENCIA BANCARIA</t>
        </is>
      </c>
      <c r="AY59" t="inlineStr">
        <is>
          <t>00673199</t>
        </is>
      </c>
      <c r="AZ59" t="inlineStr">
        <is>
          <t>No</t>
        </is>
      </c>
      <c r="BB59" t="n">
        <v>4</v>
      </c>
      <c r="BC59" t="inlineStr">
        <is>
          <t>CANCELADO</t>
        </is>
      </c>
      <c r="BN59" t="inlineStr">
        <is>
          <t>Si</t>
        </is>
      </c>
      <c r="BO59" s="76" t="n">
        <v>45919.61597222222</v>
      </c>
      <c r="BP59" t="inlineStr">
        <is>
          <t>Kenny Salazar S</t>
        </is>
      </c>
      <c r="BR59" t="n">
        <v>36</v>
      </c>
      <c r="BS59" t="inlineStr">
        <is>
          <t>02/06/2026 17:13</t>
        </is>
      </c>
      <c r="BW59" t="inlineStr">
        <is>
          <t>Cobranzas_2025.csv</t>
        </is>
      </c>
      <c r="BX59" t="n">
        <v>2025</v>
      </c>
      <c r="BY59" t="inlineStr">
        <is>
          <t>01/01/2024</t>
        </is>
      </c>
      <c r="BZ59" t="inlineStr">
        <is>
          <t>30/06/2031</t>
        </is>
      </c>
    </row>
    <row r="60">
      <c r="A60" t="inlineStr">
        <is>
          <t>RESIDENCIAL PRADA</t>
        </is>
      </c>
      <c r="B60" t="inlineStr">
        <is>
          <t>Etapa 1</t>
        </is>
      </c>
      <c r="C60" t="inlineStr">
        <is>
          <t>Edificio</t>
        </is>
      </c>
      <c r="D60" t="inlineStr">
        <is>
          <t>A</t>
        </is>
      </c>
      <c r="E60" t="inlineStr">
        <is>
          <t>Departamento</t>
        </is>
      </c>
      <c r="F60" t="inlineStr">
        <is>
          <t>504</t>
        </is>
      </c>
      <c r="G60" s="39" t="n">
        <v>417700</v>
      </c>
      <c r="H60" s="39" t="n">
        <v>417700</v>
      </c>
      <c r="M60" s="39" t="n"/>
      <c r="N60" s="39" t="n"/>
      <c r="S60" s="39" t="n"/>
      <c r="T60" s="39" t="n"/>
      <c r="Y60" s="39" t="n"/>
      <c r="Z60" s="39" t="n"/>
      <c r="AA60" t="inlineStr">
        <is>
          <t>Alvaro Geanfranco Mendoza Jump</t>
        </is>
      </c>
      <c r="AB60" t="inlineStr">
        <is>
          <t>72112648</t>
        </is>
      </c>
      <c r="AC60" t="inlineStr">
        <is>
          <t>Urb. San Francisco Mz. B Lt. 11 Departamento de Huanuco, Provincia de Huanuco, Dsitrito Amarilis</t>
        </is>
      </c>
      <c r="AD60" t="n">
        <v>938217737</v>
      </c>
      <c r="AE60" t="inlineStr">
        <is>
          <t>938217737</t>
        </is>
      </c>
      <c r="AF60" t="inlineStr">
        <is>
          <t>alvaromej17@gmail.com</t>
        </is>
      </c>
      <c r="AG60" t="inlineStr">
        <is>
          <t>HUANUCO</t>
        </is>
      </c>
      <c r="AH60" t="inlineStr">
        <is>
          <t>AMARILIS</t>
        </is>
      </c>
      <c r="AI60" s="75" t="n">
        <v>45919</v>
      </c>
      <c r="AJ60" s="75" t="n">
        <v>45919</v>
      </c>
      <c r="AK60" t="inlineStr">
        <is>
          <t>CUOTA INICIAL</t>
        </is>
      </c>
      <c r="AL60" t="n">
        <v>1</v>
      </c>
      <c r="AM60" t="n">
        <v>10000</v>
      </c>
      <c r="AN60" t="n">
        <v>0</v>
      </c>
      <c r="AO60" t="n">
        <v>0</v>
      </c>
      <c r="AP60" s="39" t="n">
        <v>10000</v>
      </c>
      <c r="AQ60" s="39" t="n">
        <v>10000</v>
      </c>
      <c r="AR60" s="39" t="n">
        <v>0</v>
      </c>
      <c r="AS60" t="n">
        <v>0</v>
      </c>
      <c r="AT60" t="inlineStr">
        <is>
          <t>Ahorro</t>
        </is>
      </c>
      <c r="AU60" t="inlineStr">
        <is>
          <t>Scotiabank Perú</t>
        </is>
      </c>
      <c r="AV60" t="inlineStr">
        <is>
          <t>000-2768484</t>
        </is>
      </c>
      <c r="AW60" t="inlineStr">
        <is>
          <t>TRANSFERENCIA BANCARIA</t>
        </is>
      </c>
      <c r="AY60" t="inlineStr">
        <is>
          <t>02785402</t>
        </is>
      </c>
      <c r="AZ60" t="inlineStr">
        <is>
          <t>No</t>
        </is>
      </c>
      <c r="BB60" t="n">
        <v>4</v>
      </c>
      <c r="BC60" t="inlineStr">
        <is>
          <t>CANCELADO</t>
        </is>
      </c>
      <c r="BN60" t="inlineStr">
        <is>
          <t>Si</t>
        </is>
      </c>
      <c r="BO60" s="76" t="n">
        <v>45919.61597222222</v>
      </c>
      <c r="BP60" t="inlineStr">
        <is>
          <t>Kenny Salazar S</t>
        </is>
      </c>
      <c r="BR60" t="n">
        <v>36</v>
      </c>
      <c r="BS60" t="inlineStr">
        <is>
          <t>23/06/2026 15:59</t>
        </is>
      </c>
      <c r="BW60" t="inlineStr">
        <is>
          <t>Cobranzas_2025.csv</t>
        </is>
      </c>
      <c r="BX60" t="n">
        <v>2025</v>
      </c>
      <c r="BY60" t="inlineStr">
        <is>
          <t>01/01/2024</t>
        </is>
      </c>
      <c r="BZ60" t="inlineStr">
        <is>
          <t>30/06/2031</t>
        </is>
      </c>
    </row>
    <row r="61">
      <c r="A61" t="inlineStr">
        <is>
          <t>RESIDENCIAL PRADA</t>
        </is>
      </c>
      <c r="B61" t="inlineStr">
        <is>
          <t>Etapa 1</t>
        </is>
      </c>
      <c r="C61" t="inlineStr">
        <is>
          <t>Edificio</t>
        </is>
      </c>
      <c r="D61" t="inlineStr">
        <is>
          <t>A</t>
        </is>
      </c>
      <c r="E61" t="inlineStr">
        <is>
          <t>Departamento</t>
        </is>
      </c>
      <c r="F61" t="inlineStr">
        <is>
          <t>1104</t>
        </is>
      </c>
      <c r="G61" s="39" t="n">
        <v>397000</v>
      </c>
      <c r="H61" s="39" t="n">
        <v>397000</v>
      </c>
      <c r="M61" s="39" t="n"/>
      <c r="N61" s="39" t="n"/>
      <c r="S61" s="39" t="n"/>
      <c r="T61" s="39" t="n"/>
      <c r="Y61" s="39" t="n"/>
      <c r="Z61" s="39" t="n"/>
      <c r="AA61" t="inlineStr">
        <is>
          <t>Ana Fabiola Alvarez Elias</t>
        </is>
      </c>
      <c r="AB61" t="inlineStr">
        <is>
          <t>06789211</t>
        </is>
      </c>
      <c r="AC61" t="inlineStr">
        <is>
          <t>Jr. Caraveli 968 Interior 103</t>
        </is>
      </c>
      <c r="AD61" t="n">
        <v>991502978</v>
      </c>
      <c r="AE61" t="inlineStr">
        <is>
          <t>986642025</t>
        </is>
      </c>
      <c r="AF61" t="inlineStr">
        <is>
          <t>anafabiola1@hotmail.com</t>
        </is>
      </c>
      <c r="AG61" t="inlineStr">
        <is>
          <t>LIMA</t>
        </is>
      </c>
      <c r="AH61" t="inlineStr">
        <is>
          <t>BREÑA</t>
        </is>
      </c>
      <c r="AI61" s="75" t="n">
        <v>45703</v>
      </c>
      <c r="AJ61" s="75" t="n">
        <v>45703</v>
      </c>
      <c r="AK61" t="inlineStr">
        <is>
          <t>SEPARACION</t>
        </is>
      </c>
      <c r="AL61" t="n">
        <v>1</v>
      </c>
      <c r="AM61" t="n">
        <v>3000</v>
      </c>
      <c r="AN61" t="n">
        <v>0</v>
      </c>
      <c r="AO61" t="n">
        <v>0</v>
      </c>
      <c r="AP61" s="39" t="n">
        <v>3000</v>
      </c>
      <c r="AQ61" s="39" t="n">
        <v>3000</v>
      </c>
      <c r="AR61" s="39" t="n">
        <v>0</v>
      </c>
      <c r="AS61" t="n">
        <v>0</v>
      </c>
      <c r="AT61" t="inlineStr">
        <is>
          <t>Crédito Hipotecario</t>
        </is>
      </c>
      <c r="AU61" t="inlineStr">
        <is>
          <t>Scotiabank Perú</t>
        </is>
      </c>
      <c r="AV61" t="inlineStr">
        <is>
          <t>000-2768484</t>
        </is>
      </c>
      <c r="AW61" t="inlineStr">
        <is>
          <t>POS VISA</t>
        </is>
      </c>
      <c r="AX61" t="n">
        <v>6789211</v>
      </c>
      <c r="AY61" t="inlineStr">
        <is>
          <t>31010</t>
        </is>
      </c>
      <c r="AZ61" t="inlineStr">
        <is>
          <t>No</t>
        </is>
      </c>
      <c r="BA61" t="inlineStr">
        <is>
          <t>NO PRECISA</t>
        </is>
      </c>
      <c r="BB61" t="n">
        <v>1</v>
      </c>
      <c r="BC61" t="inlineStr">
        <is>
          <t>CANCELADO</t>
        </is>
      </c>
      <c r="BN61" t="inlineStr">
        <is>
          <t>Si</t>
        </is>
      </c>
      <c r="BO61" s="76" t="n">
        <v>45730.74097222222</v>
      </c>
      <c r="BP61" t="inlineStr">
        <is>
          <t>Carla Michue M</t>
        </is>
      </c>
      <c r="BR61" t="n">
        <v>9</v>
      </c>
      <c r="BS61" t="inlineStr">
        <is>
          <t>29/05/2026 12:21</t>
        </is>
      </c>
      <c r="BW61" t="inlineStr">
        <is>
          <t>Cobranzas_2025.csv</t>
        </is>
      </c>
      <c r="BX61" t="n">
        <v>2025</v>
      </c>
      <c r="BY61" t="inlineStr">
        <is>
          <t>01/01/2024</t>
        </is>
      </c>
      <c r="BZ61" t="inlineStr">
        <is>
          <t>30/06/2031</t>
        </is>
      </c>
    </row>
    <row r="62">
      <c r="A62" t="inlineStr">
        <is>
          <t>RESIDENCIAL PRADA</t>
        </is>
      </c>
      <c r="B62" t="inlineStr">
        <is>
          <t>Etapa 1</t>
        </is>
      </c>
      <c r="C62" t="inlineStr">
        <is>
          <t>Edificio</t>
        </is>
      </c>
      <c r="D62" t="inlineStr">
        <is>
          <t>A</t>
        </is>
      </c>
      <c r="E62" t="inlineStr">
        <is>
          <t>Departamento</t>
        </is>
      </c>
      <c r="F62" t="inlineStr">
        <is>
          <t>1104</t>
        </is>
      </c>
      <c r="G62" s="39" t="n">
        <v>397000</v>
      </c>
      <c r="H62" s="39" t="n">
        <v>397000</v>
      </c>
      <c r="M62" s="39" t="n"/>
      <c r="N62" s="39" t="n"/>
      <c r="S62" s="39" t="n"/>
      <c r="T62" s="39" t="n"/>
      <c r="Y62" s="39" t="n"/>
      <c r="Z62" s="39" t="n"/>
      <c r="AA62" t="inlineStr">
        <is>
          <t>Ana Fabiola Alvarez Elias</t>
        </is>
      </c>
      <c r="AB62" t="inlineStr">
        <is>
          <t>06789211</t>
        </is>
      </c>
      <c r="AC62" t="inlineStr">
        <is>
          <t>Jr. Caraveli 968 Interior 103</t>
        </is>
      </c>
      <c r="AD62" t="n">
        <v>991502978</v>
      </c>
      <c r="AE62" t="inlineStr">
        <is>
          <t>986642025</t>
        </is>
      </c>
      <c r="AF62" t="inlineStr">
        <is>
          <t>anafabiola1@hotmail.com</t>
        </is>
      </c>
      <c r="AG62" t="inlineStr">
        <is>
          <t>LIMA</t>
        </is>
      </c>
      <c r="AH62" t="inlineStr">
        <is>
          <t>BREÑA</t>
        </is>
      </c>
      <c r="AI62" s="75" t="n">
        <v>45730</v>
      </c>
      <c r="AJ62" s="75" t="n">
        <v>45730</v>
      </c>
      <c r="AK62" t="inlineStr">
        <is>
          <t>CUOTA INICIAL</t>
        </is>
      </c>
      <c r="AL62" t="n">
        <v>2</v>
      </c>
      <c r="AM62" t="n">
        <v>23450</v>
      </c>
      <c r="AN62" t="n">
        <v>0</v>
      </c>
      <c r="AO62" t="n">
        <v>0</v>
      </c>
      <c r="AP62" s="39" t="n">
        <v>23450</v>
      </c>
      <c r="AQ62" s="39" t="n">
        <v>23450</v>
      </c>
      <c r="AR62" s="39" t="n">
        <v>0</v>
      </c>
      <c r="AS62" t="n">
        <v>0</v>
      </c>
      <c r="AT62" t="inlineStr">
        <is>
          <t>Crédito Hipotecario</t>
        </is>
      </c>
      <c r="AU62" t="inlineStr">
        <is>
          <t>Scotiabank Perú</t>
        </is>
      </c>
      <c r="AV62" t="inlineStr">
        <is>
          <t>000-2768484</t>
        </is>
      </c>
      <c r="AW62" t="inlineStr">
        <is>
          <t>TRANSFERENCIA BANCARIA</t>
        </is>
      </c>
      <c r="AX62" t="n">
        <v>6789211</v>
      </c>
      <c r="AY62" t="inlineStr">
        <is>
          <t>281328</t>
        </is>
      </c>
      <c r="AZ62" t="inlineStr">
        <is>
          <t>No</t>
        </is>
      </c>
      <c r="BA62" t="inlineStr">
        <is>
          <t>NO PRECISA</t>
        </is>
      </c>
      <c r="BB62" t="n">
        <v>1</v>
      </c>
      <c r="BC62" t="inlineStr">
        <is>
          <t>CANCELADO</t>
        </is>
      </c>
      <c r="BN62" t="inlineStr">
        <is>
          <t>Si</t>
        </is>
      </c>
      <c r="BO62" s="76" t="n">
        <v>45730.74097222222</v>
      </c>
      <c r="BP62" t="inlineStr">
        <is>
          <t>Carla Michue M</t>
        </is>
      </c>
      <c r="BR62" t="n">
        <v>9</v>
      </c>
      <c r="BS62" t="inlineStr">
        <is>
          <t>29/05/2026 12:21</t>
        </is>
      </c>
      <c r="BW62" t="inlineStr">
        <is>
          <t>Cobranzas_2025.csv</t>
        </is>
      </c>
      <c r="BX62" t="n">
        <v>2025</v>
      </c>
      <c r="BY62" t="inlineStr">
        <is>
          <t>01/01/2024</t>
        </is>
      </c>
      <c r="BZ62" t="inlineStr">
        <is>
          <t>30/06/2031</t>
        </is>
      </c>
    </row>
    <row r="63">
      <c r="A63" t="inlineStr">
        <is>
          <t>RESIDENCIAL PRADA</t>
        </is>
      </c>
      <c r="B63" t="inlineStr">
        <is>
          <t>Etapa 1</t>
        </is>
      </c>
      <c r="C63" t="inlineStr">
        <is>
          <t>Edificio</t>
        </is>
      </c>
      <c r="D63" t="inlineStr">
        <is>
          <t>A</t>
        </is>
      </c>
      <c r="E63" t="inlineStr">
        <is>
          <t>Departamento</t>
        </is>
      </c>
      <c r="F63" t="inlineStr">
        <is>
          <t>1104</t>
        </is>
      </c>
      <c r="G63" s="39" t="n">
        <v>397000</v>
      </c>
      <c r="H63" s="39" t="n">
        <v>397000</v>
      </c>
      <c r="M63" s="39" t="n"/>
      <c r="N63" s="39" t="n"/>
      <c r="S63" s="39" t="n"/>
      <c r="T63" s="39" t="n"/>
      <c r="Y63" s="39" t="n"/>
      <c r="Z63" s="39" t="n"/>
      <c r="AA63" t="inlineStr">
        <is>
          <t>Ana Fabiola Alvarez Elias</t>
        </is>
      </c>
      <c r="AB63" t="inlineStr">
        <is>
          <t>06789211</t>
        </is>
      </c>
      <c r="AC63" t="inlineStr">
        <is>
          <t>Jr. Caraveli 968 Interior 103</t>
        </is>
      </c>
      <c r="AD63" t="n">
        <v>991502978</v>
      </c>
      <c r="AE63" t="inlineStr">
        <is>
          <t>986642025</t>
        </is>
      </c>
      <c r="AF63" t="inlineStr">
        <is>
          <t>anafabiola1@hotmail.com</t>
        </is>
      </c>
      <c r="AG63" t="inlineStr">
        <is>
          <t>LIMA</t>
        </is>
      </c>
      <c r="AH63" t="inlineStr">
        <is>
          <t>BREÑA</t>
        </is>
      </c>
      <c r="AI63" s="75" t="n">
        <v>45730</v>
      </c>
      <c r="AJ63" s="75" t="n">
        <v>45730</v>
      </c>
      <c r="AK63" t="inlineStr">
        <is>
          <t>CUOTA INICIAL</t>
        </is>
      </c>
      <c r="AL63" t="n">
        <v>3</v>
      </c>
      <c r="AM63" t="n">
        <v>78000</v>
      </c>
      <c r="AN63" t="n">
        <v>0</v>
      </c>
      <c r="AO63" t="n">
        <v>0</v>
      </c>
      <c r="AP63" s="39" t="n">
        <v>78000</v>
      </c>
      <c r="AQ63" s="39" t="n">
        <v>78000</v>
      </c>
      <c r="AR63" s="39" t="n">
        <v>0</v>
      </c>
      <c r="AS63" t="n">
        <v>0</v>
      </c>
      <c r="AT63" t="inlineStr">
        <is>
          <t>Crédito Hipotecario</t>
        </is>
      </c>
      <c r="AU63" t="inlineStr">
        <is>
          <t>Scotiabank Perú</t>
        </is>
      </c>
      <c r="AV63" t="inlineStr">
        <is>
          <t>000-2768484</t>
        </is>
      </c>
      <c r="AW63" t="inlineStr">
        <is>
          <t>TRANSFERENCIA BANCARIA</t>
        </is>
      </c>
      <c r="AX63" t="n">
        <v>6789211</v>
      </c>
      <c r="AY63" t="inlineStr">
        <is>
          <t>7502425</t>
        </is>
      </c>
      <c r="AZ63" t="inlineStr">
        <is>
          <t>No</t>
        </is>
      </c>
      <c r="BA63" t="inlineStr">
        <is>
          <t>NO PRECISA</t>
        </is>
      </c>
      <c r="BB63" t="n">
        <v>1</v>
      </c>
      <c r="BC63" t="inlineStr">
        <is>
          <t>CANCELADO</t>
        </is>
      </c>
      <c r="BN63" t="inlineStr">
        <is>
          <t>Si</t>
        </is>
      </c>
      <c r="BO63" s="76" t="n">
        <v>45730.74097222222</v>
      </c>
      <c r="BP63" t="inlineStr">
        <is>
          <t>Carla Michue M</t>
        </is>
      </c>
      <c r="BR63" t="n">
        <v>9</v>
      </c>
      <c r="BS63" t="inlineStr">
        <is>
          <t>29/05/2026 12:21</t>
        </is>
      </c>
      <c r="BW63" t="inlineStr">
        <is>
          <t>Cobranzas_2025.csv</t>
        </is>
      </c>
      <c r="BX63" t="n">
        <v>2025</v>
      </c>
      <c r="BY63" t="inlineStr">
        <is>
          <t>01/01/2024</t>
        </is>
      </c>
      <c r="BZ63" t="inlineStr">
        <is>
          <t>30/06/2031</t>
        </is>
      </c>
    </row>
    <row r="64">
      <c r="A64" t="inlineStr">
        <is>
          <t>RESIDENCIAL VENECIA</t>
        </is>
      </c>
      <c r="B64" t="inlineStr">
        <is>
          <t>Etapa 1</t>
        </is>
      </c>
      <c r="C64" t="inlineStr">
        <is>
          <t>Edificio</t>
        </is>
      </c>
      <c r="D64" t="inlineStr">
        <is>
          <t>A</t>
        </is>
      </c>
      <c r="E64" t="inlineStr">
        <is>
          <t>Departamento</t>
        </is>
      </c>
      <c r="F64" t="inlineStr">
        <is>
          <t>704</t>
        </is>
      </c>
      <c r="G64" s="39" t="n">
        <v>438000</v>
      </c>
      <c r="H64" s="39" t="n">
        <v>438000</v>
      </c>
      <c r="M64" s="39" t="n"/>
      <c r="N64" s="39" t="n"/>
      <c r="S64" s="39" t="n"/>
      <c r="T64" s="39" t="n"/>
      <c r="Y64" s="39" t="n"/>
      <c r="Z64" s="39" t="n"/>
      <c r="AA64" t="inlineStr">
        <is>
          <t>ANAMELVA JULIETA AQUISE TIZNADO</t>
        </is>
      </c>
      <c r="AB64" t="inlineStr">
        <is>
          <t>40917666</t>
        </is>
      </c>
      <c r="AC64" t="inlineStr">
        <is>
          <t>Urb. Aziruni Ciudad Jardin Mz. G2 Lt 04</t>
        </is>
      </c>
      <c r="AD64" t="n">
        <v>0</v>
      </c>
      <c r="AE64" t="inlineStr">
        <is>
          <t>987249596</t>
        </is>
      </c>
      <c r="AF64" t="inlineStr">
        <is>
          <t>anamelvaaquise@gmail.com</t>
        </is>
      </c>
      <c r="AG64" t="inlineStr">
        <is>
          <t>PUNO</t>
        </is>
      </c>
      <c r="AH64" t="inlineStr">
        <is>
          <t>PUNO</t>
        </is>
      </c>
      <c r="AI64" s="75" t="n">
        <v>45972</v>
      </c>
      <c r="AJ64" s="75" t="n">
        <v>45972</v>
      </c>
      <c r="AK64" t="inlineStr">
        <is>
          <t>SEPARACION</t>
        </is>
      </c>
      <c r="AL64" t="n">
        <v>1</v>
      </c>
      <c r="AM64" t="n">
        <v>3000</v>
      </c>
      <c r="AN64" t="n">
        <v>0</v>
      </c>
      <c r="AO64" t="n">
        <v>0</v>
      </c>
      <c r="AP64" s="39" t="n">
        <v>3000</v>
      </c>
      <c r="AQ64" s="39" t="n">
        <v>3000</v>
      </c>
      <c r="AR64" s="39" t="n">
        <v>0</v>
      </c>
      <c r="AS64" t="n">
        <v>0</v>
      </c>
      <c r="AT64" t="inlineStr">
        <is>
          <t>Crédito Hipotecario</t>
        </is>
      </c>
      <c r="AU64" t="inlineStr">
        <is>
          <t>Scotiabank Perú</t>
        </is>
      </c>
      <c r="AV64" t="inlineStr">
        <is>
          <t>0004071419</t>
        </is>
      </c>
      <c r="AW64" t="inlineStr">
        <is>
          <t>TRANSFERENCIA BANCARIA</t>
        </is>
      </c>
      <c r="AY64" t="inlineStr">
        <is>
          <t>5516474</t>
        </is>
      </c>
      <c r="AZ64" t="inlineStr">
        <is>
          <t>No</t>
        </is>
      </c>
      <c r="BB64" t="n">
        <v>4</v>
      </c>
      <c r="BC64" t="inlineStr">
        <is>
          <t>CANCELADO</t>
        </is>
      </c>
      <c r="BN64" t="inlineStr">
        <is>
          <t>No</t>
        </is>
      </c>
      <c r="BO64" s="76" t="n">
        <v>46178.35069444445</v>
      </c>
      <c r="BP64" t="inlineStr">
        <is>
          <t>Magaly Guevara Perez</t>
        </is>
      </c>
      <c r="BR64" t="n">
        <v>14</v>
      </c>
      <c r="BS64" t="inlineStr">
        <is>
          <t>24/05/2026 21:14</t>
        </is>
      </c>
      <c r="BW64" t="inlineStr">
        <is>
          <t>Cobranzas_2025.csv</t>
        </is>
      </c>
      <c r="BX64" t="n">
        <v>2025</v>
      </c>
      <c r="BY64" t="inlineStr">
        <is>
          <t>01/01/2024</t>
        </is>
      </c>
      <c r="BZ64" t="inlineStr">
        <is>
          <t>30/06/2031</t>
        </is>
      </c>
    </row>
    <row r="65">
      <c r="A65" t="inlineStr">
        <is>
          <t>RESIDENCIAL VENECIA</t>
        </is>
      </c>
      <c r="B65" t="inlineStr">
        <is>
          <t>Etapa 1</t>
        </is>
      </c>
      <c r="C65" t="inlineStr">
        <is>
          <t>Edificio</t>
        </is>
      </c>
      <c r="D65" t="inlineStr">
        <is>
          <t>A</t>
        </is>
      </c>
      <c r="E65" t="inlineStr">
        <is>
          <t>Departamento</t>
        </is>
      </c>
      <c r="F65" t="inlineStr">
        <is>
          <t>704</t>
        </is>
      </c>
      <c r="G65" s="39" t="n">
        <v>438000</v>
      </c>
      <c r="H65" s="39" t="n">
        <v>438000</v>
      </c>
      <c r="M65" s="39" t="n"/>
      <c r="N65" s="39" t="n"/>
      <c r="S65" s="39" t="n"/>
      <c r="T65" s="39" t="n"/>
      <c r="Y65" s="39" t="n"/>
      <c r="Z65" s="39" t="n"/>
      <c r="AA65" t="inlineStr">
        <is>
          <t>ANAMELVA JULIETA AQUISE TIZNADO</t>
        </is>
      </c>
      <c r="AB65" t="inlineStr">
        <is>
          <t>40917666</t>
        </is>
      </c>
      <c r="AC65" t="inlineStr">
        <is>
          <t>Urb. Aziruni Ciudad Jardin Mz. G2 Lt 04</t>
        </is>
      </c>
      <c r="AD65" t="n">
        <v>0</v>
      </c>
      <c r="AE65" t="inlineStr">
        <is>
          <t>987249596</t>
        </is>
      </c>
      <c r="AF65" t="inlineStr">
        <is>
          <t>anamelvaaquise@gmail.com</t>
        </is>
      </c>
      <c r="AG65" t="inlineStr">
        <is>
          <t>PUNO</t>
        </is>
      </c>
      <c r="AH65" t="inlineStr">
        <is>
          <t>PUNO</t>
        </is>
      </c>
      <c r="AI65" s="75" t="n">
        <v>46004</v>
      </c>
      <c r="AJ65" s="75" t="n">
        <v>46004</v>
      </c>
      <c r="AK65" t="inlineStr">
        <is>
          <t>CUOTA INICIAL</t>
        </is>
      </c>
      <c r="AL65" t="n">
        <v>1</v>
      </c>
      <c r="AM65" t="n">
        <v>20000</v>
      </c>
      <c r="AN65" t="n">
        <v>0</v>
      </c>
      <c r="AO65" t="n">
        <v>0</v>
      </c>
      <c r="AP65" s="39" t="n">
        <v>20000</v>
      </c>
      <c r="AQ65" s="39" t="n">
        <v>20000</v>
      </c>
      <c r="AR65" s="39" t="n">
        <v>0</v>
      </c>
      <c r="AS65" t="n">
        <v>0</v>
      </c>
      <c r="AT65" t="inlineStr">
        <is>
          <t>Crédito Hipotecario</t>
        </is>
      </c>
      <c r="AU65" t="inlineStr">
        <is>
          <t>Scotiabank Perú</t>
        </is>
      </c>
      <c r="AV65" t="inlineStr">
        <is>
          <t>0004071419</t>
        </is>
      </c>
      <c r="AW65" t="inlineStr">
        <is>
          <t>TRANSFERENCIA BANCARIA</t>
        </is>
      </c>
      <c r="AY65" t="inlineStr">
        <is>
          <t>5531532</t>
        </is>
      </c>
      <c r="AZ65" t="inlineStr">
        <is>
          <t>No</t>
        </is>
      </c>
      <c r="BB65" t="n">
        <v>4</v>
      </c>
      <c r="BC65" t="inlineStr">
        <is>
          <t>CANCELADO</t>
        </is>
      </c>
      <c r="BN65" t="inlineStr">
        <is>
          <t>No</t>
        </is>
      </c>
      <c r="BO65" s="76" t="n">
        <v>46178.35069444445</v>
      </c>
      <c r="BP65" t="inlineStr">
        <is>
          <t>Magaly Guevara Perez</t>
        </is>
      </c>
      <c r="BR65" t="n">
        <v>14</v>
      </c>
      <c r="BS65" t="inlineStr">
        <is>
          <t>24/05/2026 21:16</t>
        </is>
      </c>
      <c r="BW65" t="inlineStr">
        <is>
          <t>Cobranzas_2025.csv</t>
        </is>
      </c>
      <c r="BX65" t="n">
        <v>2025</v>
      </c>
      <c r="BY65" t="inlineStr">
        <is>
          <t>01/01/2024</t>
        </is>
      </c>
      <c r="BZ65" t="inlineStr">
        <is>
          <t>30/06/2031</t>
        </is>
      </c>
    </row>
    <row r="66">
      <c r="A66" t="inlineStr">
        <is>
          <t>RESIDENCIAL PRADA</t>
        </is>
      </c>
      <c r="B66" t="inlineStr">
        <is>
          <t>Etapa 1</t>
        </is>
      </c>
      <c r="C66" t="inlineStr">
        <is>
          <t>Edificio</t>
        </is>
      </c>
      <c r="D66" t="inlineStr">
        <is>
          <t>A</t>
        </is>
      </c>
      <c r="E66" t="inlineStr">
        <is>
          <t>Departamento</t>
        </is>
      </c>
      <c r="F66" t="inlineStr">
        <is>
          <t>1003</t>
        </is>
      </c>
      <c r="G66" s="39" t="n">
        <v>675000</v>
      </c>
      <c r="H66" s="39" t="n">
        <v>675000</v>
      </c>
      <c r="I66" t="inlineStr">
        <is>
          <t>Edificio</t>
        </is>
      </c>
      <c r="J66" t="inlineStr">
        <is>
          <t>A</t>
        </is>
      </c>
      <c r="K66" t="inlineStr">
        <is>
          <t>Estacionamiento</t>
        </is>
      </c>
      <c r="L66" t="inlineStr">
        <is>
          <t>E 11 - D 08</t>
        </is>
      </c>
      <c r="M66" s="39" t="n">
        <v>60400</v>
      </c>
      <c r="N66" s="39" t="n">
        <v>60400</v>
      </c>
      <c r="S66" s="39" t="n"/>
      <c r="T66" s="39" t="n"/>
      <c r="Y66" s="39" t="n"/>
      <c r="Z66" s="39" t="n"/>
      <c r="AA66" t="inlineStr">
        <is>
          <t>ANDEAN AYNI TRAVEL AGENCIA DE VIAJES Y TRANSPORTE EIRL</t>
        </is>
      </c>
      <c r="AB66" t="inlineStr">
        <is>
          <t>20610697403</t>
        </is>
      </c>
      <c r="AC66" t="inlineStr">
        <is>
          <t>JR. DANTE NAVA NRO. 310 BAR. NUEVA UNVERSIDAD</t>
        </is>
      </c>
      <c r="AD66" t="n">
        <v>0</v>
      </c>
      <c r="AE66" t="inlineStr">
        <is>
          <t>951923088</t>
        </is>
      </c>
      <c r="AF66" t="inlineStr">
        <is>
          <t>operacionesjudith@gmail.com</t>
        </is>
      </c>
      <c r="AG66" t="inlineStr">
        <is>
          <t>PUNO</t>
        </is>
      </c>
      <c r="AH66" t="inlineStr">
        <is>
          <t>PUNO</t>
        </is>
      </c>
      <c r="AI66" s="75" t="n">
        <v>45835</v>
      </c>
      <c r="AJ66" s="75" t="n">
        <v>45835</v>
      </c>
      <c r="AK66" t="inlineStr">
        <is>
          <t>SEPARACION</t>
        </is>
      </c>
      <c r="AL66" t="n">
        <v>1</v>
      </c>
      <c r="AM66" t="n">
        <v>3000</v>
      </c>
      <c r="AN66" t="n">
        <v>0</v>
      </c>
      <c r="AO66" t="n">
        <v>0</v>
      </c>
      <c r="AP66" s="39" t="n">
        <v>3000</v>
      </c>
      <c r="AQ66" s="39" t="n">
        <v>3000</v>
      </c>
      <c r="AR66" s="39" t="n">
        <v>0</v>
      </c>
      <c r="AS66" t="n">
        <v>0</v>
      </c>
      <c r="AT66" t="inlineStr">
        <is>
          <t>Crédito Directo</t>
        </is>
      </c>
      <c r="AU66" t="inlineStr">
        <is>
          <t>Scotiabank Perú</t>
        </is>
      </c>
      <c r="AV66" t="inlineStr">
        <is>
          <t>000-2768484</t>
        </is>
      </c>
      <c r="AW66" t="inlineStr">
        <is>
          <t>TRANSFERENCIA BANCARIA</t>
        </is>
      </c>
      <c r="AY66" t="inlineStr">
        <is>
          <t>06083805</t>
        </is>
      </c>
      <c r="AZ66" t="inlineStr">
        <is>
          <t>Si</t>
        </is>
      </c>
      <c r="BB66" t="n">
        <v>4</v>
      </c>
      <c r="BC66" t="inlineStr">
        <is>
          <t>CANCELADO</t>
        </is>
      </c>
      <c r="BN66" t="inlineStr">
        <is>
          <t>No</t>
        </is>
      </c>
      <c r="BO66" s="76" t="n">
        <v>45985.73819444444</v>
      </c>
      <c r="BP66" t="inlineStr">
        <is>
          <t>Magaly Guevara Perez</t>
        </is>
      </c>
      <c r="BR66" t="n">
        <v>28</v>
      </c>
      <c r="BS66" t="inlineStr">
        <is>
          <t>09/06/2026 09:42</t>
        </is>
      </c>
      <c r="BW66" t="inlineStr">
        <is>
          <t>Cobranzas_2025.csv</t>
        </is>
      </c>
      <c r="BX66" t="n">
        <v>2025</v>
      </c>
      <c r="BY66" t="inlineStr">
        <is>
          <t>01/01/2024</t>
        </is>
      </c>
      <c r="BZ66" t="inlineStr">
        <is>
          <t>30/06/2031</t>
        </is>
      </c>
    </row>
    <row r="67">
      <c r="A67" t="inlineStr">
        <is>
          <t>RESIDENCIAL PRADA</t>
        </is>
      </c>
      <c r="B67" t="inlineStr">
        <is>
          <t>Etapa 1</t>
        </is>
      </c>
      <c r="C67" t="inlineStr">
        <is>
          <t>Edificio</t>
        </is>
      </c>
      <c r="D67" t="inlineStr">
        <is>
          <t>A</t>
        </is>
      </c>
      <c r="E67" t="inlineStr">
        <is>
          <t>Departamento</t>
        </is>
      </c>
      <c r="F67" t="inlineStr">
        <is>
          <t>1003</t>
        </is>
      </c>
      <c r="G67" s="39" t="n">
        <v>675000</v>
      </c>
      <c r="H67" s="39" t="n">
        <v>675000</v>
      </c>
      <c r="I67" t="inlineStr">
        <is>
          <t>Edificio</t>
        </is>
      </c>
      <c r="J67" t="inlineStr">
        <is>
          <t>A</t>
        </is>
      </c>
      <c r="K67" t="inlineStr">
        <is>
          <t>Estacionamiento</t>
        </is>
      </c>
      <c r="L67" t="inlineStr">
        <is>
          <t>E 11 - D 08</t>
        </is>
      </c>
      <c r="M67" s="39" t="n">
        <v>60400</v>
      </c>
      <c r="N67" s="39" t="n">
        <v>60400</v>
      </c>
      <c r="S67" s="39" t="n"/>
      <c r="T67" s="39" t="n"/>
      <c r="Y67" s="39" t="n"/>
      <c r="Z67" s="39" t="n"/>
      <c r="AA67" t="inlineStr">
        <is>
          <t>ANDEAN AYNI TRAVEL AGENCIA DE VIAJES Y TRANSPORTE EIRL</t>
        </is>
      </c>
      <c r="AB67" t="inlineStr">
        <is>
          <t>20610697403</t>
        </is>
      </c>
      <c r="AC67" t="inlineStr">
        <is>
          <t>JR. DANTE NAVA NRO. 310 BAR. NUEVA UNVERSIDAD</t>
        </is>
      </c>
      <c r="AD67" t="n">
        <v>0</v>
      </c>
      <c r="AE67" t="inlineStr">
        <is>
          <t>951923088</t>
        </is>
      </c>
      <c r="AF67" t="inlineStr">
        <is>
          <t>operacionesjudith@gmail.com</t>
        </is>
      </c>
      <c r="AG67" t="inlineStr">
        <is>
          <t>PUNO</t>
        </is>
      </c>
      <c r="AH67" t="inlineStr">
        <is>
          <t>PUNO</t>
        </is>
      </c>
      <c r="AI67" s="75" t="n">
        <v>45985</v>
      </c>
      <c r="AJ67" s="75" t="n">
        <v>45985</v>
      </c>
      <c r="AK67" t="inlineStr">
        <is>
          <t>CUOTA INICIAL</t>
        </is>
      </c>
      <c r="AL67" t="n">
        <v>1</v>
      </c>
      <c r="AM67" t="n">
        <v>270000</v>
      </c>
      <c r="AN67" t="n">
        <v>0</v>
      </c>
      <c r="AO67" t="n">
        <v>0</v>
      </c>
      <c r="AP67" s="39" t="n">
        <v>270000</v>
      </c>
      <c r="AQ67" s="39" t="n">
        <v>270000</v>
      </c>
      <c r="AR67" s="39" t="n">
        <v>0</v>
      </c>
      <c r="AS67" t="n">
        <v>0</v>
      </c>
      <c r="AT67" t="inlineStr">
        <is>
          <t>Crédito Directo</t>
        </is>
      </c>
      <c r="AU67" t="inlineStr">
        <is>
          <t>Scotiabank Perú</t>
        </is>
      </c>
      <c r="AV67" t="inlineStr">
        <is>
          <t>000-2768484</t>
        </is>
      </c>
      <c r="AW67" t="inlineStr">
        <is>
          <t>TRANSFERENCIA BANCARIA</t>
        </is>
      </c>
      <c r="AY67" t="inlineStr">
        <is>
          <t>0349568</t>
        </is>
      </c>
      <c r="AZ67" t="inlineStr">
        <is>
          <t>Si</t>
        </is>
      </c>
      <c r="BB67" t="n">
        <v>3.38</v>
      </c>
      <c r="BC67" t="inlineStr">
        <is>
          <t>CANCELADO</t>
        </is>
      </c>
      <c r="BN67" t="inlineStr">
        <is>
          <t>No</t>
        </is>
      </c>
      <c r="BO67" s="76" t="n">
        <v>45985.73819444444</v>
      </c>
      <c r="BP67" t="inlineStr">
        <is>
          <t>Magaly Guevara Perez</t>
        </is>
      </c>
      <c r="BR67" t="n">
        <v>28</v>
      </c>
      <c r="BS67" t="inlineStr">
        <is>
          <t>09/06/2026 09:45</t>
        </is>
      </c>
      <c r="BW67" t="inlineStr">
        <is>
          <t>Cobranzas_2025.csv</t>
        </is>
      </c>
      <c r="BX67" t="n">
        <v>2025</v>
      </c>
      <c r="BY67" t="inlineStr">
        <is>
          <t>01/01/2024</t>
        </is>
      </c>
      <c r="BZ67" t="inlineStr">
        <is>
          <t>30/06/2031</t>
        </is>
      </c>
    </row>
    <row r="68">
      <c r="A68" t="inlineStr">
        <is>
          <t>RESIDENCIAL PRADA</t>
        </is>
      </c>
      <c r="B68" t="inlineStr">
        <is>
          <t>Etapa 1</t>
        </is>
      </c>
      <c r="C68" t="inlineStr">
        <is>
          <t>Edificio</t>
        </is>
      </c>
      <c r="D68" t="inlineStr">
        <is>
          <t>A</t>
        </is>
      </c>
      <c r="E68" t="inlineStr">
        <is>
          <t>Departamento</t>
        </is>
      </c>
      <c r="F68" t="inlineStr">
        <is>
          <t>1003</t>
        </is>
      </c>
      <c r="G68" s="39" t="n">
        <v>675000</v>
      </c>
      <c r="H68" s="39" t="n">
        <v>675000</v>
      </c>
      <c r="I68" t="inlineStr">
        <is>
          <t>Edificio</t>
        </is>
      </c>
      <c r="J68" t="inlineStr">
        <is>
          <t>A</t>
        </is>
      </c>
      <c r="K68" t="inlineStr">
        <is>
          <t>Estacionamiento</t>
        </is>
      </c>
      <c r="L68" t="inlineStr">
        <is>
          <t>E 11 - D 08</t>
        </is>
      </c>
      <c r="M68" s="39" t="n">
        <v>60400</v>
      </c>
      <c r="N68" s="39" t="n">
        <v>60400</v>
      </c>
      <c r="S68" s="39" t="n"/>
      <c r="T68" s="39" t="n"/>
      <c r="Y68" s="39" t="n"/>
      <c r="Z68" s="39" t="n"/>
      <c r="AA68" t="inlineStr">
        <is>
          <t>ANDEAN AYNI TRAVEL AGENCIA DE VIAJES Y TRANSPORTE EIRL</t>
        </is>
      </c>
      <c r="AB68" t="inlineStr">
        <is>
          <t>20610697403</t>
        </is>
      </c>
      <c r="AC68" t="inlineStr">
        <is>
          <t>JR. DANTE NAVA NRO. 310 BAR. NUEVA UNVERSIDAD</t>
        </is>
      </c>
      <c r="AD68" t="n">
        <v>0</v>
      </c>
      <c r="AE68" t="inlineStr">
        <is>
          <t>951923088</t>
        </is>
      </c>
      <c r="AF68" t="inlineStr">
        <is>
          <t>operacionesjudith@gmail.com</t>
        </is>
      </c>
      <c r="AG68" t="inlineStr">
        <is>
          <t>PUNO</t>
        </is>
      </c>
      <c r="AH68" t="inlineStr">
        <is>
          <t>PUNO</t>
        </is>
      </c>
      <c r="AI68" s="75" t="n">
        <v>46008</v>
      </c>
      <c r="AJ68" s="75" t="n">
        <v>46010</v>
      </c>
      <c r="AK68" t="inlineStr">
        <is>
          <t>SALDO FINANCIAR</t>
        </is>
      </c>
      <c r="AL68" t="n">
        <v>1</v>
      </c>
      <c r="AM68" t="n">
        <v>66057.14</v>
      </c>
      <c r="AN68" t="n">
        <v>0</v>
      </c>
      <c r="AO68" t="n">
        <v>0</v>
      </c>
      <c r="AP68" s="39" t="n">
        <v>66057.14</v>
      </c>
      <c r="AQ68" s="39" t="n">
        <v>66057.14</v>
      </c>
      <c r="AR68" s="39" t="n">
        <v>0</v>
      </c>
      <c r="AS68" t="n">
        <v>0</v>
      </c>
      <c r="AT68" t="inlineStr">
        <is>
          <t>Crédito Directo</t>
        </is>
      </c>
      <c r="AU68" t="inlineStr">
        <is>
          <t>Scotiabank Perú</t>
        </is>
      </c>
      <c r="AV68" t="inlineStr">
        <is>
          <t>000-2768484</t>
        </is>
      </c>
      <c r="AW68" t="inlineStr">
        <is>
          <t>TRANSFERENCIA BANCARIA</t>
        </is>
      </c>
      <c r="AY68" t="inlineStr">
        <is>
          <t>0780435</t>
        </is>
      </c>
      <c r="AZ68" t="inlineStr">
        <is>
          <t>Si</t>
        </is>
      </c>
      <c r="BB68" t="n">
        <v>3.38</v>
      </c>
      <c r="BC68" t="inlineStr">
        <is>
          <t>CANCELADO</t>
        </is>
      </c>
      <c r="BN68" t="inlineStr">
        <is>
          <t>No</t>
        </is>
      </c>
      <c r="BO68" s="76" t="n">
        <v>45985.73819444444</v>
      </c>
      <c r="BP68" t="inlineStr">
        <is>
          <t>Magaly Guevara Perez</t>
        </is>
      </c>
      <c r="BR68" t="n">
        <v>28</v>
      </c>
      <c r="BS68" t="inlineStr">
        <is>
          <t>09/06/2026 09:47</t>
        </is>
      </c>
      <c r="BW68" t="inlineStr">
        <is>
          <t>Cobranzas_2025.csv</t>
        </is>
      </c>
      <c r="BX68" t="n">
        <v>2025</v>
      </c>
      <c r="BY68" t="inlineStr">
        <is>
          <t>01/01/2024</t>
        </is>
      </c>
      <c r="BZ68" t="inlineStr">
        <is>
          <t>30/06/2031</t>
        </is>
      </c>
    </row>
    <row r="69">
      <c r="A69" t="inlineStr">
        <is>
          <t>RESIDENCIAL PRADA</t>
        </is>
      </c>
      <c r="B69" t="inlineStr">
        <is>
          <t>Etapa 1</t>
        </is>
      </c>
      <c r="C69" t="inlineStr">
        <is>
          <t>Edificio</t>
        </is>
      </c>
      <c r="D69" t="inlineStr">
        <is>
          <t>A</t>
        </is>
      </c>
      <c r="E69" t="inlineStr">
        <is>
          <t>Departamento</t>
        </is>
      </c>
      <c r="F69" t="inlineStr">
        <is>
          <t>103</t>
        </is>
      </c>
      <c r="G69" s="39" t="n">
        <v>520400</v>
      </c>
      <c r="H69" s="39" t="n">
        <v>520400</v>
      </c>
      <c r="M69" s="39" t="n"/>
      <c r="N69" s="39" t="n"/>
      <c r="S69" s="39" t="n"/>
      <c r="T69" s="39" t="n"/>
      <c r="Y69" s="39" t="n"/>
      <c r="Z69" s="39" t="n"/>
      <c r="AA69" t="inlineStr">
        <is>
          <t>Ayleen Katia Messarina Rios</t>
        </is>
      </c>
      <c r="AB69" t="inlineStr">
        <is>
          <t>70512701</t>
        </is>
      </c>
      <c r="AC69" t="inlineStr">
        <is>
          <t>Departamento 101 Urbanización Santa Rosa de Surco etapa 2 Mz D Lt 23</t>
        </is>
      </c>
      <c r="AD69" t="n">
        <v>978722675</v>
      </c>
      <c r="AE69" t="inlineStr">
        <is>
          <t>978722675</t>
        </is>
      </c>
      <c r="AF69" t="inlineStr">
        <is>
          <t>ayleen30mr@gmail.com</t>
        </is>
      </c>
      <c r="AG69" t="inlineStr">
        <is>
          <t>LIMA</t>
        </is>
      </c>
      <c r="AH69" t="inlineStr">
        <is>
          <t>SANTIAGO DE SURCO</t>
        </is>
      </c>
      <c r="AI69" s="75" t="n">
        <v>45663</v>
      </c>
      <c r="AJ69" s="75" t="n">
        <v>45663</v>
      </c>
      <c r="AK69" t="inlineStr">
        <is>
          <t>CUOTA INICIAL</t>
        </is>
      </c>
      <c r="AL69" t="n">
        <v>1</v>
      </c>
      <c r="AM69" t="n">
        <v>117000</v>
      </c>
      <c r="AN69" t="n">
        <v>0</v>
      </c>
      <c r="AO69" t="n">
        <v>0</v>
      </c>
      <c r="AP69" s="39" t="n">
        <v>117000</v>
      </c>
      <c r="AQ69" s="39" t="n">
        <v>117000</v>
      </c>
      <c r="AR69" s="39" t="n">
        <v>0</v>
      </c>
      <c r="AS69" t="n">
        <v>0</v>
      </c>
      <c r="AT69" t="inlineStr">
        <is>
          <t>Crédito Hipotecario</t>
        </is>
      </c>
      <c r="AU69" t="inlineStr">
        <is>
          <t>Scotiabank Perú</t>
        </is>
      </c>
      <c r="AV69" t="inlineStr">
        <is>
          <t>000-2768484</t>
        </is>
      </c>
      <c r="AW69" t="inlineStr">
        <is>
          <t>TRANSFERENCIA BANCARIA</t>
        </is>
      </c>
      <c r="AY69" t="inlineStr">
        <is>
          <t>00157</t>
        </is>
      </c>
      <c r="AZ69" t="inlineStr">
        <is>
          <t>No</t>
        </is>
      </c>
      <c r="BB69" t="n">
        <v>4</v>
      </c>
      <c r="BC69" t="inlineStr">
        <is>
          <t>CANCELADO</t>
        </is>
      </c>
      <c r="BN69" t="inlineStr">
        <is>
          <t>Si</t>
        </is>
      </c>
      <c r="BO69" s="76" t="n">
        <v>45663.58819444444</v>
      </c>
      <c r="BP69" t="inlineStr">
        <is>
          <t>Kenny Salazar S</t>
        </is>
      </c>
      <c r="BR69" t="n">
        <v>31</v>
      </c>
      <c r="BS69" t="inlineStr">
        <is>
          <t>26/06/2026 17:23</t>
        </is>
      </c>
      <c r="BW69" t="inlineStr">
        <is>
          <t>Cobranzas_2025.csv</t>
        </is>
      </c>
      <c r="BX69" t="n">
        <v>2025</v>
      </c>
      <c r="BY69" t="inlineStr">
        <is>
          <t>01/01/2024</t>
        </is>
      </c>
      <c r="BZ69" t="inlineStr">
        <is>
          <t>30/06/2031</t>
        </is>
      </c>
    </row>
    <row r="70">
      <c r="A70" t="inlineStr">
        <is>
          <t>RESIDENCIAL PRADA</t>
        </is>
      </c>
      <c r="B70" t="inlineStr">
        <is>
          <t>Etapa 1</t>
        </is>
      </c>
      <c r="C70" t="inlineStr">
        <is>
          <t>Edificio</t>
        </is>
      </c>
      <c r="D70" t="inlineStr">
        <is>
          <t>A</t>
        </is>
      </c>
      <c r="E70" t="inlineStr">
        <is>
          <t>Departamento</t>
        </is>
      </c>
      <c r="F70" t="inlineStr">
        <is>
          <t>103</t>
        </is>
      </c>
      <c r="G70" s="39" t="n">
        <v>520400</v>
      </c>
      <c r="H70" s="39" t="n">
        <v>520400</v>
      </c>
      <c r="M70" s="39" t="n"/>
      <c r="N70" s="39" t="n"/>
      <c r="S70" s="39" t="n"/>
      <c r="T70" s="39" t="n"/>
      <c r="Y70" s="39" t="n"/>
      <c r="Z70" s="39" t="n"/>
      <c r="AA70" t="inlineStr">
        <is>
          <t>Ayleen Katia Messarina Rios</t>
        </is>
      </c>
      <c r="AB70" t="inlineStr">
        <is>
          <t>70512701</t>
        </is>
      </c>
      <c r="AC70" t="inlineStr">
        <is>
          <t>Departamento 101 Urbanización Santa Rosa de Surco etapa 2 Mz D Lt 23</t>
        </is>
      </c>
      <c r="AD70" t="n">
        <v>978722675</v>
      </c>
      <c r="AE70" t="inlineStr">
        <is>
          <t>978722675</t>
        </is>
      </c>
      <c r="AF70" t="inlineStr">
        <is>
          <t>ayleen30mr@gmail.com</t>
        </is>
      </c>
      <c r="AG70" t="inlineStr">
        <is>
          <t>LIMA</t>
        </is>
      </c>
      <c r="AH70" t="inlineStr">
        <is>
          <t>SANTIAGO DE SURCO</t>
        </is>
      </c>
      <c r="AI70" s="75" t="n">
        <v>45688</v>
      </c>
      <c r="AJ70" s="75" t="n">
        <v>45716</v>
      </c>
      <c r="AK70" t="inlineStr">
        <is>
          <t>SALDO FINANCIAR</t>
        </is>
      </c>
      <c r="AL70" t="n">
        <v>1</v>
      </c>
      <c r="AM70" t="n">
        <v>400400</v>
      </c>
      <c r="AN70" t="n">
        <v>0</v>
      </c>
      <c r="AO70" t="n">
        <v>0</v>
      </c>
      <c r="AP70" s="39" t="n">
        <v>400400</v>
      </c>
      <c r="AQ70" s="39" t="n">
        <v>400400</v>
      </c>
      <c r="AR70" s="39" t="n">
        <v>0</v>
      </c>
      <c r="AS70" t="n">
        <v>0</v>
      </c>
      <c r="AT70" t="inlineStr">
        <is>
          <t>Crédito Hipotecario</t>
        </is>
      </c>
      <c r="AU70" t="inlineStr">
        <is>
          <t>Scotiabank Perú</t>
        </is>
      </c>
      <c r="AV70" t="inlineStr">
        <is>
          <t>000-2768484</t>
        </is>
      </c>
      <c r="AW70" t="inlineStr">
        <is>
          <t>TRANSFERENCIA BANCARIA</t>
        </is>
      </c>
      <c r="AY70" t="inlineStr">
        <is>
          <t>2612024</t>
        </is>
      </c>
      <c r="AZ70" t="inlineStr">
        <is>
          <t>No</t>
        </is>
      </c>
      <c r="BB70" t="n">
        <v>4</v>
      </c>
      <c r="BC70" t="inlineStr">
        <is>
          <t>CANCELADO</t>
        </is>
      </c>
      <c r="BN70" t="inlineStr">
        <is>
          <t>Si</t>
        </is>
      </c>
      <c r="BO70" s="76" t="n">
        <v>45663.58819444444</v>
      </c>
      <c r="BP70" t="inlineStr">
        <is>
          <t>Kenny Salazar S</t>
        </is>
      </c>
      <c r="BR70" t="n">
        <v>31</v>
      </c>
      <c r="BS70" t="inlineStr">
        <is>
          <t>26/06/2026 17:25</t>
        </is>
      </c>
      <c r="BW70" t="inlineStr">
        <is>
          <t>Cobranzas_2025.csv</t>
        </is>
      </c>
      <c r="BX70" t="n">
        <v>2025</v>
      </c>
      <c r="BY70" t="inlineStr">
        <is>
          <t>01/01/2024</t>
        </is>
      </c>
      <c r="BZ70" t="inlineStr">
        <is>
          <t>30/06/2031</t>
        </is>
      </c>
    </row>
    <row r="71">
      <c r="A71" t="inlineStr">
        <is>
          <t>RESIDENCIAL VENECIA</t>
        </is>
      </c>
      <c r="B71" t="inlineStr">
        <is>
          <t>Etapa 1</t>
        </is>
      </c>
      <c r="C71" t="inlineStr">
        <is>
          <t>Edificio</t>
        </is>
      </c>
      <c r="D71" t="inlineStr">
        <is>
          <t>A</t>
        </is>
      </c>
      <c r="E71" t="inlineStr">
        <is>
          <t>Departamento</t>
        </is>
      </c>
      <c r="F71" t="inlineStr">
        <is>
          <t>204</t>
        </is>
      </c>
      <c r="G71" s="39" t="n">
        <v>483000</v>
      </c>
      <c r="H71" s="39" t="n">
        <v>443000</v>
      </c>
      <c r="I71" t="inlineStr">
        <is>
          <t>Edificio</t>
        </is>
      </c>
      <c r="J71" t="inlineStr">
        <is>
          <t>A</t>
        </is>
      </c>
      <c r="K71" t="inlineStr">
        <is>
          <t>Estacionamiento</t>
        </is>
      </c>
      <c r="L71" t="inlineStr">
        <is>
          <t>E 14 - D 4</t>
        </is>
      </c>
      <c r="M71" s="39" t="n">
        <v>42800</v>
      </c>
      <c r="N71" s="39" t="n">
        <v>42800</v>
      </c>
      <c r="S71" s="39" t="n"/>
      <c r="T71" s="39" t="n"/>
      <c r="Y71" s="39" t="n"/>
      <c r="Z71" s="39" t="n"/>
      <c r="AA71" t="inlineStr">
        <is>
          <t>Carlos La Cruz Crespo</t>
        </is>
      </c>
      <c r="AB71" t="inlineStr">
        <is>
          <t>09022488</t>
        </is>
      </c>
      <c r="AC71" t="inlineStr">
        <is>
          <t>comas</t>
        </is>
      </c>
      <c r="AD71" t="n">
        <v>0</v>
      </c>
      <c r="AE71" t="inlineStr">
        <is>
          <t>997009340</t>
        </is>
      </c>
      <c r="AF71" t="inlineStr">
        <is>
          <t>carlos.14lacruz@gmail.com</t>
        </is>
      </c>
      <c r="AG71" t="inlineStr">
        <is>
          <t>LIMA</t>
        </is>
      </c>
      <c r="AH71" t="inlineStr">
        <is>
          <t>COMAS</t>
        </is>
      </c>
      <c r="AI71" s="75" t="n">
        <v>45795</v>
      </c>
      <c r="AJ71" s="75" t="n">
        <v>45795</v>
      </c>
      <c r="AK71" t="inlineStr">
        <is>
          <t>SEPARACION</t>
        </is>
      </c>
      <c r="AL71" t="n">
        <v>1</v>
      </c>
      <c r="AM71" t="n">
        <v>3000</v>
      </c>
      <c r="AN71" t="n">
        <v>0</v>
      </c>
      <c r="AO71" t="n">
        <v>0</v>
      </c>
      <c r="AP71" s="39" t="n">
        <v>3000</v>
      </c>
      <c r="AQ71" s="39" t="n">
        <v>3000</v>
      </c>
      <c r="AR71" s="39" t="n">
        <v>0</v>
      </c>
      <c r="AS71" t="n">
        <v>0</v>
      </c>
      <c r="AT71" t="inlineStr">
        <is>
          <t>Crédito Directo</t>
        </is>
      </c>
      <c r="AU71" t="inlineStr">
        <is>
          <t>Scotiabank Perú</t>
        </is>
      </c>
      <c r="AV71" t="inlineStr">
        <is>
          <t>0004071419</t>
        </is>
      </c>
      <c r="AW71" t="inlineStr">
        <is>
          <t>TRANSFERENCIA BANCARIA</t>
        </is>
      </c>
      <c r="AY71" t="inlineStr">
        <is>
          <t>473500004737</t>
        </is>
      </c>
      <c r="AZ71" t="inlineStr">
        <is>
          <t>No</t>
        </is>
      </c>
      <c r="BB71" t="n">
        <v>4</v>
      </c>
      <c r="BC71" t="inlineStr">
        <is>
          <t>CANCELADO</t>
        </is>
      </c>
      <c r="BN71" t="inlineStr">
        <is>
          <t>Si</t>
        </is>
      </c>
      <c r="BO71" s="76" t="n">
        <v>45839.33541666667</v>
      </c>
      <c r="BP71" t="inlineStr">
        <is>
          <t>Magaly Guevara Perez</t>
        </is>
      </c>
      <c r="BR71" t="n">
        <v>2</v>
      </c>
      <c r="BS71" t="inlineStr">
        <is>
          <t>12/05/2026 10:32</t>
        </is>
      </c>
      <c r="BW71" t="inlineStr">
        <is>
          <t>Cobranzas_2025.csv</t>
        </is>
      </c>
      <c r="BX71" t="n">
        <v>2025</v>
      </c>
      <c r="BY71" t="inlineStr">
        <is>
          <t>01/01/2024</t>
        </is>
      </c>
      <c r="BZ71" t="inlineStr">
        <is>
          <t>30/06/2031</t>
        </is>
      </c>
    </row>
    <row r="72">
      <c r="A72" t="inlineStr">
        <is>
          <t>RESIDENCIAL VENECIA</t>
        </is>
      </c>
      <c r="B72" t="inlineStr">
        <is>
          <t>Etapa 1</t>
        </is>
      </c>
      <c r="C72" t="inlineStr">
        <is>
          <t>Edificio</t>
        </is>
      </c>
      <c r="D72" t="inlineStr">
        <is>
          <t>A</t>
        </is>
      </c>
      <c r="E72" t="inlineStr">
        <is>
          <t>Departamento</t>
        </is>
      </c>
      <c r="F72" t="inlineStr">
        <is>
          <t>204</t>
        </is>
      </c>
      <c r="G72" s="39" t="n">
        <v>483000</v>
      </c>
      <c r="H72" s="39" t="n">
        <v>443000</v>
      </c>
      <c r="I72" t="inlineStr">
        <is>
          <t>Edificio</t>
        </is>
      </c>
      <c r="J72" t="inlineStr">
        <is>
          <t>A</t>
        </is>
      </c>
      <c r="K72" t="inlineStr">
        <is>
          <t>Estacionamiento</t>
        </is>
      </c>
      <c r="L72" t="inlineStr">
        <is>
          <t>E 14 - D 4</t>
        </is>
      </c>
      <c r="M72" s="39" t="n">
        <v>42800</v>
      </c>
      <c r="N72" s="39" t="n">
        <v>42800</v>
      </c>
      <c r="S72" s="39" t="n"/>
      <c r="T72" s="39" t="n"/>
      <c r="Y72" s="39" t="n"/>
      <c r="Z72" s="39" t="n"/>
      <c r="AA72" t="inlineStr">
        <is>
          <t>Carlos La Cruz Crespo</t>
        </is>
      </c>
      <c r="AB72" t="inlineStr">
        <is>
          <t>09022488</t>
        </is>
      </c>
      <c r="AC72" t="inlineStr">
        <is>
          <t>comas</t>
        </is>
      </c>
      <c r="AD72" t="n">
        <v>0</v>
      </c>
      <c r="AE72" t="inlineStr">
        <is>
          <t>997009340</t>
        </is>
      </c>
      <c r="AF72" t="inlineStr">
        <is>
          <t>carlos.14lacruz@gmail.com</t>
        </is>
      </c>
      <c r="AG72" t="inlineStr">
        <is>
          <t>LIMA</t>
        </is>
      </c>
      <c r="AH72" t="inlineStr">
        <is>
          <t>COMAS</t>
        </is>
      </c>
      <c r="AI72" s="75" t="n">
        <v>45839</v>
      </c>
      <c r="AJ72" s="75" t="n">
        <v>45839</v>
      </c>
      <c r="AK72" t="inlineStr">
        <is>
          <t>CUOTA INICIAL</t>
        </is>
      </c>
      <c r="AL72" t="n">
        <v>1</v>
      </c>
      <c r="AM72" t="n">
        <v>0</v>
      </c>
      <c r="AN72" t="n">
        <v>0</v>
      </c>
      <c r="AO72" t="n">
        <v>0</v>
      </c>
      <c r="AP72" s="39" t="n">
        <v>45580</v>
      </c>
      <c r="AQ72" s="39" t="n">
        <v>30000</v>
      </c>
      <c r="AR72" s="39" t="n">
        <v>0</v>
      </c>
      <c r="AS72" t="n">
        <v>0</v>
      </c>
      <c r="AT72" t="inlineStr">
        <is>
          <t>Crédito Directo</t>
        </is>
      </c>
      <c r="AU72" t="inlineStr">
        <is>
          <t>Scotiabank Perú</t>
        </is>
      </c>
      <c r="AV72" t="inlineStr">
        <is>
          <t>0004071419</t>
        </is>
      </c>
      <c r="AW72" t="inlineStr">
        <is>
          <t>TRANSFERENCIA BANCARIA</t>
        </is>
      </c>
      <c r="AY72" t="inlineStr">
        <is>
          <t>0091700000407141928</t>
        </is>
      </c>
      <c r="AZ72" t="inlineStr">
        <is>
          <t>No</t>
        </is>
      </c>
      <c r="BB72" t="n">
        <v>4</v>
      </c>
      <c r="BC72" t="inlineStr">
        <is>
          <t>CANCELADO</t>
        </is>
      </c>
      <c r="BN72" t="inlineStr">
        <is>
          <t>No</t>
        </is>
      </c>
      <c r="BO72" s="76" t="n">
        <v>45839.33541666667</v>
      </c>
      <c r="BP72" t="inlineStr">
        <is>
          <t>Magaly Guevara Perez</t>
        </is>
      </c>
      <c r="BR72" t="n">
        <v>2</v>
      </c>
      <c r="BS72" t="inlineStr">
        <is>
          <t>24/05/2026 14:59</t>
        </is>
      </c>
      <c r="BW72" t="inlineStr">
        <is>
          <t>Cobranzas_2025.csv</t>
        </is>
      </c>
      <c r="BX72" t="n">
        <v>2025</v>
      </c>
      <c r="BY72" t="inlineStr">
        <is>
          <t>01/01/2024</t>
        </is>
      </c>
      <c r="BZ72" t="inlineStr">
        <is>
          <t>30/06/2031</t>
        </is>
      </c>
    </row>
    <row r="73">
      <c r="A73" t="inlineStr">
        <is>
          <t>RESIDENCIAL VENECIA</t>
        </is>
      </c>
      <c r="B73" t="inlineStr">
        <is>
          <t>Etapa 1</t>
        </is>
      </c>
      <c r="C73" t="inlineStr">
        <is>
          <t>Edificio</t>
        </is>
      </c>
      <c r="D73" t="inlineStr">
        <is>
          <t>A</t>
        </is>
      </c>
      <c r="E73" t="inlineStr">
        <is>
          <t>Departamento</t>
        </is>
      </c>
      <c r="F73" t="inlineStr">
        <is>
          <t>204</t>
        </is>
      </c>
      <c r="G73" s="39" t="n">
        <v>483000</v>
      </c>
      <c r="H73" s="39" t="n">
        <v>443000</v>
      </c>
      <c r="I73" t="inlineStr">
        <is>
          <t>Edificio</t>
        </is>
      </c>
      <c r="J73" t="inlineStr">
        <is>
          <t>A</t>
        </is>
      </c>
      <c r="K73" t="inlineStr">
        <is>
          <t>Estacionamiento</t>
        </is>
      </c>
      <c r="L73" t="inlineStr">
        <is>
          <t>E 14 - D 4</t>
        </is>
      </c>
      <c r="M73" s="39" t="n">
        <v>42800</v>
      </c>
      <c r="N73" s="39" t="n">
        <v>42800</v>
      </c>
      <c r="S73" s="39" t="n"/>
      <c r="T73" s="39" t="n"/>
      <c r="Y73" s="39" t="n"/>
      <c r="Z73" s="39" t="n"/>
      <c r="AA73" t="inlineStr">
        <is>
          <t>Carlos La Cruz Crespo</t>
        </is>
      </c>
      <c r="AB73" t="inlineStr">
        <is>
          <t>09022488</t>
        </is>
      </c>
      <c r="AC73" t="inlineStr">
        <is>
          <t>comas</t>
        </is>
      </c>
      <c r="AD73" t="n">
        <v>0</v>
      </c>
      <c r="AE73" t="inlineStr">
        <is>
          <t>997009340</t>
        </is>
      </c>
      <c r="AF73" t="inlineStr">
        <is>
          <t>carlos.14lacruz@gmail.com</t>
        </is>
      </c>
      <c r="AG73" t="inlineStr">
        <is>
          <t>LIMA</t>
        </is>
      </c>
      <c r="AH73" t="inlineStr">
        <is>
          <t>COMAS</t>
        </is>
      </c>
      <c r="AI73" s="75" t="n">
        <v>45839</v>
      </c>
      <c r="AJ73" s="75" t="n">
        <v>45841</v>
      </c>
      <c r="AK73" t="inlineStr">
        <is>
          <t>CUOTA INICIAL</t>
        </is>
      </c>
      <c r="AL73" t="n">
        <v>1</v>
      </c>
      <c r="AM73" t="n">
        <v>45580</v>
      </c>
      <c r="AN73" t="n">
        <v>0</v>
      </c>
      <c r="AO73" t="n">
        <v>0</v>
      </c>
      <c r="AP73" s="39" t="n">
        <v>0</v>
      </c>
      <c r="AQ73" s="39" t="n">
        <v>15580</v>
      </c>
      <c r="AR73" s="39" t="n">
        <v>0</v>
      </c>
      <c r="AS73" t="n">
        <v>0</v>
      </c>
      <c r="AT73" t="inlineStr">
        <is>
          <t>Crédito Directo</t>
        </is>
      </c>
      <c r="AU73" t="inlineStr">
        <is>
          <t>Scotiabank Perú</t>
        </is>
      </c>
      <c r="AV73" t="inlineStr">
        <is>
          <t>0004071419</t>
        </is>
      </c>
      <c r="AW73" t="inlineStr">
        <is>
          <t>TRANSFERENCIA BANCARIA</t>
        </is>
      </c>
      <c r="AY73" t="inlineStr">
        <is>
          <t>0048320000004834</t>
        </is>
      </c>
      <c r="AZ73" t="inlineStr">
        <is>
          <t>No</t>
        </is>
      </c>
      <c r="BB73" t="n">
        <v>4</v>
      </c>
      <c r="BC73" t="inlineStr">
        <is>
          <t>CANCELADO</t>
        </is>
      </c>
      <c r="BN73" t="inlineStr">
        <is>
          <t>No</t>
        </is>
      </c>
      <c r="BO73" s="76" t="n">
        <v>45839.33541666667</v>
      </c>
      <c r="BP73" t="inlineStr">
        <is>
          <t>Magaly Guevara Perez</t>
        </is>
      </c>
      <c r="BR73" t="n">
        <v>2</v>
      </c>
      <c r="BS73" t="inlineStr">
        <is>
          <t>24/05/2026 15:01</t>
        </is>
      </c>
      <c r="BW73" t="inlineStr">
        <is>
          <t>Cobranzas_2025.csv</t>
        </is>
      </c>
      <c r="BX73" t="n">
        <v>2025</v>
      </c>
      <c r="BY73" t="inlineStr">
        <is>
          <t>01/01/2024</t>
        </is>
      </c>
      <c r="BZ73" t="inlineStr">
        <is>
          <t>30/06/2031</t>
        </is>
      </c>
    </row>
    <row r="74">
      <c r="A74" t="inlineStr">
        <is>
          <t>RESIDENCIAL VENECIA</t>
        </is>
      </c>
      <c r="B74" t="inlineStr">
        <is>
          <t>Etapa 1</t>
        </is>
      </c>
      <c r="C74" t="inlineStr">
        <is>
          <t>Edificio</t>
        </is>
      </c>
      <c r="D74" t="inlineStr">
        <is>
          <t>A</t>
        </is>
      </c>
      <c r="E74" t="inlineStr">
        <is>
          <t>Departamento</t>
        </is>
      </c>
      <c r="F74" t="inlineStr">
        <is>
          <t>204</t>
        </is>
      </c>
      <c r="G74" s="39" t="n">
        <v>483000</v>
      </c>
      <c r="H74" s="39" t="n">
        <v>443000</v>
      </c>
      <c r="I74" t="inlineStr">
        <is>
          <t>Edificio</t>
        </is>
      </c>
      <c r="J74" t="inlineStr">
        <is>
          <t>A</t>
        </is>
      </c>
      <c r="K74" t="inlineStr">
        <is>
          <t>Estacionamiento</t>
        </is>
      </c>
      <c r="L74" t="inlineStr">
        <is>
          <t>E 14 - D 4</t>
        </is>
      </c>
      <c r="M74" s="39" t="n">
        <v>42800</v>
      </c>
      <c r="N74" s="39" t="n">
        <v>42800</v>
      </c>
      <c r="S74" s="39" t="n"/>
      <c r="T74" s="39" t="n"/>
      <c r="Y74" s="39" t="n"/>
      <c r="Z74" s="39" t="n"/>
      <c r="AA74" t="inlineStr">
        <is>
          <t>Carlos La Cruz Crespo</t>
        </is>
      </c>
      <c r="AB74" t="inlineStr">
        <is>
          <t>09022488</t>
        </is>
      </c>
      <c r="AC74" t="inlineStr">
        <is>
          <t>comas</t>
        </is>
      </c>
      <c r="AD74" t="n">
        <v>0</v>
      </c>
      <c r="AE74" t="inlineStr">
        <is>
          <t>997009340</t>
        </is>
      </c>
      <c r="AF74" t="inlineStr">
        <is>
          <t>carlos.14lacruz@gmail.com</t>
        </is>
      </c>
      <c r="AG74" t="inlineStr">
        <is>
          <t>LIMA</t>
        </is>
      </c>
      <c r="AH74" t="inlineStr">
        <is>
          <t>COMAS</t>
        </is>
      </c>
      <c r="AI74" s="75" t="n">
        <v>45841</v>
      </c>
      <c r="AJ74" s="75" t="n">
        <v>45841</v>
      </c>
      <c r="AK74" t="inlineStr">
        <is>
          <t>CUOTA INICIAL</t>
        </is>
      </c>
      <c r="AL74" t="n">
        <v>2</v>
      </c>
      <c r="AM74" t="n">
        <v>0</v>
      </c>
      <c r="AN74" t="n">
        <v>0</v>
      </c>
      <c r="AO74" t="n">
        <v>0</v>
      </c>
      <c r="AP74" s="39" t="n">
        <v>145740</v>
      </c>
      <c r="AQ74" s="39" t="n">
        <v>145700</v>
      </c>
      <c r="AR74" s="39" t="n">
        <v>0</v>
      </c>
      <c r="AS74" t="n">
        <v>0</v>
      </c>
      <c r="AT74" t="inlineStr">
        <is>
          <t>Crédito Directo</t>
        </is>
      </c>
      <c r="AU74" t="inlineStr">
        <is>
          <t>Scotiabank Perú</t>
        </is>
      </c>
      <c r="AV74" t="inlineStr">
        <is>
          <t>0004071419</t>
        </is>
      </c>
      <c r="AW74" t="inlineStr">
        <is>
          <t>CHEQUE DE GERENCIA</t>
        </is>
      </c>
      <c r="AY74" t="inlineStr">
        <is>
          <t>30072025</t>
        </is>
      </c>
      <c r="AZ74" t="inlineStr">
        <is>
          <t>No</t>
        </is>
      </c>
      <c r="BB74" t="n">
        <v>4</v>
      </c>
      <c r="BC74" t="inlineStr">
        <is>
          <t>CANCELADO</t>
        </is>
      </c>
      <c r="BN74" t="inlineStr">
        <is>
          <t>No</t>
        </is>
      </c>
      <c r="BO74" s="76" t="n">
        <v>45839.33541666667</v>
      </c>
      <c r="BP74" t="inlineStr">
        <is>
          <t>Magaly Guevara Perez</t>
        </is>
      </c>
      <c r="BR74" t="n">
        <v>2</v>
      </c>
      <c r="BS74" t="inlineStr">
        <is>
          <t>24/05/2026 15:05</t>
        </is>
      </c>
      <c r="BW74" t="inlineStr">
        <is>
          <t>Cobranzas_2025.csv</t>
        </is>
      </c>
      <c r="BX74" t="n">
        <v>2025</v>
      </c>
      <c r="BY74" t="inlineStr">
        <is>
          <t>01/01/2024</t>
        </is>
      </c>
      <c r="BZ74" t="inlineStr">
        <is>
          <t>30/06/2031</t>
        </is>
      </c>
    </row>
    <row r="75">
      <c r="A75" t="inlineStr">
        <is>
          <t>RESIDENCIAL VENECIA</t>
        </is>
      </c>
      <c r="B75" t="inlineStr">
        <is>
          <t>Etapa 1</t>
        </is>
      </c>
      <c r="C75" t="inlineStr">
        <is>
          <t>Edificio</t>
        </is>
      </c>
      <c r="D75" t="inlineStr">
        <is>
          <t>A</t>
        </is>
      </c>
      <c r="E75" t="inlineStr">
        <is>
          <t>Departamento</t>
        </is>
      </c>
      <c r="F75" t="inlineStr">
        <is>
          <t>204</t>
        </is>
      </c>
      <c r="G75" s="39" t="n">
        <v>483000</v>
      </c>
      <c r="H75" s="39" t="n">
        <v>443000</v>
      </c>
      <c r="I75" t="inlineStr">
        <is>
          <t>Edificio</t>
        </is>
      </c>
      <c r="J75" t="inlineStr">
        <is>
          <t>A</t>
        </is>
      </c>
      <c r="K75" t="inlineStr">
        <is>
          <t>Estacionamiento</t>
        </is>
      </c>
      <c r="L75" t="inlineStr">
        <is>
          <t>E 14 - D 4</t>
        </is>
      </c>
      <c r="M75" s="39" t="n">
        <v>42800</v>
      </c>
      <c r="N75" s="39" t="n">
        <v>42800</v>
      </c>
      <c r="S75" s="39" t="n"/>
      <c r="T75" s="39" t="n"/>
      <c r="Y75" s="39" t="n"/>
      <c r="Z75" s="39" t="n"/>
      <c r="AA75" t="inlineStr">
        <is>
          <t>Carlos La Cruz Crespo</t>
        </is>
      </c>
      <c r="AB75" t="inlineStr">
        <is>
          <t>09022488</t>
        </is>
      </c>
      <c r="AC75" t="inlineStr">
        <is>
          <t>comas</t>
        </is>
      </c>
      <c r="AD75" t="n">
        <v>0</v>
      </c>
      <c r="AE75" t="inlineStr">
        <is>
          <t>997009340</t>
        </is>
      </c>
      <c r="AF75" t="inlineStr">
        <is>
          <t>carlos.14lacruz@gmail.com</t>
        </is>
      </c>
      <c r="AG75" t="inlineStr">
        <is>
          <t>LIMA</t>
        </is>
      </c>
      <c r="AH75" t="inlineStr">
        <is>
          <t>COMAS</t>
        </is>
      </c>
      <c r="AI75" s="75" t="n">
        <v>45841</v>
      </c>
      <c r="AJ75" s="75" t="n">
        <v>46027</v>
      </c>
      <c r="AK75" t="inlineStr">
        <is>
          <t>CUOTA INICIAL</t>
        </is>
      </c>
      <c r="AL75" t="n">
        <v>2</v>
      </c>
      <c r="AM75" t="n">
        <v>145740</v>
      </c>
      <c r="AN75" t="n">
        <v>0</v>
      </c>
      <c r="AO75" t="n">
        <v>0</v>
      </c>
      <c r="AP75" s="39" t="n">
        <v>0</v>
      </c>
      <c r="AQ75" s="39" t="n">
        <v>40</v>
      </c>
      <c r="AR75" s="39" t="n">
        <v>0</v>
      </c>
      <c r="AS75" t="n">
        <v>0</v>
      </c>
      <c r="AT75" t="inlineStr">
        <is>
          <t>Crédito Directo</t>
        </is>
      </c>
      <c r="AU75" t="inlineStr">
        <is>
          <t>Scotiabank Perú</t>
        </is>
      </c>
      <c r="AV75" t="inlineStr">
        <is>
          <t>0004071419</t>
        </is>
      </c>
      <c r="AW75" t="inlineStr">
        <is>
          <t>TRANSFERENCIA BANCARIA</t>
        </is>
      </c>
      <c r="AY75" t="inlineStr">
        <is>
          <t>050126</t>
        </is>
      </c>
      <c r="AZ75" t="inlineStr">
        <is>
          <t>No</t>
        </is>
      </c>
      <c r="BB75" t="n">
        <v>4</v>
      </c>
      <c r="BC75" t="inlineStr">
        <is>
          <t>CANCELADO</t>
        </is>
      </c>
      <c r="BN75" t="inlineStr">
        <is>
          <t>Si</t>
        </is>
      </c>
      <c r="BO75" s="76" t="n">
        <v>45839.33541666667</v>
      </c>
      <c r="BP75" t="inlineStr">
        <is>
          <t>Magaly Guevara Perez</t>
        </is>
      </c>
      <c r="BR75" t="n">
        <v>2</v>
      </c>
      <c r="BS75" t="inlineStr">
        <is>
          <t>24/05/2026 15:09</t>
        </is>
      </c>
      <c r="BW75" t="inlineStr">
        <is>
          <t>Cobranzas_2025.csv</t>
        </is>
      </c>
      <c r="BX75" t="n">
        <v>2025</v>
      </c>
      <c r="BY75" t="inlineStr">
        <is>
          <t>01/01/2024</t>
        </is>
      </c>
      <c r="BZ75" t="inlineStr">
        <is>
          <t>30/06/2031</t>
        </is>
      </c>
    </row>
    <row r="76">
      <c r="A76" t="inlineStr">
        <is>
          <t>RESIDENCIAL PRADA</t>
        </is>
      </c>
      <c r="B76" t="inlineStr">
        <is>
          <t>Etapa 1</t>
        </is>
      </c>
      <c r="C76" t="inlineStr">
        <is>
          <t>Edificio</t>
        </is>
      </c>
      <c r="D76" t="inlineStr">
        <is>
          <t>A</t>
        </is>
      </c>
      <c r="E76" t="inlineStr">
        <is>
          <t>Departamento</t>
        </is>
      </c>
      <c r="F76" t="inlineStr">
        <is>
          <t>601</t>
        </is>
      </c>
      <c r="G76" s="39" t="n">
        <v>630000</v>
      </c>
      <c r="H76" s="39" t="n">
        <v>630000</v>
      </c>
      <c r="I76" t="inlineStr">
        <is>
          <t>Edificio</t>
        </is>
      </c>
      <c r="J76" t="inlineStr">
        <is>
          <t>A</t>
        </is>
      </c>
      <c r="K76" t="inlineStr">
        <is>
          <t>Estacionamiento</t>
        </is>
      </c>
      <c r="L76" t="inlineStr">
        <is>
          <t>E 28 - D 22</t>
        </is>
      </c>
      <c r="M76" s="39" t="n">
        <v>60000</v>
      </c>
      <c r="N76" s="39" t="n">
        <v>60000</v>
      </c>
      <c r="S76" s="39" t="n"/>
      <c r="T76" s="39" t="n"/>
      <c r="Y76" s="39" t="n"/>
      <c r="Z76" s="39" t="n"/>
      <c r="AA76" t="inlineStr">
        <is>
          <t>Chistopher Omar Peña Camargo</t>
        </is>
      </c>
      <c r="AB76" t="inlineStr">
        <is>
          <t>44062837</t>
        </is>
      </c>
      <c r="AC76" t="inlineStr">
        <is>
          <t>Av. San Felipe 351</t>
        </is>
      </c>
      <c r="AE76" t="inlineStr">
        <is>
          <t>964328569</t>
        </is>
      </c>
      <c r="AF76" t="inlineStr">
        <is>
          <t>ciruvision@gmail.com</t>
        </is>
      </c>
      <c r="AG76" t="inlineStr">
        <is>
          <t>LIMA</t>
        </is>
      </c>
      <c r="AH76" t="inlineStr">
        <is>
          <t>JESUS MARIA</t>
        </is>
      </c>
      <c r="AI76" s="75" t="n">
        <v>45804</v>
      </c>
      <c r="AJ76" s="75" t="n">
        <v>45804</v>
      </c>
      <c r="AK76" t="inlineStr">
        <is>
          <t>SEPARACION</t>
        </is>
      </c>
      <c r="AL76" t="n">
        <v>1</v>
      </c>
      <c r="AM76" t="n">
        <v>3000</v>
      </c>
      <c r="AN76" t="n">
        <v>0</v>
      </c>
      <c r="AO76" t="n">
        <v>0</v>
      </c>
      <c r="AP76" s="39" t="n">
        <v>3000</v>
      </c>
      <c r="AQ76" s="39" t="n">
        <v>3000</v>
      </c>
      <c r="AR76" s="39" t="n">
        <v>0</v>
      </c>
      <c r="AS76" t="n">
        <v>0</v>
      </c>
      <c r="AT76" t="inlineStr">
        <is>
          <t>Crédito Hipotecario</t>
        </is>
      </c>
      <c r="AU76" t="inlineStr">
        <is>
          <t>Scotiabank Perú</t>
        </is>
      </c>
      <c r="AV76" t="inlineStr">
        <is>
          <t>000-2768484</t>
        </is>
      </c>
      <c r="AW76" t="inlineStr">
        <is>
          <t>TRANSFERENCIA BANCARIA</t>
        </is>
      </c>
      <c r="AY76" t="inlineStr">
        <is>
          <t>00002220000000002222</t>
        </is>
      </c>
      <c r="AZ76" t="inlineStr">
        <is>
          <t>No</t>
        </is>
      </c>
      <c r="BB76" t="n">
        <v>4</v>
      </c>
      <c r="BC76" t="inlineStr">
        <is>
          <t>CANCELADO</t>
        </is>
      </c>
      <c r="BN76" t="inlineStr">
        <is>
          <t>Si</t>
        </is>
      </c>
      <c r="BO76" s="76" t="n">
        <v>45831.69236111111</v>
      </c>
      <c r="BP76" t="inlineStr">
        <is>
          <t>Carla Michue M</t>
        </is>
      </c>
      <c r="BR76" t="n">
        <v>12</v>
      </c>
      <c r="BS76" t="inlineStr">
        <is>
          <t>03/07/2026 14:39</t>
        </is>
      </c>
      <c r="BW76" t="inlineStr">
        <is>
          <t>Cobranzas_2025.csv</t>
        </is>
      </c>
      <c r="BX76" t="n">
        <v>2025</v>
      </c>
      <c r="BY76" t="inlineStr">
        <is>
          <t>01/01/2024</t>
        </is>
      </c>
      <c r="BZ76" t="inlineStr">
        <is>
          <t>30/06/2031</t>
        </is>
      </c>
    </row>
    <row r="77">
      <c r="A77" t="inlineStr">
        <is>
          <t>RESIDENCIAL PRADA</t>
        </is>
      </c>
      <c r="B77" t="inlineStr">
        <is>
          <t>Etapa 1</t>
        </is>
      </c>
      <c r="C77" t="inlineStr">
        <is>
          <t>Edificio</t>
        </is>
      </c>
      <c r="D77" t="inlineStr">
        <is>
          <t>A</t>
        </is>
      </c>
      <c r="E77" t="inlineStr">
        <is>
          <t>Departamento</t>
        </is>
      </c>
      <c r="F77" t="inlineStr">
        <is>
          <t>601</t>
        </is>
      </c>
      <c r="G77" s="39" t="n">
        <v>630000</v>
      </c>
      <c r="H77" s="39" t="n">
        <v>630000</v>
      </c>
      <c r="I77" t="inlineStr">
        <is>
          <t>Edificio</t>
        </is>
      </c>
      <c r="J77" t="inlineStr">
        <is>
          <t>A</t>
        </is>
      </c>
      <c r="K77" t="inlineStr">
        <is>
          <t>Estacionamiento</t>
        </is>
      </c>
      <c r="L77" t="inlineStr">
        <is>
          <t>E 28 - D 22</t>
        </is>
      </c>
      <c r="M77" s="39" t="n">
        <v>60000</v>
      </c>
      <c r="N77" s="39" t="n">
        <v>60000</v>
      </c>
      <c r="S77" s="39" t="n"/>
      <c r="T77" s="39" t="n"/>
      <c r="Y77" s="39" t="n"/>
      <c r="Z77" s="39" t="n"/>
      <c r="AA77" t="inlineStr">
        <is>
          <t>Chistopher Omar Peña Camargo</t>
        </is>
      </c>
      <c r="AB77" t="inlineStr">
        <is>
          <t>44062837</t>
        </is>
      </c>
      <c r="AC77" t="inlineStr">
        <is>
          <t>Av. San Felipe 351</t>
        </is>
      </c>
      <c r="AE77" t="inlineStr">
        <is>
          <t>964328569</t>
        </is>
      </c>
      <c r="AF77" t="inlineStr">
        <is>
          <t>ciruvision@gmail.com</t>
        </is>
      </c>
      <c r="AG77" t="inlineStr">
        <is>
          <t>LIMA</t>
        </is>
      </c>
      <c r="AH77" t="inlineStr">
        <is>
          <t>JESUS MARIA</t>
        </is>
      </c>
      <c r="AI77" s="75" t="n">
        <v>45831</v>
      </c>
      <c r="AJ77" s="75" t="n">
        <v>45831</v>
      </c>
      <c r="AK77" t="inlineStr">
        <is>
          <t>CUOTA INICIAL</t>
        </is>
      </c>
      <c r="AL77" t="n">
        <v>2</v>
      </c>
      <c r="AM77" t="n">
        <v>107000</v>
      </c>
      <c r="AN77" t="n">
        <v>0</v>
      </c>
      <c r="AO77" t="n">
        <v>0</v>
      </c>
      <c r="AP77" s="39" t="n">
        <v>107000</v>
      </c>
      <c r="AQ77" s="39" t="n">
        <v>107000</v>
      </c>
      <c r="AR77" s="39" t="n">
        <v>0</v>
      </c>
      <c r="AS77" t="n">
        <v>0</v>
      </c>
      <c r="AT77" t="inlineStr">
        <is>
          <t>Crédito Hipotecario</t>
        </is>
      </c>
      <c r="AU77" t="inlineStr">
        <is>
          <t>Scotiabank Perú</t>
        </is>
      </c>
      <c r="AV77" t="inlineStr">
        <is>
          <t>000-2768484</t>
        </is>
      </c>
      <c r="AW77" t="inlineStr">
        <is>
          <t>TRANSFERENCIA BANCARIA</t>
        </is>
      </c>
      <c r="AX77" t="n">
        <v>44062837</v>
      </c>
      <c r="AY77" t="inlineStr">
        <is>
          <t>006128332</t>
        </is>
      </c>
      <c r="AZ77" t="inlineStr">
        <is>
          <t>No</t>
        </is>
      </c>
      <c r="BA77" t="inlineStr">
        <is>
          <t>NO PRECISA</t>
        </is>
      </c>
      <c r="BB77" t="n">
        <v>1</v>
      </c>
      <c r="BC77" t="inlineStr">
        <is>
          <t>CANCELADO</t>
        </is>
      </c>
      <c r="BN77" t="inlineStr">
        <is>
          <t>Si</t>
        </is>
      </c>
      <c r="BO77" s="76" t="n">
        <v>45831.69236111111</v>
      </c>
      <c r="BP77" t="inlineStr">
        <is>
          <t>Carla Michue M</t>
        </is>
      </c>
      <c r="BR77" t="n">
        <v>12</v>
      </c>
      <c r="BS77" t="inlineStr">
        <is>
          <t>29/05/2026 12:21</t>
        </is>
      </c>
      <c r="BW77" t="inlineStr">
        <is>
          <t>Cobranzas_2025.csv</t>
        </is>
      </c>
      <c r="BX77" t="n">
        <v>2025</v>
      </c>
      <c r="BY77" t="inlineStr">
        <is>
          <t>01/01/2024</t>
        </is>
      </c>
      <c r="BZ77" t="inlineStr">
        <is>
          <t>30/06/2031</t>
        </is>
      </c>
    </row>
    <row r="78">
      <c r="A78" t="inlineStr">
        <is>
          <t>RESIDENCIAL PRADA</t>
        </is>
      </c>
      <c r="B78" t="inlineStr">
        <is>
          <t>Etapa 1</t>
        </is>
      </c>
      <c r="C78" t="inlineStr">
        <is>
          <t>Edificio</t>
        </is>
      </c>
      <c r="D78" t="inlineStr">
        <is>
          <t>A</t>
        </is>
      </c>
      <c r="E78" t="inlineStr">
        <is>
          <t>Departamento</t>
        </is>
      </c>
      <c r="F78" t="inlineStr">
        <is>
          <t>601</t>
        </is>
      </c>
      <c r="G78" s="39" t="n">
        <v>630000</v>
      </c>
      <c r="H78" s="39" t="n">
        <v>630000</v>
      </c>
      <c r="I78" t="inlineStr">
        <is>
          <t>Edificio</t>
        </is>
      </c>
      <c r="J78" t="inlineStr">
        <is>
          <t>A</t>
        </is>
      </c>
      <c r="K78" t="inlineStr">
        <is>
          <t>Estacionamiento</t>
        </is>
      </c>
      <c r="L78" t="inlineStr">
        <is>
          <t>E 28 - D 22</t>
        </is>
      </c>
      <c r="M78" s="39" t="n">
        <v>60000</v>
      </c>
      <c r="N78" s="39" t="n">
        <v>60000</v>
      </c>
      <c r="S78" s="39" t="n"/>
      <c r="T78" s="39" t="n"/>
      <c r="Y78" s="39" t="n"/>
      <c r="Z78" s="39" t="n"/>
      <c r="AA78" t="inlineStr">
        <is>
          <t>Chistopher Omar Peña Camargo</t>
        </is>
      </c>
      <c r="AB78" t="inlineStr">
        <is>
          <t>44062837</t>
        </is>
      </c>
      <c r="AC78" t="inlineStr">
        <is>
          <t>Av. San Felipe 351</t>
        </is>
      </c>
      <c r="AE78" t="inlineStr">
        <is>
          <t>964328569</t>
        </is>
      </c>
      <c r="AF78" t="inlineStr">
        <is>
          <t>ciruvision@gmail.com</t>
        </is>
      </c>
      <c r="AG78" t="inlineStr">
        <is>
          <t>LIMA</t>
        </is>
      </c>
      <c r="AH78" t="inlineStr">
        <is>
          <t>JESUS MARIA</t>
        </is>
      </c>
      <c r="AI78" s="75" t="n">
        <v>45868</v>
      </c>
      <c r="AJ78" s="75" t="n"/>
      <c r="AK78" t="inlineStr">
        <is>
          <t>SALDO FINANCIAR</t>
        </is>
      </c>
      <c r="AL78" t="n">
        <v>1</v>
      </c>
      <c r="AM78" t="n">
        <v>580000</v>
      </c>
      <c r="AN78" t="n">
        <v>0</v>
      </c>
      <c r="AO78" t="n">
        <v>0</v>
      </c>
      <c r="AP78" s="39" t="n">
        <v>580000</v>
      </c>
      <c r="AQ78" s="39" t="n">
        <v>0</v>
      </c>
      <c r="AR78" s="39" t="n">
        <v>580000</v>
      </c>
      <c r="AT78" t="inlineStr">
        <is>
          <t>Crédito Hipotecario</t>
        </is>
      </c>
      <c r="AZ78" t="inlineStr">
        <is>
          <t>No</t>
        </is>
      </c>
      <c r="BC78" t="inlineStr">
        <is>
          <t>VENCIDO</t>
        </is>
      </c>
      <c r="BN78" t="inlineStr">
        <is>
          <t>No</t>
        </is>
      </c>
      <c r="BO78" s="76" t="n">
        <v>45831.69236111111</v>
      </c>
      <c r="BP78" t="inlineStr">
        <is>
          <t>Carla Michue M</t>
        </is>
      </c>
      <c r="BR78" t="n">
        <v>12</v>
      </c>
      <c r="BW78" t="inlineStr">
        <is>
          <t>Cobranzas_2025.csv</t>
        </is>
      </c>
      <c r="BX78" t="n">
        <v>2025</v>
      </c>
      <c r="BY78" t="inlineStr">
        <is>
          <t>01/01/2024</t>
        </is>
      </c>
      <c r="BZ78" t="inlineStr">
        <is>
          <t>30/06/2031</t>
        </is>
      </c>
    </row>
    <row r="79">
      <c r="A79" t="inlineStr">
        <is>
          <t>RESIDENCIAL PRADA</t>
        </is>
      </c>
      <c r="B79" t="inlineStr">
        <is>
          <t>Etapa 1</t>
        </is>
      </c>
      <c r="C79" t="inlineStr">
        <is>
          <t>Edificio</t>
        </is>
      </c>
      <c r="D79" t="inlineStr">
        <is>
          <t>A</t>
        </is>
      </c>
      <c r="E79" t="inlineStr">
        <is>
          <t>Departamento</t>
        </is>
      </c>
      <c r="F79" t="inlineStr">
        <is>
          <t>302</t>
        </is>
      </c>
      <c r="G79" s="39" t="n">
        <v>435500</v>
      </c>
      <c r="H79" s="39" t="n">
        <v>435500</v>
      </c>
      <c r="M79" s="39" t="n"/>
      <c r="N79" s="39" t="n"/>
      <c r="S79" s="39" t="n"/>
      <c r="T79" s="39" t="n"/>
      <c r="Y79" s="39" t="n"/>
      <c r="Z79" s="39" t="n"/>
      <c r="AA79" t="inlineStr">
        <is>
          <t>Cristhiam Ortiz Angeles</t>
        </is>
      </c>
      <c r="AB79" t="inlineStr">
        <is>
          <t>45110882</t>
        </is>
      </c>
      <c r="AC79" t="inlineStr">
        <is>
          <t>Av. Olavegoya 1879 departamento 301</t>
        </is>
      </c>
      <c r="AD79" t="n">
        <v>992532732</v>
      </c>
      <c r="AE79" t="inlineStr">
        <is>
          <t>992532732</t>
        </is>
      </c>
      <c r="AF79" t="inlineStr">
        <is>
          <t>Cristhian4520@gmail.com</t>
        </is>
      </c>
      <c r="AG79" t="inlineStr">
        <is>
          <t>LIMA</t>
        </is>
      </c>
      <c r="AH79" t="inlineStr">
        <is>
          <t>JESUS MARIA</t>
        </is>
      </c>
      <c r="AI79" s="75" t="n">
        <v>45688</v>
      </c>
      <c r="AJ79" s="75" t="n">
        <v>45838</v>
      </c>
      <c r="AK79" t="inlineStr">
        <is>
          <t>SALDO FINANCIAR</t>
        </is>
      </c>
      <c r="AL79" t="n">
        <v>1</v>
      </c>
      <c r="AM79" t="n">
        <v>370950</v>
      </c>
      <c r="AN79" t="n">
        <v>0</v>
      </c>
      <c r="AO79" t="n">
        <v>0</v>
      </c>
      <c r="AP79" s="39" t="n">
        <v>370950</v>
      </c>
      <c r="AQ79" s="39" t="n">
        <v>370950</v>
      </c>
      <c r="AR79" s="39" t="n">
        <v>0</v>
      </c>
      <c r="AS79" t="n">
        <v>0</v>
      </c>
      <c r="AT79" t="inlineStr">
        <is>
          <t>Crédito Hipotecario</t>
        </is>
      </c>
      <c r="AU79" t="inlineStr">
        <is>
          <t>Scotiabank Perú</t>
        </is>
      </c>
      <c r="AV79" t="inlineStr">
        <is>
          <t>000-2768484</t>
        </is>
      </c>
      <c r="AW79" t="inlineStr">
        <is>
          <t>TRANSFERENCIA BANCARIA</t>
        </is>
      </c>
      <c r="AY79" t="inlineStr">
        <is>
          <t>EB01-76</t>
        </is>
      </c>
      <c r="AZ79" t="inlineStr">
        <is>
          <t>No</t>
        </is>
      </c>
      <c r="BB79" t="n">
        <v>4</v>
      </c>
      <c r="BC79" t="inlineStr">
        <is>
          <t>CANCELADO</t>
        </is>
      </c>
      <c r="BN79" t="inlineStr">
        <is>
          <t>Si</t>
        </is>
      </c>
      <c r="BO79" s="76" t="n">
        <v>45499.61319444444</v>
      </c>
      <c r="BP79" t="inlineStr">
        <is>
          <t>Kenny Salazar S</t>
        </is>
      </c>
      <c r="BR79" t="n">
        <v>34</v>
      </c>
      <c r="BS79" t="inlineStr">
        <is>
          <t>07/07/2026 08:58</t>
        </is>
      </c>
      <c r="BW79" t="inlineStr">
        <is>
          <t>Cobranzas_2025.csv</t>
        </is>
      </c>
      <c r="BX79" t="n">
        <v>2025</v>
      </c>
      <c r="BY79" t="inlineStr">
        <is>
          <t>01/01/2024</t>
        </is>
      </c>
      <c r="BZ79" t="inlineStr">
        <is>
          <t>30/06/2031</t>
        </is>
      </c>
    </row>
    <row r="80">
      <c r="A80" t="inlineStr">
        <is>
          <t>RESIDENCIAL PRADA</t>
        </is>
      </c>
      <c r="B80" t="inlineStr">
        <is>
          <t>Etapa 1</t>
        </is>
      </c>
      <c r="C80" t="inlineStr">
        <is>
          <t>Edificio</t>
        </is>
      </c>
      <c r="D80" t="inlineStr">
        <is>
          <t>A</t>
        </is>
      </c>
      <c r="E80" t="inlineStr">
        <is>
          <t>Departamento</t>
        </is>
      </c>
      <c r="F80" t="inlineStr">
        <is>
          <t>902</t>
        </is>
      </c>
      <c r="G80" s="39" t="n">
        <v>433500</v>
      </c>
      <c r="H80" s="39" t="n">
        <v>433500</v>
      </c>
      <c r="I80" t="inlineStr">
        <is>
          <t>Edificio</t>
        </is>
      </c>
      <c r="J80" t="inlineStr">
        <is>
          <t>A</t>
        </is>
      </c>
      <c r="K80" t="inlineStr">
        <is>
          <t>Estacionamiento</t>
        </is>
      </c>
      <c r="L80" t="inlineStr">
        <is>
          <t>E 43</t>
        </is>
      </c>
      <c r="M80" s="39" t="n">
        <v>50500</v>
      </c>
      <c r="N80" s="39" t="n">
        <v>50500</v>
      </c>
      <c r="S80" s="39" t="n"/>
      <c r="T80" s="39" t="n"/>
      <c r="Y80" s="39" t="n"/>
      <c r="Z80" s="39" t="n"/>
      <c r="AA80" t="inlineStr">
        <is>
          <t>Daniel Alejandro Aguayo Vera</t>
        </is>
      </c>
      <c r="AB80" t="inlineStr">
        <is>
          <t>76121899</t>
        </is>
      </c>
      <c r="AC80" t="inlineStr">
        <is>
          <t>Calle los Rosales 743 Lima- Chaclacayo.</t>
        </is>
      </c>
      <c r="AD80" t="n">
        <v>943151339</v>
      </c>
      <c r="AE80" t="inlineStr">
        <is>
          <t>943151339</t>
        </is>
      </c>
      <c r="AF80" t="inlineStr">
        <is>
          <t>daniel_aguayo25@hotmail.com</t>
        </is>
      </c>
      <c r="AG80" t="inlineStr">
        <is>
          <t>LIMA</t>
        </is>
      </c>
      <c r="AH80" t="inlineStr">
        <is>
          <t>SAN ISIDRO</t>
        </is>
      </c>
      <c r="AI80" s="75" t="n">
        <v>46008</v>
      </c>
      <c r="AJ80" s="75" t="n">
        <v>46008</v>
      </c>
      <c r="AK80" t="inlineStr">
        <is>
          <t>CUOTA INICIAL</t>
        </is>
      </c>
      <c r="AL80" t="n">
        <v>1</v>
      </c>
      <c r="AM80" t="n">
        <v>45400</v>
      </c>
      <c r="AN80" t="n">
        <v>0</v>
      </c>
      <c r="AO80" t="n">
        <v>0</v>
      </c>
      <c r="AP80" s="39" t="n">
        <v>45400</v>
      </c>
      <c r="AQ80" s="39" t="n">
        <v>45400</v>
      </c>
      <c r="AR80" s="39" t="n">
        <v>0</v>
      </c>
      <c r="AS80" t="n">
        <v>0</v>
      </c>
      <c r="AT80" t="inlineStr">
        <is>
          <t>Crédito Hipotecario</t>
        </is>
      </c>
      <c r="AU80" t="inlineStr">
        <is>
          <t>Scotiabank Perú</t>
        </is>
      </c>
      <c r="AV80" t="inlineStr">
        <is>
          <t>00917000000276848424</t>
        </is>
      </c>
      <c r="AW80" t="inlineStr">
        <is>
          <t>TRANSFERENCIA BANCARIA</t>
        </is>
      </c>
      <c r="AX80" t="n">
        <v>76121899</v>
      </c>
      <c r="AY80" t="inlineStr">
        <is>
          <t>0797612</t>
        </is>
      </c>
      <c r="AZ80" t="inlineStr">
        <is>
          <t>No</t>
        </is>
      </c>
      <c r="BB80" t="n">
        <v>4</v>
      </c>
      <c r="BC80" t="inlineStr">
        <is>
          <t>CANCELADO</t>
        </is>
      </c>
      <c r="BN80" t="inlineStr">
        <is>
          <t>Si</t>
        </is>
      </c>
      <c r="BO80" s="76" t="n">
        <v>46008.74444444444</v>
      </c>
      <c r="BP80" t="inlineStr">
        <is>
          <t>Kenny Salazar S</t>
        </is>
      </c>
      <c r="BR80" t="n">
        <v>41</v>
      </c>
      <c r="BS80" t="inlineStr">
        <is>
          <t>05/06/2026 13:42</t>
        </is>
      </c>
      <c r="BW80" t="inlineStr">
        <is>
          <t>Cobranzas_2025.csv</t>
        </is>
      </c>
      <c r="BX80" t="n">
        <v>2025</v>
      </c>
      <c r="BY80" t="inlineStr">
        <is>
          <t>01/01/2024</t>
        </is>
      </c>
      <c r="BZ80" t="inlineStr">
        <is>
          <t>30/06/2031</t>
        </is>
      </c>
    </row>
    <row r="81">
      <c r="A81" t="inlineStr">
        <is>
          <t>RESIDENCIAL BEYOND</t>
        </is>
      </c>
      <c r="B81" t="inlineStr">
        <is>
          <t>Etapa 1</t>
        </is>
      </c>
      <c r="C81" t="inlineStr">
        <is>
          <t>Edificio</t>
        </is>
      </c>
      <c r="D81" t="inlineStr">
        <is>
          <t>A</t>
        </is>
      </c>
      <c r="E81" t="inlineStr">
        <is>
          <t>Departamento</t>
        </is>
      </c>
      <c r="F81" t="inlineStr">
        <is>
          <t>302</t>
        </is>
      </c>
      <c r="G81" s="39" t="n">
        <v>430000</v>
      </c>
      <c r="H81" s="39" t="n">
        <v>381000</v>
      </c>
      <c r="M81" s="39" t="n"/>
      <c r="N81" s="39" t="n"/>
      <c r="S81" s="39" t="n"/>
      <c r="T81" s="39" t="n"/>
      <c r="Y81" s="39" t="n"/>
      <c r="Z81" s="39" t="n"/>
      <c r="AA81" t="inlineStr">
        <is>
          <t>Danixa Thalia Manosalva Ameri</t>
        </is>
      </c>
      <c r="AB81" t="inlineStr">
        <is>
          <t>48569476</t>
        </is>
      </c>
      <c r="AC81" t="inlineStr">
        <is>
          <t>Jr. Huáscar 1825 dpto.101</t>
        </is>
      </c>
      <c r="AD81" t="n">
        <v>0</v>
      </c>
      <c r="AE81" t="inlineStr">
        <is>
          <t>992382005</t>
        </is>
      </c>
      <c r="AF81" t="inlineStr">
        <is>
          <t>danixamanosalva94@gmail.com</t>
        </is>
      </c>
      <c r="AG81" t="inlineStr">
        <is>
          <t>LIMA</t>
        </is>
      </c>
      <c r="AH81" t="inlineStr">
        <is>
          <t>JESUS MARIA</t>
        </is>
      </c>
      <c r="AI81" s="75" t="n">
        <v>45932</v>
      </c>
      <c r="AJ81" s="75" t="n">
        <v>45932</v>
      </c>
      <c r="AK81" t="inlineStr">
        <is>
          <t>SEPARACION</t>
        </is>
      </c>
      <c r="AL81" t="n">
        <v>1</v>
      </c>
      <c r="AM81" t="n">
        <v>3000</v>
      </c>
      <c r="AN81" t="n">
        <v>0</v>
      </c>
      <c r="AO81" t="n">
        <v>0</v>
      </c>
      <c r="AP81" s="39" t="n">
        <v>3000</v>
      </c>
      <c r="AQ81" s="39" t="n">
        <v>3000</v>
      </c>
      <c r="AR81" s="39" t="n">
        <v>0</v>
      </c>
      <c r="AS81" t="n">
        <v>0</v>
      </c>
      <c r="AT81" t="inlineStr">
        <is>
          <t>Ahorro</t>
        </is>
      </c>
      <c r="AU81" t="inlineStr">
        <is>
          <t>Banco de Credito del Perú</t>
        </is>
      </c>
      <c r="AV81" t="inlineStr">
        <is>
          <t>194-7325779-0-65</t>
        </is>
      </c>
      <c r="AW81" t="inlineStr">
        <is>
          <t>TRANSFERENCIA BANCARIA</t>
        </is>
      </c>
      <c r="AY81" t="inlineStr">
        <is>
          <t>04998185</t>
        </is>
      </c>
      <c r="AZ81" t="inlineStr">
        <is>
          <t>No</t>
        </is>
      </c>
      <c r="BB81" t="n">
        <v>4</v>
      </c>
      <c r="BC81" t="inlineStr">
        <is>
          <t>CANCELADO</t>
        </is>
      </c>
      <c r="BN81" t="inlineStr">
        <is>
          <t>No</t>
        </is>
      </c>
      <c r="BO81" s="76" t="n">
        <v>45940.41875</v>
      </c>
      <c r="BP81" t="inlineStr">
        <is>
          <t>Magaly Guevara Perez</t>
        </is>
      </c>
      <c r="BR81" t="n">
        <v>6</v>
      </c>
      <c r="BS81" t="inlineStr">
        <is>
          <t>01/05/2026 11:35</t>
        </is>
      </c>
      <c r="BW81" t="inlineStr">
        <is>
          <t>Cobranzas_2025.csv</t>
        </is>
      </c>
      <c r="BX81" t="n">
        <v>2025</v>
      </c>
      <c r="BY81" t="inlineStr">
        <is>
          <t>01/01/2024</t>
        </is>
      </c>
      <c r="BZ81" t="inlineStr">
        <is>
          <t>30/06/2031</t>
        </is>
      </c>
    </row>
    <row r="82">
      <c r="A82" t="inlineStr">
        <is>
          <t>RESIDENCIAL BEYOND</t>
        </is>
      </c>
      <c r="B82" t="inlineStr">
        <is>
          <t>Etapa 1</t>
        </is>
      </c>
      <c r="C82" t="inlineStr">
        <is>
          <t>Edificio</t>
        </is>
      </c>
      <c r="D82" t="inlineStr">
        <is>
          <t>A</t>
        </is>
      </c>
      <c r="E82" t="inlineStr">
        <is>
          <t>Departamento</t>
        </is>
      </c>
      <c r="F82" t="inlineStr">
        <is>
          <t>302</t>
        </is>
      </c>
      <c r="G82" s="39" t="n">
        <v>430000</v>
      </c>
      <c r="H82" s="39" t="n">
        <v>381000</v>
      </c>
      <c r="M82" s="39" t="n"/>
      <c r="N82" s="39" t="n"/>
      <c r="S82" s="39" t="n"/>
      <c r="T82" s="39" t="n"/>
      <c r="Y82" s="39" t="n"/>
      <c r="Z82" s="39" t="n"/>
      <c r="AA82" t="inlineStr">
        <is>
          <t>Danixa Thalia Manosalva Ameri</t>
        </is>
      </c>
      <c r="AB82" t="inlineStr">
        <is>
          <t>48569476</t>
        </is>
      </c>
      <c r="AC82" t="inlineStr">
        <is>
          <t>Jr. Huáscar 1825 dpto.101</t>
        </is>
      </c>
      <c r="AD82" t="n">
        <v>0</v>
      </c>
      <c r="AE82" t="inlineStr">
        <is>
          <t>992382005</t>
        </is>
      </c>
      <c r="AF82" t="inlineStr">
        <is>
          <t>danixamanosalva94@gmail.com</t>
        </is>
      </c>
      <c r="AG82" t="inlineStr">
        <is>
          <t>LIMA</t>
        </is>
      </c>
      <c r="AH82" t="inlineStr">
        <is>
          <t>JESUS MARIA</t>
        </is>
      </c>
      <c r="AI82" s="75" t="n">
        <v>45940</v>
      </c>
      <c r="AJ82" s="75" t="n"/>
      <c r="AK82" t="inlineStr">
        <is>
          <t>CUOTA INICIAL</t>
        </is>
      </c>
      <c r="AL82" t="n">
        <v>1</v>
      </c>
      <c r="AM82" t="n">
        <v>17000</v>
      </c>
      <c r="AN82" t="n">
        <v>0</v>
      </c>
      <c r="AO82" t="n">
        <v>0</v>
      </c>
      <c r="AP82" s="39" t="n">
        <v>17000</v>
      </c>
      <c r="AQ82" s="39" t="n">
        <v>0</v>
      </c>
      <c r="AR82" s="39" t="n">
        <v>17000</v>
      </c>
      <c r="AT82" t="inlineStr">
        <is>
          <t>Ahorro</t>
        </is>
      </c>
      <c r="AZ82" t="inlineStr">
        <is>
          <t>No</t>
        </is>
      </c>
      <c r="BC82" t="inlineStr">
        <is>
          <t>VENCIDO</t>
        </is>
      </c>
      <c r="BN82" t="inlineStr">
        <is>
          <t>No</t>
        </is>
      </c>
      <c r="BO82" s="76" t="n">
        <v>45940.41875</v>
      </c>
      <c r="BP82" t="inlineStr">
        <is>
          <t>Magaly Guevara Perez</t>
        </is>
      </c>
      <c r="BR82" t="n">
        <v>6</v>
      </c>
      <c r="BW82" t="inlineStr">
        <is>
          <t>Cobranzas_2025.csv</t>
        </is>
      </c>
      <c r="BX82" t="n">
        <v>2025</v>
      </c>
      <c r="BY82" t="inlineStr">
        <is>
          <t>01/01/2024</t>
        </is>
      </c>
      <c r="BZ82" t="inlineStr">
        <is>
          <t>30/06/2031</t>
        </is>
      </c>
    </row>
    <row r="83">
      <c r="A83" t="inlineStr">
        <is>
          <t>RESIDENCIAL BEYOND</t>
        </is>
      </c>
      <c r="B83" t="inlineStr">
        <is>
          <t>Etapa 1</t>
        </is>
      </c>
      <c r="C83" t="inlineStr">
        <is>
          <t>Edificio</t>
        </is>
      </c>
      <c r="D83" t="inlineStr">
        <is>
          <t>A</t>
        </is>
      </c>
      <c r="E83" t="inlineStr">
        <is>
          <t>Departamento</t>
        </is>
      </c>
      <c r="F83" t="inlineStr">
        <is>
          <t>302</t>
        </is>
      </c>
      <c r="G83" s="39" t="n">
        <v>430000</v>
      </c>
      <c r="H83" s="39" t="n">
        <v>381000</v>
      </c>
      <c r="M83" s="39" t="n"/>
      <c r="N83" s="39" t="n"/>
      <c r="S83" s="39" t="n"/>
      <c r="T83" s="39" t="n"/>
      <c r="Y83" s="39" t="n"/>
      <c r="Z83" s="39" t="n"/>
      <c r="AA83" t="inlineStr">
        <is>
          <t>Danixa Thalia Manosalva Ameri</t>
        </is>
      </c>
      <c r="AB83" t="inlineStr">
        <is>
          <t>48569476</t>
        </is>
      </c>
      <c r="AC83" t="inlineStr">
        <is>
          <t>Jr. Huáscar 1825 dpto.101</t>
        </is>
      </c>
      <c r="AD83" t="n">
        <v>0</v>
      </c>
      <c r="AE83" t="inlineStr">
        <is>
          <t>992382005</t>
        </is>
      </c>
      <c r="AF83" t="inlineStr">
        <is>
          <t>danixamanosalva94@gmail.com</t>
        </is>
      </c>
      <c r="AG83" t="inlineStr">
        <is>
          <t>LIMA</t>
        </is>
      </c>
      <c r="AH83" t="inlineStr">
        <is>
          <t>JESUS MARIA</t>
        </is>
      </c>
      <c r="AI83" s="75" t="n">
        <v>45965</v>
      </c>
      <c r="AJ83" s="75" t="n"/>
      <c r="AK83" t="inlineStr">
        <is>
          <t>CUOTA INICIAL</t>
        </is>
      </c>
      <c r="AL83" t="n">
        <v>2</v>
      </c>
      <c r="AM83" t="n">
        <v>44000</v>
      </c>
      <c r="AN83" t="n">
        <v>0</v>
      </c>
      <c r="AO83" t="n">
        <v>0</v>
      </c>
      <c r="AP83" s="39" t="n">
        <v>44000</v>
      </c>
      <c r="AQ83" s="39" t="n">
        <v>0</v>
      </c>
      <c r="AR83" s="39" t="n">
        <v>44000</v>
      </c>
      <c r="AT83" t="inlineStr">
        <is>
          <t>Ahorro</t>
        </is>
      </c>
      <c r="AZ83" t="inlineStr">
        <is>
          <t>No</t>
        </is>
      </c>
      <c r="BC83" t="inlineStr">
        <is>
          <t>VENCIDO</t>
        </is>
      </c>
      <c r="BN83" t="inlineStr">
        <is>
          <t>No</t>
        </is>
      </c>
      <c r="BO83" s="76" t="n">
        <v>45940.41875</v>
      </c>
      <c r="BP83" t="inlineStr">
        <is>
          <t>Magaly Guevara Perez</t>
        </is>
      </c>
      <c r="BR83" t="n">
        <v>6</v>
      </c>
      <c r="BW83" t="inlineStr">
        <is>
          <t>Cobranzas_2025.csv</t>
        </is>
      </c>
      <c r="BX83" t="n">
        <v>2025</v>
      </c>
      <c r="BY83" t="inlineStr">
        <is>
          <t>01/01/2024</t>
        </is>
      </c>
      <c r="BZ83" t="inlineStr">
        <is>
          <t>30/06/2031</t>
        </is>
      </c>
    </row>
    <row r="84">
      <c r="A84" t="inlineStr">
        <is>
          <t>RESIDENCIAL PRADA</t>
        </is>
      </c>
      <c r="B84" t="inlineStr">
        <is>
          <t>Etapa 1</t>
        </is>
      </c>
      <c r="C84" t="inlineStr">
        <is>
          <t>Edificio</t>
        </is>
      </c>
      <c r="D84" t="inlineStr">
        <is>
          <t>A</t>
        </is>
      </c>
      <c r="E84" t="inlineStr">
        <is>
          <t>Departamento</t>
        </is>
      </c>
      <c r="F84" t="inlineStr">
        <is>
          <t>1001</t>
        </is>
      </c>
      <c r="G84" s="39" t="n">
        <v>615000</v>
      </c>
      <c r="H84" s="39" t="n">
        <v>615000</v>
      </c>
      <c r="M84" s="39" t="n"/>
      <c r="N84" s="39" t="n"/>
      <c r="S84" s="39" t="n"/>
      <c r="T84" s="39" t="n"/>
      <c r="Y84" s="39" t="n"/>
      <c r="Z84" s="39" t="n"/>
      <c r="AA84" t="inlineStr">
        <is>
          <t>Danny Romel Ore Guerreros</t>
        </is>
      </c>
      <c r="AB84" t="inlineStr">
        <is>
          <t>47474967</t>
        </is>
      </c>
      <c r="AC84" t="inlineStr">
        <is>
          <t>Psj. Ollantay 7 Barrio Vista Alegre</t>
        </is>
      </c>
      <c r="AD84" t="n">
        <v>966327809</v>
      </c>
      <c r="AE84" t="inlineStr">
        <is>
          <t>966327809</t>
        </is>
      </c>
      <c r="AF84" t="inlineStr">
        <is>
          <t>romelore67@gmail.com</t>
        </is>
      </c>
      <c r="AG84" t="inlineStr">
        <is>
          <t>HUAMANGA</t>
        </is>
      </c>
      <c r="AH84" t="inlineStr">
        <is>
          <t>CARMEN ALTO</t>
        </is>
      </c>
      <c r="AI84" s="75" t="n">
        <v>45867</v>
      </c>
      <c r="AJ84" s="75" t="n">
        <v>45867</v>
      </c>
      <c r="AK84" t="inlineStr">
        <is>
          <t>SEPARACION</t>
        </is>
      </c>
      <c r="AL84" t="n">
        <v>1</v>
      </c>
      <c r="AM84" t="n">
        <v>3000</v>
      </c>
      <c r="AN84" t="n">
        <v>0</v>
      </c>
      <c r="AO84" t="n">
        <v>0</v>
      </c>
      <c r="AP84" s="39" t="n">
        <v>3000</v>
      </c>
      <c r="AQ84" s="39" t="n">
        <v>3000</v>
      </c>
      <c r="AR84" s="39" t="n">
        <v>0</v>
      </c>
      <c r="AS84" t="n">
        <v>0</v>
      </c>
      <c r="AT84" t="inlineStr">
        <is>
          <t>Crédito Hipotecario</t>
        </is>
      </c>
      <c r="AU84" t="inlineStr">
        <is>
          <t>Scotiabank Perú</t>
        </is>
      </c>
      <c r="AV84" t="inlineStr">
        <is>
          <t>000-2768484</t>
        </is>
      </c>
      <c r="AW84" t="inlineStr">
        <is>
          <t>TRANSFERENCIA BANCARIA</t>
        </is>
      </c>
      <c r="AX84" t="n">
        <v>47474967</v>
      </c>
      <c r="AY84" t="inlineStr">
        <is>
          <t>01135502</t>
        </is>
      </c>
      <c r="AZ84" t="inlineStr">
        <is>
          <t>No</t>
        </is>
      </c>
      <c r="BA84" t="inlineStr">
        <is>
          <t>NO PRECISA</t>
        </is>
      </c>
      <c r="BB84" t="n">
        <v>4</v>
      </c>
      <c r="BC84" t="inlineStr">
        <is>
          <t>CANCELADO</t>
        </is>
      </c>
      <c r="BN84" t="inlineStr">
        <is>
          <t>Si</t>
        </is>
      </c>
      <c r="BO84" s="76" t="n">
        <v>45885.58680555555</v>
      </c>
      <c r="BP84" t="inlineStr">
        <is>
          <t>Kenny Salazar S</t>
        </is>
      </c>
      <c r="BR84" t="n">
        <v>47</v>
      </c>
      <c r="BS84" t="inlineStr">
        <is>
          <t>03/06/2026 15:03</t>
        </is>
      </c>
      <c r="BW84" t="inlineStr">
        <is>
          <t>Cobranzas_2025.csv</t>
        </is>
      </c>
      <c r="BX84" t="n">
        <v>2025</v>
      </c>
      <c r="BY84" t="inlineStr">
        <is>
          <t>01/01/2024</t>
        </is>
      </c>
      <c r="BZ84" t="inlineStr">
        <is>
          <t>30/06/2031</t>
        </is>
      </c>
    </row>
    <row r="85">
      <c r="A85" t="inlineStr">
        <is>
          <t>RESIDENCIAL PRADA</t>
        </is>
      </c>
      <c r="B85" t="inlineStr">
        <is>
          <t>Etapa 1</t>
        </is>
      </c>
      <c r="C85" t="inlineStr">
        <is>
          <t>Edificio</t>
        </is>
      </c>
      <c r="D85" t="inlineStr">
        <is>
          <t>A</t>
        </is>
      </c>
      <c r="E85" t="inlineStr">
        <is>
          <t>Departamento</t>
        </is>
      </c>
      <c r="F85" t="inlineStr">
        <is>
          <t>1001</t>
        </is>
      </c>
      <c r="G85" s="39" t="n">
        <v>615000</v>
      </c>
      <c r="H85" s="39" t="n">
        <v>615000</v>
      </c>
      <c r="M85" s="39" t="n"/>
      <c r="N85" s="39" t="n"/>
      <c r="S85" s="39" t="n"/>
      <c r="T85" s="39" t="n"/>
      <c r="Y85" s="39" t="n"/>
      <c r="Z85" s="39" t="n"/>
      <c r="AA85" t="inlineStr">
        <is>
          <t>Danny Romel Ore Guerreros</t>
        </is>
      </c>
      <c r="AB85" t="inlineStr">
        <is>
          <t>47474967</t>
        </is>
      </c>
      <c r="AC85" t="inlineStr">
        <is>
          <t>Psj. Ollantay 7 Barrio Vista Alegre</t>
        </is>
      </c>
      <c r="AD85" t="n">
        <v>966327809</v>
      </c>
      <c r="AE85" t="inlineStr">
        <is>
          <t>966327809</t>
        </is>
      </c>
      <c r="AF85" t="inlineStr">
        <is>
          <t>romelore67@gmail.com</t>
        </is>
      </c>
      <c r="AG85" t="inlineStr">
        <is>
          <t>HUAMANGA</t>
        </is>
      </c>
      <c r="AH85" t="inlineStr">
        <is>
          <t>CARMEN ALTO</t>
        </is>
      </c>
      <c r="AI85" s="75" t="n">
        <v>45885</v>
      </c>
      <c r="AJ85" s="75" t="n">
        <v>45885</v>
      </c>
      <c r="AK85" t="inlineStr">
        <is>
          <t>CUOTA INICIAL</t>
        </is>
      </c>
      <c r="AL85" t="n">
        <v>1</v>
      </c>
      <c r="AM85" t="n">
        <v>10000</v>
      </c>
      <c r="AN85" t="n">
        <v>0</v>
      </c>
      <c r="AO85" t="n">
        <v>0</v>
      </c>
      <c r="AP85" s="39" t="n">
        <v>10000</v>
      </c>
      <c r="AQ85" s="39" t="n">
        <v>10000</v>
      </c>
      <c r="AR85" s="39" t="n">
        <v>0</v>
      </c>
      <c r="AS85" t="n">
        <v>0</v>
      </c>
      <c r="AT85" t="inlineStr">
        <is>
          <t>Crédito Hipotecario</t>
        </is>
      </c>
      <c r="AU85" t="inlineStr">
        <is>
          <t>Scotiabank Perú</t>
        </is>
      </c>
      <c r="AV85" t="inlineStr">
        <is>
          <t>000-2768484</t>
        </is>
      </c>
      <c r="AW85" t="inlineStr">
        <is>
          <t>TRANSFERENCIA BANCARIA</t>
        </is>
      </c>
      <c r="AX85" t="n">
        <v>47474967</v>
      </c>
      <c r="AY85" t="inlineStr">
        <is>
          <t>202508169074890301303</t>
        </is>
      </c>
      <c r="AZ85" t="inlineStr">
        <is>
          <t>No</t>
        </is>
      </c>
      <c r="BA85" t="inlineStr">
        <is>
          <t>NO PRECISA</t>
        </is>
      </c>
      <c r="BB85" t="n">
        <v>4</v>
      </c>
      <c r="BC85" t="inlineStr">
        <is>
          <t>CANCELADO</t>
        </is>
      </c>
      <c r="BN85" t="inlineStr">
        <is>
          <t>Si</t>
        </is>
      </c>
      <c r="BO85" s="76" t="n">
        <v>45885.58680555555</v>
      </c>
      <c r="BP85" t="inlineStr">
        <is>
          <t>Kenny Salazar S</t>
        </is>
      </c>
      <c r="BR85" t="n">
        <v>47</v>
      </c>
      <c r="BS85" t="inlineStr">
        <is>
          <t>05/06/2026 14:08</t>
        </is>
      </c>
      <c r="BW85" t="inlineStr">
        <is>
          <t>Cobranzas_2025.csv</t>
        </is>
      </c>
      <c r="BX85" t="n">
        <v>2025</v>
      </c>
      <c r="BY85" t="inlineStr">
        <is>
          <t>01/01/2024</t>
        </is>
      </c>
      <c r="BZ85" t="inlineStr">
        <is>
          <t>30/06/2031</t>
        </is>
      </c>
    </row>
    <row r="86">
      <c r="A86" t="inlineStr">
        <is>
          <t>RESIDENCIAL PRADA</t>
        </is>
      </c>
      <c r="B86" t="inlineStr">
        <is>
          <t>Etapa 1</t>
        </is>
      </c>
      <c r="C86" t="inlineStr">
        <is>
          <t>Edificio</t>
        </is>
      </c>
      <c r="D86" t="inlineStr">
        <is>
          <t>A</t>
        </is>
      </c>
      <c r="E86" t="inlineStr">
        <is>
          <t>Departamento</t>
        </is>
      </c>
      <c r="F86" t="inlineStr">
        <is>
          <t>1001</t>
        </is>
      </c>
      <c r="G86" s="39" t="n">
        <v>615000</v>
      </c>
      <c r="H86" s="39" t="n">
        <v>615000</v>
      </c>
      <c r="M86" s="39" t="n"/>
      <c r="N86" s="39" t="n"/>
      <c r="S86" s="39" t="n"/>
      <c r="T86" s="39" t="n"/>
      <c r="Y86" s="39" t="n"/>
      <c r="Z86" s="39" t="n"/>
      <c r="AA86" t="inlineStr">
        <is>
          <t>Danny Romel Ore Guerreros</t>
        </is>
      </c>
      <c r="AB86" t="inlineStr">
        <is>
          <t>47474967</t>
        </is>
      </c>
      <c r="AC86" t="inlineStr">
        <is>
          <t>Psj. Ollantay 7 Barrio Vista Alegre</t>
        </is>
      </c>
      <c r="AD86" t="n">
        <v>966327809</v>
      </c>
      <c r="AE86" t="inlineStr">
        <is>
          <t>966327809</t>
        </is>
      </c>
      <c r="AF86" t="inlineStr">
        <is>
          <t>romelore67@gmail.com</t>
        </is>
      </c>
      <c r="AG86" t="inlineStr">
        <is>
          <t>HUAMANGA</t>
        </is>
      </c>
      <c r="AH86" t="inlineStr">
        <is>
          <t>CARMEN ALTO</t>
        </is>
      </c>
      <c r="AI86" s="75" t="n">
        <v>46021</v>
      </c>
      <c r="AJ86" s="75" t="n">
        <v>46056</v>
      </c>
      <c r="AK86" t="inlineStr">
        <is>
          <t>CUOTA INICIAL</t>
        </is>
      </c>
      <c r="AL86" t="n">
        <v>2</v>
      </c>
      <c r="AM86" t="n">
        <v>50000</v>
      </c>
      <c r="AN86" t="n">
        <v>0</v>
      </c>
      <c r="AO86" t="n">
        <v>0</v>
      </c>
      <c r="AP86" s="39" t="n">
        <v>50000</v>
      </c>
      <c r="AQ86" s="39" t="n">
        <v>50000</v>
      </c>
      <c r="AR86" s="39" t="n">
        <v>0</v>
      </c>
      <c r="AS86" t="n">
        <v>0</v>
      </c>
      <c r="AT86" t="inlineStr">
        <is>
          <t>Crédito Hipotecario</t>
        </is>
      </c>
      <c r="AU86" t="inlineStr">
        <is>
          <t>Scotiabank Perú</t>
        </is>
      </c>
      <c r="AV86" t="inlineStr">
        <is>
          <t>000-2768484</t>
        </is>
      </c>
      <c r="AW86" t="inlineStr">
        <is>
          <t>TRANSFERENCIA BANCARIA</t>
        </is>
      </c>
      <c r="AX86" t="n">
        <v>47474967</v>
      </c>
      <c r="AY86" t="inlineStr">
        <is>
          <t>214000000001254</t>
        </is>
      </c>
      <c r="AZ86" t="inlineStr">
        <is>
          <t>No</t>
        </is>
      </c>
      <c r="BA86" t="inlineStr">
        <is>
          <t>NO PRECISA</t>
        </is>
      </c>
      <c r="BB86" t="n">
        <v>4</v>
      </c>
      <c r="BC86" t="inlineStr">
        <is>
          <t>CANCELADO</t>
        </is>
      </c>
      <c r="BN86" t="inlineStr">
        <is>
          <t>Si</t>
        </is>
      </c>
      <c r="BO86" s="76" t="n">
        <v>45885.58680555555</v>
      </c>
      <c r="BP86" t="inlineStr">
        <is>
          <t>Kenny Salazar S</t>
        </is>
      </c>
      <c r="BR86" t="n">
        <v>47</v>
      </c>
      <c r="BS86" t="inlineStr">
        <is>
          <t>05/06/2026 14:23</t>
        </is>
      </c>
      <c r="BW86" t="inlineStr">
        <is>
          <t>Cobranzas_2025.csv</t>
        </is>
      </c>
      <c r="BX86" t="n">
        <v>2025</v>
      </c>
      <c r="BY86" t="inlineStr">
        <is>
          <t>01/01/2024</t>
        </is>
      </c>
      <c r="BZ86" t="inlineStr">
        <is>
          <t>30/06/2031</t>
        </is>
      </c>
    </row>
    <row r="87">
      <c r="A87" t="inlineStr">
        <is>
          <t>RESIDENCIAL PRADA</t>
        </is>
      </c>
      <c r="B87" t="inlineStr">
        <is>
          <t>Etapa 1</t>
        </is>
      </c>
      <c r="C87" t="inlineStr">
        <is>
          <t>Edificio</t>
        </is>
      </c>
      <c r="D87" t="inlineStr">
        <is>
          <t>A</t>
        </is>
      </c>
      <c r="E87" t="inlineStr">
        <is>
          <t>Departamento</t>
        </is>
      </c>
      <c r="F87" t="inlineStr">
        <is>
          <t>1001</t>
        </is>
      </c>
      <c r="G87" s="39" t="n">
        <v>615000</v>
      </c>
      <c r="H87" s="39" t="n">
        <v>615000</v>
      </c>
      <c r="M87" s="39" t="n"/>
      <c r="N87" s="39" t="n"/>
      <c r="S87" s="39" t="n"/>
      <c r="T87" s="39" t="n"/>
      <c r="Y87" s="39" t="n"/>
      <c r="Z87" s="39" t="n"/>
      <c r="AA87" t="inlineStr">
        <is>
          <t>Danny Romel Ore Guerreros</t>
        </is>
      </c>
      <c r="AB87" t="inlineStr">
        <is>
          <t>47474967</t>
        </is>
      </c>
      <c r="AC87" t="inlineStr">
        <is>
          <t>Psj. Ollantay 7 Barrio Vista Alegre</t>
        </is>
      </c>
      <c r="AD87" t="n">
        <v>966327809</v>
      </c>
      <c r="AE87" t="inlineStr">
        <is>
          <t>966327809</t>
        </is>
      </c>
      <c r="AF87" t="inlineStr">
        <is>
          <t>romelore67@gmail.com</t>
        </is>
      </c>
      <c r="AG87" t="inlineStr">
        <is>
          <t>HUAMANGA</t>
        </is>
      </c>
      <c r="AH87" t="inlineStr">
        <is>
          <t>CARMEN ALTO</t>
        </is>
      </c>
      <c r="AI87" s="75" t="n">
        <v>46021</v>
      </c>
      <c r="AJ87" s="75" t="n">
        <v>46056</v>
      </c>
      <c r="AK87" t="inlineStr">
        <is>
          <t>CUOTA INICIAL</t>
        </is>
      </c>
      <c r="AL87" t="n">
        <v>3</v>
      </c>
      <c r="AM87" t="n">
        <v>34000</v>
      </c>
      <c r="AN87" t="n">
        <v>0</v>
      </c>
      <c r="AO87" t="n">
        <v>0</v>
      </c>
      <c r="AP87" s="39" t="n">
        <v>34000</v>
      </c>
      <c r="AQ87" s="39" t="n">
        <v>34000</v>
      </c>
      <c r="AR87" s="39" t="n">
        <v>0</v>
      </c>
      <c r="AS87" t="n">
        <v>0</v>
      </c>
      <c r="AT87" t="inlineStr">
        <is>
          <t>Crédito Hipotecario</t>
        </is>
      </c>
      <c r="AU87" t="inlineStr">
        <is>
          <t>Scotiabank Perú</t>
        </is>
      </c>
      <c r="AV87" t="inlineStr">
        <is>
          <t>00917000000276848424</t>
        </is>
      </c>
      <c r="AW87" t="inlineStr">
        <is>
          <t>TRANSFERENCIA BANCARIA</t>
        </is>
      </c>
      <c r="AX87" t="n">
        <v>47474967</v>
      </c>
      <c r="AY87" t="inlineStr">
        <is>
          <t>2768484</t>
        </is>
      </c>
      <c r="AZ87" t="inlineStr">
        <is>
          <t>No</t>
        </is>
      </c>
      <c r="BA87" t="inlineStr">
        <is>
          <t>NO PRECISA</t>
        </is>
      </c>
      <c r="BB87" t="n">
        <v>4</v>
      </c>
      <c r="BC87" t="inlineStr">
        <is>
          <t>CANCELADO</t>
        </is>
      </c>
      <c r="BN87" t="inlineStr">
        <is>
          <t>Si</t>
        </is>
      </c>
      <c r="BO87" s="76" t="n">
        <v>45885.58680555555</v>
      </c>
      <c r="BP87" t="inlineStr">
        <is>
          <t>Kenny Salazar S</t>
        </is>
      </c>
      <c r="BR87" t="n">
        <v>47</v>
      </c>
      <c r="BS87" t="inlineStr">
        <is>
          <t>05/06/2026 14:25</t>
        </is>
      </c>
      <c r="BW87" t="inlineStr">
        <is>
          <t>Cobranzas_2025.csv</t>
        </is>
      </c>
      <c r="BX87" t="n">
        <v>2025</v>
      </c>
      <c r="BY87" t="inlineStr">
        <is>
          <t>01/01/2024</t>
        </is>
      </c>
      <c r="BZ87" t="inlineStr">
        <is>
          <t>30/06/2031</t>
        </is>
      </c>
    </row>
    <row r="88">
      <c r="A88" t="inlineStr">
        <is>
          <t>RESIDENCIAL PRADA</t>
        </is>
      </c>
      <c r="B88" t="inlineStr">
        <is>
          <t>Etapa 1</t>
        </is>
      </c>
      <c r="C88" t="inlineStr">
        <is>
          <t>Edificio</t>
        </is>
      </c>
      <c r="D88" t="inlineStr">
        <is>
          <t>A</t>
        </is>
      </c>
      <c r="E88" t="inlineStr">
        <is>
          <t>Departamento</t>
        </is>
      </c>
      <c r="F88" t="inlineStr">
        <is>
          <t>703</t>
        </is>
      </c>
      <c r="G88" s="39" t="n">
        <v>654000</v>
      </c>
      <c r="H88" s="39" t="n">
        <v>654000</v>
      </c>
      <c r="I88" t="inlineStr">
        <is>
          <t>Edificio</t>
        </is>
      </c>
      <c r="J88" t="inlineStr">
        <is>
          <t>A</t>
        </is>
      </c>
      <c r="K88" t="inlineStr">
        <is>
          <t>Estacionamiento</t>
        </is>
      </c>
      <c r="L88" t="inlineStr">
        <is>
          <t>E 06 - D 04</t>
        </is>
      </c>
      <c r="M88" s="39" t="n">
        <v>57500</v>
      </c>
      <c r="N88" s="39" t="n">
        <v>57500</v>
      </c>
      <c r="S88" s="39" t="n"/>
      <c r="T88" s="39" t="n"/>
      <c r="Y88" s="39" t="n"/>
      <c r="Z88" s="39" t="n"/>
      <c r="AA88" t="inlineStr">
        <is>
          <t xml:space="preserve">David Edgar Valencia Cordova </t>
        </is>
      </c>
      <c r="AB88" t="inlineStr">
        <is>
          <t>41844906</t>
        </is>
      </c>
      <c r="AC88" t="inlineStr">
        <is>
          <t>P. Joven Año Nuevo Jr. Montero Rosas 860</t>
        </is>
      </c>
      <c r="AD88" t="n">
        <v>991846561</v>
      </c>
      <c r="AE88" t="inlineStr">
        <is>
          <t>991846561</t>
        </is>
      </c>
      <c r="AF88" t="inlineStr">
        <is>
          <t>davico29@gmail.com</t>
        </is>
      </c>
      <c r="AG88" t="inlineStr">
        <is>
          <t>LIMA</t>
        </is>
      </c>
      <c r="AH88" t="inlineStr">
        <is>
          <t>COMAS</t>
        </is>
      </c>
      <c r="AI88" s="75" t="n">
        <v>45687</v>
      </c>
      <c r="AJ88" s="75" t="n">
        <v>45687</v>
      </c>
      <c r="AK88" t="inlineStr">
        <is>
          <t>CUOTA INICIAL</t>
        </is>
      </c>
      <c r="AL88" t="n">
        <v>1</v>
      </c>
      <c r="AM88" t="n">
        <v>291500</v>
      </c>
      <c r="AN88" t="n">
        <v>0</v>
      </c>
      <c r="AO88" t="n">
        <v>0</v>
      </c>
      <c r="AP88" s="39" t="n">
        <v>291500</v>
      </c>
      <c r="AQ88" s="39" t="n">
        <v>291500</v>
      </c>
      <c r="AR88" s="39" t="n">
        <v>0</v>
      </c>
      <c r="AS88" t="n">
        <v>0</v>
      </c>
      <c r="AT88" t="inlineStr">
        <is>
          <t>Crédito Hipotecario</t>
        </is>
      </c>
      <c r="AU88" t="inlineStr">
        <is>
          <t>Scotiabank Perú</t>
        </is>
      </c>
      <c r="AV88" t="inlineStr">
        <is>
          <t>000-2768484</t>
        </is>
      </c>
      <c r="AW88" t="inlineStr">
        <is>
          <t>TRANSFERENCIA BANCARIA</t>
        </is>
      </c>
      <c r="AX88" t="n">
        <v>41844906</v>
      </c>
      <c r="AY88" t="inlineStr">
        <is>
          <t>09599714</t>
        </is>
      </c>
      <c r="AZ88" t="inlineStr">
        <is>
          <t>No</t>
        </is>
      </c>
      <c r="BA88" t="inlineStr">
        <is>
          <t>NO PRECISA</t>
        </is>
      </c>
      <c r="BB88" t="n">
        <v>4</v>
      </c>
      <c r="BC88" t="inlineStr">
        <is>
          <t>CANCELADO</t>
        </is>
      </c>
      <c r="BN88" t="inlineStr">
        <is>
          <t>Si</t>
        </is>
      </c>
      <c r="BO88" s="76" t="n">
        <v>45687.61736111111</v>
      </c>
      <c r="BP88" t="inlineStr">
        <is>
          <t>Kenny Salazar S</t>
        </is>
      </c>
      <c r="BR88" t="n">
        <v>38</v>
      </c>
      <c r="BS88" t="inlineStr">
        <is>
          <t>05/06/2026 10:49</t>
        </is>
      </c>
      <c r="BW88" t="inlineStr">
        <is>
          <t>Cobranzas_2025.csv</t>
        </is>
      </c>
      <c r="BX88" t="n">
        <v>2025</v>
      </c>
      <c r="BY88" t="inlineStr">
        <is>
          <t>01/01/2024</t>
        </is>
      </c>
      <c r="BZ88" t="inlineStr">
        <is>
          <t>30/06/2031</t>
        </is>
      </c>
    </row>
    <row r="89">
      <c r="A89" t="inlineStr">
        <is>
          <t>RESIDENCIAL PRADA</t>
        </is>
      </c>
      <c r="B89" t="inlineStr">
        <is>
          <t>Etapa 1</t>
        </is>
      </c>
      <c r="C89" t="inlineStr">
        <is>
          <t>Edificio</t>
        </is>
      </c>
      <c r="D89" t="inlineStr">
        <is>
          <t>A</t>
        </is>
      </c>
      <c r="E89" t="inlineStr">
        <is>
          <t>Departamento</t>
        </is>
      </c>
      <c r="F89" t="inlineStr">
        <is>
          <t>703</t>
        </is>
      </c>
      <c r="G89" s="39" t="n">
        <v>654000</v>
      </c>
      <c r="H89" s="39" t="n">
        <v>654000</v>
      </c>
      <c r="I89" t="inlineStr">
        <is>
          <t>Edificio</t>
        </is>
      </c>
      <c r="J89" t="inlineStr">
        <is>
          <t>A</t>
        </is>
      </c>
      <c r="K89" t="inlineStr">
        <is>
          <t>Estacionamiento</t>
        </is>
      </c>
      <c r="L89" t="inlineStr">
        <is>
          <t>E 06 - D 04</t>
        </is>
      </c>
      <c r="M89" s="39" t="n">
        <v>57500</v>
      </c>
      <c r="N89" s="39" t="n">
        <v>57500</v>
      </c>
      <c r="S89" s="39" t="n"/>
      <c r="T89" s="39" t="n"/>
      <c r="Y89" s="39" t="n"/>
      <c r="Z89" s="39" t="n"/>
      <c r="AA89" t="inlineStr">
        <is>
          <t xml:space="preserve">David Edgar Valencia Cordova </t>
        </is>
      </c>
      <c r="AB89" t="inlineStr">
        <is>
          <t>41844906</t>
        </is>
      </c>
      <c r="AC89" t="inlineStr">
        <is>
          <t>P. Joven Año Nuevo Jr. Montero Rosas 860</t>
        </is>
      </c>
      <c r="AD89" t="n">
        <v>991846561</v>
      </c>
      <c r="AE89" t="inlineStr">
        <is>
          <t>991846561</t>
        </is>
      </c>
      <c r="AF89" t="inlineStr">
        <is>
          <t>davico29@gmail.com</t>
        </is>
      </c>
      <c r="AG89" t="inlineStr">
        <is>
          <t>LIMA</t>
        </is>
      </c>
      <c r="AH89" t="inlineStr">
        <is>
          <t>COMAS</t>
        </is>
      </c>
      <c r="AI89" s="75" t="n">
        <v>45716</v>
      </c>
      <c r="AJ89" s="75" t="n">
        <v>45712</v>
      </c>
      <c r="AK89" t="inlineStr">
        <is>
          <t>SALDO FINANCIAR</t>
        </is>
      </c>
      <c r="AL89" t="n">
        <v>1</v>
      </c>
      <c r="AM89" t="n">
        <v>34750</v>
      </c>
      <c r="AN89" t="n">
        <v>0</v>
      </c>
      <c r="AO89" t="n">
        <v>0</v>
      </c>
      <c r="AP89" s="39" t="n">
        <v>34750</v>
      </c>
      <c r="AQ89" s="39" t="n">
        <v>34750</v>
      </c>
      <c r="AR89" s="39" t="n">
        <v>0</v>
      </c>
      <c r="AS89" t="n">
        <v>0</v>
      </c>
      <c r="AT89" t="inlineStr">
        <is>
          <t>Crédito Hipotecario</t>
        </is>
      </c>
      <c r="AU89" t="inlineStr">
        <is>
          <t>Scotiabank Perú</t>
        </is>
      </c>
      <c r="AV89" t="inlineStr">
        <is>
          <t>000-2768484</t>
        </is>
      </c>
      <c r="AW89" t="inlineStr">
        <is>
          <t>TRANSFERENCIA BANCARIA</t>
        </is>
      </c>
      <c r="AX89" t="n">
        <v>41844906</v>
      </c>
      <c r="AY89" t="inlineStr">
        <is>
          <t>2026083000000000028370</t>
        </is>
      </c>
      <c r="AZ89" t="inlineStr">
        <is>
          <t>No</t>
        </is>
      </c>
      <c r="BA89" t="inlineStr">
        <is>
          <t>NO PRECISA</t>
        </is>
      </c>
      <c r="BB89" t="n">
        <v>4</v>
      </c>
      <c r="BC89" t="inlineStr">
        <is>
          <t>CANCELADO</t>
        </is>
      </c>
      <c r="BN89" t="inlineStr">
        <is>
          <t>Si</t>
        </is>
      </c>
      <c r="BO89" s="76" t="n">
        <v>45687.61736111111</v>
      </c>
      <c r="BP89" t="inlineStr">
        <is>
          <t>Kenny Salazar S</t>
        </is>
      </c>
      <c r="BR89" t="n">
        <v>38</v>
      </c>
      <c r="BS89" t="inlineStr">
        <is>
          <t>05/06/2026 10:52</t>
        </is>
      </c>
      <c r="BW89" t="inlineStr">
        <is>
          <t>Cobranzas_2025.csv</t>
        </is>
      </c>
      <c r="BX89" t="n">
        <v>2025</v>
      </c>
      <c r="BY89" t="inlineStr">
        <is>
          <t>01/01/2024</t>
        </is>
      </c>
      <c r="BZ89" t="inlineStr">
        <is>
          <t>30/06/2031</t>
        </is>
      </c>
    </row>
    <row r="90">
      <c r="A90" t="inlineStr">
        <is>
          <t>RESIDENCIAL PRADA</t>
        </is>
      </c>
      <c r="B90" t="inlineStr">
        <is>
          <t>Etapa 1</t>
        </is>
      </c>
      <c r="C90" t="inlineStr">
        <is>
          <t>Edificio</t>
        </is>
      </c>
      <c r="D90" t="inlineStr">
        <is>
          <t>A</t>
        </is>
      </c>
      <c r="E90" t="inlineStr">
        <is>
          <t>Departamento</t>
        </is>
      </c>
      <c r="F90" t="inlineStr">
        <is>
          <t>703</t>
        </is>
      </c>
      <c r="G90" s="39" t="n">
        <v>654000</v>
      </c>
      <c r="H90" s="39" t="n">
        <v>654000</v>
      </c>
      <c r="I90" t="inlineStr">
        <is>
          <t>Edificio</t>
        </is>
      </c>
      <c r="J90" t="inlineStr">
        <is>
          <t>A</t>
        </is>
      </c>
      <c r="K90" t="inlineStr">
        <is>
          <t>Estacionamiento</t>
        </is>
      </c>
      <c r="L90" t="inlineStr">
        <is>
          <t>E 06 - D 04</t>
        </is>
      </c>
      <c r="M90" s="39" t="n">
        <v>57500</v>
      </c>
      <c r="N90" s="39" t="n">
        <v>57500</v>
      </c>
      <c r="S90" s="39" t="n"/>
      <c r="T90" s="39" t="n"/>
      <c r="Y90" s="39" t="n"/>
      <c r="Z90" s="39" t="n"/>
      <c r="AA90" t="inlineStr">
        <is>
          <t xml:space="preserve">David Edgar Valencia Cordova </t>
        </is>
      </c>
      <c r="AB90" t="inlineStr">
        <is>
          <t>41844906</t>
        </is>
      </c>
      <c r="AC90" t="inlineStr">
        <is>
          <t>P. Joven Año Nuevo Jr. Montero Rosas 860</t>
        </is>
      </c>
      <c r="AD90" t="n">
        <v>991846561</v>
      </c>
      <c r="AE90" t="inlineStr">
        <is>
          <t>991846561</t>
        </is>
      </c>
      <c r="AF90" t="inlineStr">
        <is>
          <t>davico29@gmail.com</t>
        </is>
      </c>
      <c r="AG90" t="inlineStr">
        <is>
          <t>LIMA</t>
        </is>
      </c>
      <c r="AH90" t="inlineStr">
        <is>
          <t>COMAS</t>
        </is>
      </c>
      <c r="AI90" s="75" t="n">
        <v>45746</v>
      </c>
      <c r="AJ90" s="75" t="n">
        <v>45743</v>
      </c>
      <c r="AK90" t="inlineStr">
        <is>
          <t>SALDO FINANCIAR</t>
        </is>
      </c>
      <c r="AL90" t="n">
        <v>2</v>
      </c>
      <c r="AM90" t="n">
        <v>34750</v>
      </c>
      <c r="AN90" t="n">
        <v>0</v>
      </c>
      <c r="AO90" t="n">
        <v>0</v>
      </c>
      <c r="AP90" s="39" t="n">
        <v>34750</v>
      </c>
      <c r="AQ90" s="39" t="n">
        <v>34750</v>
      </c>
      <c r="AR90" s="39" t="n">
        <v>0</v>
      </c>
      <c r="AS90" t="n">
        <v>0</v>
      </c>
      <c r="AT90" t="inlineStr">
        <is>
          <t>Crédito Hipotecario</t>
        </is>
      </c>
      <c r="AU90" t="inlineStr">
        <is>
          <t>Scotiabank Perú</t>
        </is>
      </c>
      <c r="AV90" t="inlineStr">
        <is>
          <t>000-2768484</t>
        </is>
      </c>
      <c r="AW90" t="inlineStr">
        <is>
          <t>TRANSFERENCIA BANCARIA</t>
        </is>
      </c>
      <c r="AX90" t="n">
        <v>41844906</v>
      </c>
      <c r="AY90" t="inlineStr">
        <is>
          <t>50325</t>
        </is>
      </c>
      <c r="AZ90" t="inlineStr">
        <is>
          <t>No</t>
        </is>
      </c>
      <c r="BA90" t="inlineStr">
        <is>
          <t>NO PRECISA</t>
        </is>
      </c>
      <c r="BB90" t="n">
        <v>4</v>
      </c>
      <c r="BC90" t="inlineStr">
        <is>
          <t>CANCELADO</t>
        </is>
      </c>
      <c r="BN90" t="inlineStr">
        <is>
          <t>Si</t>
        </is>
      </c>
      <c r="BO90" s="76" t="n">
        <v>45687.61736111111</v>
      </c>
      <c r="BP90" t="inlineStr">
        <is>
          <t>Kenny Salazar S</t>
        </is>
      </c>
      <c r="BR90" t="n">
        <v>38</v>
      </c>
      <c r="BS90" t="inlineStr">
        <is>
          <t>05/06/2026 10:54</t>
        </is>
      </c>
      <c r="BW90" t="inlineStr">
        <is>
          <t>Cobranzas_2025.csv</t>
        </is>
      </c>
      <c r="BX90" t="n">
        <v>2025</v>
      </c>
      <c r="BY90" t="inlineStr">
        <is>
          <t>01/01/2024</t>
        </is>
      </c>
      <c r="BZ90" t="inlineStr">
        <is>
          <t>30/06/2031</t>
        </is>
      </c>
    </row>
    <row r="91">
      <c r="A91" t="inlineStr">
        <is>
          <t>RESIDENCIAL PRADA</t>
        </is>
      </c>
      <c r="B91" t="inlineStr">
        <is>
          <t>Etapa 1</t>
        </is>
      </c>
      <c r="C91" t="inlineStr">
        <is>
          <t>Edificio</t>
        </is>
      </c>
      <c r="D91" t="inlineStr">
        <is>
          <t>A</t>
        </is>
      </c>
      <c r="E91" t="inlineStr">
        <is>
          <t>Departamento</t>
        </is>
      </c>
      <c r="F91" t="inlineStr">
        <is>
          <t>703</t>
        </is>
      </c>
      <c r="G91" s="39" t="n">
        <v>654000</v>
      </c>
      <c r="H91" s="39" t="n">
        <v>654000</v>
      </c>
      <c r="I91" t="inlineStr">
        <is>
          <t>Edificio</t>
        </is>
      </c>
      <c r="J91" t="inlineStr">
        <is>
          <t>A</t>
        </is>
      </c>
      <c r="K91" t="inlineStr">
        <is>
          <t>Estacionamiento</t>
        </is>
      </c>
      <c r="L91" t="inlineStr">
        <is>
          <t>E 06 - D 04</t>
        </is>
      </c>
      <c r="M91" s="39" t="n">
        <v>57500</v>
      </c>
      <c r="N91" s="39" t="n">
        <v>57500</v>
      </c>
      <c r="S91" s="39" t="n"/>
      <c r="T91" s="39" t="n"/>
      <c r="Y91" s="39" t="n"/>
      <c r="Z91" s="39" t="n"/>
      <c r="AA91" t="inlineStr">
        <is>
          <t xml:space="preserve">David Edgar Valencia Cordova </t>
        </is>
      </c>
      <c r="AB91" t="inlineStr">
        <is>
          <t>41844906</t>
        </is>
      </c>
      <c r="AC91" t="inlineStr">
        <is>
          <t>P. Joven Año Nuevo Jr. Montero Rosas 860</t>
        </is>
      </c>
      <c r="AD91" t="n">
        <v>991846561</v>
      </c>
      <c r="AE91" t="inlineStr">
        <is>
          <t>991846561</t>
        </is>
      </c>
      <c r="AF91" t="inlineStr">
        <is>
          <t>davico29@gmail.com</t>
        </is>
      </c>
      <c r="AG91" t="inlineStr">
        <is>
          <t>LIMA</t>
        </is>
      </c>
      <c r="AH91" t="inlineStr">
        <is>
          <t>COMAS</t>
        </is>
      </c>
      <c r="AI91" s="75" t="n">
        <v>45777</v>
      </c>
      <c r="AJ91" s="75" t="n">
        <v>45771</v>
      </c>
      <c r="AK91" t="inlineStr">
        <is>
          <t>SALDO FINANCIAR</t>
        </is>
      </c>
      <c r="AL91" t="n">
        <v>3</v>
      </c>
      <c r="AM91" t="n">
        <v>34750</v>
      </c>
      <c r="AN91" t="n">
        <v>0</v>
      </c>
      <c r="AO91" t="n">
        <v>0</v>
      </c>
      <c r="AP91" s="39" t="n">
        <v>34750</v>
      </c>
      <c r="AQ91" s="39" t="n">
        <v>34750</v>
      </c>
      <c r="AR91" s="39" t="n">
        <v>0</v>
      </c>
      <c r="AS91" t="n">
        <v>0</v>
      </c>
      <c r="AT91" t="inlineStr">
        <is>
          <t>Crédito Hipotecario</t>
        </is>
      </c>
      <c r="AU91" t="inlineStr">
        <is>
          <t>Scotiabank Perú</t>
        </is>
      </c>
      <c r="AV91" t="inlineStr">
        <is>
          <t>000-2768484</t>
        </is>
      </c>
      <c r="AW91" t="inlineStr">
        <is>
          <t>TRANSFERENCIA BANCARIA</t>
        </is>
      </c>
      <c r="AX91" t="n">
        <v>41844906</v>
      </c>
      <c r="AY91" t="inlineStr">
        <is>
          <t>503253</t>
        </is>
      </c>
      <c r="AZ91" t="inlineStr">
        <is>
          <t>No</t>
        </is>
      </c>
      <c r="BA91" t="inlineStr">
        <is>
          <t>NO PRECISA</t>
        </is>
      </c>
      <c r="BB91" t="n">
        <v>4</v>
      </c>
      <c r="BC91" t="inlineStr">
        <is>
          <t>CANCELADO</t>
        </is>
      </c>
      <c r="BN91" t="inlineStr">
        <is>
          <t>Si</t>
        </is>
      </c>
      <c r="BO91" s="76" t="n">
        <v>45687.61736111111</v>
      </c>
      <c r="BP91" t="inlineStr">
        <is>
          <t>Kenny Salazar S</t>
        </is>
      </c>
      <c r="BR91" t="n">
        <v>38</v>
      </c>
      <c r="BS91" t="inlineStr">
        <is>
          <t>05/06/2026 10:58</t>
        </is>
      </c>
      <c r="BW91" t="inlineStr">
        <is>
          <t>Cobranzas_2025.csv</t>
        </is>
      </c>
      <c r="BX91" t="n">
        <v>2025</v>
      </c>
      <c r="BY91" t="inlineStr">
        <is>
          <t>01/01/2024</t>
        </is>
      </c>
      <c r="BZ91" t="inlineStr">
        <is>
          <t>30/06/2031</t>
        </is>
      </c>
    </row>
    <row r="92">
      <c r="A92" t="inlineStr">
        <is>
          <t>RESIDENCIAL PRADA</t>
        </is>
      </c>
      <c r="B92" t="inlineStr">
        <is>
          <t>Etapa 1</t>
        </is>
      </c>
      <c r="C92" t="inlineStr">
        <is>
          <t>Edificio</t>
        </is>
      </c>
      <c r="D92" t="inlineStr">
        <is>
          <t>A</t>
        </is>
      </c>
      <c r="E92" t="inlineStr">
        <is>
          <t>Departamento</t>
        </is>
      </c>
      <c r="F92" t="inlineStr">
        <is>
          <t>703</t>
        </is>
      </c>
      <c r="G92" s="39" t="n">
        <v>654000</v>
      </c>
      <c r="H92" s="39" t="n">
        <v>654000</v>
      </c>
      <c r="I92" t="inlineStr">
        <is>
          <t>Edificio</t>
        </is>
      </c>
      <c r="J92" t="inlineStr">
        <is>
          <t>A</t>
        </is>
      </c>
      <c r="K92" t="inlineStr">
        <is>
          <t>Estacionamiento</t>
        </is>
      </c>
      <c r="L92" t="inlineStr">
        <is>
          <t>E 06 - D 04</t>
        </is>
      </c>
      <c r="M92" s="39" t="n">
        <v>57500</v>
      </c>
      <c r="N92" s="39" t="n">
        <v>57500</v>
      </c>
      <c r="S92" s="39" t="n"/>
      <c r="T92" s="39" t="n"/>
      <c r="Y92" s="39" t="n"/>
      <c r="Z92" s="39" t="n"/>
      <c r="AA92" t="inlineStr">
        <is>
          <t xml:space="preserve">David Edgar Valencia Cordova </t>
        </is>
      </c>
      <c r="AB92" t="inlineStr">
        <is>
          <t>41844906</t>
        </is>
      </c>
      <c r="AC92" t="inlineStr">
        <is>
          <t>P. Joven Año Nuevo Jr. Montero Rosas 860</t>
        </is>
      </c>
      <c r="AD92" t="n">
        <v>991846561</v>
      </c>
      <c r="AE92" t="inlineStr">
        <is>
          <t>991846561</t>
        </is>
      </c>
      <c r="AF92" t="inlineStr">
        <is>
          <t>davico29@gmail.com</t>
        </is>
      </c>
      <c r="AG92" t="inlineStr">
        <is>
          <t>LIMA</t>
        </is>
      </c>
      <c r="AH92" t="inlineStr">
        <is>
          <t>COMAS</t>
        </is>
      </c>
      <c r="AI92" s="75" t="n">
        <v>45807</v>
      </c>
      <c r="AJ92" s="75" t="n">
        <v>45799</v>
      </c>
      <c r="AK92" t="inlineStr">
        <is>
          <t>SALDO FINANCIAR</t>
        </is>
      </c>
      <c r="AL92" t="n">
        <v>4</v>
      </c>
      <c r="AM92" t="n">
        <v>34750</v>
      </c>
      <c r="AN92" t="n">
        <v>0</v>
      </c>
      <c r="AO92" t="n">
        <v>0</v>
      </c>
      <c r="AP92" s="39" t="n">
        <v>34750</v>
      </c>
      <c r="AQ92" s="39" t="n">
        <v>34750</v>
      </c>
      <c r="AR92" s="39" t="n">
        <v>0</v>
      </c>
      <c r="AS92" t="n">
        <v>0</v>
      </c>
      <c r="AT92" t="inlineStr">
        <is>
          <t>Crédito Hipotecario</t>
        </is>
      </c>
      <c r="AU92" t="inlineStr">
        <is>
          <t>Scotiabank Perú</t>
        </is>
      </c>
      <c r="AV92" t="inlineStr">
        <is>
          <t>000-2768484</t>
        </is>
      </c>
      <c r="AW92" t="inlineStr">
        <is>
          <t>TRANSFERENCIA BANCARIA</t>
        </is>
      </c>
      <c r="AX92" t="n">
        <v>41844906</v>
      </c>
      <c r="AY92" t="inlineStr">
        <is>
          <t>503253</t>
        </is>
      </c>
      <c r="AZ92" t="inlineStr">
        <is>
          <t>No</t>
        </is>
      </c>
      <c r="BA92" t="inlineStr">
        <is>
          <t>NO PRECISA</t>
        </is>
      </c>
      <c r="BB92" t="n">
        <v>4</v>
      </c>
      <c r="BC92" t="inlineStr">
        <is>
          <t>CANCELADO</t>
        </is>
      </c>
      <c r="BN92" t="inlineStr">
        <is>
          <t>Si</t>
        </is>
      </c>
      <c r="BO92" s="76" t="n">
        <v>45687.61736111111</v>
      </c>
      <c r="BP92" t="inlineStr">
        <is>
          <t>Kenny Salazar S</t>
        </is>
      </c>
      <c r="BR92" t="n">
        <v>38</v>
      </c>
      <c r="BS92" t="inlineStr">
        <is>
          <t>05/06/2026 11:01</t>
        </is>
      </c>
      <c r="BW92" t="inlineStr">
        <is>
          <t>Cobranzas_2025.csv</t>
        </is>
      </c>
      <c r="BX92" t="n">
        <v>2025</v>
      </c>
      <c r="BY92" t="inlineStr">
        <is>
          <t>01/01/2024</t>
        </is>
      </c>
      <c r="BZ92" t="inlineStr">
        <is>
          <t>30/06/2031</t>
        </is>
      </c>
    </row>
    <row r="93">
      <c r="A93" t="inlineStr">
        <is>
          <t>RESIDENCIAL PRADA</t>
        </is>
      </c>
      <c r="B93" t="inlineStr">
        <is>
          <t>Etapa 1</t>
        </is>
      </c>
      <c r="C93" t="inlineStr">
        <is>
          <t>Edificio</t>
        </is>
      </c>
      <c r="D93" t="inlineStr">
        <is>
          <t>A</t>
        </is>
      </c>
      <c r="E93" t="inlineStr">
        <is>
          <t>Departamento</t>
        </is>
      </c>
      <c r="F93" t="inlineStr">
        <is>
          <t>703</t>
        </is>
      </c>
      <c r="G93" s="39" t="n">
        <v>654000</v>
      </c>
      <c r="H93" s="39" t="n">
        <v>654000</v>
      </c>
      <c r="I93" t="inlineStr">
        <is>
          <t>Edificio</t>
        </is>
      </c>
      <c r="J93" t="inlineStr">
        <is>
          <t>A</t>
        </is>
      </c>
      <c r="K93" t="inlineStr">
        <is>
          <t>Estacionamiento</t>
        </is>
      </c>
      <c r="L93" t="inlineStr">
        <is>
          <t>E 06 - D 04</t>
        </is>
      </c>
      <c r="M93" s="39" t="n">
        <v>57500</v>
      </c>
      <c r="N93" s="39" t="n">
        <v>57500</v>
      </c>
      <c r="S93" s="39" t="n"/>
      <c r="T93" s="39" t="n"/>
      <c r="Y93" s="39" t="n"/>
      <c r="Z93" s="39" t="n"/>
      <c r="AA93" t="inlineStr">
        <is>
          <t xml:space="preserve">David Edgar Valencia Cordova </t>
        </is>
      </c>
      <c r="AB93" t="inlineStr">
        <is>
          <t>41844906</t>
        </is>
      </c>
      <c r="AC93" t="inlineStr">
        <is>
          <t>P. Joven Año Nuevo Jr. Montero Rosas 860</t>
        </is>
      </c>
      <c r="AD93" t="n">
        <v>991846561</v>
      </c>
      <c r="AE93" t="inlineStr">
        <is>
          <t>991846561</t>
        </is>
      </c>
      <c r="AF93" t="inlineStr">
        <is>
          <t>davico29@gmail.com</t>
        </is>
      </c>
      <c r="AG93" t="inlineStr">
        <is>
          <t>LIMA</t>
        </is>
      </c>
      <c r="AH93" t="inlineStr">
        <is>
          <t>COMAS</t>
        </is>
      </c>
      <c r="AI93" s="75" t="n">
        <v>45838</v>
      </c>
      <c r="AJ93" s="75" t="n">
        <v>45804</v>
      </c>
      <c r="AK93" t="inlineStr">
        <is>
          <t>SALDO FINANCIAR</t>
        </is>
      </c>
      <c r="AL93" t="n">
        <v>5</v>
      </c>
      <c r="AM93" t="n">
        <v>34750</v>
      </c>
      <c r="AN93" t="n">
        <v>0</v>
      </c>
      <c r="AO93" t="n">
        <v>0</v>
      </c>
      <c r="AP93" s="39" t="n">
        <v>34750</v>
      </c>
      <c r="AQ93" s="39" t="n">
        <v>34750</v>
      </c>
      <c r="AR93" s="39" t="n">
        <v>0</v>
      </c>
      <c r="AS93" t="n">
        <v>0</v>
      </c>
      <c r="AT93" t="inlineStr">
        <is>
          <t>Crédito Hipotecario</t>
        </is>
      </c>
      <c r="AU93" t="inlineStr">
        <is>
          <t>Scotiabank Perú</t>
        </is>
      </c>
      <c r="AV93" t="inlineStr">
        <is>
          <t>000-2768484</t>
        </is>
      </c>
      <c r="AW93" t="inlineStr">
        <is>
          <t>TRANSFERENCIA BANCARIA</t>
        </is>
      </c>
      <c r="AX93" t="n">
        <v>41844906</v>
      </c>
      <c r="AZ93" t="inlineStr">
        <is>
          <t>No</t>
        </is>
      </c>
      <c r="BA93" t="inlineStr">
        <is>
          <t>NO PRECISA</t>
        </is>
      </c>
      <c r="BB93" t="n">
        <v>4</v>
      </c>
      <c r="BC93" t="inlineStr">
        <is>
          <t>CANCELADO</t>
        </is>
      </c>
      <c r="BN93" t="inlineStr">
        <is>
          <t>Si</t>
        </is>
      </c>
      <c r="BO93" s="76" t="n">
        <v>45687.61736111111</v>
      </c>
      <c r="BP93" t="inlineStr">
        <is>
          <t>Kenny Salazar S</t>
        </is>
      </c>
      <c r="BR93" t="n">
        <v>38</v>
      </c>
      <c r="BS93" t="inlineStr">
        <is>
          <t>05/06/2026 11:03</t>
        </is>
      </c>
      <c r="BW93" t="inlineStr">
        <is>
          <t>Cobranzas_2025.csv</t>
        </is>
      </c>
      <c r="BX93" t="n">
        <v>2025</v>
      </c>
      <c r="BY93" t="inlineStr">
        <is>
          <t>01/01/2024</t>
        </is>
      </c>
      <c r="BZ93" t="inlineStr">
        <is>
          <t>30/06/2031</t>
        </is>
      </c>
    </row>
    <row r="94">
      <c r="A94" t="inlineStr">
        <is>
          <t>RESIDENCIAL PRADA</t>
        </is>
      </c>
      <c r="B94" t="inlineStr">
        <is>
          <t>Etapa 1</t>
        </is>
      </c>
      <c r="C94" t="inlineStr">
        <is>
          <t>Edificio</t>
        </is>
      </c>
      <c r="D94" t="inlineStr">
        <is>
          <t>A</t>
        </is>
      </c>
      <c r="E94" t="inlineStr">
        <is>
          <t>Departamento</t>
        </is>
      </c>
      <c r="F94" t="inlineStr">
        <is>
          <t>703</t>
        </is>
      </c>
      <c r="G94" s="39" t="n">
        <v>654000</v>
      </c>
      <c r="H94" s="39" t="n">
        <v>654000</v>
      </c>
      <c r="I94" t="inlineStr">
        <is>
          <t>Edificio</t>
        </is>
      </c>
      <c r="J94" t="inlineStr">
        <is>
          <t>A</t>
        </is>
      </c>
      <c r="K94" t="inlineStr">
        <is>
          <t>Estacionamiento</t>
        </is>
      </c>
      <c r="L94" t="inlineStr">
        <is>
          <t>E 06 - D 04</t>
        </is>
      </c>
      <c r="M94" s="39" t="n">
        <v>57500</v>
      </c>
      <c r="N94" s="39" t="n">
        <v>57500</v>
      </c>
      <c r="S94" s="39" t="n"/>
      <c r="T94" s="39" t="n"/>
      <c r="Y94" s="39" t="n"/>
      <c r="Z94" s="39" t="n"/>
      <c r="AA94" t="inlineStr">
        <is>
          <t xml:space="preserve">David Edgar Valencia Cordova </t>
        </is>
      </c>
      <c r="AB94" t="inlineStr">
        <is>
          <t>41844906</t>
        </is>
      </c>
      <c r="AC94" t="inlineStr">
        <is>
          <t>P. Joven Año Nuevo Jr. Montero Rosas 860</t>
        </is>
      </c>
      <c r="AD94" t="n">
        <v>991846561</v>
      </c>
      <c r="AE94" t="inlineStr">
        <is>
          <t>991846561</t>
        </is>
      </c>
      <c r="AF94" t="inlineStr">
        <is>
          <t>davico29@gmail.com</t>
        </is>
      </c>
      <c r="AG94" t="inlineStr">
        <is>
          <t>LIMA</t>
        </is>
      </c>
      <c r="AH94" t="inlineStr">
        <is>
          <t>COMAS</t>
        </is>
      </c>
      <c r="AI94" s="75" t="n">
        <v>45868</v>
      </c>
      <c r="AJ94" s="75" t="n">
        <v>45862</v>
      </c>
      <c r="AK94" t="inlineStr">
        <is>
          <t>SALDO FINANCIAR</t>
        </is>
      </c>
      <c r="AL94" t="n">
        <v>6</v>
      </c>
      <c r="AM94" t="n">
        <v>34750</v>
      </c>
      <c r="AN94" t="n">
        <v>0</v>
      </c>
      <c r="AO94" t="n">
        <v>0</v>
      </c>
      <c r="AP94" s="39" t="n">
        <v>34750</v>
      </c>
      <c r="AQ94" s="39" t="n">
        <v>34750</v>
      </c>
      <c r="AR94" s="39" t="n">
        <v>0</v>
      </c>
      <c r="AS94" t="n">
        <v>0</v>
      </c>
      <c r="AT94" t="inlineStr">
        <is>
          <t>Crédito Hipotecario</t>
        </is>
      </c>
      <c r="AU94" t="inlineStr">
        <is>
          <t>Scotiabank Perú</t>
        </is>
      </c>
      <c r="AV94" t="inlineStr">
        <is>
          <t>000-2768484</t>
        </is>
      </c>
      <c r="AW94" t="inlineStr">
        <is>
          <t>TRANSFERENCIA BANCARIA</t>
        </is>
      </c>
      <c r="AY94" t="inlineStr">
        <is>
          <t>U26325</t>
        </is>
      </c>
      <c r="AZ94" t="inlineStr">
        <is>
          <t>No</t>
        </is>
      </c>
      <c r="BB94" t="n">
        <v>4</v>
      </c>
      <c r="BC94" t="inlineStr">
        <is>
          <t>CANCELADO</t>
        </is>
      </c>
      <c r="BN94" t="inlineStr">
        <is>
          <t>Si</t>
        </is>
      </c>
      <c r="BO94" s="76" t="n">
        <v>45687.61736111111</v>
      </c>
      <c r="BP94" t="inlineStr">
        <is>
          <t>Kenny Salazar S</t>
        </is>
      </c>
      <c r="BR94" t="n">
        <v>38</v>
      </c>
      <c r="BS94" t="inlineStr">
        <is>
          <t>07/07/2026 11:48</t>
        </is>
      </c>
      <c r="BW94" t="inlineStr">
        <is>
          <t>Cobranzas_2025.csv</t>
        </is>
      </c>
      <c r="BX94" t="n">
        <v>2025</v>
      </c>
      <c r="BY94" t="inlineStr">
        <is>
          <t>01/01/2024</t>
        </is>
      </c>
      <c r="BZ94" t="inlineStr">
        <is>
          <t>30/06/2031</t>
        </is>
      </c>
    </row>
    <row r="95">
      <c r="A95" t="inlineStr">
        <is>
          <t>RESIDENCIAL PRADA</t>
        </is>
      </c>
      <c r="B95" t="inlineStr">
        <is>
          <t>Etapa 1</t>
        </is>
      </c>
      <c r="C95" t="inlineStr">
        <is>
          <t>Edificio</t>
        </is>
      </c>
      <c r="D95" t="inlineStr">
        <is>
          <t>A</t>
        </is>
      </c>
      <c r="E95" t="inlineStr">
        <is>
          <t>Departamento</t>
        </is>
      </c>
      <c r="F95" t="inlineStr">
        <is>
          <t>703</t>
        </is>
      </c>
      <c r="G95" s="39" t="n">
        <v>654000</v>
      </c>
      <c r="H95" s="39" t="n">
        <v>654000</v>
      </c>
      <c r="I95" t="inlineStr">
        <is>
          <t>Edificio</t>
        </is>
      </c>
      <c r="J95" t="inlineStr">
        <is>
          <t>A</t>
        </is>
      </c>
      <c r="K95" t="inlineStr">
        <is>
          <t>Estacionamiento</t>
        </is>
      </c>
      <c r="L95" t="inlineStr">
        <is>
          <t>E 06 - D 04</t>
        </is>
      </c>
      <c r="M95" s="39" t="n">
        <v>57500</v>
      </c>
      <c r="N95" s="39" t="n">
        <v>57500</v>
      </c>
      <c r="S95" s="39" t="n"/>
      <c r="T95" s="39" t="n"/>
      <c r="Y95" s="39" t="n"/>
      <c r="Z95" s="39" t="n"/>
      <c r="AA95" t="inlineStr">
        <is>
          <t xml:space="preserve">David Edgar Valencia Cordova </t>
        </is>
      </c>
      <c r="AB95" t="inlineStr">
        <is>
          <t>41844906</t>
        </is>
      </c>
      <c r="AC95" t="inlineStr">
        <is>
          <t>P. Joven Año Nuevo Jr. Montero Rosas 860</t>
        </is>
      </c>
      <c r="AD95" t="n">
        <v>991846561</v>
      </c>
      <c r="AE95" t="inlineStr">
        <is>
          <t>991846561</t>
        </is>
      </c>
      <c r="AF95" t="inlineStr">
        <is>
          <t>davico29@gmail.com</t>
        </is>
      </c>
      <c r="AG95" t="inlineStr">
        <is>
          <t>LIMA</t>
        </is>
      </c>
      <c r="AH95" t="inlineStr">
        <is>
          <t>COMAS</t>
        </is>
      </c>
      <c r="AI95" s="75" t="n">
        <v>45899</v>
      </c>
      <c r="AJ95" s="75" t="n">
        <v>45895</v>
      </c>
      <c r="AK95" t="inlineStr">
        <is>
          <t>SALDO FINANCIAR</t>
        </is>
      </c>
      <c r="AL95" t="n">
        <v>7</v>
      </c>
      <c r="AM95" t="n">
        <v>34750</v>
      </c>
      <c r="AN95" t="n">
        <v>0</v>
      </c>
      <c r="AO95" t="n">
        <v>0</v>
      </c>
      <c r="AP95" s="39" t="n">
        <v>34750</v>
      </c>
      <c r="AQ95" s="39" t="n">
        <v>34750</v>
      </c>
      <c r="AR95" s="39" t="n">
        <v>0</v>
      </c>
      <c r="AS95" t="n">
        <v>0</v>
      </c>
      <c r="AT95" t="inlineStr">
        <is>
          <t>Crédito Hipotecario</t>
        </is>
      </c>
      <c r="AU95" t="inlineStr">
        <is>
          <t>Scotiabank Perú</t>
        </is>
      </c>
      <c r="AV95" t="inlineStr">
        <is>
          <t>000-2768484</t>
        </is>
      </c>
      <c r="AW95" t="inlineStr">
        <is>
          <t>TRANSFERENCIA BANCARIA</t>
        </is>
      </c>
      <c r="AY95" t="inlineStr">
        <is>
          <t>U27621</t>
        </is>
      </c>
      <c r="AZ95" t="inlineStr">
        <is>
          <t>No</t>
        </is>
      </c>
      <c r="BB95" t="n">
        <v>4</v>
      </c>
      <c r="BC95" t="inlineStr">
        <is>
          <t>CANCELADO</t>
        </is>
      </c>
      <c r="BN95" t="inlineStr">
        <is>
          <t>Si</t>
        </is>
      </c>
      <c r="BO95" s="76" t="n">
        <v>45687.61736111111</v>
      </c>
      <c r="BP95" t="inlineStr">
        <is>
          <t>Kenny Salazar S</t>
        </is>
      </c>
      <c r="BR95" t="n">
        <v>38</v>
      </c>
      <c r="BS95" t="inlineStr">
        <is>
          <t>07/07/2026 11:49</t>
        </is>
      </c>
      <c r="BW95" t="inlineStr">
        <is>
          <t>Cobranzas_2025.csv</t>
        </is>
      </c>
      <c r="BX95" t="n">
        <v>2025</v>
      </c>
      <c r="BY95" t="inlineStr">
        <is>
          <t>01/01/2024</t>
        </is>
      </c>
      <c r="BZ95" t="inlineStr">
        <is>
          <t>30/06/2031</t>
        </is>
      </c>
    </row>
    <row r="96">
      <c r="A96" t="inlineStr">
        <is>
          <t>RESIDENCIAL PRADA</t>
        </is>
      </c>
      <c r="B96" t="inlineStr">
        <is>
          <t>Etapa 1</t>
        </is>
      </c>
      <c r="C96" t="inlineStr">
        <is>
          <t>Edificio</t>
        </is>
      </c>
      <c r="D96" t="inlineStr">
        <is>
          <t>A</t>
        </is>
      </c>
      <c r="E96" t="inlineStr">
        <is>
          <t>Departamento</t>
        </is>
      </c>
      <c r="F96" t="inlineStr">
        <is>
          <t>703</t>
        </is>
      </c>
      <c r="G96" s="39" t="n">
        <v>654000</v>
      </c>
      <c r="H96" s="39" t="n">
        <v>654000</v>
      </c>
      <c r="I96" t="inlineStr">
        <is>
          <t>Edificio</t>
        </is>
      </c>
      <c r="J96" t="inlineStr">
        <is>
          <t>A</t>
        </is>
      </c>
      <c r="K96" t="inlineStr">
        <is>
          <t>Estacionamiento</t>
        </is>
      </c>
      <c r="L96" t="inlineStr">
        <is>
          <t>E 06 - D 04</t>
        </is>
      </c>
      <c r="M96" s="39" t="n">
        <v>57500</v>
      </c>
      <c r="N96" s="39" t="n">
        <v>57500</v>
      </c>
      <c r="S96" s="39" t="n"/>
      <c r="T96" s="39" t="n"/>
      <c r="Y96" s="39" t="n"/>
      <c r="Z96" s="39" t="n"/>
      <c r="AA96" t="inlineStr">
        <is>
          <t xml:space="preserve">David Edgar Valencia Cordova </t>
        </is>
      </c>
      <c r="AB96" t="inlineStr">
        <is>
          <t>41844906</t>
        </is>
      </c>
      <c r="AC96" t="inlineStr">
        <is>
          <t>P. Joven Año Nuevo Jr. Montero Rosas 860</t>
        </is>
      </c>
      <c r="AD96" t="n">
        <v>991846561</v>
      </c>
      <c r="AE96" t="inlineStr">
        <is>
          <t>991846561</t>
        </is>
      </c>
      <c r="AF96" t="inlineStr">
        <is>
          <t>davico29@gmail.com</t>
        </is>
      </c>
      <c r="AG96" t="inlineStr">
        <is>
          <t>LIMA</t>
        </is>
      </c>
      <c r="AH96" t="inlineStr">
        <is>
          <t>COMAS</t>
        </is>
      </c>
      <c r="AI96" s="75" t="n">
        <v>45930</v>
      </c>
      <c r="AJ96" s="75" t="n">
        <v>45930</v>
      </c>
      <c r="AK96" t="inlineStr">
        <is>
          <t>SALDO FINANCIAR</t>
        </is>
      </c>
      <c r="AL96" t="n">
        <v>8</v>
      </c>
      <c r="AM96" t="n">
        <v>34750</v>
      </c>
      <c r="AN96" t="n">
        <v>0</v>
      </c>
      <c r="AO96" t="n">
        <v>0</v>
      </c>
      <c r="AP96" s="39" t="n">
        <v>34750</v>
      </c>
      <c r="AQ96" s="39" t="n">
        <v>34750</v>
      </c>
      <c r="AR96" s="39" t="n">
        <v>0</v>
      </c>
      <c r="AS96" t="n">
        <v>0</v>
      </c>
      <c r="AT96" t="inlineStr">
        <is>
          <t>Crédito Hipotecario</t>
        </is>
      </c>
      <c r="AU96" t="inlineStr">
        <is>
          <t>Scotiabank Perú</t>
        </is>
      </c>
      <c r="AV96" t="inlineStr">
        <is>
          <t>000-2768484</t>
        </is>
      </c>
      <c r="AW96" t="inlineStr">
        <is>
          <t>TRANSFERENCIA BANCARIA</t>
        </is>
      </c>
      <c r="AX96" t="n">
        <v>41844906</v>
      </c>
      <c r="AY96" t="inlineStr">
        <is>
          <t>503251</t>
        </is>
      </c>
      <c r="AZ96" t="inlineStr">
        <is>
          <t>No</t>
        </is>
      </c>
      <c r="BA96" t="inlineStr">
        <is>
          <t>NO PRECISA</t>
        </is>
      </c>
      <c r="BB96" t="n">
        <v>4</v>
      </c>
      <c r="BC96" t="inlineStr">
        <is>
          <t>CANCELADO</t>
        </is>
      </c>
      <c r="BN96" t="inlineStr">
        <is>
          <t>Si</t>
        </is>
      </c>
      <c r="BO96" s="76" t="n">
        <v>45687.61736111111</v>
      </c>
      <c r="BP96" t="inlineStr">
        <is>
          <t>Kenny Salazar S</t>
        </is>
      </c>
      <c r="BR96" t="n">
        <v>38</v>
      </c>
      <c r="BS96" t="inlineStr">
        <is>
          <t>05/06/2026 11:05</t>
        </is>
      </c>
      <c r="BW96" t="inlineStr">
        <is>
          <t>Cobranzas_2025.csv</t>
        </is>
      </c>
      <c r="BX96" t="n">
        <v>2025</v>
      </c>
      <c r="BY96" t="inlineStr">
        <is>
          <t>01/01/2024</t>
        </is>
      </c>
      <c r="BZ96" t="inlineStr">
        <is>
          <t>30/06/2031</t>
        </is>
      </c>
    </row>
    <row r="97">
      <c r="A97" t="inlineStr">
        <is>
          <t>RESIDENCIAL PRADA</t>
        </is>
      </c>
      <c r="B97" t="inlineStr">
        <is>
          <t>Etapa 1</t>
        </is>
      </c>
      <c r="C97" t="inlineStr">
        <is>
          <t>Edificio</t>
        </is>
      </c>
      <c r="D97" t="inlineStr">
        <is>
          <t>A</t>
        </is>
      </c>
      <c r="E97" t="inlineStr">
        <is>
          <t>Departamento</t>
        </is>
      </c>
      <c r="F97" t="inlineStr">
        <is>
          <t>703</t>
        </is>
      </c>
      <c r="G97" s="39" t="n">
        <v>654000</v>
      </c>
      <c r="H97" s="39" t="n">
        <v>654000</v>
      </c>
      <c r="I97" t="inlineStr">
        <is>
          <t>Edificio</t>
        </is>
      </c>
      <c r="J97" t="inlineStr">
        <is>
          <t>A</t>
        </is>
      </c>
      <c r="K97" t="inlineStr">
        <is>
          <t>Estacionamiento</t>
        </is>
      </c>
      <c r="L97" t="inlineStr">
        <is>
          <t>E 06 - D 04</t>
        </is>
      </c>
      <c r="M97" s="39" t="n">
        <v>57500</v>
      </c>
      <c r="N97" s="39" t="n">
        <v>57500</v>
      </c>
      <c r="S97" s="39" t="n"/>
      <c r="T97" s="39" t="n"/>
      <c r="Y97" s="39" t="n"/>
      <c r="Z97" s="39" t="n"/>
      <c r="AA97" t="inlineStr">
        <is>
          <t xml:space="preserve">David Edgar Valencia Cordova </t>
        </is>
      </c>
      <c r="AB97" t="inlineStr">
        <is>
          <t>41844906</t>
        </is>
      </c>
      <c r="AC97" t="inlineStr">
        <is>
          <t>P. Joven Año Nuevo Jr. Montero Rosas 860</t>
        </is>
      </c>
      <c r="AD97" t="n">
        <v>991846561</v>
      </c>
      <c r="AE97" t="inlineStr">
        <is>
          <t>991846561</t>
        </is>
      </c>
      <c r="AF97" t="inlineStr">
        <is>
          <t>davico29@gmail.com</t>
        </is>
      </c>
      <c r="AG97" t="inlineStr">
        <is>
          <t>LIMA</t>
        </is>
      </c>
      <c r="AH97" t="inlineStr">
        <is>
          <t>COMAS</t>
        </is>
      </c>
      <c r="AI97" s="75" t="n">
        <v>45960</v>
      </c>
      <c r="AJ97" s="75" t="n">
        <v>45959</v>
      </c>
      <c r="AK97" t="inlineStr">
        <is>
          <t>SALDO FINANCIAR</t>
        </is>
      </c>
      <c r="AL97" t="n">
        <v>9</v>
      </c>
      <c r="AM97" t="n">
        <v>34750</v>
      </c>
      <c r="AN97" t="n">
        <v>0</v>
      </c>
      <c r="AO97" t="n">
        <v>0</v>
      </c>
      <c r="AP97" s="39" t="n">
        <v>34750</v>
      </c>
      <c r="AQ97" s="39" t="n">
        <v>34750</v>
      </c>
      <c r="AR97" s="39" t="n">
        <v>0</v>
      </c>
      <c r="AS97" t="n">
        <v>0</v>
      </c>
      <c r="AT97" t="inlineStr">
        <is>
          <t>Crédito Hipotecario</t>
        </is>
      </c>
      <c r="AU97" t="inlineStr">
        <is>
          <t>Scotiabank Perú</t>
        </is>
      </c>
      <c r="AV97" t="inlineStr">
        <is>
          <t>000-2768484</t>
        </is>
      </c>
      <c r="AW97" t="inlineStr">
        <is>
          <t>TRANSFERENCIA BANCARIA</t>
        </is>
      </c>
      <c r="AX97" t="n">
        <v>41844906</v>
      </c>
      <c r="AY97" t="inlineStr">
        <is>
          <t>0500010053</t>
        </is>
      </c>
      <c r="AZ97" t="inlineStr">
        <is>
          <t>No</t>
        </is>
      </c>
      <c r="BA97" t="inlineStr">
        <is>
          <t>NO PRECISA</t>
        </is>
      </c>
      <c r="BB97" t="n">
        <v>4</v>
      </c>
      <c r="BC97" t="inlineStr">
        <is>
          <t>CANCELADO</t>
        </is>
      </c>
      <c r="BN97" t="inlineStr">
        <is>
          <t>Si</t>
        </is>
      </c>
      <c r="BO97" s="76" t="n">
        <v>45687.61736111111</v>
      </c>
      <c r="BP97" t="inlineStr">
        <is>
          <t>Kenny Salazar S</t>
        </is>
      </c>
      <c r="BR97" t="n">
        <v>38</v>
      </c>
      <c r="BS97" t="inlineStr">
        <is>
          <t>05/06/2026 11:09</t>
        </is>
      </c>
      <c r="BW97" t="inlineStr">
        <is>
          <t>Cobranzas_2025.csv</t>
        </is>
      </c>
      <c r="BX97" t="n">
        <v>2025</v>
      </c>
      <c r="BY97" t="inlineStr">
        <is>
          <t>01/01/2024</t>
        </is>
      </c>
      <c r="BZ97" t="inlineStr">
        <is>
          <t>30/06/2031</t>
        </is>
      </c>
    </row>
    <row r="98">
      <c r="A98" t="inlineStr">
        <is>
          <t>RESIDENCIAL PRADA</t>
        </is>
      </c>
      <c r="B98" t="inlineStr">
        <is>
          <t>Etapa 1</t>
        </is>
      </c>
      <c r="C98" t="inlineStr">
        <is>
          <t>Edificio</t>
        </is>
      </c>
      <c r="D98" t="inlineStr">
        <is>
          <t>A</t>
        </is>
      </c>
      <c r="E98" t="inlineStr">
        <is>
          <t>Departamento</t>
        </is>
      </c>
      <c r="F98" t="inlineStr">
        <is>
          <t>703</t>
        </is>
      </c>
      <c r="G98" s="39" t="n">
        <v>654000</v>
      </c>
      <c r="H98" s="39" t="n">
        <v>654000</v>
      </c>
      <c r="I98" t="inlineStr">
        <is>
          <t>Edificio</t>
        </is>
      </c>
      <c r="J98" t="inlineStr">
        <is>
          <t>A</t>
        </is>
      </c>
      <c r="K98" t="inlineStr">
        <is>
          <t>Estacionamiento</t>
        </is>
      </c>
      <c r="L98" t="inlineStr">
        <is>
          <t>E 06 - D 04</t>
        </is>
      </c>
      <c r="M98" s="39" t="n">
        <v>57500</v>
      </c>
      <c r="N98" s="39" t="n">
        <v>57500</v>
      </c>
      <c r="S98" s="39" t="n"/>
      <c r="T98" s="39" t="n"/>
      <c r="Y98" s="39" t="n"/>
      <c r="Z98" s="39" t="n"/>
      <c r="AA98" t="inlineStr">
        <is>
          <t xml:space="preserve">David Edgar Valencia Cordova </t>
        </is>
      </c>
      <c r="AB98" t="inlineStr">
        <is>
          <t>41844906</t>
        </is>
      </c>
      <c r="AC98" t="inlineStr">
        <is>
          <t>P. Joven Año Nuevo Jr. Montero Rosas 860</t>
        </is>
      </c>
      <c r="AD98" t="n">
        <v>991846561</v>
      </c>
      <c r="AE98" t="inlineStr">
        <is>
          <t>991846561</t>
        </is>
      </c>
      <c r="AF98" t="inlineStr">
        <is>
          <t>davico29@gmail.com</t>
        </is>
      </c>
      <c r="AG98" t="inlineStr">
        <is>
          <t>LIMA</t>
        </is>
      </c>
      <c r="AH98" t="inlineStr">
        <is>
          <t>COMAS</t>
        </is>
      </c>
      <c r="AI98" s="75" t="n">
        <v>45991</v>
      </c>
      <c r="AJ98" s="75" t="n">
        <v>45988</v>
      </c>
      <c r="AK98" t="inlineStr">
        <is>
          <t>SALDO FINANCIAR</t>
        </is>
      </c>
      <c r="AL98" t="n">
        <v>10</v>
      </c>
      <c r="AM98" t="n">
        <v>34750</v>
      </c>
      <c r="AN98" t="n">
        <v>0</v>
      </c>
      <c r="AO98" t="n">
        <v>0</v>
      </c>
      <c r="AP98" s="39" t="n">
        <v>34750</v>
      </c>
      <c r="AQ98" s="39" t="n">
        <v>34750</v>
      </c>
      <c r="AR98" s="39" t="n">
        <v>0</v>
      </c>
      <c r="AS98" t="n">
        <v>0</v>
      </c>
      <c r="AT98" t="inlineStr">
        <is>
          <t>Crédito Hipotecario</t>
        </is>
      </c>
      <c r="AU98" t="inlineStr">
        <is>
          <t>Scotiabank Perú</t>
        </is>
      </c>
      <c r="AV98" t="inlineStr">
        <is>
          <t>000-2768484</t>
        </is>
      </c>
      <c r="AW98" t="inlineStr">
        <is>
          <t>TRANSFERENCIA BANCARIA</t>
        </is>
      </c>
      <c r="AX98" t="n">
        <v>41844906</v>
      </c>
      <c r="AY98" t="inlineStr">
        <is>
          <t>50325</t>
        </is>
      </c>
      <c r="AZ98" t="inlineStr">
        <is>
          <t>No</t>
        </is>
      </c>
      <c r="BA98" t="inlineStr">
        <is>
          <t>NO PRECISA</t>
        </is>
      </c>
      <c r="BB98" t="n">
        <v>4</v>
      </c>
      <c r="BC98" t="inlineStr">
        <is>
          <t>CANCELADO</t>
        </is>
      </c>
      <c r="BN98" t="inlineStr">
        <is>
          <t>Si</t>
        </is>
      </c>
      <c r="BO98" s="76" t="n">
        <v>45687.61736111111</v>
      </c>
      <c r="BP98" t="inlineStr">
        <is>
          <t>Kenny Salazar S</t>
        </is>
      </c>
      <c r="BR98" t="n">
        <v>38</v>
      </c>
      <c r="BS98" t="inlineStr">
        <is>
          <t>05/06/2026 11:11</t>
        </is>
      </c>
      <c r="BW98" t="inlineStr">
        <is>
          <t>Cobranzas_2025.csv</t>
        </is>
      </c>
      <c r="BX98" t="n">
        <v>2025</v>
      </c>
      <c r="BY98" t="inlineStr">
        <is>
          <t>01/01/2024</t>
        </is>
      </c>
      <c r="BZ98" t="inlineStr">
        <is>
          <t>30/06/2031</t>
        </is>
      </c>
    </row>
    <row r="99">
      <c r="A99" t="inlineStr">
        <is>
          <t>RESIDENCIAL PRADA</t>
        </is>
      </c>
      <c r="B99" t="inlineStr">
        <is>
          <t>Etapa 1</t>
        </is>
      </c>
      <c r="C99" t="inlineStr">
        <is>
          <t>Edificio</t>
        </is>
      </c>
      <c r="D99" t="inlineStr">
        <is>
          <t>A</t>
        </is>
      </c>
      <c r="E99" t="inlineStr">
        <is>
          <t>Departamento</t>
        </is>
      </c>
      <c r="F99" t="inlineStr">
        <is>
          <t>703</t>
        </is>
      </c>
      <c r="G99" s="39" t="n">
        <v>654000</v>
      </c>
      <c r="H99" s="39" t="n">
        <v>654000</v>
      </c>
      <c r="I99" t="inlineStr">
        <is>
          <t>Edificio</t>
        </is>
      </c>
      <c r="J99" t="inlineStr">
        <is>
          <t>A</t>
        </is>
      </c>
      <c r="K99" t="inlineStr">
        <is>
          <t>Estacionamiento</t>
        </is>
      </c>
      <c r="L99" t="inlineStr">
        <is>
          <t>E 06 - D 04</t>
        </is>
      </c>
      <c r="M99" s="39" t="n">
        <v>57500</v>
      </c>
      <c r="N99" s="39" t="n">
        <v>57500</v>
      </c>
      <c r="S99" s="39" t="n"/>
      <c r="T99" s="39" t="n"/>
      <c r="Y99" s="39" t="n"/>
      <c r="Z99" s="39" t="n"/>
      <c r="AA99" t="inlineStr">
        <is>
          <t xml:space="preserve">David Edgar Valencia Cordova </t>
        </is>
      </c>
      <c r="AB99" t="inlineStr">
        <is>
          <t>41844906</t>
        </is>
      </c>
      <c r="AC99" t="inlineStr">
        <is>
          <t>P. Joven Año Nuevo Jr. Montero Rosas 860</t>
        </is>
      </c>
      <c r="AD99" t="n">
        <v>991846561</v>
      </c>
      <c r="AE99" t="inlineStr">
        <is>
          <t>991846561</t>
        </is>
      </c>
      <c r="AF99" t="inlineStr">
        <is>
          <t>davico29@gmail.com</t>
        </is>
      </c>
      <c r="AG99" t="inlineStr">
        <is>
          <t>LIMA</t>
        </is>
      </c>
      <c r="AH99" t="inlineStr">
        <is>
          <t>COMAS</t>
        </is>
      </c>
      <c r="AI99" s="75" t="n">
        <v>46021</v>
      </c>
      <c r="AJ99" s="75" t="n">
        <v>46017</v>
      </c>
      <c r="AK99" t="inlineStr">
        <is>
          <t>SALDO FINANCIAR</t>
        </is>
      </c>
      <c r="AL99" t="n">
        <v>11</v>
      </c>
      <c r="AM99" t="n">
        <v>34750</v>
      </c>
      <c r="AN99" t="n">
        <v>0</v>
      </c>
      <c r="AO99" t="n">
        <v>0</v>
      </c>
      <c r="AP99" s="39" t="n">
        <v>34750</v>
      </c>
      <c r="AQ99" s="39" t="n">
        <v>34750</v>
      </c>
      <c r="AR99" s="39" t="n">
        <v>0</v>
      </c>
      <c r="AS99" t="n">
        <v>0</v>
      </c>
      <c r="AT99" t="inlineStr">
        <is>
          <t>Crédito Hipotecario</t>
        </is>
      </c>
      <c r="AU99" t="inlineStr">
        <is>
          <t>Scotiabank Perú</t>
        </is>
      </c>
      <c r="AV99" t="inlineStr">
        <is>
          <t>000-2768484</t>
        </is>
      </c>
      <c r="AW99" t="inlineStr">
        <is>
          <t>TRANSFERENCIA BANCARIA</t>
        </is>
      </c>
      <c r="AX99" t="n">
        <v>41844906</v>
      </c>
      <c r="AY99" t="inlineStr">
        <is>
          <t>503253</t>
        </is>
      </c>
      <c r="AZ99" t="inlineStr">
        <is>
          <t>No</t>
        </is>
      </c>
      <c r="BA99" t="inlineStr">
        <is>
          <t>NO PRECISA</t>
        </is>
      </c>
      <c r="BB99" t="n">
        <v>4</v>
      </c>
      <c r="BC99" t="inlineStr">
        <is>
          <t>CANCELADO</t>
        </is>
      </c>
      <c r="BN99" t="inlineStr">
        <is>
          <t>Si</t>
        </is>
      </c>
      <c r="BO99" s="76" t="n">
        <v>45687.61736111111</v>
      </c>
      <c r="BP99" t="inlineStr">
        <is>
          <t>Kenny Salazar S</t>
        </is>
      </c>
      <c r="BR99" t="n">
        <v>38</v>
      </c>
      <c r="BS99" t="inlineStr">
        <is>
          <t>05/06/2026 11:14</t>
        </is>
      </c>
      <c r="BW99" t="inlineStr">
        <is>
          <t>Cobranzas_2025.csv</t>
        </is>
      </c>
      <c r="BX99" t="n">
        <v>2025</v>
      </c>
      <c r="BY99" t="inlineStr">
        <is>
          <t>01/01/2024</t>
        </is>
      </c>
      <c r="BZ99" t="inlineStr">
        <is>
          <t>30/06/2031</t>
        </is>
      </c>
    </row>
    <row r="100">
      <c r="A100" t="inlineStr">
        <is>
          <t>RESIDENCIAL PRADA</t>
        </is>
      </c>
      <c r="B100" t="inlineStr">
        <is>
          <t>Etapa 1</t>
        </is>
      </c>
      <c r="C100" t="inlineStr">
        <is>
          <t>Edificio</t>
        </is>
      </c>
      <c r="D100" t="inlineStr">
        <is>
          <t>A</t>
        </is>
      </c>
      <c r="E100" t="inlineStr">
        <is>
          <t>Departamento</t>
        </is>
      </c>
      <c r="F100" t="inlineStr">
        <is>
          <t>801</t>
        </is>
      </c>
      <c r="G100" s="39" t="n">
        <v>630000</v>
      </c>
      <c r="H100" s="39" t="n">
        <v>630000</v>
      </c>
      <c r="M100" s="39" t="n"/>
      <c r="N100" s="39" t="n"/>
      <c r="S100" s="39" t="n"/>
      <c r="T100" s="39" t="n"/>
      <c r="Y100" s="39" t="n"/>
      <c r="Z100" s="39" t="n"/>
      <c r="AA100" t="inlineStr">
        <is>
          <t>Denisse Estela Linares Suarez</t>
        </is>
      </c>
      <c r="AB100" t="inlineStr">
        <is>
          <t>44457800</t>
        </is>
      </c>
      <c r="AC100" t="inlineStr">
        <is>
          <t>Jr. Zorritos 1399 – Block 37 Dpto. 201 - Cercado Lima</t>
        </is>
      </c>
      <c r="AD100" t="n">
        <v>991810339</v>
      </c>
      <c r="AE100" t="inlineStr">
        <is>
          <t>991810339</t>
        </is>
      </c>
      <c r="AF100" t="inlineStr">
        <is>
          <t>dlinaressuarez@gmail.com</t>
        </is>
      </c>
      <c r="AG100" t="inlineStr">
        <is>
          <t>LIMA</t>
        </is>
      </c>
      <c r="AH100" t="inlineStr">
        <is>
          <t>CERCADO DE LIMA</t>
        </is>
      </c>
      <c r="AI100" s="75" t="n">
        <v>45829</v>
      </c>
      <c r="AJ100" s="75" t="n">
        <v>45829</v>
      </c>
      <c r="AK100" t="inlineStr">
        <is>
          <t>SEPARACION</t>
        </is>
      </c>
      <c r="AL100" t="n">
        <v>1</v>
      </c>
      <c r="AM100" t="n">
        <v>3000</v>
      </c>
      <c r="AN100" t="n">
        <v>0</v>
      </c>
      <c r="AO100" t="n">
        <v>0</v>
      </c>
      <c r="AP100" s="39" t="n">
        <v>3000</v>
      </c>
      <c r="AQ100" s="39" t="n">
        <v>3000</v>
      </c>
      <c r="AR100" s="39" t="n">
        <v>0</v>
      </c>
      <c r="AS100" t="n">
        <v>0</v>
      </c>
      <c r="AT100" t="inlineStr">
        <is>
          <t>Ahorro</t>
        </is>
      </c>
      <c r="AU100" t="inlineStr">
        <is>
          <t>Scotiabank Perú</t>
        </is>
      </c>
      <c r="AV100" t="inlineStr">
        <is>
          <t>000-2768484</t>
        </is>
      </c>
      <c r="AW100" t="inlineStr">
        <is>
          <t>TRANSFERENCIA BANCARIA</t>
        </is>
      </c>
      <c r="AY100" t="inlineStr">
        <is>
          <t>00002657000000000</t>
        </is>
      </c>
      <c r="AZ100" t="inlineStr">
        <is>
          <t>No</t>
        </is>
      </c>
      <c r="BB100" t="n">
        <v>4</v>
      </c>
      <c r="BC100" t="inlineStr">
        <is>
          <t>CANCELADO</t>
        </is>
      </c>
      <c r="BN100" t="inlineStr">
        <is>
          <t>Si</t>
        </is>
      </c>
      <c r="BO100" s="76" t="n">
        <v>45880.51319444444</v>
      </c>
      <c r="BP100" t="inlineStr">
        <is>
          <t>Kenny Salazar S</t>
        </is>
      </c>
      <c r="BR100" t="n">
        <v>44</v>
      </c>
      <c r="BS100" t="inlineStr">
        <is>
          <t>03/06/2026 08:53</t>
        </is>
      </c>
      <c r="BW100" t="inlineStr">
        <is>
          <t>Cobranzas_2025.csv</t>
        </is>
      </c>
      <c r="BX100" t="n">
        <v>2025</v>
      </c>
      <c r="BY100" t="inlineStr">
        <is>
          <t>01/01/2024</t>
        </is>
      </c>
      <c r="BZ100" t="inlineStr">
        <is>
          <t>30/06/2031</t>
        </is>
      </c>
    </row>
    <row r="101">
      <c r="A101" t="inlineStr">
        <is>
          <t>RESIDENCIAL PRADA</t>
        </is>
      </c>
      <c r="B101" t="inlineStr">
        <is>
          <t>Etapa 1</t>
        </is>
      </c>
      <c r="C101" t="inlineStr">
        <is>
          <t>Edificio</t>
        </is>
      </c>
      <c r="D101" t="inlineStr">
        <is>
          <t>A</t>
        </is>
      </c>
      <c r="E101" t="inlineStr">
        <is>
          <t>Departamento</t>
        </is>
      </c>
      <c r="F101" t="inlineStr">
        <is>
          <t>801</t>
        </is>
      </c>
      <c r="G101" s="39" t="n">
        <v>630000</v>
      </c>
      <c r="H101" s="39" t="n">
        <v>630000</v>
      </c>
      <c r="M101" s="39" t="n"/>
      <c r="N101" s="39" t="n"/>
      <c r="S101" s="39" t="n"/>
      <c r="T101" s="39" t="n"/>
      <c r="Y101" s="39" t="n"/>
      <c r="Z101" s="39" t="n"/>
      <c r="AA101" t="inlineStr">
        <is>
          <t>Denisse Estela Linares Suarez</t>
        </is>
      </c>
      <c r="AB101" t="inlineStr">
        <is>
          <t>44457800</t>
        </is>
      </c>
      <c r="AC101" t="inlineStr">
        <is>
          <t>Jr. Zorritos 1399 – Block 37 Dpto. 201 - Cercado Lima</t>
        </is>
      </c>
      <c r="AD101" t="n">
        <v>991810339</v>
      </c>
      <c r="AE101" t="inlineStr">
        <is>
          <t>991810339</t>
        </is>
      </c>
      <c r="AF101" t="inlineStr">
        <is>
          <t>dlinaressuarez@gmail.com</t>
        </is>
      </c>
      <c r="AG101" t="inlineStr">
        <is>
          <t>LIMA</t>
        </is>
      </c>
      <c r="AH101" t="inlineStr">
        <is>
          <t>CERCADO DE LIMA</t>
        </is>
      </c>
      <c r="AI101" s="75" t="n">
        <v>45880</v>
      </c>
      <c r="AJ101" s="75" t="n">
        <v>45880</v>
      </c>
      <c r="AK101" t="inlineStr">
        <is>
          <t>CUOTA INICIAL</t>
        </is>
      </c>
      <c r="AL101" t="n">
        <v>1</v>
      </c>
      <c r="AM101" t="n">
        <v>50000</v>
      </c>
      <c r="AN101" t="n">
        <v>0</v>
      </c>
      <c r="AO101" t="n">
        <v>0</v>
      </c>
      <c r="AP101" s="39" t="n">
        <v>50000</v>
      </c>
      <c r="AQ101" s="39" t="n">
        <v>50000</v>
      </c>
      <c r="AR101" s="39" t="n">
        <v>0</v>
      </c>
      <c r="AS101" t="n">
        <v>0</v>
      </c>
      <c r="AT101" t="inlineStr">
        <is>
          <t>Ahorro</t>
        </is>
      </c>
      <c r="AU101" t="inlineStr">
        <is>
          <t>Scotiabank Perú</t>
        </is>
      </c>
      <c r="AV101" t="inlineStr">
        <is>
          <t>000-2768484</t>
        </is>
      </c>
      <c r="AW101" t="inlineStr">
        <is>
          <t>TRANSFERENCIA BANCARIA</t>
        </is>
      </c>
      <c r="AX101" t="n">
        <v>44457800</v>
      </c>
      <c r="AY101" t="inlineStr">
        <is>
          <t>6300922660</t>
        </is>
      </c>
      <c r="AZ101" t="inlineStr">
        <is>
          <t>No</t>
        </is>
      </c>
      <c r="BA101" t="inlineStr">
        <is>
          <t>NO PRECISA</t>
        </is>
      </c>
      <c r="BB101" t="n">
        <v>4</v>
      </c>
      <c r="BC101" t="inlineStr">
        <is>
          <t>CANCELADO</t>
        </is>
      </c>
      <c r="BN101" t="inlineStr">
        <is>
          <t>Si</t>
        </is>
      </c>
      <c r="BO101" s="76" t="n">
        <v>45880.51319444444</v>
      </c>
      <c r="BP101" t="inlineStr">
        <is>
          <t>Kenny Salazar S</t>
        </is>
      </c>
      <c r="BR101" t="n">
        <v>44</v>
      </c>
      <c r="BS101" t="inlineStr">
        <is>
          <t>05/06/2026 12:05</t>
        </is>
      </c>
      <c r="BW101" t="inlineStr">
        <is>
          <t>Cobranzas_2025.csv</t>
        </is>
      </c>
      <c r="BX101" t="n">
        <v>2025</v>
      </c>
      <c r="BY101" t="inlineStr">
        <is>
          <t>01/01/2024</t>
        </is>
      </c>
      <c r="BZ101" t="inlineStr">
        <is>
          <t>30/06/2031</t>
        </is>
      </c>
    </row>
    <row r="102">
      <c r="A102" t="inlineStr">
        <is>
          <t>RESIDENCIAL PRADA</t>
        </is>
      </c>
      <c r="B102" t="inlineStr">
        <is>
          <t>Etapa 1</t>
        </is>
      </c>
      <c r="C102" t="inlineStr">
        <is>
          <t>Edificio</t>
        </is>
      </c>
      <c r="D102" t="inlineStr">
        <is>
          <t>A</t>
        </is>
      </c>
      <c r="E102" t="inlineStr">
        <is>
          <t>Departamento</t>
        </is>
      </c>
      <c r="F102" t="inlineStr">
        <is>
          <t>801</t>
        </is>
      </c>
      <c r="G102" s="39" t="n">
        <v>630000</v>
      </c>
      <c r="H102" s="39" t="n">
        <v>630000</v>
      </c>
      <c r="M102" s="39" t="n"/>
      <c r="N102" s="39" t="n"/>
      <c r="S102" s="39" t="n"/>
      <c r="T102" s="39" t="n"/>
      <c r="Y102" s="39" t="n"/>
      <c r="Z102" s="39" t="n"/>
      <c r="AA102" t="inlineStr">
        <is>
          <t>Denisse Estela Linares Suarez</t>
        </is>
      </c>
      <c r="AB102" t="inlineStr">
        <is>
          <t>44457800</t>
        </is>
      </c>
      <c r="AC102" t="inlineStr">
        <is>
          <t>Jr. Zorritos 1399 – Block 37 Dpto. 201 - Cercado Lima</t>
        </is>
      </c>
      <c r="AD102" t="n">
        <v>991810339</v>
      </c>
      <c r="AE102" t="inlineStr">
        <is>
          <t>991810339</t>
        </is>
      </c>
      <c r="AF102" t="inlineStr">
        <is>
          <t>dlinaressuarez@gmail.com</t>
        </is>
      </c>
      <c r="AG102" t="inlineStr">
        <is>
          <t>LIMA</t>
        </is>
      </c>
      <c r="AH102" t="inlineStr">
        <is>
          <t>CERCADO DE LIMA</t>
        </is>
      </c>
      <c r="AI102" s="75" t="n">
        <v>45960</v>
      </c>
      <c r="AJ102" s="75" t="n">
        <v>45961</v>
      </c>
      <c r="AK102" t="inlineStr">
        <is>
          <t>CUOTA INICIAL</t>
        </is>
      </c>
      <c r="AL102" t="n">
        <v>2</v>
      </c>
      <c r="AM102" t="n">
        <v>0</v>
      </c>
      <c r="AN102" t="n">
        <v>0</v>
      </c>
      <c r="AO102" t="n">
        <v>0</v>
      </c>
      <c r="AP102" s="39" t="n">
        <v>53000</v>
      </c>
      <c r="AQ102" s="39" t="n">
        <v>50000</v>
      </c>
      <c r="AR102" s="39" t="n">
        <v>0</v>
      </c>
      <c r="AS102" t="n">
        <v>0</v>
      </c>
      <c r="AT102" t="inlineStr">
        <is>
          <t>Ahorro</t>
        </is>
      </c>
      <c r="AU102" t="inlineStr">
        <is>
          <t>Scotiabank Perú</t>
        </is>
      </c>
      <c r="AV102" t="inlineStr">
        <is>
          <t>000-2768484</t>
        </is>
      </c>
      <c r="AW102" t="inlineStr">
        <is>
          <t>TRANSFERENCIA BANCARIA</t>
        </is>
      </c>
      <c r="AX102" t="n">
        <v>44457800</v>
      </c>
      <c r="AY102" t="inlineStr">
        <is>
          <t>6300922660</t>
        </is>
      </c>
      <c r="AZ102" t="inlineStr">
        <is>
          <t>No</t>
        </is>
      </c>
      <c r="BA102" t="inlineStr">
        <is>
          <t>NO PRECISA</t>
        </is>
      </c>
      <c r="BB102" t="n">
        <v>4</v>
      </c>
      <c r="BC102" t="inlineStr">
        <is>
          <t>CANCELADO</t>
        </is>
      </c>
      <c r="BN102" t="inlineStr">
        <is>
          <t>Si</t>
        </is>
      </c>
      <c r="BO102" s="76" t="n">
        <v>45880.51319444444</v>
      </c>
      <c r="BP102" t="inlineStr">
        <is>
          <t>Kenny Salazar S</t>
        </is>
      </c>
      <c r="BR102" t="n">
        <v>44</v>
      </c>
      <c r="BS102" t="inlineStr">
        <is>
          <t>05/06/2026 12:10</t>
        </is>
      </c>
      <c r="BW102" t="inlineStr">
        <is>
          <t>Cobranzas_2025.csv</t>
        </is>
      </c>
      <c r="BX102" t="n">
        <v>2025</v>
      </c>
      <c r="BY102" t="inlineStr">
        <is>
          <t>01/01/2024</t>
        </is>
      </c>
      <c r="BZ102" t="inlineStr">
        <is>
          <t>30/06/2031</t>
        </is>
      </c>
    </row>
    <row r="103">
      <c r="A103" t="inlineStr">
        <is>
          <t>RESIDENCIAL PRADA</t>
        </is>
      </c>
      <c r="B103" t="inlineStr">
        <is>
          <t>Etapa 1</t>
        </is>
      </c>
      <c r="C103" t="inlineStr">
        <is>
          <t>Edificio</t>
        </is>
      </c>
      <c r="D103" t="inlineStr">
        <is>
          <t>A</t>
        </is>
      </c>
      <c r="E103" t="inlineStr">
        <is>
          <t>Departamento</t>
        </is>
      </c>
      <c r="F103" t="inlineStr">
        <is>
          <t>801</t>
        </is>
      </c>
      <c r="G103" s="39" t="n">
        <v>630000</v>
      </c>
      <c r="H103" s="39" t="n">
        <v>630000</v>
      </c>
      <c r="M103" s="39" t="n"/>
      <c r="N103" s="39" t="n"/>
      <c r="S103" s="39" t="n"/>
      <c r="T103" s="39" t="n"/>
      <c r="Y103" s="39" t="n"/>
      <c r="Z103" s="39" t="n"/>
      <c r="AA103" t="inlineStr">
        <is>
          <t>Denisse Estela Linares Suarez</t>
        </is>
      </c>
      <c r="AB103" t="inlineStr">
        <is>
          <t>44457800</t>
        </is>
      </c>
      <c r="AC103" t="inlineStr">
        <is>
          <t>Jr. Zorritos 1399 – Block 37 Dpto. 201 - Cercado Lima</t>
        </is>
      </c>
      <c r="AD103" t="n">
        <v>991810339</v>
      </c>
      <c r="AE103" t="inlineStr">
        <is>
          <t>991810339</t>
        </is>
      </c>
      <c r="AF103" t="inlineStr">
        <is>
          <t>dlinaressuarez@gmail.com</t>
        </is>
      </c>
      <c r="AG103" t="inlineStr">
        <is>
          <t>LIMA</t>
        </is>
      </c>
      <c r="AH103" t="inlineStr">
        <is>
          <t>CERCADO DE LIMA</t>
        </is>
      </c>
      <c r="AI103" s="75" t="n">
        <v>45960</v>
      </c>
      <c r="AJ103" s="75" t="n">
        <v>46022</v>
      </c>
      <c r="AK103" t="inlineStr">
        <is>
          <t>CUOTA INICIAL</t>
        </is>
      </c>
      <c r="AL103" t="n">
        <v>2</v>
      </c>
      <c r="AM103" t="n">
        <v>53000</v>
      </c>
      <c r="AN103" t="n">
        <v>0</v>
      </c>
      <c r="AO103" t="n">
        <v>0</v>
      </c>
      <c r="AP103" s="39" t="n">
        <v>0</v>
      </c>
      <c r="AQ103" s="39" t="n">
        <v>3000</v>
      </c>
      <c r="AR103" s="39" t="n">
        <v>0</v>
      </c>
      <c r="AS103" t="n">
        <v>0</v>
      </c>
      <c r="AT103" t="inlineStr">
        <is>
          <t>Ahorro</t>
        </is>
      </c>
      <c r="AU103" t="inlineStr">
        <is>
          <t>Scotiabank Perú</t>
        </is>
      </c>
      <c r="AV103" t="inlineStr">
        <is>
          <t>000-2768484</t>
        </is>
      </c>
      <c r="AW103" t="inlineStr">
        <is>
          <t>TRANSFERENCIA BANCARIA</t>
        </is>
      </c>
      <c r="AY103" t="inlineStr">
        <is>
          <t>7844655528281</t>
        </is>
      </c>
      <c r="AZ103" t="inlineStr">
        <is>
          <t>No</t>
        </is>
      </c>
      <c r="BB103" t="n">
        <v>4</v>
      </c>
      <c r="BC103" t="inlineStr">
        <is>
          <t>CANCELADO</t>
        </is>
      </c>
      <c r="BN103" t="inlineStr">
        <is>
          <t>Si</t>
        </is>
      </c>
      <c r="BO103" s="76" t="n">
        <v>45880.51319444444</v>
      </c>
      <c r="BP103" t="inlineStr">
        <is>
          <t>Kenny Salazar S</t>
        </is>
      </c>
      <c r="BR103" t="n">
        <v>44</v>
      </c>
      <c r="BS103" t="inlineStr">
        <is>
          <t>07/07/2026 12:17</t>
        </is>
      </c>
      <c r="BW103" t="inlineStr">
        <is>
          <t>Cobranzas_2025.csv</t>
        </is>
      </c>
      <c r="BX103" t="n">
        <v>2025</v>
      </c>
      <c r="BY103" t="inlineStr">
        <is>
          <t>01/01/2024</t>
        </is>
      </c>
      <c r="BZ103" t="inlineStr">
        <is>
          <t>30/06/2031</t>
        </is>
      </c>
    </row>
    <row r="104">
      <c r="A104" t="inlineStr">
        <is>
          <t>RESIDENCIAL PRADA</t>
        </is>
      </c>
      <c r="B104" t="inlineStr">
        <is>
          <t>Etapa 1</t>
        </is>
      </c>
      <c r="C104" t="inlineStr">
        <is>
          <t>Edificio</t>
        </is>
      </c>
      <c r="D104" t="inlineStr">
        <is>
          <t>A</t>
        </is>
      </c>
      <c r="E104" t="inlineStr">
        <is>
          <t>Departamento</t>
        </is>
      </c>
      <c r="F104" t="inlineStr">
        <is>
          <t>801</t>
        </is>
      </c>
      <c r="G104" s="39" t="n">
        <v>630000</v>
      </c>
      <c r="H104" s="39" t="n">
        <v>630000</v>
      </c>
      <c r="M104" s="39" t="n"/>
      <c r="N104" s="39" t="n"/>
      <c r="S104" s="39" t="n"/>
      <c r="T104" s="39" t="n"/>
      <c r="Y104" s="39" t="n"/>
      <c r="Z104" s="39" t="n"/>
      <c r="AA104" t="inlineStr">
        <is>
          <t>Denisse Estela Linares Suarez</t>
        </is>
      </c>
      <c r="AB104" t="inlineStr">
        <is>
          <t>44457800</t>
        </is>
      </c>
      <c r="AC104" t="inlineStr">
        <is>
          <t>Jr. Zorritos 1399 – Block 37 Dpto. 201 - Cercado Lima</t>
        </is>
      </c>
      <c r="AD104" t="n">
        <v>991810339</v>
      </c>
      <c r="AE104" t="inlineStr">
        <is>
          <t>991810339</t>
        </is>
      </c>
      <c r="AF104" t="inlineStr">
        <is>
          <t>dlinaressuarez@gmail.com</t>
        </is>
      </c>
      <c r="AG104" t="inlineStr">
        <is>
          <t>LIMA</t>
        </is>
      </c>
      <c r="AH104" t="inlineStr">
        <is>
          <t>CERCADO DE LIMA</t>
        </is>
      </c>
      <c r="AI104" s="75" t="n">
        <v>45960</v>
      </c>
      <c r="AJ104" s="75" t="n">
        <v>46022</v>
      </c>
      <c r="AK104" t="inlineStr">
        <is>
          <t>CUOTA INICIAL</t>
        </is>
      </c>
      <c r="AL104" t="n">
        <v>3</v>
      </c>
      <c r="AM104" t="n">
        <v>20000</v>
      </c>
      <c r="AN104" t="n">
        <v>0</v>
      </c>
      <c r="AO104" t="n">
        <v>0</v>
      </c>
      <c r="AP104" s="39" t="n">
        <v>20000</v>
      </c>
      <c r="AQ104" s="39" t="n">
        <v>20000</v>
      </c>
      <c r="AR104" s="39" t="n">
        <v>0</v>
      </c>
      <c r="AS104" t="n">
        <v>0</v>
      </c>
      <c r="AT104" t="inlineStr">
        <is>
          <t>Ahorro</t>
        </is>
      </c>
      <c r="AU104" t="inlineStr">
        <is>
          <t>Scotiabank Perú</t>
        </is>
      </c>
      <c r="AV104" t="inlineStr">
        <is>
          <t>000-2768484</t>
        </is>
      </c>
      <c r="AW104" t="inlineStr">
        <is>
          <t>TRANSFERENCIA BANCARIA</t>
        </is>
      </c>
      <c r="AY104" t="inlineStr">
        <is>
          <t>7844655528281</t>
        </is>
      </c>
      <c r="AZ104" t="inlineStr">
        <is>
          <t>No</t>
        </is>
      </c>
      <c r="BB104" t="n">
        <v>4</v>
      </c>
      <c r="BC104" t="inlineStr">
        <is>
          <t>CANCELADO</t>
        </is>
      </c>
      <c r="BN104" t="inlineStr">
        <is>
          <t>Si</t>
        </is>
      </c>
      <c r="BO104" s="76" t="n">
        <v>45880.51319444444</v>
      </c>
      <c r="BP104" t="inlineStr">
        <is>
          <t>Kenny Salazar S</t>
        </is>
      </c>
      <c r="BR104" t="n">
        <v>44</v>
      </c>
      <c r="BS104" t="inlineStr">
        <is>
          <t>07/07/2026 12:17</t>
        </is>
      </c>
      <c r="BW104" t="inlineStr">
        <is>
          <t>Cobranzas_2025.csv</t>
        </is>
      </c>
      <c r="BX104" t="n">
        <v>2025</v>
      </c>
      <c r="BY104" t="inlineStr">
        <is>
          <t>01/01/2024</t>
        </is>
      </c>
      <c r="BZ104" t="inlineStr">
        <is>
          <t>30/06/2031</t>
        </is>
      </c>
    </row>
    <row r="105">
      <c r="A105" t="inlineStr">
        <is>
          <t>RESIDENCIAL BEYOND</t>
        </is>
      </c>
      <c r="B105" t="inlineStr">
        <is>
          <t>Etapa 1</t>
        </is>
      </c>
      <c r="C105" t="inlineStr">
        <is>
          <t>Edificio</t>
        </is>
      </c>
      <c r="D105" t="inlineStr">
        <is>
          <t>A</t>
        </is>
      </c>
      <c r="E105" t="inlineStr">
        <is>
          <t>Departamento</t>
        </is>
      </c>
      <c r="F105" t="inlineStr">
        <is>
          <t>701</t>
        </is>
      </c>
      <c r="G105" s="39" t="n">
        <v>475000</v>
      </c>
      <c r="H105" s="39" t="n">
        <v>475000</v>
      </c>
      <c r="I105" t="inlineStr">
        <is>
          <t>Edificio</t>
        </is>
      </c>
      <c r="J105" t="inlineStr">
        <is>
          <t>A</t>
        </is>
      </c>
      <c r="K105" t="inlineStr">
        <is>
          <t>Estacionamiento</t>
        </is>
      </c>
      <c r="L105" t="inlineStr">
        <is>
          <t>E 17</t>
        </is>
      </c>
      <c r="M105" s="39" t="n">
        <v>46800</v>
      </c>
      <c r="N105" s="39" t="n">
        <v>46800</v>
      </c>
      <c r="S105" s="39" t="n"/>
      <c r="T105" s="39" t="n"/>
      <c r="Y105" s="39" t="n"/>
      <c r="Z105" s="39" t="n"/>
      <c r="AA105" t="inlineStr">
        <is>
          <t>Dolores Lissett Castillo Diaz</t>
        </is>
      </c>
      <c r="AB105" t="inlineStr">
        <is>
          <t>43780263</t>
        </is>
      </c>
      <c r="AC105" t="inlineStr">
        <is>
          <t xml:space="preserve"> Sargento Lores 950      </t>
        </is>
      </c>
      <c r="AD105" t="n">
        <v>0</v>
      </c>
      <c r="AE105" t="inlineStr">
        <is>
          <t>920487874</t>
        </is>
      </c>
      <c r="AF105" t="inlineStr">
        <is>
          <t>licady2486@gmail.com</t>
        </is>
      </c>
      <c r="AG105" t="inlineStr">
        <is>
          <t>MAYNAS</t>
        </is>
      </c>
      <c r="AH105" t="inlineStr">
        <is>
          <t>IQUITOS</t>
        </is>
      </c>
      <c r="AI105" s="75" t="n">
        <v>45997</v>
      </c>
      <c r="AJ105" s="75" t="n">
        <v>45997</v>
      </c>
      <c r="AK105" t="inlineStr">
        <is>
          <t>SEPARACION</t>
        </is>
      </c>
      <c r="AL105" t="n">
        <v>1</v>
      </c>
      <c r="AM105" t="n">
        <v>3000</v>
      </c>
      <c r="AN105" t="n">
        <v>0</v>
      </c>
      <c r="AO105" t="n">
        <v>0</v>
      </c>
      <c r="AP105" s="39" t="n">
        <v>3000</v>
      </c>
      <c r="AQ105" s="39" t="n">
        <v>3000</v>
      </c>
      <c r="AR105" s="39" t="n">
        <v>0</v>
      </c>
      <c r="AS105" t="n">
        <v>0</v>
      </c>
      <c r="AT105" t="inlineStr">
        <is>
          <t>Ahorro</t>
        </is>
      </c>
      <c r="AU105" t="inlineStr">
        <is>
          <t>Banco de Credito del Perú</t>
        </is>
      </c>
      <c r="AV105" t="inlineStr">
        <is>
          <t>194-7325779-0-65</t>
        </is>
      </c>
      <c r="AW105" t="inlineStr">
        <is>
          <t>TRANSFERENCIA BANCARIA</t>
        </is>
      </c>
      <c r="AY105" t="inlineStr">
        <is>
          <t>3623</t>
        </is>
      </c>
      <c r="AZ105" t="inlineStr">
        <is>
          <t>No</t>
        </is>
      </c>
      <c r="BB105" t="n">
        <v>4</v>
      </c>
      <c r="BC105" t="inlineStr">
        <is>
          <t>CANCELADO</t>
        </is>
      </c>
      <c r="BN105" t="inlineStr">
        <is>
          <t>No</t>
        </is>
      </c>
      <c r="BO105" s="76" t="n">
        <v>46003.40833333333</v>
      </c>
      <c r="BP105" t="inlineStr">
        <is>
          <t>Magaly Guevara Perez</t>
        </is>
      </c>
      <c r="BR105" t="n">
        <v>21</v>
      </c>
      <c r="BS105" t="inlineStr">
        <is>
          <t>02/05/2026 12:21</t>
        </is>
      </c>
      <c r="BW105" t="inlineStr">
        <is>
          <t>Cobranzas_2025.csv</t>
        </is>
      </c>
      <c r="BX105" t="n">
        <v>2025</v>
      </c>
      <c r="BY105" t="inlineStr">
        <is>
          <t>01/01/2024</t>
        </is>
      </c>
      <c r="BZ105" t="inlineStr">
        <is>
          <t>30/06/2031</t>
        </is>
      </c>
    </row>
    <row r="106">
      <c r="A106" t="inlineStr">
        <is>
          <t>RESIDENCIAL PRADA</t>
        </is>
      </c>
      <c r="B106" t="inlineStr">
        <is>
          <t>Etapa 1</t>
        </is>
      </c>
      <c r="C106" t="inlineStr">
        <is>
          <t>Edificio</t>
        </is>
      </c>
      <c r="D106" t="inlineStr">
        <is>
          <t>A</t>
        </is>
      </c>
      <c r="E106" t="inlineStr">
        <is>
          <t>Departamento</t>
        </is>
      </c>
      <c r="F106" t="inlineStr">
        <is>
          <t>102</t>
        </is>
      </c>
      <c r="G106" s="39" t="n">
        <v>679000</v>
      </c>
      <c r="H106" s="39" t="n">
        <v>679000</v>
      </c>
      <c r="M106" s="39" t="n"/>
      <c r="N106" s="39" t="n"/>
      <c r="S106" s="39" t="n"/>
      <c r="T106" s="39" t="n"/>
      <c r="Y106" s="39" t="n"/>
      <c r="Z106" s="39" t="n"/>
      <c r="AA106" t="inlineStr">
        <is>
          <t>Edwin Modigliani Efrai Suclla Flores</t>
        </is>
      </c>
      <c r="AB106" t="inlineStr">
        <is>
          <t>08062531</t>
        </is>
      </c>
      <c r="AC106" t="inlineStr">
        <is>
          <t xml:space="preserve">Jr. Monitor Huascar Norte N° 551 Urb. Ventura Rossi  </t>
        </is>
      </c>
      <c r="AD106" t="n">
        <v>997463109</v>
      </c>
      <c r="AE106" t="inlineStr">
        <is>
          <t>997463109</t>
        </is>
      </c>
      <c r="AF106" t="inlineStr">
        <is>
          <t>efrainchbxpar@gmail.com</t>
        </is>
      </c>
      <c r="AG106" t="inlineStr">
        <is>
          <t>LIMA</t>
        </is>
      </c>
      <c r="AH106" t="inlineStr">
        <is>
          <t>RIMAC</t>
        </is>
      </c>
      <c r="AI106" s="75" t="n">
        <v>45794</v>
      </c>
      <c r="AJ106" s="75" t="n">
        <v>45794</v>
      </c>
      <c r="AK106" t="inlineStr">
        <is>
          <t>SEPARACION</t>
        </is>
      </c>
      <c r="AL106" t="n">
        <v>1</v>
      </c>
      <c r="AM106" t="n">
        <v>3000</v>
      </c>
      <c r="AN106" t="n">
        <v>0</v>
      </c>
      <c r="AO106" t="n">
        <v>0</v>
      </c>
      <c r="AP106" s="39" t="n">
        <v>3000</v>
      </c>
      <c r="AQ106" s="39" t="n">
        <v>3000</v>
      </c>
      <c r="AR106" s="39" t="n">
        <v>0</v>
      </c>
      <c r="AS106" t="n">
        <v>0</v>
      </c>
      <c r="AT106" t="inlineStr">
        <is>
          <t>Crédito Hipotecario</t>
        </is>
      </c>
      <c r="AU106" t="inlineStr">
        <is>
          <t>Scotiabank Perú</t>
        </is>
      </c>
      <c r="AV106" t="inlineStr">
        <is>
          <t>000-2768484</t>
        </is>
      </c>
      <c r="AW106" t="inlineStr">
        <is>
          <t>TRANSFERENCIA BANCARIA</t>
        </is>
      </c>
      <c r="AX106" t="n">
        <v>8062531</v>
      </c>
      <c r="AY106" t="inlineStr">
        <is>
          <t>00005340000000000</t>
        </is>
      </c>
      <c r="AZ106" t="inlineStr">
        <is>
          <t>No</t>
        </is>
      </c>
      <c r="BA106" t="inlineStr">
        <is>
          <t>NO PRECISA</t>
        </is>
      </c>
      <c r="BB106" t="n">
        <v>4</v>
      </c>
      <c r="BC106" t="inlineStr">
        <is>
          <t>CANCELADO</t>
        </is>
      </c>
      <c r="BN106" t="inlineStr">
        <is>
          <t>Si</t>
        </is>
      </c>
      <c r="BO106" s="76" t="n">
        <v>45811.65069444444</v>
      </c>
      <c r="BP106" t="inlineStr">
        <is>
          <t>Kenny Salazar S</t>
        </is>
      </c>
      <c r="BR106" t="n">
        <v>26</v>
      </c>
      <c r="BS106" t="inlineStr">
        <is>
          <t>02/06/2026 12:17</t>
        </is>
      </c>
      <c r="BW106" t="inlineStr">
        <is>
          <t>Cobranzas_2025.csv</t>
        </is>
      </c>
      <c r="BX106" t="n">
        <v>2025</v>
      </c>
      <c r="BY106" t="inlineStr">
        <is>
          <t>01/01/2024</t>
        </is>
      </c>
      <c r="BZ106" t="inlineStr">
        <is>
          <t>30/06/2031</t>
        </is>
      </c>
    </row>
    <row r="107">
      <c r="A107" t="inlineStr">
        <is>
          <t>RESIDENCIAL PRADA</t>
        </is>
      </c>
      <c r="B107" t="inlineStr">
        <is>
          <t>Etapa 1</t>
        </is>
      </c>
      <c r="C107" t="inlineStr">
        <is>
          <t>Edificio</t>
        </is>
      </c>
      <c r="D107" t="inlineStr">
        <is>
          <t>A</t>
        </is>
      </c>
      <c r="E107" t="inlineStr">
        <is>
          <t>Departamento</t>
        </is>
      </c>
      <c r="F107" t="inlineStr">
        <is>
          <t>102</t>
        </is>
      </c>
      <c r="G107" s="39" t="n">
        <v>679000</v>
      </c>
      <c r="H107" s="39" t="n">
        <v>679000</v>
      </c>
      <c r="M107" s="39" t="n"/>
      <c r="N107" s="39" t="n"/>
      <c r="S107" s="39" t="n"/>
      <c r="T107" s="39" t="n"/>
      <c r="Y107" s="39" t="n"/>
      <c r="Z107" s="39" t="n"/>
      <c r="AA107" t="inlineStr">
        <is>
          <t>Edwin Modigliani Efrai Suclla Flores</t>
        </is>
      </c>
      <c r="AB107" t="inlineStr">
        <is>
          <t>08062531</t>
        </is>
      </c>
      <c r="AC107" t="inlineStr">
        <is>
          <t xml:space="preserve">Jr. Monitor Huascar Norte N° 551 Urb. Ventura Rossi  </t>
        </is>
      </c>
      <c r="AD107" t="n">
        <v>997463109</v>
      </c>
      <c r="AE107" t="inlineStr">
        <is>
          <t>997463109</t>
        </is>
      </c>
      <c r="AF107" t="inlineStr">
        <is>
          <t>efrainchbxpar@gmail.com</t>
        </is>
      </c>
      <c r="AG107" t="inlineStr">
        <is>
          <t>LIMA</t>
        </is>
      </c>
      <c r="AH107" t="inlineStr">
        <is>
          <t>RIMAC</t>
        </is>
      </c>
      <c r="AI107" s="75" t="n">
        <v>45811</v>
      </c>
      <c r="AJ107" s="75" t="n">
        <v>45811</v>
      </c>
      <c r="AK107" t="inlineStr">
        <is>
          <t>CUOTA INICIAL</t>
        </is>
      </c>
      <c r="AL107" t="n">
        <v>1</v>
      </c>
      <c r="AM107" t="n">
        <v>150000</v>
      </c>
      <c r="AN107" t="n">
        <v>0</v>
      </c>
      <c r="AO107" t="n">
        <v>0</v>
      </c>
      <c r="AP107" s="39" t="n">
        <v>150000</v>
      </c>
      <c r="AQ107" s="39" t="n">
        <v>150000</v>
      </c>
      <c r="AR107" s="39" t="n">
        <v>0</v>
      </c>
      <c r="AS107" t="n">
        <v>0</v>
      </c>
      <c r="AT107" t="inlineStr">
        <is>
          <t>Crédito Hipotecario</t>
        </is>
      </c>
      <c r="AU107" t="inlineStr">
        <is>
          <t>Scotiabank Perú</t>
        </is>
      </c>
      <c r="AV107" t="inlineStr">
        <is>
          <t>000-2768484</t>
        </is>
      </c>
      <c r="AW107" t="inlineStr">
        <is>
          <t>TRANSFERENCIA BANCARIA</t>
        </is>
      </c>
      <c r="AX107" t="n">
        <v>8062531</v>
      </c>
      <c r="AY107" t="inlineStr">
        <is>
          <t>0500010063</t>
        </is>
      </c>
      <c r="AZ107" t="inlineStr">
        <is>
          <t>No</t>
        </is>
      </c>
      <c r="BA107" t="inlineStr">
        <is>
          <t>NO PRECISA</t>
        </is>
      </c>
      <c r="BB107" t="n">
        <v>4</v>
      </c>
      <c r="BC107" t="inlineStr">
        <is>
          <t>CANCELADO</t>
        </is>
      </c>
      <c r="BN107" t="inlineStr">
        <is>
          <t>Si</t>
        </is>
      </c>
      <c r="BO107" s="76" t="n">
        <v>45811.65069444444</v>
      </c>
      <c r="BP107" t="inlineStr">
        <is>
          <t>Kenny Salazar S</t>
        </is>
      </c>
      <c r="BR107" t="n">
        <v>26</v>
      </c>
      <c r="BS107" t="inlineStr">
        <is>
          <t>04/06/2026 09:23</t>
        </is>
      </c>
      <c r="BW107" t="inlineStr">
        <is>
          <t>Cobranzas_2025.csv</t>
        </is>
      </c>
      <c r="BX107" t="n">
        <v>2025</v>
      </c>
      <c r="BY107" t="inlineStr">
        <is>
          <t>01/01/2024</t>
        </is>
      </c>
      <c r="BZ107" t="inlineStr">
        <is>
          <t>30/06/2031</t>
        </is>
      </c>
    </row>
    <row r="108">
      <c r="A108" t="inlineStr">
        <is>
          <t>RESIDENCIAL PRADA</t>
        </is>
      </c>
      <c r="B108" t="inlineStr">
        <is>
          <t>Etapa 1</t>
        </is>
      </c>
      <c r="C108" t="inlineStr">
        <is>
          <t>Edificio</t>
        </is>
      </c>
      <c r="D108" t="inlineStr">
        <is>
          <t>A</t>
        </is>
      </c>
      <c r="E108" t="inlineStr">
        <is>
          <t>Departamento</t>
        </is>
      </c>
      <c r="F108" t="inlineStr">
        <is>
          <t>102</t>
        </is>
      </c>
      <c r="G108" s="39" t="n">
        <v>679000</v>
      </c>
      <c r="H108" s="39" t="n">
        <v>679000</v>
      </c>
      <c r="M108" s="39" t="n"/>
      <c r="N108" s="39" t="n"/>
      <c r="S108" s="39" t="n"/>
      <c r="T108" s="39" t="n"/>
      <c r="Y108" s="39" t="n"/>
      <c r="Z108" s="39" t="n"/>
      <c r="AA108" t="inlineStr">
        <is>
          <t>Edwin Modigliani Efrai Suclla Flores</t>
        </is>
      </c>
      <c r="AB108" t="inlineStr">
        <is>
          <t>08062531</t>
        </is>
      </c>
      <c r="AC108" t="inlineStr">
        <is>
          <t xml:space="preserve">Jr. Monitor Huascar Norte N° 551 Urb. Ventura Rossi  </t>
        </is>
      </c>
      <c r="AD108" t="n">
        <v>997463109</v>
      </c>
      <c r="AE108" t="inlineStr">
        <is>
          <t>997463109</t>
        </is>
      </c>
      <c r="AF108" t="inlineStr">
        <is>
          <t>efrainchbxpar@gmail.com</t>
        </is>
      </c>
      <c r="AG108" t="inlineStr">
        <is>
          <t>LIMA</t>
        </is>
      </c>
      <c r="AH108" t="inlineStr">
        <is>
          <t>RIMAC</t>
        </is>
      </c>
      <c r="AI108" s="75" t="n">
        <v>45811</v>
      </c>
      <c r="AJ108" s="75" t="n">
        <v>45811</v>
      </c>
      <c r="AK108" t="inlineStr">
        <is>
          <t>CUOTA INICIAL</t>
        </is>
      </c>
      <c r="AL108" t="n">
        <v>2</v>
      </c>
      <c r="AM108" t="n">
        <v>115000</v>
      </c>
      <c r="AN108" t="n">
        <v>0</v>
      </c>
      <c r="AO108" t="n">
        <v>0</v>
      </c>
      <c r="AP108" s="39" t="n">
        <v>115000</v>
      </c>
      <c r="AQ108" s="39" t="n">
        <v>115000</v>
      </c>
      <c r="AR108" s="39" t="n">
        <v>0</v>
      </c>
      <c r="AS108" t="n">
        <v>0</v>
      </c>
      <c r="AT108" t="inlineStr">
        <is>
          <t>Crédito Hipotecario</t>
        </is>
      </c>
      <c r="AU108" t="inlineStr">
        <is>
          <t>Scotiabank Perú</t>
        </is>
      </c>
      <c r="AV108" t="inlineStr">
        <is>
          <t>000-2768484</t>
        </is>
      </c>
      <c r="AW108" t="inlineStr">
        <is>
          <t>TRANSFERENCIA BANCARIA</t>
        </is>
      </c>
      <c r="AX108" t="n">
        <v>8062531</v>
      </c>
      <c r="AY108" t="inlineStr">
        <is>
          <t>005713000</t>
        </is>
      </c>
      <c r="AZ108" t="inlineStr">
        <is>
          <t>No</t>
        </is>
      </c>
      <c r="BA108" t="inlineStr">
        <is>
          <t>NO PRECISA</t>
        </is>
      </c>
      <c r="BB108" t="n">
        <v>4</v>
      </c>
      <c r="BC108" t="inlineStr">
        <is>
          <t>CANCELADO</t>
        </is>
      </c>
      <c r="BN108" t="inlineStr">
        <is>
          <t>Si</t>
        </is>
      </c>
      <c r="BO108" s="76" t="n">
        <v>45811.65069444444</v>
      </c>
      <c r="BP108" t="inlineStr">
        <is>
          <t>Kenny Salazar S</t>
        </is>
      </c>
      <c r="BR108" t="n">
        <v>26</v>
      </c>
      <c r="BS108" t="inlineStr">
        <is>
          <t>04/06/2026 09:26</t>
        </is>
      </c>
      <c r="BW108" t="inlineStr">
        <is>
          <t>Cobranzas_2025.csv</t>
        </is>
      </c>
      <c r="BX108" t="n">
        <v>2025</v>
      </c>
      <c r="BY108" t="inlineStr">
        <is>
          <t>01/01/2024</t>
        </is>
      </c>
      <c r="BZ108" t="inlineStr">
        <is>
          <t>30/06/2031</t>
        </is>
      </c>
    </row>
    <row r="109">
      <c r="A109" t="inlineStr">
        <is>
          <t>RESIDENCIAL PRADA</t>
        </is>
      </c>
      <c r="B109" t="inlineStr">
        <is>
          <t>Etapa 1</t>
        </is>
      </c>
      <c r="C109" t="inlineStr">
        <is>
          <t>Edificio</t>
        </is>
      </c>
      <c r="D109" t="inlineStr">
        <is>
          <t>A</t>
        </is>
      </c>
      <c r="E109" t="inlineStr">
        <is>
          <t>Departamento</t>
        </is>
      </c>
      <c r="F109" t="inlineStr">
        <is>
          <t>102</t>
        </is>
      </c>
      <c r="G109" s="39" t="n">
        <v>679000</v>
      </c>
      <c r="H109" s="39" t="n">
        <v>679000</v>
      </c>
      <c r="M109" s="39" t="n"/>
      <c r="N109" s="39" t="n"/>
      <c r="S109" s="39" t="n"/>
      <c r="T109" s="39" t="n"/>
      <c r="Y109" s="39" t="n"/>
      <c r="Z109" s="39" t="n"/>
      <c r="AA109" t="inlineStr">
        <is>
          <t>Edwin Modigliani Efrai Suclla Flores</t>
        </is>
      </c>
      <c r="AB109" t="inlineStr">
        <is>
          <t>08062531</t>
        </is>
      </c>
      <c r="AC109" t="inlineStr">
        <is>
          <t xml:space="preserve">Jr. Monitor Huascar Norte N° 551 Urb. Ventura Rossi  </t>
        </is>
      </c>
      <c r="AD109" t="n">
        <v>997463109</v>
      </c>
      <c r="AE109" t="inlineStr">
        <is>
          <t>997463109</t>
        </is>
      </c>
      <c r="AF109" t="inlineStr">
        <is>
          <t>efrainchbxpar@gmail.com</t>
        </is>
      </c>
      <c r="AG109" t="inlineStr">
        <is>
          <t>LIMA</t>
        </is>
      </c>
      <c r="AH109" t="inlineStr">
        <is>
          <t>RIMAC</t>
        </is>
      </c>
      <c r="AI109" s="75" t="n">
        <v>45813</v>
      </c>
      <c r="AJ109" s="75" t="n">
        <v>45813</v>
      </c>
      <c r="AK109" t="inlineStr">
        <is>
          <t>CUOTA INICIAL</t>
        </is>
      </c>
      <c r="AL109" t="n">
        <v>3</v>
      </c>
      <c r="AM109" t="n">
        <v>21400</v>
      </c>
      <c r="AN109" t="n">
        <v>0</v>
      </c>
      <c r="AO109" t="n">
        <v>0</v>
      </c>
      <c r="AP109" s="39" t="n">
        <v>21400</v>
      </c>
      <c r="AQ109" s="39" t="n">
        <v>21400</v>
      </c>
      <c r="AR109" s="39" t="n">
        <v>0</v>
      </c>
      <c r="AS109" t="n">
        <v>0</v>
      </c>
      <c r="AT109" t="inlineStr">
        <is>
          <t>Crédito Hipotecario</t>
        </is>
      </c>
      <c r="AU109" t="inlineStr">
        <is>
          <t>Scotiabank Perú</t>
        </is>
      </c>
      <c r="AV109" t="inlineStr">
        <is>
          <t>000-2768484</t>
        </is>
      </c>
      <c r="AW109" t="inlineStr">
        <is>
          <t>TRANSFERENCIA BANCARIA</t>
        </is>
      </c>
      <c r="AX109" t="n">
        <v>8062531</v>
      </c>
      <c r="AY109" t="inlineStr">
        <is>
          <t>0500010044</t>
        </is>
      </c>
      <c r="AZ109" t="inlineStr">
        <is>
          <t>No</t>
        </is>
      </c>
      <c r="BA109" t="inlineStr">
        <is>
          <t>NO PRECISA</t>
        </is>
      </c>
      <c r="BB109" t="n">
        <v>4</v>
      </c>
      <c r="BC109" t="inlineStr">
        <is>
          <t>CANCELADO</t>
        </is>
      </c>
      <c r="BN109" t="inlineStr">
        <is>
          <t>Si</t>
        </is>
      </c>
      <c r="BO109" s="76" t="n">
        <v>45811.65069444444</v>
      </c>
      <c r="BP109" t="inlineStr">
        <is>
          <t>Kenny Salazar S</t>
        </is>
      </c>
      <c r="BR109" t="n">
        <v>26</v>
      </c>
      <c r="BS109" t="inlineStr">
        <is>
          <t>04/06/2026 09:28</t>
        </is>
      </c>
      <c r="BW109" t="inlineStr">
        <is>
          <t>Cobranzas_2025.csv</t>
        </is>
      </c>
      <c r="BX109" t="n">
        <v>2025</v>
      </c>
      <c r="BY109" t="inlineStr">
        <is>
          <t>01/01/2024</t>
        </is>
      </c>
      <c r="BZ109" t="inlineStr">
        <is>
          <t>30/06/2031</t>
        </is>
      </c>
    </row>
    <row r="110">
      <c r="A110" t="inlineStr">
        <is>
          <t>RESIDENCIAL PRADA</t>
        </is>
      </c>
      <c r="B110" t="inlineStr">
        <is>
          <t>Etapa 1</t>
        </is>
      </c>
      <c r="C110" t="inlineStr">
        <is>
          <t>Edificio</t>
        </is>
      </c>
      <c r="D110" t="inlineStr">
        <is>
          <t>A</t>
        </is>
      </c>
      <c r="E110" t="inlineStr">
        <is>
          <t>Departamento</t>
        </is>
      </c>
      <c r="F110" t="inlineStr">
        <is>
          <t>102</t>
        </is>
      </c>
      <c r="G110" s="39" t="n">
        <v>679000</v>
      </c>
      <c r="H110" s="39" t="n">
        <v>679000</v>
      </c>
      <c r="M110" s="39" t="n"/>
      <c r="N110" s="39" t="n"/>
      <c r="S110" s="39" t="n"/>
      <c r="T110" s="39" t="n"/>
      <c r="Y110" s="39" t="n"/>
      <c r="Z110" s="39" t="n"/>
      <c r="AA110" t="inlineStr">
        <is>
          <t>Edwin Modigliani Efrai Suclla Flores</t>
        </is>
      </c>
      <c r="AB110" t="inlineStr">
        <is>
          <t>08062531</t>
        </is>
      </c>
      <c r="AC110" t="inlineStr">
        <is>
          <t xml:space="preserve">Jr. Monitor Huascar Norte N° 551 Urb. Ventura Rossi  </t>
        </is>
      </c>
      <c r="AD110" t="n">
        <v>997463109</v>
      </c>
      <c r="AE110" t="inlineStr">
        <is>
          <t>997463109</t>
        </is>
      </c>
      <c r="AF110" t="inlineStr">
        <is>
          <t>efrainchbxpar@gmail.com</t>
        </is>
      </c>
      <c r="AG110" t="inlineStr">
        <is>
          <t>LIMA</t>
        </is>
      </c>
      <c r="AH110" t="inlineStr">
        <is>
          <t>RIMAC</t>
        </is>
      </c>
      <c r="AI110" s="75" t="n">
        <v>45813</v>
      </c>
      <c r="AJ110" s="75" t="n">
        <v>45813</v>
      </c>
      <c r="AK110" t="inlineStr">
        <is>
          <t>CUOTA INICIAL</t>
        </is>
      </c>
      <c r="AL110" t="n">
        <v>4</v>
      </c>
      <c r="AM110" t="n">
        <v>10600</v>
      </c>
      <c r="AN110" t="n">
        <v>0</v>
      </c>
      <c r="AO110" t="n">
        <v>0</v>
      </c>
      <c r="AP110" s="39" t="n">
        <v>10600</v>
      </c>
      <c r="AQ110" s="39" t="n">
        <v>10600</v>
      </c>
      <c r="AR110" s="39" t="n">
        <v>0</v>
      </c>
      <c r="AS110" t="n">
        <v>0</v>
      </c>
      <c r="AT110" t="inlineStr">
        <is>
          <t>Crédito Hipotecario</t>
        </is>
      </c>
      <c r="AU110" t="inlineStr">
        <is>
          <t>Scotiabank Perú</t>
        </is>
      </c>
      <c r="AV110" t="inlineStr">
        <is>
          <t>000-2768484</t>
        </is>
      </c>
      <c r="AW110" t="inlineStr">
        <is>
          <t>TRANSFERENCIA BANCARIA</t>
        </is>
      </c>
      <c r="AX110" t="n">
        <v>8062531</v>
      </c>
      <c r="AY110" t="inlineStr">
        <is>
          <t>00754405</t>
        </is>
      </c>
      <c r="AZ110" t="inlineStr">
        <is>
          <t>No</t>
        </is>
      </c>
      <c r="BA110" t="inlineStr">
        <is>
          <t>NO PRECISA</t>
        </is>
      </c>
      <c r="BB110" t="n">
        <v>4</v>
      </c>
      <c r="BC110" t="inlineStr">
        <is>
          <t>CANCELADO</t>
        </is>
      </c>
      <c r="BN110" t="inlineStr">
        <is>
          <t>Si</t>
        </is>
      </c>
      <c r="BO110" s="76" t="n">
        <v>45811.65069444444</v>
      </c>
      <c r="BP110" t="inlineStr">
        <is>
          <t>Kenny Salazar S</t>
        </is>
      </c>
      <c r="BR110" t="n">
        <v>26</v>
      </c>
      <c r="BS110" t="inlineStr">
        <is>
          <t>04/06/2026 09:31</t>
        </is>
      </c>
      <c r="BW110" t="inlineStr">
        <is>
          <t>Cobranzas_2025.csv</t>
        </is>
      </c>
      <c r="BX110" t="n">
        <v>2025</v>
      </c>
      <c r="BY110" t="inlineStr">
        <is>
          <t>01/01/2024</t>
        </is>
      </c>
      <c r="BZ110" t="inlineStr">
        <is>
          <t>30/06/2031</t>
        </is>
      </c>
    </row>
    <row r="111">
      <c r="A111" t="inlineStr">
        <is>
          <t>RESIDENCIAL PRADA</t>
        </is>
      </c>
      <c r="B111" t="inlineStr">
        <is>
          <t>Etapa 1</t>
        </is>
      </c>
      <c r="C111" t="inlineStr">
        <is>
          <t>Edificio</t>
        </is>
      </c>
      <c r="D111" t="inlineStr">
        <is>
          <t>A</t>
        </is>
      </c>
      <c r="E111" t="inlineStr">
        <is>
          <t>Departamento</t>
        </is>
      </c>
      <c r="F111" t="inlineStr">
        <is>
          <t>102</t>
        </is>
      </c>
      <c r="G111" s="39" t="n">
        <v>679000</v>
      </c>
      <c r="H111" s="39" t="n">
        <v>679000</v>
      </c>
      <c r="M111" s="39" t="n"/>
      <c r="N111" s="39" t="n"/>
      <c r="S111" s="39" t="n"/>
      <c r="T111" s="39" t="n"/>
      <c r="Y111" s="39" t="n"/>
      <c r="Z111" s="39" t="n"/>
      <c r="AA111" t="inlineStr">
        <is>
          <t>Edwin Modigliani Efrai Suclla Flores</t>
        </is>
      </c>
      <c r="AB111" t="inlineStr">
        <is>
          <t>08062531</t>
        </is>
      </c>
      <c r="AC111" t="inlineStr">
        <is>
          <t xml:space="preserve">Jr. Monitor Huascar Norte N° 551 Urb. Ventura Rossi  </t>
        </is>
      </c>
      <c r="AD111" t="n">
        <v>997463109</v>
      </c>
      <c r="AE111" t="inlineStr">
        <is>
          <t>997463109</t>
        </is>
      </c>
      <c r="AF111" t="inlineStr">
        <is>
          <t>efrainchbxpar@gmail.com</t>
        </is>
      </c>
      <c r="AG111" t="inlineStr">
        <is>
          <t>LIMA</t>
        </is>
      </c>
      <c r="AH111" t="inlineStr">
        <is>
          <t>RIMAC</t>
        </is>
      </c>
      <c r="AI111" s="75" t="n">
        <v>45846</v>
      </c>
      <c r="AJ111" s="75" t="n">
        <v>45846</v>
      </c>
      <c r="AK111" t="inlineStr">
        <is>
          <t>SALDO FINANCIAR</t>
        </is>
      </c>
      <c r="AL111" t="n">
        <v>1</v>
      </c>
      <c r="AM111" t="n">
        <v>379000</v>
      </c>
      <c r="AN111" t="n">
        <v>0</v>
      </c>
      <c r="AO111" t="n">
        <v>0</v>
      </c>
      <c r="AP111" s="39" t="n">
        <v>379000</v>
      </c>
      <c r="AQ111" s="39" t="n">
        <v>379000</v>
      </c>
      <c r="AR111" s="39" t="n">
        <v>0</v>
      </c>
      <c r="AS111" t="n">
        <v>0</v>
      </c>
      <c r="AT111" t="inlineStr">
        <is>
          <t>Crédito Hipotecario</t>
        </is>
      </c>
      <c r="AU111" t="inlineStr">
        <is>
          <t>Scotiabank Perú</t>
        </is>
      </c>
      <c r="AV111" t="inlineStr">
        <is>
          <t>000-2768484</t>
        </is>
      </c>
      <c r="AW111" t="inlineStr">
        <is>
          <t>TRANSFERENCIA BANCARIA</t>
        </is>
      </c>
      <c r="AX111" t="n">
        <v>8062531</v>
      </c>
      <c r="AY111" t="inlineStr">
        <is>
          <t>0270800002</t>
        </is>
      </c>
      <c r="AZ111" t="inlineStr">
        <is>
          <t>No</t>
        </is>
      </c>
      <c r="BA111" t="inlineStr">
        <is>
          <t>NO PRECISA</t>
        </is>
      </c>
      <c r="BB111" t="n">
        <v>4</v>
      </c>
      <c r="BC111" t="inlineStr">
        <is>
          <t>CANCELADO</t>
        </is>
      </c>
      <c r="BN111" t="inlineStr">
        <is>
          <t>Si</t>
        </is>
      </c>
      <c r="BO111" s="76" t="n">
        <v>45811.65069444444</v>
      </c>
      <c r="BP111" t="inlineStr">
        <is>
          <t>Kenny Salazar S</t>
        </is>
      </c>
      <c r="BR111" t="n">
        <v>26</v>
      </c>
      <c r="BS111" t="inlineStr">
        <is>
          <t>04/06/2026 09:36</t>
        </is>
      </c>
      <c r="BW111" t="inlineStr">
        <is>
          <t>Cobranzas_2025.csv</t>
        </is>
      </c>
      <c r="BX111" t="n">
        <v>2025</v>
      </c>
      <c r="BY111" t="inlineStr">
        <is>
          <t>01/01/2024</t>
        </is>
      </c>
      <c r="BZ111" t="inlineStr">
        <is>
          <t>30/06/2031</t>
        </is>
      </c>
    </row>
    <row r="112">
      <c r="A112" t="inlineStr">
        <is>
          <t>RESIDENCIAL PRADA</t>
        </is>
      </c>
      <c r="B112" t="inlineStr">
        <is>
          <t>Etapa 1</t>
        </is>
      </c>
      <c r="C112" t="inlineStr">
        <is>
          <t>Edificio</t>
        </is>
      </c>
      <c r="D112" t="inlineStr">
        <is>
          <t>A</t>
        </is>
      </c>
      <c r="E112" t="inlineStr">
        <is>
          <t>Departamento</t>
        </is>
      </c>
      <c r="F112" t="inlineStr">
        <is>
          <t>205</t>
        </is>
      </c>
      <c r="G112" s="39" t="n">
        <v>490000</v>
      </c>
      <c r="H112" s="39" t="n">
        <v>490000</v>
      </c>
      <c r="M112" s="39" t="n"/>
      <c r="N112" s="39" t="n"/>
      <c r="S112" s="39" t="n"/>
      <c r="T112" s="39" t="n"/>
      <c r="Y112" s="39" t="n"/>
      <c r="Z112" s="39" t="n"/>
      <c r="AA112" t="inlineStr">
        <is>
          <t>Elizabeth Rocio Urbina Ñañez</t>
        </is>
      </c>
      <c r="AB112" t="inlineStr">
        <is>
          <t>71404863</t>
        </is>
      </c>
      <c r="AC112" t="inlineStr">
        <is>
          <t>Av. Arequipa 2651</t>
        </is>
      </c>
      <c r="AE112" t="inlineStr">
        <is>
          <t>943921218</t>
        </is>
      </c>
      <c r="AF112" t="inlineStr">
        <is>
          <t>elizabethurbina9624@gmail.com</t>
        </is>
      </c>
      <c r="AG112" t="inlineStr">
        <is>
          <t>LIMA</t>
        </is>
      </c>
      <c r="AH112" t="inlineStr">
        <is>
          <t>LINCE</t>
        </is>
      </c>
      <c r="AI112" s="75" t="n">
        <v>45750</v>
      </c>
      <c r="AJ112" s="75" t="n">
        <v>45750</v>
      </c>
      <c r="AK112" t="inlineStr">
        <is>
          <t>SEPARACION</t>
        </is>
      </c>
      <c r="AL112" t="n">
        <v>4</v>
      </c>
      <c r="AM112" t="n">
        <v>10000</v>
      </c>
      <c r="AN112" t="n">
        <v>0</v>
      </c>
      <c r="AO112" t="n">
        <v>0</v>
      </c>
      <c r="AP112" s="39" t="n">
        <v>10000</v>
      </c>
      <c r="AQ112" s="39" t="n">
        <v>10000</v>
      </c>
      <c r="AR112" s="39" t="n">
        <v>0</v>
      </c>
      <c r="AS112" t="n">
        <v>0</v>
      </c>
      <c r="AT112" t="inlineStr">
        <is>
          <t>Crédito Hipotecario</t>
        </is>
      </c>
      <c r="AU112" t="inlineStr">
        <is>
          <t>Scotiabank Perú</t>
        </is>
      </c>
      <c r="AV112" t="inlineStr">
        <is>
          <t>000-2768484</t>
        </is>
      </c>
      <c r="AW112" t="inlineStr">
        <is>
          <t>TRANSFERENCIA BANCARIA</t>
        </is>
      </c>
      <c r="AY112" t="inlineStr">
        <is>
          <t>7848619</t>
        </is>
      </c>
      <c r="AZ112" t="inlineStr">
        <is>
          <t>No</t>
        </is>
      </c>
      <c r="BB112" t="n">
        <v>4</v>
      </c>
      <c r="BC112" t="inlineStr">
        <is>
          <t>CANCELADO</t>
        </is>
      </c>
      <c r="BN112" t="inlineStr">
        <is>
          <t>Si</t>
        </is>
      </c>
      <c r="BO112" s="76" t="n">
        <v>45750.73263888889</v>
      </c>
      <c r="BP112" t="inlineStr">
        <is>
          <t>Carla Michue M</t>
        </is>
      </c>
      <c r="BR112" t="n">
        <v>5</v>
      </c>
      <c r="BS112" t="inlineStr">
        <is>
          <t>14/07/2026 08:11</t>
        </is>
      </c>
      <c r="BW112" t="inlineStr">
        <is>
          <t>Cobranzas_2025.csv</t>
        </is>
      </c>
      <c r="BX112" t="n">
        <v>2025</v>
      </c>
      <c r="BY112" t="inlineStr">
        <is>
          <t>01/01/2024</t>
        </is>
      </c>
      <c r="BZ112" t="inlineStr">
        <is>
          <t>30/06/2031</t>
        </is>
      </c>
    </row>
    <row r="113">
      <c r="A113" t="inlineStr">
        <is>
          <t>RESIDENCIAL PRADA</t>
        </is>
      </c>
      <c r="B113" t="inlineStr">
        <is>
          <t>Etapa 1</t>
        </is>
      </c>
      <c r="C113" t="inlineStr">
        <is>
          <t>Edificio</t>
        </is>
      </c>
      <c r="D113" t="inlineStr">
        <is>
          <t>A</t>
        </is>
      </c>
      <c r="E113" t="inlineStr">
        <is>
          <t>Departamento</t>
        </is>
      </c>
      <c r="F113" t="inlineStr">
        <is>
          <t>205</t>
        </is>
      </c>
      <c r="G113" s="39" t="n">
        <v>490000</v>
      </c>
      <c r="H113" s="39" t="n">
        <v>490000</v>
      </c>
      <c r="M113" s="39" t="n"/>
      <c r="N113" s="39" t="n"/>
      <c r="S113" s="39" t="n"/>
      <c r="T113" s="39" t="n"/>
      <c r="Y113" s="39" t="n"/>
      <c r="Z113" s="39" t="n"/>
      <c r="AA113" t="inlineStr">
        <is>
          <t>Elizabeth Rocio Urbina Ñañez</t>
        </is>
      </c>
      <c r="AB113" t="inlineStr">
        <is>
          <t>71404863</t>
        </is>
      </c>
      <c r="AC113" t="inlineStr">
        <is>
          <t>Av. Arequipa 2651</t>
        </is>
      </c>
      <c r="AE113" t="inlineStr">
        <is>
          <t>943921218</t>
        </is>
      </c>
      <c r="AF113" t="inlineStr">
        <is>
          <t>elizabethurbina9624@gmail.com</t>
        </is>
      </c>
      <c r="AG113" t="inlineStr">
        <is>
          <t>LIMA</t>
        </is>
      </c>
      <c r="AH113" t="inlineStr">
        <is>
          <t>LINCE</t>
        </is>
      </c>
      <c r="AI113" s="75" t="n">
        <v>45750</v>
      </c>
      <c r="AJ113" s="75" t="n">
        <v>45750</v>
      </c>
      <c r="AK113" t="inlineStr">
        <is>
          <t>CUOTA INICIAL</t>
        </is>
      </c>
      <c r="AL113" t="n">
        <v>1</v>
      </c>
      <c r="AM113" t="n">
        <v>86000</v>
      </c>
      <c r="AN113" t="n">
        <v>0</v>
      </c>
      <c r="AO113" t="n">
        <v>0</v>
      </c>
      <c r="AP113" s="39" t="n">
        <v>86000</v>
      </c>
      <c r="AQ113" s="39" t="n">
        <v>86000</v>
      </c>
      <c r="AR113" s="39" t="n">
        <v>0</v>
      </c>
      <c r="AS113" t="n">
        <v>0</v>
      </c>
      <c r="AT113" t="inlineStr">
        <is>
          <t>Crédito Hipotecario</t>
        </is>
      </c>
      <c r="AU113" t="inlineStr">
        <is>
          <t>Scotiabank Perú</t>
        </is>
      </c>
      <c r="AV113" t="inlineStr">
        <is>
          <t>000-2768484</t>
        </is>
      </c>
      <c r="AW113" t="inlineStr">
        <is>
          <t>TRANSFERENCIA BANCARIA</t>
        </is>
      </c>
      <c r="AY113" t="inlineStr">
        <is>
          <t>7848619</t>
        </is>
      </c>
      <c r="AZ113" t="inlineStr">
        <is>
          <t>No</t>
        </is>
      </c>
      <c r="BB113" t="n">
        <v>4</v>
      </c>
      <c r="BC113" t="inlineStr">
        <is>
          <t>CANCELADO</t>
        </is>
      </c>
      <c r="BN113" t="inlineStr">
        <is>
          <t>Si</t>
        </is>
      </c>
      <c r="BO113" s="76" t="n">
        <v>45750.73263888889</v>
      </c>
      <c r="BP113" t="inlineStr">
        <is>
          <t>Carla Michue M</t>
        </is>
      </c>
      <c r="BR113" t="n">
        <v>5</v>
      </c>
      <c r="BS113" t="inlineStr">
        <is>
          <t>14/07/2026 08:11</t>
        </is>
      </c>
      <c r="BW113" t="inlineStr">
        <is>
          <t>Cobranzas_2025.csv</t>
        </is>
      </c>
      <c r="BX113" t="n">
        <v>2025</v>
      </c>
      <c r="BY113" t="inlineStr">
        <is>
          <t>01/01/2024</t>
        </is>
      </c>
      <c r="BZ113" t="inlineStr">
        <is>
          <t>30/06/2031</t>
        </is>
      </c>
    </row>
    <row r="114">
      <c r="A114" t="inlineStr">
        <is>
          <t>RESIDENCIAL PRADA</t>
        </is>
      </c>
      <c r="B114" t="inlineStr">
        <is>
          <t>Etapa 1</t>
        </is>
      </c>
      <c r="C114" t="inlineStr">
        <is>
          <t>Edificio</t>
        </is>
      </c>
      <c r="D114" t="inlineStr">
        <is>
          <t>A</t>
        </is>
      </c>
      <c r="E114" t="inlineStr">
        <is>
          <t>Departamento</t>
        </is>
      </c>
      <c r="F114" t="inlineStr">
        <is>
          <t>205</t>
        </is>
      </c>
      <c r="G114" s="39" t="n">
        <v>490000</v>
      </c>
      <c r="H114" s="39" t="n">
        <v>490000</v>
      </c>
      <c r="M114" s="39" t="n"/>
      <c r="N114" s="39" t="n"/>
      <c r="S114" s="39" t="n"/>
      <c r="T114" s="39" t="n"/>
      <c r="Y114" s="39" t="n"/>
      <c r="Z114" s="39" t="n"/>
      <c r="AA114" t="inlineStr">
        <is>
          <t>Elizabeth Rocio Urbina Ñañez</t>
        </is>
      </c>
      <c r="AB114" t="inlineStr">
        <is>
          <t>71404863</t>
        </is>
      </c>
      <c r="AC114" t="inlineStr">
        <is>
          <t>Av. Arequipa 2651</t>
        </is>
      </c>
      <c r="AE114" t="inlineStr">
        <is>
          <t>943921218</t>
        </is>
      </c>
      <c r="AF114" t="inlineStr">
        <is>
          <t>elizabethurbina9624@gmail.com</t>
        </is>
      </c>
      <c r="AG114" t="inlineStr">
        <is>
          <t>LIMA</t>
        </is>
      </c>
      <c r="AH114" t="inlineStr">
        <is>
          <t>LINCE</t>
        </is>
      </c>
      <c r="AI114" s="75" t="n">
        <v>45777</v>
      </c>
      <c r="AJ114" s="75" t="n">
        <v>45900</v>
      </c>
      <c r="AK114" t="inlineStr">
        <is>
          <t>SALDO FINANCIAR</t>
        </is>
      </c>
      <c r="AL114" t="n">
        <v>1</v>
      </c>
      <c r="AM114" t="n">
        <v>392000</v>
      </c>
      <c r="AN114" t="n">
        <v>0</v>
      </c>
      <c r="AO114" t="n">
        <v>0</v>
      </c>
      <c r="AP114" s="39" t="n">
        <v>392000</v>
      </c>
      <c r="AQ114" s="39" t="n">
        <v>392000</v>
      </c>
      <c r="AR114" s="39" t="n">
        <v>0</v>
      </c>
      <c r="AS114" t="n">
        <v>0</v>
      </c>
      <c r="AT114" t="inlineStr">
        <is>
          <t>Crédito Hipotecario</t>
        </is>
      </c>
      <c r="AU114" t="inlineStr">
        <is>
          <t>Scotiabank Perú</t>
        </is>
      </c>
      <c r="AV114" t="inlineStr">
        <is>
          <t>000-2768484</t>
        </is>
      </c>
      <c r="AW114" t="inlineStr">
        <is>
          <t>TRANSFERENCIA BANCARIA</t>
        </is>
      </c>
      <c r="AZ114" t="inlineStr">
        <is>
          <t>Si</t>
        </is>
      </c>
      <c r="BB114" t="n">
        <v>4</v>
      </c>
      <c r="BC114" t="inlineStr">
        <is>
          <t>CANCELADO</t>
        </is>
      </c>
      <c r="BN114" t="inlineStr">
        <is>
          <t>Si</t>
        </is>
      </c>
      <c r="BO114" s="76" t="n">
        <v>45750.73263888889</v>
      </c>
      <c r="BP114" t="inlineStr">
        <is>
          <t>Carla Michue M</t>
        </is>
      </c>
      <c r="BR114" t="n">
        <v>5</v>
      </c>
      <c r="BS114" t="inlineStr">
        <is>
          <t>07/07/2026 08:37</t>
        </is>
      </c>
      <c r="BW114" t="inlineStr">
        <is>
          <t>Cobranzas_2025.csv</t>
        </is>
      </c>
      <c r="BX114" t="n">
        <v>2025</v>
      </c>
      <c r="BY114" t="inlineStr">
        <is>
          <t>01/01/2024</t>
        </is>
      </c>
      <c r="BZ114" t="inlineStr">
        <is>
          <t>30/06/2031</t>
        </is>
      </c>
    </row>
    <row r="115">
      <c r="A115" t="inlineStr">
        <is>
          <t>RESIDENCIAL PRADA</t>
        </is>
      </c>
      <c r="B115" t="inlineStr">
        <is>
          <t>Etapa 1</t>
        </is>
      </c>
      <c r="C115" t="inlineStr">
        <is>
          <t>Edificio</t>
        </is>
      </c>
      <c r="D115" t="inlineStr">
        <is>
          <t>A</t>
        </is>
      </c>
      <c r="E115" t="inlineStr">
        <is>
          <t>Estacionamiento</t>
        </is>
      </c>
      <c r="F115" t="inlineStr">
        <is>
          <t>E 08</t>
        </is>
      </c>
      <c r="G115" s="39" t="n">
        <v>47500</v>
      </c>
      <c r="H115" s="39" t="n">
        <v>47500</v>
      </c>
      <c r="M115" s="39" t="n"/>
      <c r="N115" s="39" t="n"/>
      <c r="S115" s="39" t="n"/>
      <c r="T115" s="39" t="n"/>
      <c r="Y115" s="39" t="n"/>
      <c r="Z115" s="39" t="n"/>
      <c r="AA115" t="inlineStr">
        <is>
          <t>Elizabeth Rocio Urbina Ñañez</t>
        </is>
      </c>
      <c r="AB115" t="inlineStr">
        <is>
          <t>71404863</t>
        </is>
      </c>
      <c r="AC115" t="inlineStr">
        <is>
          <t>Av. Arequipa 2651</t>
        </is>
      </c>
      <c r="AD115" t="n">
        <v>0</v>
      </c>
      <c r="AE115" t="inlineStr">
        <is>
          <t>943921218</t>
        </is>
      </c>
      <c r="AF115" t="inlineStr">
        <is>
          <t>elizabethurbina9624@gmail.com</t>
        </is>
      </c>
      <c r="AG115" t="inlineStr">
        <is>
          <t>LIMA</t>
        </is>
      </c>
      <c r="AH115" t="inlineStr">
        <is>
          <t>LINCE</t>
        </is>
      </c>
      <c r="AI115" s="75" t="n">
        <v>45903</v>
      </c>
      <c r="AJ115" s="75" t="n">
        <v>45903</v>
      </c>
      <c r="AK115" t="inlineStr">
        <is>
          <t>SEPARACION</t>
        </is>
      </c>
      <c r="AL115" t="n">
        <v>1</v>
      </c>
      <c r="AM115" t="n">
        <v>3000</v>
      </c>
      <c r="AN115" t="n">
        <v>0</v>
      </c>
      <c r="AO115" t="n">
        <v>0</v>
      </c>
      <c r="AP115" s="39" t="n">
        <v>3000</v>
      </c>
      <c r="AQ115" s="39" t="n">
        <v>3000</v>
      </c>
      <c r="AR115" s="39" t="n">
        <v>0</v>
      </c>
      <c r="AS115" t="n">
        <v>0</v>
      </c>
      <c r="AT115" t="inlineStr">
        <is>
          <t>Crédito Directo</t>
        </is>
      </c>
      <c r="AU115" t="inlineStr">
        <is>
          <t>Scotiabank Perú</t>
        </is>
      </c>
      <c r="AV115" t="inlineStr">
        <is>
          <t>000-2768484</t>
        </is>
      </c>
      <c r="AW115" t="inlineStr">
        <is>
          <t>TRANSFERENCIA BANCARIA</t>
        </is>
      </c>
      <c r="AY115" t="inlineStr">
        <is>
          <t>3662503</t>
        </is>
      </c>
      <c r="AZ115" t="inlineStr">
        <is>
          <t>No</t>
        </is>
      </c>
      <c r="BB115" t="n">
        <v>4</v>
      </c>
      <c r="BC115" t="inlineStr">
        <is>
          <t>CANCELADO</t>
        </is>
      </c>
      <c r="BN115" t="inlineStr">
        <is>
          <t>Si</t>
        </is>
      </c>
      <c r="BO115" s="76" t="n">
        <v>45903.68958333333</v>
      </c>
      <c r="BP115" t="inlineStr">
        <is>
          <t>Magaly Guevara Perez</t>
        </is>
      </c>
      <c r="BR115" t="n">
        <v>53</v>
      </c>
      <c r="BS115" t="inlineStr">
        <is>
          <t>03/07/2026 10:22</t>
        </is>
      </c>
      <c r="BW115" t="inlineStr">
        <is>
          <t>Cobranzas_2025.csv</t>
        </is>
      </c>
      <c r="BX115" t="n">
        <v>2025</v>
      </c>
      <c r="BY115" t="inlineStr">
        <is>
          <t>01/01/2024</t>
        </is>
      </c>
      <c r="BZ115" t="inlineStr">
        <is>
          <t>30/06/2031</t>
        </is>
      </c>
    </row>
    <row r="116">
      <c r="A116" t="inlineStr">
        <is>
          <t>RESIDENCIAL PRADA</t>
        </is>
      </c>
      <c r="B116" t="inlineStr">
        <is>
          <t>Etapa 1</t>
        </is>
      </c>
      <c r="C116" t="inlineStr">
        <is>
          <t>Edificio</t>
        </is>
      </c>
      <c r="D116" t="inlineStr">
        <is>
          <t>A</t>
        </is>
      </c>
      <c r="E116" t="inlineStr">
        <is>
          <t>Estacionamiento</t>
        </is>
      </c>
      <c r="F116" t="inlineStr">
        <is>
          <t>E 08</t>
        </is>
      </c>
      <c r="G116" s="39" t="n">
        <v>47500</v>
      </c>
      <c r="H116" s="39" t="n">
        <v>47500</v>
      </c>
      <c r="M116" s="39" t="n"/>
      <c r="N116" s="39" t="n"/>
      <c r="S116" s="39" t="n"/>
      <c r="T116" s="39" t="n"/>
      <c r="Y116" s="39" t="n"/>
      <c r="Z116" s="39" t="n"/>
      <c r="AA116" t="inlineStr">
        <is>
          <t>Elizabeth Rocio Urbina Ñañez</t>
        </is>
      </c>
      <c r="AB116" t="inlineStr">
        <is>
          <t>71404863</t>
        </is>
      </c>
      <c r="AC116" t="inlineStr">
        <is>
          <t>Av. Arequipa 2651</t>
        </is>
      </c>
      <c r="AD116" t="n">
        <v>0</v>
      </c>
      <c r="AE116" t="inlineStr">
        <is>
          <t>943921218</t>
        </is>
      </c>
      <c r="AF116" t="inlineStr">
        <is>
          <t>elizabethurbina9624@gmail.com</t>
        </is>
      </c>
      <c r="AG116" t="inlineStr">
        <is>
          <t>LIMA</t>
        </is>
      </c>
      <c r="AH116" t="inlineStr">
        <is>
          <t>LINCE</t>
        </is>
      </c>
      <c r="AI116" s="75" t="n">
        <v>45903</v>
      </c>
      <c r="AJ116" s="75" t="n">
        <v>45903</v>
      </c>
      <c r="AK116" t="inlineStr">
        <is>
          <t>CUOTA INICIAL</t>
        </is>
      </c>
      <c r="AL116" t="n">
        <v>1</v>
      </c>
      <c r="AM116" t="n">
        <v>7000</v>
      </c>
      <c r="AN116" t="n">
        <v>0</v>
      </c>
      <c r="AO116" t="n">
        <v>0</v>
      </c>
      <c r="AP116" s="39" t="n">
        <v>7000</v>
      </c>
      <c r="AQ116" s="39" t="n">
        <v>7000</v>
      </c>
      <c r="AR116" s="39" t="n">
        <v>0</v>
      </c>
      <c r="AS116" t="n">
        <v>0</v>
      </c>
      <c r="AT116" t="inlineStr">
        <is>
          <t>Crédito Directo</t>
        </is>
      </c>
      <c r="AU116" t="inlineStr">
        <is>
          <t>Scotiabank Perú</t>
        </is>
      </c>
      <c r="AV116" t="inlineStr">
        <is>
          <t>000-2768484</t>
        </is>
      </c>
      <c r="AW116" t="inlineStr">
        <is>
          <t>TRANSFERENCIA BANCARIA</t>
        </is>
      </c>
      <c r="AY116" t="inlineStr">
        <is>
          <t>3662503</t>
        </is>
      </c>
      <c r="AZ116" t="inlineStr">
        <is>
          <t>No</t>
        </is>
      </c>
      <c r="BB116" t="n">
        <v>4</v>
      </c>
      <c r="BC116" t="inlineStr">
        <is>
          <t>CANCELADO</t>
        </is>
      </c>
      <c r="BN116" t="inlineStr">
        <is>
          <t>Si</t>
        </is>
      </c>
      <c r="BO116" s="76" t="n">
        <v>45903.68958333333</v>
      </c>
      <c r="BP116" t="inlineStr">
        <is>
          <t>Magaly Guevara Perez</t>
        </is>
      </c>
      <c r="BR116" t="n">
        <v>53</v>
      </c>
      <c r="BS116" t="inlineStr">
        <is>
          <t>03/07/2026 10:22</t>
        </is>
      </c>
      <c r="BW116" t="inlineStr">
        <is>
          <t>Cobranzas_2025.csv</t>
        </is>
      </c>
      <c r="BX116" t="n">
        <v>2025</v>
      </c>
      <c r="BY116" t="inlineStr">
        <is>
          <t>01/01/2024</t>
        </is>
      </c>
      <c r="BZ116" t="inlineStr">
        <is>
          <t>30/06/2031</t>
        </is>
      </c>
    </row>
    <row r="117">
      <c r="A117" t="inlineStr">
        <is>
          <t>RESIDENCIAL PRADA</t>
        </is>
      </c>
      <c r="B117" t="inlineStr">
        <is>
          <t>Etapa 1</t>
        </is>
      </c>
      <c r="C117" t="inlineStr">
        <is>
          <t>Edificio</t>
        </is>
      </c>
      <c r="D117" t="inlineStr">
        <is>
          <t>A</t>
        </is>
      </c>
      <c r="E117" t="inlineStr">
        <is>
          <t>Estacionamiento</t>
        </is>
      </c>
      <c r="F117" t="inlineStr">
        <is>
          <t>E 08</t>
        </is>
      </c>
      <c r="G117" s="39" t="n">
        <v>47500</v>
      </c>
      <c r="H117" s="39" t="n">
        <v>47500</v>
      </c>
      <c r="M117" s="39" t="n"/>
      <c r="N117" s="39" t="n"/>
      <c r="S117" s="39" t="n"/>
      <c r="T117" s="39" t="n"/>
      <c r="Y117" s="39" t="n"/>
      <c r="Z117" s="39" t="n"/>
      <c r="AA117" t="inlineStr">
        <is>
          <t>Elizabeth Rocio Urbina Ñañez</t>
        </is>
      </c>
      <c r="AB117" t="inlineStr">
        <is>
          <t>71404863</t>
        </is>
      </c>
      <c r="AC117" t="inlineStr">
        <is>
          <t>Av. Arequipa 2651</t>
        </is>
      </c>
      <c r="AD117" t="n">
        <v>0</v>
      </c>
      <c r="AE117" t="inlineStr">
        <is>
          <t>943921218</t>
        </is>
      </c>
      <c r="AF117" t="inlineStr">
        <is>
          <t>elizabethurbina9624@gmail.com</t>
        </is>
      </c>
      <c r="AG117" t="inlineStr">
        <is>
          <t>LIMA</t>
        </is>
      </c>
      <c r="AH117" t="inlineStr">
        <is>
          <t>LINCE</t>
        </is>
      </c>
      <c r="AI117" s="75" t="n">
        <v>45992</v>
      </c>
      <c r="AJ117" s="75" t="n">
        <v>45992</v>
      </c>
      <c r="AK117" t="inlineStr">
        <is>
          <t>SALDO FINANCIAR</t>
        </is>
      </c>
      <c r="AL117" t="n">
        <v>1</v>
      </c>
      <c r="AM117" t="n">
        <v>8000</v>
      </c>
      <c r="AN117" t="n">
        <v>0</v>
      </c>
      <c r="AO117" t="n">
        <v>0</v>
      </c>
      <c r="AP117" s="39" t="n">
        <v>8000</v>
      </c>
      <c r="AQ117" s="39" t="n">
        <v>8000</v>
      </c>
      <c r="AR117" s="39" t="n">
        <v>0</v>
      </c>
      <c r="AS117" t="n">
        <v>0</v>
      </c>
      <c r="AT117" t="inlineStr">
        <is>
          <t>Crédito Directo</t>
        </is>
      </c>
      <c r="AU117" t="inlineStr">
        <is>
          <t>Scotiabank Perú</t>
        </is>
      </c>
      <c r="AV117" t="inlineStr">
        <is>
          <t>000-2768484</t>
        </is>
      </c>
      <c r="AW117" t="inlineStr">
        <is>
          <t>TRANSFERENCIA BANCARIA</t>
        </is>
      </c>
      <c r="AY117" t="inlineStr">
        <is>
          <t>6821104</t>
        </is>
      </c>
      <c r="AZ117" t="inlineStr">
        <is>
          <t>No</t>
        </is>
      </c>
      <c r="BB117" t="n">
        <v>4</v>
      </c>
      <c r="BC117" t="inlineStr">
        <is>
          <t>CANCELADO</t>
        </is>
      </c>
      <c r="BN117" t="inlineStr">
        <is>
          <t>Si</t>
        </is>
      </c>
      <c r="BO117" s="76" t="n">
        <v>45903.68958333333</v>
      </c>
      <c r="BP117" t="inlineStr">
        <is>
          <t>Magaly Guevara Perez</t>
        </is>
      </c>
      <c r="BR117" t="n">
        <v>53</v>
      </c>
      <c r="BS117" t="inlineStr">
        <is>
          <t>03/07/2026 10:25</t>
        </is>
      </c>
      <c r="BW117" t="inlineStr">
        <is>
          <t>Cobranzas_2025.csv</t>
        </is>
      </c>
      <c r="BX117" t="n">
        <v>2025</v>
      </c>
      <c r="BY117" t="inlineStr">
        <is>
          <t>01/01/2024</t>
        </is>
      </c>
      <c r="BZ117" t="inlineStr">
        <is>
          <t>30/06/2031</t>
        </is>
      </c>
    </row>
    <row r="118">
      <c r="A118" t="inlineStr">
        <is>
          <t>RESIDENCIAL PRADA</t>
        </is>
      </c>
      <c r="B118" t="inlineStr">
        <is>
          <t>Etapa 1</t>
        </is>
      </c>
      <c r="C118" t="inlineStr">
        <is>
          <t>Edificio</t>
        </is>
      </c>
      <c r="D118" t="inlineStr">
        <is>
          <t>A</t>
        </is>
      </c>
      <c r="E118" t="inlineStr">
        <is>
          <t>Departamento</t>
        </is>
      </c>
      <c r="F118" t="inlineStr">
        <is>
          <t>101</t>
        </is>
      </c>
      <c r="G118" s="39" t="n">
        <v>637000</v>
      </c>
      <c r="H118" s="39" t="n">
        <v>637000</v>
      </c>
      <c r="M118" s="39" t="n"/>
      <c r="N118" s="39" t="n"/>
      <c r="S118" s="39" t="n"/>
      <c r="T118" s="39" t="n"/>
      <c r="Y118" s="39" t="n"/>
      <c r="Z118" s="39" t="n"/>
      <c r="AA118" t="inlineStr">
        <is>
          <t>Elmo Calatayud Chumbes</t>
        </is>
      </c>
      <c r="AB118" t="inlineStr">
        <is>
          <t>15580131</t>
        </is>
      </c>
      <c r="AC118" t="inlineStr">
        <is>
          <t>Avenida Tomas Valles 1530 Block 14 departamento 204</t>
        </is>
      </c>
      <c r="AD118" t="n">
        <v>955600933</v>
      </c>
      <c r="AE118" t="inlineStr">
        <is>
          <t>955600933</t>
        </is>
      </c>
      <c r="AF118" t="inlineStr">
        <is>
          <t>ec.calatayud@gmail.com</t>
        </is>
      </c>
      <c r="AG118" t="inlineStr">
        <is>
          <t>LIMA</t>
        </is>
      </c>
      <c r="AH118" t="inlineStr">
        <is>
          <t>LOS OLIVOS</t>
        </is>
      </c>
      <c r="AI118" s="75" t="n">
        <v>45723</v>
      </c>
      <c r="AJ118" s="75" t="n">
        <v>45723</v>
      </c>
      <c r="AK118" t="inlineStr">
        <is>
          <t>SALDO FINANCIAR</t>
        </is>
      </c>
      <c r="AL118" t="n">
        <v>1</v>
      </c>
      <c r="AM118" t="n">
        <v>573300</v>
      </c>
      <c r="AN118" t="n">
        <v>0</v>
      </c>
      <c r="AO118" t="n">
        <v>0</v>
      </c>
      <c r="AP118" s="39" t="n">
        <v>573300</v>
      </c>
      <c r="AQ118" s="39" t="n">
        <v>573300</v>
      </c>
      <c r="AR118" s="39" t="n">
        <v>0</v>
      </c>
      <c r="AS118" t="n">
        <v>0</v>
      </c>
      <c r="AT118" t="inlineStr">
        <is>
          <t>Crédito Hipotecario</t>
        </is>
      </c>
      <c r="AU118" t="inlineStr">
        <is>
          <t>Scotiabank Perú</t>
        </is>
      </c>
      <c r="AV118" t="inlineStr">
        <is>
          <t>000-2768484</t>
        </is>
      </c>
      <c r="AW118" t="inlineStr">
        <is>
          <t>TRANSFERENCIA BANCARIA</t>
        </is>
      </c>
      <c r="AY118" t="inlineStr">
        <is>
          <t>07032025</t>
        </is>
      </c>
      <c r="AZ118" t="inlineStr">
        <is>
          <t>No</t>
        </is>
      </c>
      <c r="BB118" t="n">
        <v>4</v>
      </c>
      <c r="BC118" t="inlineStr">
        <is>
          <t>CANCELADO</t>
        </is>
      </c>
      <c r="BN118" t="inlineStr">
        <is>
          <t>Si</t>
        </is>
      </c>
      <c r="BO118" s="76" t="n">
        <v>45626.65</v>
      </c>
      <c r="BP118" t="inlineStr">
        <is>
          <t>Kenny Salazar S</t>
        </is>
      </c>
      <c r="BR118" t="n">
        <v>25</v>
      </c>
      <c r="BS118" t="inlineStr">
        <is>
          <t>26/06/2026 14:57</t>
        </is>
      </c>
      <c r="BW118" t="inlineStr">
        <is>
          <t>Cobranzas_2025.csv</t>
        </is>
      </c>
      <c r="BX118" t="n">
        <v>2025</v>
      </c>
      <c r="BY118" t="inlineStr">
        <is>
          <t>01/01/2024</t>
        </is>
      </c>
      <c r="BZ118" t="inlineStr">
        <is>
          <t>30/06/2031</t>
        </is>
      </c>
    </row>
    <row r="119">
      <c r="A119" t="inlineStr">
        <is>
          <t>RESIDENCIAL BEYOND</t>
        </is>
      </c>
      <c r="B119" t="inlineStr">
        <is>
          <t>Etapa 1</t>
        </is>
      </c>
      <c r="C119" t="inlineStr">
        <is>
          <t>Edificio</t>
        </is>
      </c>
      <c r="D119" t="inlineStr">
        <is>
          <t>A</t>
        </is>
      </c>
      <c r="E119" t="inlineStr">
        <is>
          <t>Departamento</t>
        </is>
      </c>
      <c r="F119" t="inlineStr">
        <is>
          <t>403</t>
        </is>
      </c>
      <c r="G119" s="39" t="n">
        <v>504700</v>
      </c>
      <c r="H119" s="39" t="n">
        <v>459100</v>
      </c>
      <c r="I119" t="inlineStr">
        <is>
          <t>Edificio</t>
        </is>
      </c>
      <c r="J119" t="inlineStr">
        <is>
          <t>A</t>
        </is>
      </c>
      <c r="K119" t="inlineStr">
        <is>
          <t>Estacionamiento</t>
        </is>
      </c>
      <c r="L119" t="inlineStr">
        <is>
          <t>E 06</t>
        </is>
      </c>
      <c r="M119" s="39" t="n">
        <v>45600</v>
      </c>
      <c r="N119" s="39" t="n">
        <v>45600</v>
      </c>
      <c r="S119" s="39" t="n"/>
      <c r="T119" s="39" t="n"/>
      <c r="Y119" s="39" t="n"/>
      <c r="Z119" s="39" t="n"/>
      <c r="AA119" t="inlineStr">
        <is>
          <t>Erla Liseth Carhuavilca Pérez</t>
        </is>
      </c>
      <c r="AB119" t="inlineStr">
        <is>
          <t>40642153</t>
        </is>
      </c>
      <c r="AC119" t="inlineStr">
        <is>
          <t>Av. Bolivia 848 Dpto. 504</t>
        </is>
      </c>
      <c r="AD119" t="n">
        <v>0</v>
      </c>
      <c r="AE119" t="inlineStr">
        <is>
          <t>999200216</t>
        </is>
      </c>
      <c r="AF119" t="inlineStr">
        <is>
          <t>grecialiseth26@gmail.com</t>
        </is>
      </c>
      <c r="AG119" t="inlineStr">
        <is>
          <t>LIMA</t>
        </is>
      </c>
      <c r="AH119" t="inlineStr">
        <is>
          <t>BREÑA</t>
        </is>
      </c>
      <c r="AI119" s="75" t="n">
        <v>46001</v>
      </c>
      <c r="AJ119" s="75" t="n">
        <v>46001</v>
      </c>
      <c r="AK119" t="inlineStr">
        <is>
          <t>SEPARACION</t>
        </is>
      </c>
      <c r="AL119" t="n">
        <v>1</v>
      </c>
      <c r="AM119" t="n">
        <v>3000</v>
      </c>
      <c r="AN119" t="n">
        <v>0</v>
      </c>
      <c r="AO119" t="n">
        <v>0</v>
      </c>
      <c r="AP119" s="39" t="n">
        <v>3000</v>
      </c>
      <c r="AQ119" s="39" t="n">
        <v>3000</v>
      </c>
      <c r="AR119" s="39" t="n">
        <v>0</v>
      </c>
      <c r="AS119" t="n">
        <v>0</v>
      </c>
      <c r="AT119" t="inlineStr">
        <is>
          <t>Ahorro</t>
        </is>
      </c>
      <c r="AU119" t="inlineStr">
        <is>
          <t>Banco de Credito del Perú</t>
        </is>
      </c>
      <c r="AV119" t="inlineStr">
        <is>
          <t>194-7325779-0-65</t>
        </is>
      </c>
      <c r="AW119" t="inlineStr">
        <is>
          <t>TRANSFERENCIA BANCARIA</t>
        </is>
      </c>
      <c r="AY119" t="inlineStr">
        <is>
          <t>7844651999205</t>
        </is>
      </c>
      <c r="AZ119" t="inlineStr">
        <is>
          <t>No</t>
        </is>
      </c>
      <c r="BB119" t="n">
        <v>4</v>
      </c>
      <c r="BC119" t="inlineStr">
        <is>
          <t>CANCELADO</t>
        </is>
      </c>
      <c r="BN119" t="inlineStr">
        <is>
          <t>No</t>
        </is>
      </c>
      <c r="BO119" s="76" t="n">
        <v>46017.42569444444</v>
      </c>
      <c r="BP119" t="inlineStr">
        <is>
          <t>Magaly Guevara Perez</t>
        </is>
      </c>
      <c r="BR119" t="n">
        <v>28</v>
      </c>
      <c r="BS119" t="inlineStr">
        <is>
          <t>01/05/2026 17:44</t>
        </is>
      </c>
      <c r="BW119" t="inlineStr">
        <is>
          <t>Cobranzas_2025.csv</t>
        </is>
      </c>
      <c r="BX119" t="n">
        <v>2025</v>
      </c>
      <c r="BY119" t="inlineStr">
        <is>
          <t>01/01/2024</t>
        </is>
      </c>
      <c r="BZ119" t="inlineStr">
        <is>
          <t>30/06/2031</t>
        </is>
      </c>
    </row>
    <row r="120">
      <c r="A120" t="inlineStr">
        <is>
          <t>RESIDENCIAL BEYOND</t>
        </is>
      </c>
      <c r="B120" t="inlineStr">
        <is>
          <t>Etapa 1</t>
        </is>
      </c>
      <c r="C120" t="inlineStr">
        <is>
          <t>Edificio</t>
        </is>
      </c>
      <c r="D120" t="inlineStr">
        <is>
          <t>A</t>
        </is>
      </c>
      <c r="E120" t="inlineStr">
        <is>
          <t>Departamento</t>
        </is>
      </c>
      <c r="F120" t="inlineStr">
        <is>
          <t>403</t>
        </is>
      </c>
      <c r="G120" s="39" t="n">
        <v>504700</v>
      </c>
      <c r="H120" s="39" t="n">
        <v>459100</v>
      </c>
      <c r="I120" t="inlineStr">
        <is>
          <t>Edificio</t>
        </is>
      </c>
      <c r="J120" t="inlineStr">
        <is>
          <t>A</t>
        </is>
      </c>
      <c r="K120" t="inlineStr">
        <is>
          <t>Estacionamiento</t>
        </is>
      </c>
      <c r="L120" t="inlineStr">
        <is>
          <t>E 06</t>
        </is>
      </c>
      <c r="M120" s="39" t="n">
        <v>45600</v>
      </c>
      <c r="N120" s="39" t="n">
        <v>45600</v>
      </c>
      <c r="S120" s="39" t="n"/>
      <c r="T120" s="39" t="n"/>
      <c r="Y120" s="39" t="n"/>
      <c r="Z120" s="39" t="n"/>
      <c r="AA120" t="inlineStr">
        <is>
          <t>Erla Liseth Carhuavilca Pérez</t>
        </is>
      </c>
      <c r="AB120" t="inlineStr">
        <is>
          <t>40642153</t>
        </is>
      </c>
      <c r="AC120" t="inlineStr">
        <is>
          <t>Av. Bolivia 848 Dpto. 504</t>
        </is>
      </c>
      <c r="AD120" t="n">
        <v>0</v>
      </c>
      <c r="AE120" t="inlineStr">
        <is>
          <t>999200216</t>
        </is>
      </c>
      <c r="AF120" t="inlineStr">
        <is>
          <t>grecialiseth26@gmail.com</t>
        </is>
      </c>
      <c r="AG120" t="inlineStr">
        <is>
          <t>LIMA</t>
        </is>
      </c>
      <c r="AH120" t="inlineStr">
        <is>
          <t>BREÑA</t>
        </is>
      </c>
      <c r="AI120" s="75" t="n">
        <v>46017</v>
      </c>
      <c r="AJ120" s="75" t="n"/>
      <c r="AK120" t="inlineStr">
        <is>
          <t>CUOTA INICIAL</t>
        </is>
      </c>
      <c r="AL120" t="n">
        <v>1</v>
      </c>
      <c r="AM120" t="n">
        <v>10000</v>
      </c>
      <c r="AN120" t="n">
        <v>0</v>
      </c>
      <c r="AO120" t="n">
        <v>0</v>
      </c>
      <c r="AP120" s="39" t="n">
        <v>10000</v>
      </c>
      <c r="AQ120" s="39" t="n">
        <v>0</v>
      </c>
      <c r="AR120" s="39" t="n">
        <v>10000</v>
      </c>
      <c r="AT120" t="inlineStr">
        <is>
          <t>Ahorro</t>
        </is>
      </c>
      <c r="AZ120" t="inlineStr">
        <is>
          <t>No</t>
        </is>
      </c>
      <c r="BC120" t="inlineStr">
        <is>
          <t>VENCIDO</t>
        </is>
      </c>
      <c r="BN120" t="inlineStr">
        <is>
          <t>No</t>
        </is>
      </c>
      <c r="BO120" s="76" t="n">
        <v>46017.42569444444</v>
      </c>
      <c r="BP120" t="inlineStr">
        <is>
          <t>Magaly Guevara Perez</t>
        </is>
      </c>
      <c r="BR120" t="n">
        <v>28</v>
      </c>
      <c r="BW120" t="inlineStr">
        <is>
          <t>Cobranzas_2025.csv</t>
        </is>
      </c>
      <c r="BX120" t="n">
        <v>2025</v>
      </c>
      <c r="BY120" t="inlineStr">
        <is>
          <t>01/01/2024</t>
        </is>
      </c>
      <c r="BZ120" t="inlineStr">
        <is>
          <t>30/06/2031</t>
        </is>
      </c>
    </row>
    <row r="121">
      <c r="A121" t="inlineStr">
        <is>
          <t>RESIDENCIAL VENECIA</t>
        </is>
      </c>
      <c r="B121" t="inlineStr">
        <is>
          <t>Etapa 1</t>
        </is>
      </c>
      <c r="C121" t="inlineStr">
        <is>
          <t>Edificio</t>
        </is>
      </c>
      <c r="D121" t="inlineStr">
        <is>
          <t>A</t>
        </is>
      </c>
      <c r="E121" t="inlineStr">
        <is>
          <t>Departamento</t>
        </is>
      </c>
      <c r="F121" t="inlineStr">
        <is>
          <t>404</t>
        </is>
      </c>
      <c r="G121" s="39" t="n">
        <v>430000</v>
      </c>
      <c r="H121" s="39" t="n">
        <v>430000</v>
      </c>
      <c r="M121" s="39" t="n"/>
      <c r="N121" s="39" t="n"/>
      <c r="S121" s="39" t="n"/>
      <c r="T121" s="39" t="n"/>
      <c r="Y121" s="39" t="n"/>
      <c r="Z121" s="39" t="n"/>
      <c r="AA121" t="inlineStr">
        <is>
          <t>Evelyn Arciela Leon Estela</t>
        </is>
      </c>
      <c r="AB121" t="inlineStr">
        <is>
          <t>70313948</t>
        </is>
      </c>
      <c r="AC121" t="inlineStr">
        <is>
          <t xml:space="preserve">Segunda Etapa.Mz 41 Lt. 35 -Urb. Torre Blanca </t>
        </is>
      </c>
      <c r="AD121" t="n">
        <v>0</v>
      </c>
      <c r="AE121" t="inlineStr">
        <is>
          <t>980746975</t>
        </is>
      </c>
      <c r="AF121" t="inlineStr">
        <is>
          <t>eale.050791@gmail.com</t>
        </is>
      </c>
      <c r="AG121" t="inlineStr">
        <is>
          <t>LIMA</t>
        </is>
      </c>
      <c r="AH121" t="inlineStr">
        <is>
          <t>CARABAYLLO</t>
        </is>
      </c>
      <c r="AI121" s="75" t="n">
        <v>45918</v>
      </c>
      <c r="AJ121" s="75" t="n">
        <v>45918</v>
      </c>
      <c r="AK121" t="inlineStr">
        <is>
          <t>SEPARACION</t>
        </is>
      </c>
      <c r="AL121" t="n">
        <v>1</v>
      </c>
      <c r="AM121" t="n">
        <v>3000</v>
      </c>
      <c r="AN121" t="n">
        <v>0</v>
      </c>
      <c r="AO121" t="n">
        <v>0</v>
      </c>
      <c r="AP121" s="39" t="n">
        <v>3000</v>
      </c>
      <c r="AQ121" s="39" t="n">
        <v>3000</v>
      </c>
      <c r="AR121" s="39" t="n">
        <v>0</v>
      </c>
      <c r="AS121" t="n">
        <v>0</v>
      </c>
      <c r="AT121" t="inlineStr">
        <is>
          <t>Crédito Hipotecario</t>
        </is>
      </c>
      <c r="AU121" t="inlineStr">
        <is>
          <t>Scotiabank Perú</t>
        </is>
      </c>
      <c r="AV121" t="inlineStr">
        <is>
          <t>0004071419</t>
        </is>
      </c>
      <c r="AW121" t="inlineStr">
        <is>
          <t>TRANSFERENCIA BANCARIA</t>
        </is>
      </c>
      <c r="AY121" t="inlineStr">
        <is>
          <t>05327974</t>
        </is>
      </c>
      <c r="AZ121" t="inlineStr">
        <is>
          <t>No</t>
        </is>
      </c>
      <c r="BB121" t="n">
        <v>4</v>
      </c>
      <c r="BC121" t="inlineStr">
        <is>
          <t>CANCELADO</t>
        </is>
      </c>
      <c r="BN121" t="inlineStr">
        <is>
          <t>No</t>
        </is>
      </c>
      <c r="BO121" s="76" t="n">
        <v>46178.34166666667</v>
      </c>
      <c r="BP121" t="inlineStr">
        <is>
          <t>Magaly Guevara Perez</t>
        </is>
      </c>
      <c r="BR121" t="n">
        <v>8</v>
      </c>
      <c r="BS121" t="inlineStr">
        <is>
          <t>24/05/2026 19:12</t>
        </is>
      </c>
      <c r="BW121" t="inlineStr">
        <is>
          <t>Cobranzas_2025.csv</t>
        </is>
      </c>
      <c r="BX121" t="n">
        <v>2025</v>
      </c>
      <c r="BY121" t="inlineStr">
        <is>
          <t>01/01/2024</t>
        </is>
      </c>
      <c r="BZ121" t="inlineStr">
        <is>
          <t>30/06/2031</t>
        </is>
      </c>
    </row>
    <row r="122">
      <c r="A122" t="inlineStr">
        <is>
          <t>RESIDENCIAL VENECIA</t>
        </is>
      </c>
      <c r="B122" t="inlineStr">
        <is>
          <t>Etapa 1</t>
        </is>
      </c>
      <c r="C122" t="inlineStr">
        <is>
          <t>Edificio</t>
        </is>
      </c>
      <c r="D122" t="inlineStr">
        <is>
          <t>A</t>
        </is>
      </c>
      <c r="E122" t="inlineStr">
        <is>
          <t>Departamento</t>
        </is>
      </c>
      <c r="F122" t="inlineStr">
        <is>
          <t>404</t>
        </is>
      </c>
      <c r="G122" s="39" t="n">
        <v>430000</v>
      </c>
      <c r="H122" s="39" t="n">
        <v>430000</v>
      </c>
      <c r="M122" s="39" t="n"/>
      <c r="N122" s="39" t="n"/>
      <c r="S122" s="39" t="n"/>
      <c r="T122" s="39" t="n"/>
      <c r="Y122" s="39" t="n"/>
      <c r="Z122" s="39" t="n"/>
      <c r="AA122" t="inlineStr">
        <is>
          <t>Evelyn Arciela Leon Estela</t>
        </is>
      </c>
      <c r="AB122" t="inlineStr">
        <is>
          <t>70313948</t>
        </is>
      </c>
      <c r="AC122" t="inlineStr">
        <is>
          <t xml:space="preserve">Segunda Etapa.Mz 41 Lt. 35 -Urb. Torre Blanca </t>
        </is>
      </c>
      <c r="AD122" t="n">
        <v>0</v>
      </c>
      <c r="AE122" t="inlineStr">
        <is>
          <t>980746975</t>
        </is>
      </c>
      <c r="AF122" t="inlineStr">
        <is>
          <t>eale.050791@gmail.com</t>
        </is>
      </c>
      <c r="AG122" t="inlineStr">
        <is>
          <t>LIMA</t>
        </is>
      </c>
      <c r="AH122" t="inlineStr">
        <is>
          <t>CARABAYLLO</t>
        </is>
      </c>
      <c r="AI122" s="75" t="n">
        <v>45932</v>
      </c>
      <c r="AJ122" s="75" t="n">
        <v>45932</v>
      </c>
      <c r="AK122" t="inlineStr">
        <is>
          <t>CUOTA INICIAL</t>
        </is>
      </c>
      <c r="AL122" t="n">
        <v>1</v>
      </c>
      <c r="AM122" t="n">
        <v>40000</v>
      </c>
      <c r="AN122" t="n">
        <v>0</v>
      </c>
      <c r="AO122" t="n">
        <v>0</v>
      </c>
      <c r="AP122" s="39" t="n">
        <v>40000</v>
      </c>
      <c r="AQ122" s="39" t="n">
        <v>40000</v>
      </c>
      <c r="AR122" s="39" t="n">
        <v>0</v>
      </c>
      <c r="AS122" t="n">
        <v>0</v>
      </c>
      <c r="AT122" t="inlineStr">
        <is>
          <t>Crédito Hipotecario</t>
        </is>
      </c>
      <c r="AU122" t="inlineStr">
        <is>
          <t>Scotiabank Perú</t>
        </is>
      </c>
      <c r="AV122" t="inlineStr">
        <is>
          <t>0004071419</t>
        </is>
      </c>
      <c r="AW122" t="inlineStr">
        <is>
          <t>TRANSFERENCIA BANCARIA</t>
        </is>
      </c>
      <c r="AY122" t="inlineStr">
        <is>
          <t>0285192</t>
        </is>
      </c>
      <c r="AZ122" t="inlineStr">
        <is>
          <t>No</t>
        </is>
      </c>
      <c r="BB122" t="n">
        <v>4</v>
      </c>
      <c r="BC122" t="inlineStr">
        <is>
          <t>CANCELADO</t>
        </is>
      </c>
      <c r="BN122" t="inlineStr">
        <is>
          <t>No</t>
        </is>
      </c>
      <c r="BO122" s="76" t="n">
        <v>46178.34166666667</v>
      </c>
      <c r="BP122" t="inlineStr">
        <is>
          <t>Magaly Guevara Perez</t>
        </is>
      </c>
      <c r="BR122" t="n">
        <v>8</v>
      </c>
      <c r="BS122" t="inlineStr">
        <is>
          <t>24/05/2026 19:16</t>
        </is>
      </c>
      <c r="BW122" t="inlineStr">
        <is>
          <t>Cobranzas_2025.csv</t>
        </is>
      </c>
      <c r="BX122" t="n">
        <v>2025</v>
      </c>
      <c r="BY122" t="inlineStr">
        <is>
          <t>01/01/2024</t>
        </is>
      </c>
      <c r="BZ122" t="inlineStr">
        <is>
          <t>30/06/2031</t>
        </is>
      </c>
    </row>
    <row r="123">
      <c r="A123" t="inlineStr">
        <is>
          <t>RESIDENCIAL VENECIA</t>
        </is>
      </c>
      <c r="B123" t="inlineStr">
        <is>
          <t>Etapa 1</t>
        </is>
      </c>
      <c r="C123" t="inlineStr">
        <is>
          <t>Edificio</t>
        </is>
      </c>
      <c r="D123" t="inlineStr">
        <is>
          <t>A</t>
        </is>
      </c>
      <c r="E123" t="inlineStr">
        <is>
          <t>Estacionamiento</t>
        </is>
      </c>
      <c r="F123" t="inlineStr">
        <is>
          <t>E 04</t>
        </is>
      </c>
      <c r="G123" s="39" t="n">
        <v>48500</v>
      </c>
      <c r="H123" s="39" t="n">
        <v>48500</v>
      </c>
      <c r="M123" s="39" t="n"/>
      <c r="N123" s="39" t="n"/>
      <c r="S123" s="39" t="n"/>
      <c r="T123" s="39" t="n"/>
      <c r="Y123" s="39" t="n"/>
      <c r="Z123" s="39" t="n"/>
      <c r="AA123" t="inlineStr">
        <is>
          <t>Evelyn Arciela Leon Estela</t>
        </is>
      </c>
      <c r="AB123" t="inlineStr">
        <is>
          <t>70313948</t>
        </is>
      </c>
      <c r="AC123" t="inlineStr">
        <is>
          <t xml:space="preserve">Segunda Etapa.Mz 41 Lt. 35 -Urb. Torre Blanca </t>
        </is>
      </c>
      <c r="AD123" t="n">
        <v>0</v>
      </c>
      <c r="AE123" t="inlineStr">
        <is>
          <t>980746975</t>
        </is>
      </c>
      <c r="AF123" t="inlineStr">
        <is>
          <t>eale.050791@gmail.com</t>
        </is>
      </c>
      <c r="AG123" t="inlineStr">
        <is>
          <t>LIMA</t>
        </is>
      </c>
      <c r="AH123" t="inlineStr">
        <is>
          <t>CARABAYLLO</t>
        </is>
      </c>
      <c r="AI123" s="75" t="n">
        <v>45928</v>
      </c>
      <c r="AJ123" s="75" t="n">
        <v>45928</v>
      </c>
      <c r="AK123" t="inlineStr">
        <is>
          <t>SEPARACION</t>
        </is>
      </c>
      <c r="AL123" t="n">
        <v>1</v>
      </c>
      <c r="AM123" t="n">
        <v>3000</v>
      </c>
      <c r="AN123" t="n">
        <v>0</v>
      </c>
      <c r="AO123" t="n">
        <v>0</v>
      </c>
      <c r="AP123" s="39" t="n">
        <v>3000</v>
      </c>
      <c r="AQ123" s="39" t="n">
        <v>3000</v>
      </c>
      <c r="AR123" s="39" t="n">
        <v>0</v>
      </c>
      <c r="AS123" t="n">
        <v>0</v>
      </c>
      <c r="AT123" t="inlineStr">
        <is>
          <t>Crédito Directo</t>
        </is>
      </c>
      <c r="AU123" t="inlineStr">
        <is>
          <t>Scotiabank Perú</t>
        </is>
      </c>
      <c r="AV123" t="inlineStr">
        <is>
          <t>0004071419</t>
        </is>
      </c>
      <c r="AW123" t="inlineStr">
        <is>
          <t>TRANSFERENCIA BANCARIA</t>
        </is>
      </c>
      <c r="AY123" t="inlineStr">
        <is>
          <t>00377902</t>
        </is>
      </c>
      <c r="AZ123" t="inlineStr">
        <is>
          <t>No</t>
        </is>
      </c>
      <c r="BB123" t="n">
        <v>4</v>
      </c>
      <c r="BC123" t="inlineStr">
        <is>
          <t>CANCELADO</t>
        </is>
      </c>
      <c r="BN123" t="inlineStr">
        <is>
          <t>Si</t>
        </is>
      </c>
      <c r="BO123" s="76" t="n">
        <v>45932.67638888889</v>
      </c>
      <c r="BP123" t="inlineStr">
        <is>
          <t>Magaly Guevara Perez</t>
        </is>
      </c>
      <c r="BR123" t="n">
        <v>19</v>
      </c>
      <c r="BS123" t="inlineStr">
        <is>
          <t>02/07/2026 16:03</t>
        </is>
      </c>
      <c r="BW123" t="inlineStr">
        <is>
          <t>Cobranzas_2025.csv</t>
        </is>
      </c>
      <c r="BX123" t="n">
        <v>2025</v>
      </c>
      <c r="BY123" t="inlineStr">
        <is>
          <t>01/01/2024</t>
        </is>
      </c>
      <c r="BZ123" t="inlineStr">
        <is>
          <t>30/06/2031</t>
        </is>
      </c>
    </row>
    <row r="124">
      <c r="A124" t="inlineStr">
        <is>
          <t>RESIDENCIAL VENECIA</t>
        </is>
      </c>
      <c r="B124" t="inlineStr">
        <is>
          <t>Etapa 1</t>
        </is>
      </c>
      <c r="C124" t="inlineStr">
        <is>
          <t>Edificio</t>
        </is>
      </c>
      <c r="D124" t="inlineStr">
        <is>
          <t>A</t>
        </is>
      </c>
      <c r="E124" t="inlineStr">
        <is>
          <t>Estacionamiento</t>
        </is>
      </c>
      <c r="F124" t="inlineStr">
        <is>
          <t>E 04</t>
        </is>
      </c>
      <c r="G124" s="39" t="n">
        <v>48500</v>
      </c>
      <c r="H124" s="39" t="n">
        <v>48500</v>
      </c>
      <c r="M124" s="39" t="n"/>
      <c r="N124" s="39" t="n"/>
      <c r="S124" s="39" t="n"/>
      <c r="T124" s="39" t="n"/>
      <c r="Y124" s="39" t="n"/>
      <c r="Z124" s="39" t="n"/>
      <c r="AA124" t="inlineStr">
        <is>
          <t>Evelyn Arciela Leon Estela</t>
        </is>
      </c>
      <c r="AB124" t="inlineStr">
        <is>
          <t>70313948</t>
        </is>
      </c>
      <c r="AC124" t="inlineStr">
        <is>
          <t xml:space="preserve">Segunda Etapa.Mz 41 Lt. 35 -Urb. Torre Blanca </t>
        </is>
      </c>
      <c r="AD124" t="n">
        <v>0</v>
      </c>
      <c r="AE124" t="inlineStr">
        <is>
          <t>980746975</t>
        </is>
      </c>
      <c r="AF124" t="inlineStr">
        <is>
          <t>eale.050791@gmail.com</t>
        </is>
      </c>
      <c r="AG124" t="inlineStr">
        <is>
          <t>LIMA</t>
        </is>
      </c>
      <c r="AH124" t="inlineStr">
        <is>
          <t>CARABAYLLO</t>
        </is>
      </c>
      <c r="AI124" s="75" t="n">
        <v>45932</v>
      </c>
      <c r="AJ124" s="75" t="n">
        <v>45932</v>
      </c>
      <c r="AK124" t="inlineStr">
        <is>
          <t>CUOTA INICIAL</t>
        </is>
      </c>
      <c r="AL124" t="n">
        <v>1</v>
      </c>
      <c r="AM124" t="n">
        <v>16400</v>
      </c>
      <c r="AN124" t="n">
        <v>0</v>
      </c>
      <c r="AO124" t="n">
        <v>0</v>
      </c>
      <c r="AP124" s="39" t="n">
        <v>16400</v>
      </c>
      <c r="AQ124" s="39" t="n">
        <v>16400</v>
      </c>
      <c r="AR124" s="39" t="n">
        <v>0</v>
      </c>
      <c r="AS124" t="n">
        <v>0</v>
      </c>
      <c r="AT124" t="inlineStr">
        <is>
          <t>Crédito Directo</t>
        </is>
      </c>
      <c r="AU124" t="inlineStr">
        <is>
          <t>Scotiabank Perú</t>
        </is>
      </c>
      <c r="AV124" t="inlineStr">
        <is>
          <t>0004071419</t>
        </is>
      </c>
      <c r="AW124" t="inlineStr">
        <is>
          <t>TRANSFERENCIA BANCARIA</t>
        </is>
      </c>
      <c r="AY124" t="inlineStr">
        <is>
          <t>572287</t>
        </is>
      </c>
      <c r="AZ124" t="inlineStr">
        <is>
          <t>No</t>
        </is>
      </c>
      <c r="BB124" t="n">
        <v>4</v>
      </c>
      <c r="BC124" t="inlineStr">
        <is>
          <t>CANCELADO</t>
        </is>
      </c>
      <c r="BN124" t="inlineStr">
        <is>
          <t>Si</t>
        </is>
      </c>
      <c r="BO124" s="76" t="n">
        <v>45932.67638888889</v>
      </c>
      <c r="BP124" t="inlineStr">
        <is>
          <t>Magaly Guevara Perez</t>
        </is>
      </c>
      <c r="BR124" t="n">
        <v>19</v>
      </c>
      <c r="BS124" t="inlineStr">
        <is>
          <t>02/07/2026 16:05</t>
        </is>
      </c>
      <c r="BW124" t="inlineStr">
        <is>
          <t>Cobranzas_2025.csv</t>
        </is>
      </c>
      <c r="BX124" t="n">
        <v>2025</v>
      </c>
      <c r="BY124" t="inlineStr">
        <is>
          <t>01/01/2024</t>
        </is>
      </c>
      <c r="BZ124" t="inlineStr">
        <is>
          <t>30/06/2031</t>
        </is>
      </c>
    </row>
    <row r="125">
      <c r="A125" t="inlineStr">
        <is>
          <t>RESIDENCIAL VENECIA</t>
        </is>
      </c>
      <c r="B125" t="inlineStr">
        <is>
          <t>Etapa 1</t>
        </is>
      </c>
      <c r="C125" t="inlineStr">
        <is>
          <t>Edificio</t>
        </is>
      </c>
      <c r="D125" t="inlineStr">
        <is>
          <t>A</t>
        </is>
      </c>
      <c r="E125" t="inlineStr">
        <is>
          <t>Estacionamiento</t>
        </is>
      </c>
      <c r="F125" t="inlineStr">
        <is>
          <t>E 04</t>
        </is>
      </c>
      <c r="G125" s="39" t="n">
        <v>48500</v>
      </c>
      <c r="H125" s="39" t="n">
        <v>48500</v>
      </c>
      <c r="M125" s="39" t="n"/>
      <c r="N125" s="39" t="n"/>
      <c r="S125" s="39" t="n"/>
      <c r="T125" s="39" t="n"/>
      <c r="Y125" s="39" t="n"/>
      <c r="Z125" s="39" t="n"/>
      <c r="AA125" t="inlineStr">
        <is>
          <t>Evelyn Arciela Leon Estela</t>
        </is>
      </c>
      <c r="AB125" t="inlineStr">
        <is>
          <t>70313948</t>
        </is>
      </c>
      <c r="AC125" t="inlineStr">
        <is>
          <t xml:space="preserve">Segunda Etapa.Mz 41 Lt. 35 -Urb. Torre Blanca </t>
        </is>
      </c>
      <c r="AD125" t="n">
        <v>0</v>
      </c>
      <c r="AE125" t="inlineStr">
        <is>
          <t>980746975</t>
        </is>
      </c>
      <c r="AF125" t="inlineStr">
        <is>
          <t>eale.050791@gmail.com</t>
        </is>
      </c>
      <c r="AG125" t="inlineStr">
        <is>
          <t>LIMA</t>
        </is>
      </c>
      <c r="AH125" t="inlineStr">
        <is>
          <t>CARABAYLLO</t>
        </is>
      </c>
      <c r="AI125" s="75" t="n">
        <v>45961</v>
      </c>
      <c r="AJ125" s="75" t="n">
        <v>45950</v>
      </c>
      <c r="AK125" t="inlineStr">
        <is>
          <t>SALDO FINANCIAR</t>
        </is>
      </c>
      <c r="AL125" t="n">
        <v>1</v>
      </c>
      <c r="AM125" t="n">
        <v>1940</v>
      </c>
      <c r="AN125" t="n">
        <v>0</v>
      </c>
      <c r="AO125" t="n">
        <v>0</v>
      </c>
      <c r="AP125" s="39" t="n">
        <v>1940</v>
      </c>
      <c r="AQ125" s="39" t="n">
        <v>1940</v>
      </c>
      <c r="AR125" s="39" t="n">
        <v>0</v>
      </c>
      <c r="AS125" t="n">
        <v>0</v>
      </c>
      <c r="AT125" t="inlineStr">
        <is>
          <t>Crédito Directo</t>
        </is>
      </c>
      <c r="AU125" t="inlineStr">
        <is>
          <t>Scotiabank Perú</t>
        </is>
      </c>
      <c r="AV125" t="inlineStr">
        <is>
          <t>0004071419</t>
        </is>
      </c>
      <c r="AW125" t="inlineStr">
        <is>
          <t>TRANSFERENCIA BANCARIA</t>
        </is>
      </c>
      <c r="AY125" t="inlineStr">
        <is>
          <t>U100022</t>
        </is>
      </c>
      <c r="AZ125" t="inlineStr">
        <is>
          <t>No</t>
        </is>
      </c>
      <c r="BB125" t="n">
        <v>4</v>
      </c>
      <c r="BC125" t="inlineStr">
        <is>
          <t>CANCELADO</t>
        </is>
      </c>
      <c r="BN125" t="inlineStr">
        <is>
          <t>Si</t>
        </is>
      </c>
      <c r="BO125" s="76" t="n">
        <v>45932.67638888889</v>
      </c>
      <c r="BP125" t="inlineStr">
        <is>
          <t>Magaly Guevara Perez</t>
        </is>
      </c>
      <c r="BR125" t="n">
        <v>19</v>
      </c>
      <c r="BS125" t="inlineStr">
        <is>
          <t>02/07/2026 16:06</t>
        </is>
      </c>
      <c r="BW125" t="inlineStr">
        <is>
          <t>Cobranzas_2025.csv</t>
        </is>
      </c>
      <c r="BX125" t="n">
        <v>2025</v>
      </c>
      <c r="BY125" t="inlineStr">
        <is>
          <t>01/01/2024</t>
        </is>
      </c>
      <c r="BZ125" t="inlineStr">
        <is>
          <t>30/06/2031</t>
        </is>
      </c>
    </row>
    <row r="126">
      <c r="A126" t="inlineStr">
        <is>
          <t>RESIDENCIAL VENECIA</t>
        </is>
      </c>
      <c r="B126" t="inlineStr">
        <is>
          <t>Etapa 1</t>
        </is>
      </c>
      <c r="C126" t="inlineStr">
        <is>
          <t>Edificio</t>
        </is>
      </c>
      <c r="D126" t="inlineStr">
        <is>
          <t>A</t>
        </is>
      </c>
      <c r="E126" t="inlineStr">
        <is>
          <t>Estacionamiento</t>
        </is>
      </c>
      <c r="F126" t="inlineStr">
        <is>
          <t>E 04</t>
        </is>
      </c>
      <c r="G126" s="39" t="n">
        <v>48500</v>
      </c>
      <c r="H126" s="39" t="n">
        <v>48500</v>
      </c>
      <c r="M126" s="39" t="n"/>
      <c r="N126" s="39" t="n"/>
      <c r="S126" s="39" t="n"/>
      <c r="T126" s="39" t="n"/>
      <c r="Y126" s="39" t="n"/>
      <c r="Z126" s="39" t="n"/>
      <c r="AA126" t="inlineStr">
        <is>
          <t>Evelyn Arciela Leon Estela</t>
        </is>
      </c>
      <c r="AB126" t="inlineStr">
        <is>
          <t>70313948</t>
        </is>
      </c>
      <c r="AC126" t="inlineStr">
        <is>
          <t xml:space="preserve">Segunda Etapa.Mz 41 Lt. 35 -Urb. Torre Blanca </t>
        </is>
      </c>
      <c r="AD126" t="n">
        <v>0</v>
      </c>
      <c r="AE126" t="inlineStr">
        <is>
          <t>980746975</t>
        </is>
      </c>
      <c r="AF126" t="inlineStr">
        <is>
          <t>eale.050791@gmail.com</t>
        </is>
      </c>
      <c r="AG126" t="inlineStr">
        <is>
          <t>LIMA</t>
        </is>
      </c>
      <c r="AH126" t="inlineStr">
        <is>
          <t>CARABAYLLO</t>
        </is>
      </c>
      <c r="AI126" s="75" t="n">
        <v>45991</v>
      </c>
      <c r="AJ126" s="75" t="n">
        <v>45985</v>
      </c>
      <c r="AK126" t="inlineStr">
        <is>
          <t>SALDO FINANCIAR</t>
        </is>
      </c>
      <c r="AL126" t="n">
        <v>2</v>
      </c>
      <c r="AM126" t="n">
        <v>1940</v>
      </c>
      <c r="AN126" t="n">
        <v>0</v>
      </c>
      <c r="AO126" t="n">
        <v>0</v>
      </c>
      <c r="AP126" s="39" t="n">
        <v>1940</v>
      </c>
      <c r="AQ126" s="39" t="n">
        <v>1940</v>
      </c>
      <c r="AR126" s="39" t="n">
        <v>0</v>
      </c>
      <c r="AS126" t="n">
        <v>0</v>
      </c>
      <c r="AT126" t="inlineStr">
        <is>
          <t>Crédito Directo</t>
        </is>
      </c>
      <c r="AU126" t="inlineStr">
        <is>
          <t>Scotiabank Perú</t>
        </is>
      </c>
      <c r="AV126" t="inlineStr">
        <is>
          <t>0004071419</t>
        </is>
      </c>
      <c r="AW126" t="inlineStr">
        <is>
          <t>TRANSFERENCIA BANCARIA</t>
        </is>
      </c>
      <c r="AY126" t="inlineStr">
        <is>
          <t>U27036</t>
        </is>
      </c>
      <c r="AZ126" t="inlineStr">
        <is>
          <t>No</t>
        </is>
      </c>
      <c r="BB126" t="n">
        <v>4</v>
      </c>
      <c r="BC126" t="inlineStr">
        <is>
          <t>CANCELADO</t>
        </is>
      </c>
      <c r="BN126" t="inlineStr">
        <is>
          <t>Si</t>
        </is>
      </c>
      <c r="BO126" s="76" t="n">
        <v>45932.67638888889</v>
      </c>
      <c r="BP126" t="inlineStr">
        <is>
          <t>Magaly Guevara Perez</t>
        </is>
      </c>
      <c r="BR126" t="n">
        <v>19</v>
      </c>
      <c r="BS126" t="inlineStr">
        <is>
          <t>02/07/2026 16:07</t>
        </is>
      </c>
      <c r="BW126" t="inlineStr">
        <is>
          <t>Cobranzas_2025.csv</t>
        </is>
      </c>
      <c r="BX126" t="n">
        <v>2025</v>
      </c>
      <c r="BY126" t="inlineStr">
        <is>
          <t>01/01/2024</t>
        </is>
      </c>
      <c r="BZ126" t="inlineStr">
        <is>
          <t>30/06/2031</t>
        </is>
      </c>
    </row>
    <row r="127">
      <c r="A127" t="inlineStr">
        <is>
          <t>RESIDENCIAL VENECIA</t>
        </is>
      </c>
      <c r="B127" t="inlineStr">
        <is>
          <t>Etapa 1</t>
        </is>
      </c>
      <c r="C127" t="inlineStr">
        <is>
          <t>Edificio</t>
        </is>
      </c>
      <c r="D127" t="inlineStr">
        <is>
          <t>A</t>
        </is>
      </c>
      <c r="E127" t="inlineStr">
        <is>
          <t>Estacionamiento</t>
        </is>
      </c>
      <c r="F127" t="inlineStr">
        <is>
          <t>E 04</t>
        </is>
      </c>
      <c r="G127" s="39" t="n">
        <v>48500</v>
      </c>
      <c r="H127" s="39" t="n">
        <v>48500</v>
      </c>
      <c r="M127" s="39" t="n"/>
      <c r="N127" s="39" t="n"/>
      <c r="S127" s="39" t="n"/>
      <c r="T127" s="39" t="n"/>
      <c r="Y127" s="39" t="n"/>
      <c r="Z127" s="39" t="n"/>
      <c r="AA127" t="inlineStr">
        <is>
          <t>Evelyn Arciela Leon Estela</t>
        </is>
      </c>
      <c r="AB127" t="inlineStr">
        <is>
          <t>70313948</t>
        </is>
      </c>
      <c r="AC127" t="inlineStr">
        <is>
          <t xml:space="preserve">Segunda Etapa.Mz 41 Lt. 35 -Urb. Torre Blanca </t>
        </is>
      </c>
      <c r="AD127" t="n">
        <v>0</v>
      </c>
      <c r="AE127" t="inlineStr">
        <is>
          <t>980746975</t>
        </is>
      </c>
      <c r="AF127" t="inlineStr">
        <is>
          <t>eale.050791@gmail.com</t>
        </is>
      </c>
      <c r="AG127" t="inlineStr">
        <is>
          <t>LIMA</t>
        </is>
      </c>
      <c r="AH127" t="inlineStr">
        <is>
          <t>CARABAYLLO</t>
        </is>
      </c>
      <c r="AI127" s="75" t="n">
        <v>46022</v>
      </c>
      <c r="AJ127" s="75" t="n">
        <v>46013</v>
      </c>
      <c r="AK127" t="inlineStr">
        <is>
          <t>SALDO FINANCIAR</t>
        </is>
      </c>
      <c r="AL127" t="n">
        <v>3</v>
      </c>
      <c r="AM127" t="n">
        <v>1940</v>
      </c>
      <c r="AN127" t="n">
        <v>0</v>
      </c>
      <c r="AO127" t="n">
        <v>0</v>
      </c>
      <c r="AP127" s="39" t="n">
        <v>1940</v>
      </c>
      <c r="AQ127" s="39" t="n">
        <v>1940</v>
      </c>
      <c r="AR127" s="39" t="n">
        <v>0</v>
      </c>
      <c r="AS127" t="n">
        <v>0</v>
      </c>
      <c r="AT127" t="inlineStr">
        <is>
          <t>Crédito Directo</t>
        </is>
      </c>
      <c r="AU127" t="inlineStr">
        <is>
          <t>Scotiabank Perú</t>
        </is>
      </c>
      <c r="AV127" t="inlineStr">
        <is>
          <t>0004071419</t>
        </is>
      </c>
      <c r="AW127" t="inlineStr">
        <is>
          <t>TRANSFERENCIA BANCARIA</t>
        </is>
      </c>
      <c r="AY127" t="inlineStr">
        <is>
          <t>U28777</t>
        </is>
      </c>
      <c r="AZ127" t="inlineStr">
        <is>
          <t>No</t>
        </is>
      </c>
      <c r="BB127" t="n">
        <v>4</v>
      </c>
      <c r="BC127" t="inlineStr">
        <is>
          <t>CANCELADO</t>
        </is>
      </c>
      <c r="BN127" t="inlineStr">
        <is>
          <t>Si</t>
        </is>
      </c>
      <c r="BO127" s="76" t="n">
        <v>45932.67638888889</v>
      </c>
      <c r="BP127" t="inlineStr">
        <is>
          <t>Magaly Guevara Perez</t>
        </is>
      </c>
      <c r="BR127" t="n">
        <v>19</v>
      </c>
      <c r="BS127" t="inlineStr">
        <is>
          <t>02/07/2026 16:07</t>
        </is>
      </c>
      <c r="BW127" t="inlineStr">
        <is>
          <t>Cobranzas_2025.csv</t>
        </is>
      </c>
      <c r="BX127" t="n">
        <v>2025</v>
      </c>
      <c r="BY127" t="inlineStr">
        <is>
          <t>01/01/2024</t>
        </is>
      </c>
      <c r="BZ127" t="inlineStr">
        <is>
          <t>30/06/2031</t>
        </is>
      </c>
    </row>
    <row r="128">
      <c r="A128" t="inlineStr">
        <is>
          <t>RESIDENCIAL BEYOND</t>
        </is>
      </c>
      <c r="B128" t="inlineStr">
        <is>
          <t>Etapa 1</t>
        </is>
      </c>
      <c r="C128" t="inlineStr">
        <is>
          <t>Edificio</t>
        </is>
      </c>
      <c r="D128" t="inlineStr">
        <is>
          <t>A</t>
        </is>
      </c>
      <c r="E128" t="inlineStr">
        <is>
          <t>Departamento</t>
        </is>
      </c>
      <c r="F128" t="inlineStr">
        <is>
          <t>501</t>
        </is>
      </c>
      <c r="G128" s="39" t="n">
        <v>518500</v>
      </c>
      <c r="H128" s="39" t="n">
        <v>469500</v>
      </c>
      <c r="I128" t="inlineStr">
        <is>
          <t>Edificio</t>
        </is>
      </c>
      <c r="J128" t="inlineStr">
        <is>
          <t>A</t>
        </is>
      </c>
      <c r="K128" t="inlineStr">
        <is>
          <t>Estacionamiento</t>
        </is>
      </c>
      <c r="L128" t="inlineStr">
        <is>
          <t>E 14 - D 12</t>
        </is>
      </c>
      <c r="M128" s="39" t="n">
        <v>55000</v>
      </c>
      <c r="N128" s="39" t="n">
        <v>55000</v>
      </c>
      <c r="S128" s="39" t="n"/>
      <c r="T128" s="39" t="n"/>
      <c r="Y128" s="39" t="n"/>
      <c r="Z128" s="39" t="n"/>
      <c r="AA128" t="inlineStr">
        <is>
          <t>Francesca Giuliana Ramos Ortiz</t>
        </is>
      </c>
      <c r="AB128" t="inlineStr">
        <is>
          <t>29412010</t>
        </is>
      </c>
      <c r="AC128" t="inlineStr">
        <is>
          <t>Jr. Cotabambas 306</t>
        </is>
      </c>
      <c r="AD128" t="n">
        <v>0</v>
      </c>
      <c r="AE128" t="inlineStr">
        <is>
          <t>996655477</t>
        </is>
      </c>
      <c r="AF128" t="inlineStr">
        <is>
          <t>cheskagro@gmail.com</t>
        </is>
      </c>
      <c r="AG128" t="inlineStr">
        <is>
          <t>LIMA</t>
        </is>
      </c>
      <c r="AH128" t="inlineStr">
        <is>
          <t>CERCADO DE LIMA</t>
        </is>
      </c>
      <c r="AI128" s="75" t="n">
        <v>45899</v>
      </c>
      <c r="AJ128" s="75" t="n">
        <v>45899</v>
      </c>
      <c r="AK128" t="inlineStr">
        <is>
          <t>SEPARACION</t>
        </is>
      </c>
      <c r="AL128" t="n">
        <v>1</v>
      </c>
      <c r="AM128" t="n">
        <v>3000</v>
      </c>
      <c r="AN128" t="n">
        <v>0</v>
      </c>
      <c r="AO128" t="n">
        <v>0</v>
      </c>
      <c r="AP128" s="39" t="n">
        <v>3000</v>
      </c>
      <c r="AQ128" s="39" t="n">
        <v>3000</v>
      </c>
      <c r="AR128" s="39" t="n">
        <v>0</v>
      </c>
      <c r="AS128" t="n">
        <v>0</v>
      </c>
      <c r="AT128" t="inlineStr">
        <is>
          <t>Ahorro</t>
        </is>
      </c>
      <c r="AU128" t="inlineStr">
        <is>
          <t>Banco de Credito del Perú</t>
        </is>
      </c>
      <c r="AV128" t="inlineStr">
        <is>
          <t>194-7325779-0-65</t>
        </is>
      </c>
      <c r="AW128" t="inlineStr">
        <is>
          <t>TRANSFERENCIA BANCARIA</t>
        </is>
      </c>
      <c r="AY128" t="inlineStr">
        <is>
          <t>02596461</t>
        </is>
      </c>
      <c r="AZ128" t="inlineStr">
        <is>
          <t>No</t>
        </is>
      </c>
      <c r="BB128" t="n">
        <v>4</v>
      </c>
      <c r="BC128" t="inlineStr">
        <is>
          <t>CANCELADO</t>
        </is>
      </c>
      <c r="BN128" t="inlineStr">
        <is>
          <t>No</t>
        </is>
      </c>
      <c r="BO128" s="76" t="n">
        <v>45911.39305555556</v>
      </c>
      <c r="BP128" t="inlineStr">
        <is>
          <t>Magaly Guevara Perez</t>
        </is>
      </c>
      <c r="BR128" t="n">
        <v>30</v>
      </c>
      <c r="BS128" t="inlineStr">
        <is>
          <t>01/05/2026 18:27</t>
        </is>
      </c>
      <c r="BW128" t="inlineStr">
        <is>
          <t>Cobranzas_2025.csv</t>
        </is>
      </c>
      <c r="BX128" t="n">
        <v>2025</v>
      </c>
      <c r="BY128" t="inlineStr">
        <is>
          <t>01/01/2024</t>
        </is>
      </c>
      <c r="BZ128" t="inlineStr">
        <is>
          <t>30/06/2031</t>
        </is>
      </c>
    </row>
    <row r="129">
      <c r="A129" t="inlineStr">
        <is>
          <t>RESIDENCIAL BEYOND</t>
        </is>
      </c>
      <c r="B129" t="inlineStr">
        <is>
          <t>Etapa 1</t>
        </is>
      </c>
      <c r="C129" t="inlineStr">
        <is>
          <t>Edificio</t>
        </is>
      </c>
      <c r="D129" t="inlineStr">
        <is>
          <t>A</t>
        </is>
      </c>
      <c r="E129" t="inlineStr">
        <is>
          <t>Departamento</t>
        </is>
      </c>
      <c r="F129" t="inlineStr">
        <is>
          <t>501</t>
        </is>
      </c>
      <c r="G129" s="39" t="n">
        <v>518500</v>
      </c>
      <c r="H129" s="39" t="n">
        <v>469500</v>
      </c>
      <c r="I129" t="inlineStr">
        <is>
          <t>Edificio</t>
        </is>
      </c>
      <c r="J129" t="inlineStr">
        <is>
          <t>A</t>
        </is>
      </c>
      <c r="K129" t="inlineStr">
        <is>
          <t>Estacionamiento</t>
        </is>
      </c>
      <c r="L129" t="inlineStr">
        <is>
          <t>E 14 - D 12</t>
        </is>
      </c>
      <c r="M129" s="39" t="n">
        <v>55000</v>
      </c>
      <c r="N129" s="39" t="n">
        <v>55000</v>
      </c>
      <c r="S129" s="39" t="n"/>
      <c r="T129" s="39" t="n"/>
      <c r="Y129" s="39" t="n"/>
      <c r="Z129" s="39" t="n"/>
      <c r="AA129" t="inlineStr">
        <is>
          <t>Francesca Giuliana Ramos Ortiz</t>
        </is>
      </c>
      <c r="AB129" t="inlineStr">
        <is>
          <t>29412010</t>
        </is>
      </c>
      <c r="AC129" t="inlineStr">
        <is>
          <t>Jr. Cotabambas 306</t>
        </is>
      </c>
      <c r="AD129" t="n">
        <v>0</v>
      </c>
      <c r="AE129" t="inlineStr">
        <is>
          <t>996655477</t>
        </is>
      </c>
      <c r="AF129" t="inlineStr">
        <is>
          <t>cheskagro@gmail.com</t>
        </is>
      </c>
      <c r="AG129" t="inlineStr">
        <is>
          <t>LIMA</t>
        </is>
      </c>
      <c r="AH129" t="inlineStr">
        <is>
          <t>CERCADO DE LIMA</t>
        </is>
      </c>
      <c r="AI129" s="75" t="n">
        <v>45911</v>
      </c>
      <c r="AJ129" s="75" t="n"/>
      <c r="AK129" t="inlineStr">
        <is>
          <t>CUOTA INICIAL</t>
        </is>
      </c>
      <c r="AL129" t="n">
        <v>1</v>
      </c>
      <c r="AM129" t="n">
        <v>50950</v>
      </c>
      <c r="AN129" t="n">
        <v>0</v>
      </c>
      <c r="AO129" t="n">
        <v>0</v>
      </c>
      <c r="AP129" s="39" t="n">
        <v>50950</v>
      </c>
      <c r="AQ129" s="39" t="n">
        <v>0</v>
      </c>
      <c r="AR129" s="39" t="n">
        <v>50950</v>
      </c>
      <c r="AT129" t="inlineStr">
        <is>
          <t>Ahorro</t>
        </is>
      </c>
      <c r="AZ129" t="inlineStr">
        <is>
          <t>No</t>
        </is>
      </c>
      <c r="BC129" t="inlineStr">
        <is>
          <t>VENCIDO</t>
        </is>
      </c>
      <c r="BN129" t="inlineStr">
        <is>
          <t>No</t>
        </is>
      </c>
      <c r="BO129" s="76" t="n">
        <v>45911.39305555556</v>
      </c>
      <c r="BP129" t="inlineStr">
        <is>
          <t>Magaly Guevara Perez</t>
        </is>
      </c>
      <c r="BR129" t="n">
        <v>30</v>
      </c>
      <c r="BW129" t="inlineStr">
        <is>
          <t>Cobranzas_2025.csv</t>
        </is>
      </c>
      <c r="BX129" t="n">
        <v>2025</v>
      </c>
      <c r="BY129" t="inlineStr">
        <is>
          <t>01/01/2024</t>
        </is>
      </c>
      <c r="BZ129" t="inlineStr">
        <is>
          <t>30/06/2031</t>
        </is>
      </c>
    </row>
    <row r="130">
      <c r="A130" t="inlineStr">
        <is>
          <t>RESIDENCIAL PRADA</t>
        </is>
      </c>
      <c r="B130" t="inlineStr">
        <is>
          <t>Etapa 1</t>
        </is>
      </c>
      <c r="C130" t="inlineStr">
        <is>
          <t>Edificio</t>
        </is>
      </c>
      <c r="D130" t="inlineStr">
        <is>
          <t>A</t>
        </is>
      </c>
      <c r="E130" t="inlineStr">
        <is>
          <t>Departamento</t>
        </is>
      </c>
      <c r="F130" t="inlineStr">
        <is>
          <t>802</t>
        </is>
      </c>
      <c r="G130" s="39" t="n">
        <v>420000</v>
      </c>
      <c r="H130" s="39" t="n">
        <v>420000</v>
      </c>
      <c r="M130" s="39" t="n"/>
      <c r="N130" s="39" t="n"/>
      <c r="S130" s="39" t="n"/>
      <c r="T130" s="39" t="n"/>
      <c r="Y130" s="39" t="n"/>
      <c r="Z130" s="39" t="n"/>
      <c r="AA130" t="inlineStr">
        <is>
          <t xml:space="preserve">Gersom Juver Gonzalez Alfaro </t>
        </is>
      </c>
      <c r="AB130" t="inlineStr">
        <is>
          <t>42539680</t>
        </is>
      </c>
      <c r="AC130" t="inlineStr">
        <is>
          <t>Jr. Grl. Zegarra 854 Dpto. 21 P. 4</t>
        </is>
      </c>
      <c r="AD130" t="n">
        <v>958600003</v>
      </c>
      <c r="AE130" t="inlineStr">
        <is>
          <t>958600003</t>
        </is>
      </c>
      <c r="AF130" t="inlineStr">
        <is>
          <t>gersonalfaro@gmail.com</t>
        </is>
      </c>
      <c r="AG130" t="inlineStr">
        <is>
          <t>LIMA</t>
        </is>
      </c>
      <c r="AH130" t="inlineStr">
        <is>
          <t>JESUS MARIA</t>
        </is>
      </c>
      <c r="AI130" s="75" t="n">
        <v>45815</v>
      </c>
      <c r="AJ130" s="75" t="n">
        <v>45815</v>
      </c>
      <c r="AK130" t="inlineStr">
        <is>
          <t>SEPARACION</t>
        </is>
      </c>
      <c r="AL130" t="n">
        <v>1</v>
      </c>
      <c r="AM130" t="n">
        <v>3000</v>
      </c>
      <c r="AN130" t="n">
        <v>0</v>
      </c>
      <c r="AO130" t="n">
        <v>0</v>
      </c>
      <c r="AP130" s="39" t="n">
        <v>3000</v>
      </c>
      <c r="AQ130" s="39" t="n">
        <v>3000</v>
      </c>
      <c r="AR130" s="39" t="n">
        <v>0</v>
      </c>
      <c r="AS130" t="n">
        <v>0</v>
      </c>
      <c r="AT130" t="inlineStr">
        <is>
          <t>Crédito Hipotecario</t>
        </is>
      </c>
      <c r="AU130" t="inlineStr">
        <is>
          <t>Scotiabank Perú</t>
        </is>
      </c>
      <c r="AV130" t="inlineStr">
        <is>
          <t>000-2768484</t>
        </is>
      </c>
      <c r="AW130" t="inlineStr">
        <is>
          <t>TRANSFERENCIA BANCARIA</t>
        </is>
      </c>
      <c r="AX130" t="n">
        <v>42539680</v>
      </c>
      <c r="AY130" t="inlineStr">
        <is>
          <t>00002392000000000</t>
        </is>
      </c>
      <c r="AZ130" t="inlineStr">
        <is>
          <t>No</t>
        </is>
      </c>
      <c r="BA130" t="inlineStr">
        <is>
          <t>NO PRECISA</t>
        </is>
      </c>
      <c r="BB130" t="n">
        <v>4</v>
      </c>
      <c r="BC130" t="inlineStr">
        <is>
          <t>CANCELADO</t>
        </is>
      </c>
      <c r="BN130" t="inlineStr">
        <is>
          <t>Si</t>
        </is>
      </c>
      <c r="BO130" s="76" t="n">
        <v>45832.51944444444</v>
      </c>
      <c r="BP130" t="inlineStr">
        <is>
          <t>Kenny Salazar S</t>
        </is>
      </c>
      <c r="BR130" t="n">
        <v>45</v>
      </c>
      <c r="BS130" t="inlineStr">
        <is>
          <t>03/06/2026 09:06</t>
        </is>
      </c>
      <c r="BW130" t="inlineStr">
        <is>
          <t>Cobranzas_2025.csv</t>
        </is>
      </c>
      <c r="BX130" t="n">
        <v>2025</v>
      </c>
      <c r="BY130" t="inlineStr">
        <is>
          <t>01/01/2024</t>
        </is>
      </c>
      <c r="BZ130" t="inlineStr">
        <is>
          <t>30/06/2031</t>
        </is>
      </c>
    </row>
    <row r="131">
      <c r="A131" t="inlineStr">
        <is>
          <t>RESIDENCIAL PRADA</t>
        </is>
      </c>
      <c r="B131" t="inlineStr">
        <is>
          <t>Etapa 1</t>
        </is>
      </c>
      <c r="C131" t="inlineStr">
        <is>
          <t>Edificio</t>
        </is>
      </c>
      <c r="D131" t="inlineStr">
        <is>
          <t>A</t>
        </is>
      </c>
      <c r="E131" t="inlineStr">
        <is>
          <t>Departamento</t>
        </is>
      </c>
      <c r="F131" t="inlineStr">
        <is>
          <t>802</t>
        </is>
      </c>
      <c r="G131" s="39" t="n">
        <v>420000</v>
      </c>
      <c r="H131" s="39" t="n">
        <v>420000</v>
      </c>
      <c r="M131" s="39" t="n"/>
      <c r="N131" s="39" t="n"/>
      <c r="S131" s="39" t="n"/>
      <c r="T131" s="39" t="n"/>
      <c r="Y131" s="39" t="n"/>
      <c r="Z131" s="39" t="n"/>
      <c r="AA131" t="inlineStr">
        <is>
          <t xml:space="preserve">Gersom Juver Gonzalez Alfaro </t>
        </is>
      </c>
      <c r="AB131" t="inlineStr">
        <is>
          <t>42539680</t>
        </is>
      </c>
      <c r="AC131" t="inlineStr">
        <is>
          <t>Jr. Grl. Zegarra 854 Dpto. 21 P. 4</t>
        </is>
      </c>
      <c r="AD131" t="n">
        <v>958600003</v>
      </c>
      <c r="AE131" t="inlineStr">
        <is>
          <t>958600003</t>
        </is>
      </c>
      <c r="AF131" t="inlineStr">
        <is>
          <t>gersonalfaro@gmail.com</t>
        </is>
      </c>
      <c r="AG131" t="inlineStr">
        <is>
          <t>LIMA</t>
        </is>
      </c>
      <c r="AH131" t="inlineStr">
        <is>
          <t>JESUS MARIA</t>
        </is>
      </c>
      <c r="AI131" s="75" t="n">
        <v>45832</v>
      </c>
      <c r="AJ131" s="75" t="n">
        <v>45832</v>
      </c>
      <c r="AK131" t="inlineStr">
        <is>
          <t>CUOTA INICIAL</t>
        </is>
      </c>
      <c r="AL131" t="n">
        <v>1</v>
      </c>
      <c r="AM131" t="n">
        <v>9400</v>
      </c>
      <c r="AN131" t="n">
        <v>0</v>
      </c>
      <c r="AO131" t="n">
        <v>0</v>
      </c>
      <c r="AP131" s="39" t="n">
        <v>9400</v>
      </c>
      <c r="AQ131" s="39" t="n">
        <v>9400</v>
      </c>
      <c r="AR131" s="39" t="n">
        <v>0</v>
      </c>
      <c r="AS131" t="n">
        <v>0</v>
      </c>
      <c r="AT131" t="inlineStr">
        <is>
          <t>Crédito Hipotecario</t>
        </is>
      </c>
      <c r="AU131" t="inlineStr">
        <is>
          <t>Scotiabank Perú</t>
        </is>
      </c>
      <c r="AV131" t="inlineStr">
        <is>
          <t>000-2768484</t>
        </is>
      </c>
      <c r="AW131" t="inlineStr">
        <is>
          <t>TRANSFERENCIA BANCARIA</t>
        </is>
      </c>
      <c r="AX131" t="n">
        <v>42539680</v>
      </c>
      <c r="AY131" t="inlineStr">
        <is>
          <t>00002419000000000</t>
        </is>
      </c>
      <c r="AZ131" t="inlineStr">
        <is>
          <t>No</t>
        </is>
      </c>
      <c r="BA131" t="inlineStr">
        <is>
          <t>NO PRECISA</t>
        </is>
      </c>
      <c r="BB131" t="n">
        <v>4</v>
      </c>
      <c r="BC131" t="inlineStr">
        <is>
          <t>CANCELADO</t>
        </is>
      </c>
      <c r="BN131" t="inlineStr">
        <is>
          <t>Si</t>
        </is>
      </c>
      <c r="BO131" s="76" t="n">
        <v>45832.51944444444</v>
      </c>
      <c r="BP131" t="inlineStr">
        <is>
          <t>Kenny Salazar S</t>
        </is>
      </c>
      <c r="BR131" t="n">
        <v>45</v>
      </c>
      <c r="BS131" t="inlineStr">
        <is>
          <t>05/06/2026 12:18</t>
        </is>
      </c>
      <c r="BW131" t="inlineStr">
        <is>
          <t>Cobranzas_2025.csv</t>
        </is>
      </c>
      <c r="BX131" t="n">
        <v>2025</v>
      </c>
      <c r="BY131" t="inlineStr">
        <is>
          <t>01/01/2024</t>
        </is>
      </c>
      <c r="BZ131" t="inlineStr">
        <is>
          <t>30/06/2031</t>
        </is>
      </c>
    </row>
    <row r="132">
      <c r="A132" t="inlineStr">
        <is>
          <t>RESIDENCIAL PRADA</t>
        </is>
      </c>
      <c r="B132" t="inlineStr">
        <is>
          <t>Etapa 1</t>
        </is>
      </c>
      <c r="C132" t="inlineStr">
        <is>
          <t>Edificio</t>
        </is>
      </c>
      <c r="D132" t="inlineStr">
        <is>
          <t>A</t>
        </is>
      </c>
      <c r="E132" t="inlineStr">
        <is>
          <t>Departamento</t>
        </is>
      </c>
      <c r="F132" t="inlineStr">
        <is>
          <t>802</t>
        </is>
      </c>
      <c r="G132" s="39" t="n">
        <v>420000</v>
      </c>
      <c r="H132" s="39" t="n">
        <v>420000</v>
      </c>
      <c r="M132" s="39" t="n"/>
      <c r="N132" s="39" t="n"/>
      <c r="S132" s="39" t="n"/>
      <c r="T132" s="39" t="n"/>
      <c r="Y132" s="39" t="n"/>
      <c r="Z132" s="39" t="n"/>
      <c r="AA132" t="inlineStr">
        <is>
          <t xml:space="preserve">Gersom Juver Gonzalez Alfaro </t>
        </is>
      </c>
      <c r="AB132" t="inlineStr">
        <is>
          <t>42539680</t>
        </is>
      </c>
      <c r="AC132" t="inlineStr">
        <is>
          <t>Jr. Grl. Zegarra 854 Dpto. 21 P. 4</t>
        </is>
      </c>
      <c r="AD132" t="n">
        <v>958600003</v>
      </c>
      <c r="AE132" t="inlineStr">
        <is>
          <t>958600003</t>
        </is>
      </c>
      <c r="AF132" t="inlineStr">
        <is>
          <t>gersonalfaro@gmail.com</t>
        </is>
      </c>
      <c r="AG132" t="inlineStr">
        <is>
          <t>LIMA</t>
        </is>
      </c>
      <c r="AH132" t="inlineStr">
        <is>
          <t>JESUS MARIA</t>
        </is>
      </c>
      <c r="AI132" s="75" t="n">
        <v>45991</v>
      </c>
      <c r="AJ132" s="75" t="n">
        <v>46077</v>
      </c>
      <c r="AK132" t="inlineStr">
        <is>
          <t>CUOTA INICIAL</t>
        </is>
      </c>
      <c r="AL132" t="n">
        <v>2</v>
      </c>
      <c r="AM132" t="n">
        <v>23514</v>
      </c>
      <c r="AN132" t="n">
        <v>0</v>
      </c>
      <c r="AO132" t="n">
        <v>0</v>
      </c>
      <c r="AP132" s="39" t="n">
        <v>23514</v>
      </c>
      <c r="AQ132" s="39" t="n">
        <v>23514</v>
      </c>
      <c r="AR132" s="39" t="n">
        <v>0</v>
      </c>
      <c r="AS132" t="n">
        <v>0</v>
      </c>
      <c r="AT132" t="inlineStr">
        <is>
          <t>Crédito Hipotecario</t>
        </is>
      </c>
      <c r="AU132" t="inlineStr">
        <is>
          <t>Scotiabank Perú</t>
        </is>
      </c>
      <c r="AV132" t="inlineStr">
        <is>
          <t>000-2768484</t>
        </is>
      </c>
      <c r="AW132" t="inlineStr">
        <is>
          <t>TRANSFERENCIA BANCARIA</t>
        </is>
      </c>
      <c r="AX132" t="n">
        <v>42539680</v>
      </c>
      <c r="AY132" t="inlineStr">
        <is>
          <t>503251</t>
        </is>
      </c>
      <c r="AZ132" t="inlineStr">
        <is>
          <t>No</t>
        </is>
      </c>
      <c r="BA132" t="inlineStr">
        <is>
          <t>NO PRECISA</t>
        </is>
      </c>
      <c r="BB132" t="n">
        <v>4</v>
      </c>
      <c r="BC132" t="inlineStr">
        <is>
          <t>CANCELADO</t>
        </is>
      </c>
      <c r="BN132" t="inlineStr">
        <is>
          <t>Si</t>
        </is>
      </c>
      <c r="BO132" s="76" t="n">
        <v>45832.51944444444</v>
      </c>
      <c r="BP132" t="inlineStr">
        <is>
          <t>Kenny Salazar S</t>
        </is>
      </c>
      <c r="BR132" t="n">
        <v>45</v>
      </c>
      <c r="BS132" t="inlineStr">
        <is>
          <t>05/06/2026 12:20</t>
        </is>
      </c>
      <c r="BW132" t="inlineStr">
        <is>
          <t>Cobranzas_2025.csv</t>
        </is>
      </c>
      <c r="BX132" t="n">
        <v>2025</v>
      </c>
      <c r="BY132" t="inlineStr">
        <is>
          <t>01/01/2024</t>
        </is>
      </c>
      <c r="BZ132" t="inlineStr">
        <is>
          <t>30/06/2031</t>
        </is>
      </c>
    </row>
    <row r="133">
      <c r="A133" t="inlineStr">
        <is>
          <t>RESIDENCIAL PRADA</t>
        </is>
      </c>
      <c r="B133" t="inlineStr">
        <is>
          <t>Etapa 1</t>
        </is>
      </c>
      <c r="C133" t="inlineStr">
        <is>
          <t>Edificio</t>
        </is>
      </c>
      <c r="D133" t="inlineStr">
        <is>
          <t>A</t>
        </is>
      </c>
      <c r="E133" t="inlineStr">
        <is>
          <t>Departamento</t>
        </is>
      </c>
      <c r="F133" t="inlineStr">
        <is>
          <t>802</t>
        </is>
      </c>
      <c r="G133" s="39" t="n">
        <v>420000</v>
      </c>
      <c r="H133" s="39" t="n">
        <v>420000</v>
      </c>
      <c r="M133" s="39" t="n"/>
      <c r="N133" s="39" t="n"/>
      <c r="S133" s="39" t="n"/>
      <c r="T133" s="39" t="n"/>
      <c r="Y133" s="39" t="n"/>
      <c r="Z133" s="39" t="n"/>
      <c r="AA133" t="inlineStr">
        <is>
          <t xml:space="preserve">Gersom Juver Gonzalez Alfaro </t>
        </is>
      </c>
      <c r="AB133" t="inlineStr">
        <is>
          <t>42539680</t>
        </is>
      </c>
      <c r="AC133" t="inlineStr">
        <is>
          <t>Jr. Grl. Zegarra 854 Dpto. 21 P. 4</t>
        </is>
      </c>
      <c r="AD133" t="n">
        <v>958600003</v>
      </c>
      <c r="AE133" t="inlineStr">
        <is>
          <t>958600003</t>
        </is>
      </c>
      <c r="AF133" t="inlineStr">
        <is>
          <t>gersonalfaro@gmail.com</t>
        </is>
      </c>
      <c r="AG133" t="inlineStr">
        <is>
          <t>LIMA</t>
        </is>
      </c>
      <c r="AH133" t="inlineStr">
        <is>
          <t>JESUS MARIA</t>
        </is>
      </c>
      <c r="AI133" s="75" t="n">
        <v>45991</v>
      </c>
      <c r="AJ133" s="75" t="n">
        <v>46127</v>
      </c>
      <c r="AK133" t="inlineStr">
        <is>
          <t>CUOTA INICIAL</t>
        </is>
      </c>
      <c r="AL133" t="n">
        <v>3</v>
      </c>
      <c r="AM133" t="n">
        <v>12086</v>
      </c>
      <c r="AN133" t="n">
        <v>0</v>
      </c>
      <c r="AO133" t="n">
        <v>0</v>
      </c>
      <c r="AP133" s="39" t="n">
        <v>12086</v>
      </c>
      <c r="AQ133" s="39" t="n">
        <v>4210.3</v>
      </c>
      <c r="AR133" s="39" t="n">
        <v>0</v>
      </c>
      <c r="AS133" t="n">
        <v>0</v>
      </c>
      <c r="AT133" t="inlineStr">
        <is>
          <t>Crédito Hipotecario</t>
        </is>
      </c>
      <c r="AU133" t="inlineStr">
        <is>
          <t>Scotiabank Perú</t>
        </is>
      </c>
      <c r="AV133" t="inlineStr">
        <is>
          <t>000-2768484</t>
        </is>
      </c>
      <c r="AW133" t="inlineStr">
        <is>
          <t>TRANSFERENCIA BANCARIA</t>
        </is>
      </c>
      <c r="AX133" t="n">
        <v>42539680</v>
      </c>
      <c r="AY133" t="inlineStr">
        <is>
          <t>00003077000000000</t>
        </is>
      </c>
      <c r="AZ133" t="inlineStr">
        <is>
          <t>No</t>
        </is>
      </c>
      <c r="BA133" t="inlineStr">
        <is>
          <t>NO PRECISA</t>
        </is>
      </c>
      <c r="BB133" t="n">
        <v>4</v>
      </c>
      <c r="BC133" t="inlineStr">
        <is>
          <t>CANCELADO</t>
        </is>
      </c>
      <c r="BN133" t="inlineStr">
        <is>
          <t>Si</t>
        </is>
      </c>
      <c r="BO133" s="76" t="n">
        <v>45832.51944444444</v>
      </c>
      <c r="BP133" t="inlineStr">
        <is>
          <t>Kenny Salazar S</t>
        </is>
      </c>
      <c r="BR133" t="n">
        <v>45</v>
      </c>
      <c r="BS133" t="inlineStr">
        <is>
          <t>05/06/2026 12:27</t>
        </is>
      </c>
      <c r="BW133" t="inlineStr">
        <is>
          <t>Cobranzas_2025.csv</t>
        </is>
      </c>
      <c r="BX133" t="n">
        <v>2025</v>
      </c>
      <c r="BY133" t="inlineStr">
        <is>
          <t>01/01/2024</t>
        </is>
      </c>
      <c r="BZ133" t="inlineStr">
        <is>
          <t>30/06/2031</t>
        </is>
      </c>
    </row>
    <row r="134">
      <c r="A134" t="inlineStr">
        <is>
          <t>RESIDENCIAL PRADA</t>
        </is>
      </c>
      <c r="B134" t="inlineStr">
        <is>
          <t>Etapa 1</t>
        </is>
      </c>
      <c r="C134" t="inlineStr">
        <is>
          <t>Edificio</t>
        </is>
      </c>
      <c r="D134" t="inlineStr">
        <is>
          <t>A</t>
        </is>
      </c>
      <c r="E134" t="inlineStr">
        <is>
          <t>Departamento</t>
        </is>
      </c>
      <c r="F134" t="inlineStr">
        <is>
          <t>802</t>
        </is>
      </c>
      <c r="G134" s="39" t="n">
        <v>420000</v>
      </c>
      <c r="H134" s="39" t="n">
        <v>420000</v>
      </c>
      <c r="M134" s="39" t="n"/>
      <c r="N134" s="39" t="n"/>
      <c r="S134" s="39" t="n"/>
      <c r="T134" s="39" t="n"/>
      <c r="Y134" s="39" t="n"/>
      <c r="Z134" s="39" t="n"/>
      <c r="AA134" t="inlineStr">
        <is>
          <t xml:space="preserve">Gersom Juver Gonzalez Alfaro </t>
        </is>
      </c>
      <c r="AB134" t="inlineStr">
        <is>
          <t>42539680</t>
        </is>
      </c>
      <c r="AC134" t="inlineStr">
        <is>
          <t>Jr. Grl. Zegarra 854 Dpto. 21 P. 4</t>
        </is>
      </c>
      <c r="AD134" t="n">
        <v>958600003</v>
      </c>
      <c r="AE134" t="inlineStr">
        <is>
          <t>958600003</t>
        </is>
      </c>
      <c r="AF134" t="inlineStr">
        <is>
          <t>gersonalfaro@gmail.com</t>
        </is>
      </c>
      <c r="AG134" t="inlineStr">
        <is>
          <t>LIMA</t>
        </is>
      </c>
      <c r="AH134" t="inlineStr">
        <is>
          <t>JESUS MARIA</t>
        </is>
      </c>
      <c r="AI134" s="75" t="n">
        <v>45991</v>
      </c>
      <c r="AJ134" s="75" t="n">
        <v>46086</v>
      </c>
      <c r="AK134" t="inlineStr">
        <is>
          <t>CUOTA INICIAL</t>
        </is>
      </c>
      <c r="AL134" t="n">
        <v>3</v>
      </c>
      <c r="AM134" t="n">
        <v>0</v>
      </c>
      <c r="AN134" t="n">
        <v>0</v>
      </c>
      <c r="AO134" t="n">
        <v>0</v>
      </c>
      <c r="AP134" s="39" t="n">
        <v>0</v>
      </c>
      <c r="AQ134" s="39" t="n">
        <v>7875.7</v>
      </c>
      <c r="AR134" s="39" t="n">
        <v>0</v>
      </c>
      <c r="AS134" t="n">
        <v>0</v>
      </c>
      <c r="AT134" t="inlineStr">
        <is>
          <t>Crédito Hipotecario</t>
        </is>
      </c>
      <c r="AU134" t="inlineStr">
        <is>
          <t>Scotiabank Perú</t>
        </is>
      </c>
      <c r="AV134" t="inlineStr">
        <is>
          <t>000-2768484</t>
        </is>
      </c>
      <c r="AW134" t="inlineStr">
        <is>
          <t>TRANSFERENCIA BANCARIA</t>
        </is>
      </c>
      <c r="AY134" t="inlineStr">
        <is>
          <t>05032026</t>
        </is>
      </c>
      <c r="AZ134" t="inlineStr">
        <is>
          <t>No</t>
        </is>
      </c>
      <c r="BB134" t="n">
        <v>4</v>
      </c>
      <c r="BC134" t="inlineStr">
        <is>
          <t>CANCELADO</t>
        </is>
      </c>
      <c r="BN134" t="inlineStr">
        <is>
          <t>Si</t>
        </is>
      </c>
      <c r="BO134" s="76" t="n">
        <v>45832.51944444444</v>
      </c>
      <c r="BP134" t="inlineStr">
        <is>
          <t>Kenny Salazar S</t>
        </is>
      </c>
      <c r="BR134" t="n">
        <v>45</v>
      </c>
      <c r="BS134" t="inlineStr">
        <is>
          <t>07/07/2026 12:27</t>
        </is>
      </c>
      <c r="BW134" t="inlineStr">
        <is>
          <t>Cobranzas_2025.csv</t>
        </is>
      </c>
      <c r="BX134" t="n">
        <v>2025</v>
      </c>
      <c r="BY134" t="inlineStr">
        <is>
          <t>01/01/2024</t>
        </is>
      </c>
      <c r="BZ134" t="inlineStr">
        <is>
          <t>30/06/2031</t>
        </is>
      </c>
    </row>
    <row r="135">
      <c r="A135" t="inlineStr">
        <is>
          <t>RESIDENCIAL PRADA</t>
        </is>
      </c>
      <c r="B135" t="inlineStr">
        <is>
          <t>Etapa 1</t>
        </is>
      </c>
      <c r="C135" t="inlineStr">
        <is>
          <t>Edificio</t>
        </is>
      </c>
      <c r="D135" t="inlineStr">
        <is>
          <t>A</t>
        </is>
      </c>
      <c r="E135" t="inlineStr">
        <is>
          <t>Departamento</t>
        </is>
      </c>
      <c r="F135" t="inlineStr">
        <is>
          <t>203</t>
        </is>
      </c>
      <c r="G135" s="39" t="n">
        <v>654000</v>
      </c>
      <c r="H135" s="39" t="n">
        <v>654000</v>
      </c>
      <c r="I135" t="inlineStr">
        <is>
          <t>Edificio</t>
        </is>
      </c>
      <c r="J135" t="inlineStr">
        <is>
          <t>A</t>
        </is>
      </c>
      <c r="K135" t="inlineStr">
        <is>
          <t>Estacionamiento</t>
        </is>
      </c>
      <c r="L135" t="inlineStr">
        <is>
          <t>E 12 - D 09</t>
        </is>
      </c>
      <c r="M135" s="39" t="n">
        <v>56300</v>
      </c>
      <c r="N135" s="39" t="n">
        <v>56300</v>
      </c>
      <c r="S135" s="39" t="n"/>
      <c r="T135" s="39" t="n"/>
      <c r="Y135" s="39" t="n"/>
      <c r="Z135" s="39" t="n"/>
      <c r="AA135" t="inlineStr">
        <is>
          <t>Gilberto Videla Flores</t>
        </is>
      </c>
      <c r="AB135" t="inlineStr">
        <is>
          <t>06571347</t>
        </is>
      </c>
      <c r="AC135" t="inlineStr">
        <is>
          <t>Mz D Lt 7 Urb. La Estrella</t>
        </is>
      </c>
      <c r="AE135" t="inlineStr">
        <is>
          <t>969742622</t>
        </is>
      </c>
      <c r="AF135" t="inlineStr">
        <is>
          <t>gvidelaf@gmail.com</t>
        </is>
      </c>
      <c r="AG135" t="inlineStr">
        <is>
          <t>LIMA</t>
        </is>
      </c>
      <c r="AH135" t="inlineStr">
        <is>
          <t>LOS OLIVOS</t>
        </is>
      </c>
      <c r="AI135" s="75" t="n">
        <v>45750</v>
      </c>
      <c r="AJ135" s="75" t="n">
        <v>45750</v>
      </c>
      <c r="AK135" t="inlineStr">
        <is>
          <t>SALDO FINANCIAR</t>
        </is>
      </c>
      <c r="AL135" t="n">
        <v>4</v>
      </c>
      <c r="AM135" t="n">
        <v>20000</v>
      </c>
      <c r="AN135" t="n">
        <v>0</v>
      </c>
      <c r="AO135" t="n">
        <v>0</v>
      </c>
      <c r="AP135" s="39" t="n">
        <v>20000</v>
      </c>
      <c r="AQ135" s="39" t="n">
        <v>20000</v>
      </c>
      <c r="AR135" s="39" t="n">
        <v>0</v>
      </c>
      <c r="AS135" t="n">
        <v>0</v>
      </c>
      <c r="AT135" t="inlineStr">
        <is>
          <t>Crédito Directo</t>
        </is>
      </c>
      <c r="AU135" t="inlineStr">
        <is>
          <t>Scotiabank Perú</t>
        </is>
      </c>
      <c r="AV135" t="inlineStr">
        <is>
          <t>000-2768484</t>
        </is>
      </c>
      <c r="AW135" t="inlineStr">
        <is>
          <t>TRANSFERENCIA BANCARIA</t>
        </is>
      </c>
      <c r="AY135" t="inlineStr">
        <is>
          <t>02908619</t>
        </is>
      </c>
      <c r="AZ135" t="inlineStr">
        <is>
          <t>No</t>
        </is>
      </c>
      <c r="BB135" t="n">
        <v>4</v>
      </c>
      <c r="BC135" t="inlineStr">
        <is>
          <t>CANCELADO</t>
        </is>
      </c>
      <c r="BN135" t="inlineStr">
        <is>
          <t>Si</t>
        </is>
      </c>
      <c r="BO135" s="76" t="n">
        <v>45539.38055555556</v>
      </c>
      <c r="BP135" t="inlineStr">
        <is>
          <t>Carla Michue M</t>
        </is>
      </c>
      <c r="BR135" t="n">
        <v>24</v>
      </c>
      <c r="BS135" t="inlineStr">
        <is>
          <t>30/06/2026 16:50</t>
        </is>
      </c>
      <c r="BW135" t="inlineStr">
        <is>
          <t>Cobranzas_2025.csv</t>
        </is>
      </c>
      <c r="BX135" t="n">
        <v>2025</v>
      </c>
      <c r="BY135" t="inlineStr">
        <is>
          <t>01/01/2024</t>
        </is>
      </c>
      <c r="BZ135" t="inlineStr">
        <is>
          <t>30/06/2031</t>
        </is>
      </c>
    </row>
    <row r="136">
      <c r="A136" t="inlineStr">
        <is>
          <t>RESIDENCIAL PRADA</t>
        </is>
      </c>
      <c r="B136" t="inlineStr">
        <is>
          <t>Etapa 1</t>
        </is>
      </c>
      <c r="C136" t="inlineStr">
        <is>
          <t>Edificio</t>
        </is>
      </c>
      <c r="D136" t="inlineStr">
        <is>
          <t>A</t>
        </is>
      </c>
      <c r="E136" t="inlineStr">
        <is>
          <t>Departamento</t>
        </is>
      </c>
      <c r="F136" t="inlineStr">
        <is>
          <t>203</t>
        </is>
      </c>
      <c r="G136" s="39" t="n">
        <v>654000</v>
      </c>
      <c r="H136" s="39" t="n">
        <v>654000</v>
      </c>
      <c r="I136" t="inlineStr">
        <is>
          <t>Edificio</t>
        </is>
      </c>
      <c r="J136" t="inlineStr">
        <is>
          <t>A</t>
        </is>
      </c>
      <c r="K136" t="inlineStr">
        <is>
          <t>Estacionamiento</t>
        </is>
      </c>
      <c r="L136" t="inlineStr">
        <is>
          <t>E 12 - D 09</t>
        </is>
      </c>
      <c r="M136" s="39" t="n">
        <v>56300</v>
      </c>
      <c r="N136" s="39" t="n">
        <v>56300</v>
      </c>
      <c r="S136" s="39" t="n"/>
      <c r="T136" s="39" t="n"/>
      <c r="Y136" s="39" t="n"/>
      <c r="Z136" s="39" t="n"/>
      <c r="AA136" t="inlineStr">
        <is>
          <t>Gilberto Videla Flores</t>
        </is>
      </c>
      <c r="AB136" t="inlineStr">
        <is>
          <t>06571347</t>
        </is>
      </c>
      <c r="AC136" t="inlineStr">
        <is>
          <t>Mz D Lt 7 Urb. La Estrella</t>
        </is>
      </c>
      <c r="AE136" t="inlineStr">
        <is>
          <t>969742622</t>
        </is>
      </c>
      <c r="AF136" t="inlineStr">
        <is>
          <t>gvidelaf@gmail.com</t>
        </is>
      </c>
      <c r="AG136" t="inlineStr">
        <is>
          <t>LIMA</t>
        </is>
      </c>
      <c r="AH136" t="inlineStr">
        <is>
          <t>LOS OLIVOS</t>
        </is>
      </c>
      <c r="AI136" s="75" t="n">
        <v>45751</v>
      </c>
      <c r="AJ136" s="75" t="n">
        <v>45751</v>
      </c>
      <c r="AK136" t="inlineStr">
        <is>
          <t>SALDO FINANCIAR</t>
        </is>
      </c>
      <c r="AL136" t="n">
        <v>5</v>
      </c>
      <c r="AM136" t="n">
        <v>15515</v>
      </c>
      <c r="AN136" t="n">
        <v>0</v>
      </c>
      <c r="AO136" t="n">
        <v>0</v>
      </c>
      <c r="AP136" s="39" t="n">
        <v>15515</v>
      </c>
      <c r="AQ136" s="39" t="n">
        <v>15515</v>
      </c>
      <c r="AR136" s="39" t="n">
        <v>0</v>
      </c>
      <c r="AS136" t="n">
        <v>0</v>
      </c>
      <c r="AT136" t="inlineStr">
        <is>
          <t>Crédito Directo</t>
        </is>
      </c>
      <c r="AU136" t="inlineStr">
        <is>
          <t>Scotiabank Perú</t>
        </is>
      </c>
      <c r="AV136" t="inlineStr">
        <is>
          <t>000-2768484</t>
        </is>
      </c>
      <c r="AW136" t="inlineStr">
        <is>
          <t>TRANSFERENCIA BANCARIA</t>
        </is>
      </c>
      <c r="AY136" t="inlineStr">
        <is>
          <t>00616715</t>
        </is>
      </c>
      <c r="AZ136" t="inlineStr">
        <is>
          <t>No</t>
        </is>
      </c>
      <c r="BB136" t="n">
        <v>4</v>
      </c>
      <c r="BC136" t="inlineStr">
        <is>
          <t>CANCELADO</t>
        </is>
      </c>
      <c r="BN136" t="inlineStr">
        <is>
          <t>Si</t>
        </is>
      </c>
      <c r="BO136" s="76" t="n">
        <v>45539.38055555556</v>
      </c>
      <c r="BP136" t="inlineStr">
        <is>
          <t>Carla Michue M</t>
        </is>
      </c>
      <c r="BR136" t="n">
        <v>24</v>
      </c>
      <c r="BS136" t="inlineStr">
        <is>
          <t>30/06/2026 16:54</t>
        </is>
      </c>
      <c r="BW136" t="inlineStr">
        <is>
          <t>Cobranzas_2025.csv</t>
        </is>
      </c>
      <c r="BX136" t="n">
        <v>2025</v>
      </c>
      <c r="BY136" t="inlineStr">
        <is>
          <t>01/01/2024</t>
        </is>
      </c>
      <c r="BZ136" t="inlineStr">
        <is>
          <t>30/06/2031</t>
        </is>
      </c>
    </row>
    <row r="137">
      <c r="A137" t="inlineStr">
        <is>
          <t>RESIDENCIAL PRADA</t>
        </is>
      </c>
      <c r="B137" t="inlineStr">
        <is>
          <t>Etapa 1</t>
        </is>
      </c>
      <c r="C137" t="inlineStr">
        <is>
          <t>Edificio</t>
        </is>
      </c>
      <c r="D137" t="inlineStr">
        <is>
          <t>A</t>
        </is>
      </c>
      <c r="E137" t="inlineStr">
        <is>
          <t>Departamento</t>
        </is>
      </c>
      <c r="F137" t="inlineStr">
        <is>
          <t>203</t>
        </is>
      </c>
      <c r="G137" s="39" t="n">
        <v>654000</v>
      </c>
      <c r="H137" s="39" t="n">
        <v>654000</v>
      </c>
      <c r="I137" t="inlineStr">
        <is>
          <t>Edificio</t>
        </is>
      </c>
      <c r="J137" t="inlineStr">
        <is>
          <t>A</t>
        </is>
      </c>
      <c r="K137" t="inlineStr">
        <is>
          <t>Estacionamiento</t>
        </is>
      </c>
      <c r="L137" t="inlineStr">
        <is>
          <t>E 12 - D 09</t>
        </is>
      </c>
      <c r="M137" s="39" t="n">
        <v>56300</v>
      </c>
      <c r="N137" s="39" t="n">
        <v>56300</v>
      </c>
      <c r="S137" s="39" t="n"/>
      <c r="T137" s="39" t="n"/>
      <c r="Y137" s="39" t="n"/>
      <c r="Z137" s="39" t="n"/>
      <c r="AA137" t="inlineStr">
        <is>
          <t>Gilberto Videla Flores</t>
        </is>
      </c>
      <c r="AB137" t="inlineStr">
        <is>
          <t>06571347</t>
        </is>
      </c>
      <c r="AC137" t="inlineStr">
        <is>
          <t>Mz D Lt 7 Urb. La Estrella</t>
        </is>
      </c>
      <c r="AE137" t="inlineStr">
        <is>
          <t>969742622</t>
        </is>
      </c>
      <c r="AF137" t="inlineStr">
        <is>
          <t>gvidelaf@gmail.com</t>
        </is>
      </c>
      <c r="AG137" t="inlineStr">
        <is>
          <t>LIMA</t>
        </is>
      </c>
      <c r="AH137" t="inlineStr">
        <is>
          <t>LOS OLIVOS</t>
        </is>
      </c>
      <c r="AI137" s="75" t="n">
        <v>45793</v>
      </c>
      <c r="AJ137" s="75" t="n">
        <v>45793</v>
      </c>
      <c r="AK137" t="inlineStr">
        <is>
          <t>SALDO FINANCIAR</t>
        </is>
      </c>
      <c r="AL137" t="n">
        <v>6</v>
      </c>
      <c r="AM137" t="n">
        <v>35515</v>
      </c>
      <c r="AN137" t="n">
        <v>0</v>
      </c>
      <c r="AO137" t="n">
        <v>0</v>
      </c>
      <c r="AP137" s="39" t="n">
        <v>35515</v>
      </c>
      <c r="AQ137" s="39" t="n">
        <v>35515</v>
      </c>
      <c r="AR137" s="39" t="n">
        <v>0</v>
      </c>
      <c r="AS137" t="n">
        <v>0</v>
      </c>
      <c r="AT137" t="inlineStr">
        <is>
          <t>Crédito Directo</t>
        </is>
      </c>
      <c r="AU137" t="inlineStr">
        <is>
          <t>Scotiabank Perú</t>
        </is>
      </c>
      <c r="AV137" t="inlineStr">
        <is>
          <t>000-2768484</t>
        </is>
      </c>
      <c r="AW137" t="inlineStr">
        <is>
          <t>TRANSFERENCIA BANCARIA</t>
        </is>
      </c>
      <c r="AY137" t="inlineStr">
        <is>
          <t>02719890</t>
        </is>
      </c>
      <c r="AZ137" t="inlineStr">
        <is>
          <t>No</t>
        </is>
      </c>
      <c r="BB137" t="n">
        <v>4</v>
      </c>
      <c r="BC137" t="inlineStr">
        <is>
          <t>CANCELADO</t>
        </is>
      </c>
      <c r="BN137" t="inlineStr">
        <is>
          <t>Si</t>
        </is>
      </c>
      <c r="BO137" s="76" t="n">
        <v>45539.38055555556</v>
      </c>
      <c r="BP137" t="inlineStr">
        <is>
          <t>Carla Michue M</t>
        </is>
      </c>
      <c r="BR137" t="n">
        <v>24</v>
      </c>
      <c r="BS137" t="inlineStr">
        <is>
          <t>30/06/2026 17:00</t>
        </is>
      </c>
      <c r="BW137" t="inlineStr">
        <is>
          <t>Cobranzas_2025.csv</t>
        </is>
      </c>
      <c r="BX137" t="n">
        <v>2025</v>
      </c>
      <c r="BY137" t="inlineStr">
        <is>
          <t>01/01/2024</t>
        </is>
      </c>
      <c r="BZ137" t="inlineStr">
        <is>
          <t>30/06/2031</t>
        </is>
      </c>
    </row>
    <row r="138">
      <c r="A138" t="inlineStr">
        <is>
          <t>RESIDENCIAL PRADA</t>
        </is>
      </c>
      <c r="B138" t="inlineStr">
        <is>
          <t>Etapa 1</t>
        </is>
      </c>
      <c r="C138" t="inlineStr">
        <is>
          <t>Edificio</t>
        </is>
      </c>
      <c r="D138" t="inlineStr">
        <is>
          <t>A</t>
        </is>
      </c>
      <c r="E138" t="inlineStr">
        <is>
          <t>Departamento</t>
        </is>
      </c>
      <c r="F138" t="inlineStr">
        <is>
          <t>104</t>
        </is>
      </c>
      <c r="G138" s="39" t="n">
        <v>609100</v>
      </c>
      <c r="H138" s="39" t="n">
        <v>609100</v>
      </c>
      <c r="I138" t="inlineStr">
        <is>
          <t>Edificio</t>
        </is>
      </c>
      <c r="J138" t="inlineStr">
        <is>
          <t>A</t>
        </is>
      </c>
      <c r="K138" t="inlineStr">
        <is>
          <t>Estacionamiento</t>
        </is>
      </c>
      <c r="L138" t="inlineStr">
        <is>
          <t>E 26 - D 20</t>
        </is>
      </c>
      <c r="M138" s="39" t="n">
        <v>64600</v>
      </c>
      <c r="N138" s="39" t="n">
        <v>64600</v>
      </c>
      <c r="S138" s="39" t="n"/>
      <c r="T138" s="39" t="n"/>
      <c r="Y138" s="39" t="n"/>
      <c r="Z138" s="39" t="n"/>
      <c r="AA138" t="inlineStr">
        <is>
          <t>Gilda Victoria Sampi González</t>
        </is>
      </c>
      <c r="AB138" t="inlineStr">
        <is>
          <t>43636501</t>
        </is>
      </c>
      <c r="AC138" t="inlineStr">
        <is>
          <t>Av. Brasil 863 departamento 702-A</t>
        </is>
      </c>
      <c r="AD138" t="n">
        <v>966422784</v>
      </c>
      <c r="AE138" t="inlineStr">
        <is>
          <t xml:space="preserve">966422784		</t>
        </is>
      </c>
      <c r="AF138" t="inlineStr">
        <is>
          <t>victoria.sampi@gmail.com</t>
        </is>
      </c>
      <c r="AG138" t="inlineStr">
        <is>
          <t>LIMA</t>
        </is>
      </c>
      <c r="AH138" t="inlineStr">
        <is>
          <t>JESUS MARIA</t>
        </is>
      </c>
      <c r="AI138" s="75" t="n">
        <v>45869</v>
      </c>
      <c r="AJ138" s="75" t="n">
        <v>45900</v>
      </c>
      <c r="AK138" t="inlineStr">
        <is>
          <t>SALDO FINANCIAR</t>
        </is>
      </c>
      <c r="AL138" t="n">
        <v>1</v>
      </c>
      <c r="AM138" t="n">
        <v>535960</v>
      </c>
      <c r="AN138" t="n">
        <v>0</v>
      </c>
      <c r="AO138" t="n">
        <v>0</v>
      </c>
      <c r="AP138" s="39" t="n">
        <v>535960</v>
      </c>
      <c r="AQ138" s="39" t="n">
        <v>535960</v>
      </c>
      <c r="AR138" s="39" t="n">
        <v>0</v>
      </c>
      <c r="AS138" t="n">
        <v>0</v>
      </c>
      <c r="AT138" t="inlineStr">
        <is>
          <t>Crédito Hipotecario</t>
        </is>
      </c>
      <c r="AU138" t="inlineStr">
        <is>
          <t>Scotiabank Perú</t>
        </is>
      </c>
      <c r="AV138" t="inlineStr">
        <is>
          <t>000-2768484</t>
        </is>
      </c>
      <c r="AW138" t="inlineStr">
        <is>
          <t>TRANSFERENCIA BANCARIA</t>
        </is>
      </c>
      <c r="AZ138" t="inlineStr">
        <is>
          <t>Si</t>
        </is>
      </c>
      <c r="BB138" t="n">
        <v>4</v>
      </c>
      <c r="BC138" t="inlineStr">
        <is>
          <t>CANCELADO</t>
        </is>
      </c>
      <c r="BN138" t="inlineStr">
        <is>
          <t>Si</t>
        </is>
      </c>
      <c r="BO138" s="76" t="n">
        <v>45537.59305555555</v>
      </c>
      <c r="BP138" t="inlineStr">
        <is>
          <t>Kenny Salazar S</t>
        </is>
      </c>
      <c r="BR138" t="n">
        <v>32</v>
      </c>
      <c r="BS138" t="inlineStr">
        <is>
          <t>07/07/2026 08:32</t>
        </is>
      </c>
      <c r="BW138" t="inlineStr">
        <is>
          <t>Cobranzas_2025.csv</t>
        </is>
      </c>
      <c r="BX138" t="n">
        <v>2025</v>
      </c>
      <c r="BY138" t="inlineStr">
        <is>
          <t>01/01/2024</t>
        </is>
      </c>
      <c r="BZ138" t="inlineStr">
        <is>
          <t>30/06/2031</t>
        </is>
      </c>
    </row>
    <row r="139">
      <c r="A139" t="inlineStr">
        <is>
          <t>RESIDENCIAL VENECIA</t>
        </is>
      </c>
      <c r="B139" t="inlineStr">
        <is>
          <t>Etapa 1</t>
        </is>
      </c>
      <c r="C139" t="inlineStr">
        <is>
          <t>Edificio</t>
        </is>
      </c>
      <c r="D139" t="inlineStr">
        <is>
          <t>A</t>
        </is>
      </c>
      <c r="E139" t="inlineStr">
        <is>
          <t>Departamento</t>
        </is>
      </c>
      <c r="F139" t="inlineStr">
        <is>
          <t>304</t>
        </is>
      </c>
      <c r="G139" s="39" t="n">
        <v>438000</v>
      </c>
      <c r="H139" s="39" t="n">
        <v>438000</v>
      </c>
      <c r="I139" t="inlineStr">
        <is>
          <t>Edificio</t>
        </is>
      </c>
      <c r="J139" t="inlineStr">
        <is>
          <t>A</t>
        </is>
      </c>
      <c r="K139" t="inlineStr">
        <is>
          <t>Estacionamiento</t>
        </is>
      </c>
      <c r="L139" t="inlineStr">
        <is>
          <t>E 28 - D 15</t>
        </is>
      </c>
      <c r="M139" s="39" t="n">
        <v>43000</v>
      </c>
      <c r="N139" s="39" t="n">
        <v>43000</v>
      </c>
      <c r="S139" s="39" t="n"/>
      <c r="T139" s="39" t="n"/>
      <c r="Y139" s="39" t="n"/>
      <c r="Z139" s="39" t="n"/>
      <c r="AA139" t="inlineStr">
        <is>
          <t>Giovani Chumioque Garcia</t>
        </is>
      </c>
      <c r="AB139" t="inlineStr">
        <is>
          <t>46074285</t>
        </is>
      </c>
      <c r="AC139" t="inlineStr">
        <is>
          <t xml:space="preserve">JR.CANGALLO Nº185 </t>
        </is>
      </c>
      <c r="AD139" t="n">
        <v>0</v>
      </c>
      <c r="AE139" t="inlineStr">
        <is>
          <t>970793151</t>
        </is>
      </c>
      <c r="AF139" t="inlineStr">
        <is>
          <t>giojoy@hotmail.com</t>
        </is>
      </c>
      <c r="AG139" t="inlineStr">
        <is>
          <t>LIMA</t>
        </is>
      </c>
      <c r="AH139" t="inlineStr">
        <is>
          <t>CERCADO DE LIMA</t>
        </is>
      </c>
      <c r="AI139" s="75" t="n">
        <v>45940</v>
      </c>
      <c r="AJ139" s="75" t="n">
        <v>45940</v>
      </c>
      <c r="AK139" t="inlineStr">
        <is>
          <t>SEPARACION</t>
        </is>
      </c>
      <c r="AL139" t="n">
        <v>1</v>
      </c>
      <c r="AM139" t="n">
        <v>3000</v>
      </c>
      <c r="AN139" t="n">
        <v>0</v>
      </c>
      <c r="AO139" t="n">
        <v>0</v>
      </c>
      <c r="AP139" s="39" t="n">
        <v>3000</v>
      </c>
      <c r="AQ139" s="39" t="n">
        <v>3000</v>
      </c>
      <c r="AR139" s="39" t="n">
        <v>0</v>
      </c>
      <c r="AS139" t="n">
        <v>0</v>
      </c>
      <c r="AT139" t="inlineStr">
        <is>
          <t>Crédito Hipotecario</t>
        </is>
      </c>
      <c r="AU139" t="inlineStr">
        <is>
          <t>Scotiabank Perú</t>
        </is>
      </c>
      <c r="AV139" t="inlineStr">
        <is>
          <t>0004071419</t>
        </is>
      </c>
      <c r="AW139" t="inlineStr">
        <is>
          <t>POS VISA</t>
        </is>
      </c>
      <c r="AY139" t="inlineStr">
        <is>
          <t>852856</t>
        </is>
      </c>
      <c r="AZ139" t="inlineStr">
        <is>
          <t>No</t>
        </is>
      </c>
      <c r="BB139" t="n">
        <v>4</v>
      </c>
      <c r="BC139" t="inlineStr">
        <is>
          <t>CANCELADO</t>
        </is>
      </c>
      <c r="BN139" t="inlineStr">
        <is>
          <t>No</t>
        </is>
      </c>
      <c r="BO139" s="76" t="n">
        <v>46178.33888888889</v>
      </c>
      <c r="BP139" t="inlineStr">
        <is>
          <t>Magaly Guevara Perez</t>
        </is>
      </c>
      <c r="BR139" t="n">
        <v>6</v>
      </c>
      <c r="BS139" t="inlineStr">
        <is>
          <t>24/05/2026 16:37</t>
        </is>
      </c>
      <c r="BW139" t="inlineStr">
        <is>
          <t>Cobranzas_2025.csv</t>
        </is>
      </c>
      <c r="BX139" t="n">
        <v>2025</v>
      </c>
      <c r="BY139" t="inlineStr">
        <is>
          <t>01/01/2024</t>
        </is>
      </c>
      <c r="BZ139" t="inlineStr">
        <is>
          <t>30/06/2031</t>
        </is>
      </c>
    </row>
    <row r="140">
      <c r="A140" t="inlineStr">
        <is>
          <t>RESIDENCIAL VENECIA</t>
        </is>
      </c>
      <c r="B140" t="inlineStr">
        <is>
          <t>Etapa 1</t>
        </is>
      </c>
      <c r="C140" t="inlineStr">
        <is>
          <t>Edificio</t>
        </is>
      </c>
      <c r="D140" t="inlineStr">
        <is>
          <t>A</t>
        </is>
      </c>
      <c r="E140" t="inlineStr">
        <is>
          <t>Departamento</t>
        </is>
      </c>
      <c r="F140" t="inlineStr">
        <is>
          <t>304</t>
        </is>
      </c>
      <c r="G140" s="39" t="n">
        <v>438000</v>
      </c>
      <c r="H140" s="39" t="n">
        <v>438000</v>
      </c>
      <c r="I140" t="inlineStr">
        <is>
          <t>Edificio</t>
        </is>
      </c>
      <c r="J140" t="inlineStr">
        <is>
          <t>A</t>
        </is>
      </c>
      <c r="K140" t="inlineStr">
        <is>
          <t>Estacionamiento</t>
        </is>
      </c>
      <c r="L140" t="inlineStr">
        <is>
          <t>E 28 - D 15</t>
        </is>
      </c>
      <c r="M140" s="39" t="n">
        <v>43000</v>
      </c>
      <c r="N140" s="39" t="n">
        <v>43000</v>
      </c>
      <c r="S140" s="39" t="n"/>
      <c r="T140" s="39" t="n"/>
      <c r="Y140" s="39" t="n"/>
      <c r="Z140" s="39" t="n"/>
      <c r="AA140" t="inlineStr">
        <is>
          <t>Giovani Chumioque Garcia</t>
        </is>
      </c>
      <c r="AB140" t="inlineStr">
        <is>
          <t>46074285</t>
        </is>
      </c>
      <c r="AC140" t="inlineStr">
        <is>
          <t xml:space="preserve">JR.CANGALLO Nº185 </t>
        </is>
      </c>
      <c r="AD140" t="n">
        <v>0</v>
      </c>
      <c r="AE140" t="inlineStr">
        <is>
          <t>970793151</t>
        </is>
      </c>
      <c r="AF140" t="inlineStr">
        <is>
          <t>giojoy@hotmail.com</t>
        </is>
      </c>
      <c r="AG140" t="inlineStr">
        <is>
          <t>LIMA</t>
        </is>
      </c>
      <c r="AH140" t="inlineStr">
        <is>
          <t>CERCADO DE LIMA</t>
        </is>
      </c>
      <c r="AI140" s="75" t="n">
        <v>45951</v>
      </c>
      <c r="AJ140" s="75" t="n">
        <v>45951</v>
      </c>
      <c r="AK140" t="inlineStr">
        <is>
          <t>CUOTA INICIAL</t>
        </is>
      </c>
      <c r="AL140" t="n">
        <v>1</v>
      </c>
      <c r="AM140" t="n">
        <v>126000</v>
      </c>
      <c r="AN140" t="n">
        <v>0</v>
      </c>
      <c r="AO140" t="n">
        <v>0</v>
      </c>
      <c r="AP140" s="39" t="n">
        <v>126000</v>
      </c>
      <c r="AQ140" s="39" t="n">
        <v>126000</v>
      </c>
      <c r="AR140" s="39" t="n">
        <v>0</v>
      </c>
      <c r="AS140" t="n">
        <v>0</v>
      </c>
      <c r="AT140" t="inlineStr">
        <is>
          <t>Crédito Hipotecario</t>
        </is>
      </c>
      <c r="AU140" t="inlineStr">
        <is>
          <t>Scotiabank Perú</t>
        </is>
      </c>
      <c r="AV140" t="inlineStr">
        <is>
          <t>0004071419</t>
        </is>
      </c>
      <c r="AW140" t="inlineStr">
        <is>
          <t>TRANSFERENCIA BANCARIA</t>
        </is>
      </c>
      <c r="AY140" t="inlineStr">
        <is>
          <t>u27329</t>
        </is>
      </c>
      <c r="AZ140" t="inlineStr">
        <is>
          <t>No</t>
        </is>
      </c>
      <c r="BB140" t="n">
        <v>4</v>
      </c>
      <c r="BC140" t="inlineStr">
        <is>
          <t>CANCELADO</t>
        </is>
      </c>
      <c r="BN140" t="inlineStr">
        <is>
          <t>No</t>
        </is>
      </c>
      <c r="BO140" s="76" t="n">
        <v>46178.33888888889</v>
      </c>
      <c r="BP140" t="inlineStr">
        <is>
          <t>Magaly Guevara Perez</t>
        </is>
      </c>
      <c r="BR140" t="n">
        <v>6</v>
      </c>
      <c r="BS140" t="inlineStr">
        <is>
          <t>24/05/2026 16:39</t>
        </is>
      </c>
      <c r="BW140" t="inlineStr">
        <is>
          <t>Cobranzas_2025.csv</t>
        </is>
      </c>
      <c r="BX140" t="n">
        <v>2025</v>
      </c>
      <c r="BY140" t="inlineStr">
        <is>
          <t>01/01/2024</t>
        </is>
      </c>
      <c r="BZ140" t="inlineStr">
        <is>
          <t>30/06/2031</t>
        </is>
      </c>
    </row>
    <row r="141">
      <c r="A141" t="inlineStr">
        <is>
          <t>RESIDENCIAL VENECIA</t>
        </is>
      </c>
      <c r="B141" t="inlineStr">
        <is>
          <t>Etapa 1</t>
        </is>
      </c>
      <c r="C141" t="inlineStr">
        <is>
          <t>Edificio</t>
        </is>
      </c>
      <c r="D141" t="inlineStr">
        <is>
          <t>A</t>
        </is>
      </c>
      <c r="E141" t="inlineStr">
        <is>
          <t>Departamento</t>
        </is>
      </c>
      <c r="F141" t="inlineStr">
        <is>
          <t>304</t>
        </is>
      </c>
      <c r="G141" s="39" t="n">
        <v>438000</v>
      </c>
      <c r="H141" s="39" t="n">
        <v>438000</v>
      </c>
      <c r="I141" t="inlineStr">
        <is>
          <t>Edificio</t>
        </is>
      </c>
      <c r="J141" t="inlineStr">
        <is>
          <t>A</t>
        </is>
      </c>
      <c r="K141" t="inlineStr">
        <is>
          <t>Estacionamiento</t>
        </is>
      </c>
      <c r="L141" t="inlineStr">
        <is>
          <t>E 28 - D 15</t>
        </is>
      </c>
      <c r="M141" s="39" t="n">
        <v>43000</v>
      </c>
      <c r="N141" s="39" t="n">
        <v>43000</v>
      </c>
      <c r="S141" s="39" t="n"/>
      <c r="T141" s="39" t="n"/>
      <c r="Y141" s="39" t="n"/>
      <c r="Z141" s="39" t="n"/>
      <c r="AA141" t="inlineStr">
        <is>
          <t>Giovani Chumioque Garcia</t>
        </is>
      </c>
      <c r="AB141" t="inlineStr">
        <is>
          <t>46074285</t>
        </is>
      </c>
      <c r="AC141" t="inlineStr">
        <is>
          <t xml:space="preserve">JR.CANGALLO Nº185 </t>
        </is>
      </c>
      <c r="AD141" t="n">
        <v>0</v>
      </c>
      <c r="AE141" t="inlineStr">
        <is>
          <t>970793151</t>
        </is>
      </c>
      <c r="AF141" t="inlineStr">
        <is>
          <t>giojoy@hotmail.com</t>
        </is>
      </c>
      <c r="AG141" t="inlineStr">
        <is>
          <t>LIMA</t>
        </is>
      </c>
      <c r="AH141" t="inlineStr">
        <is>
          <t>CERCADO DE LIMA</t>
        </is>
      </c>
      <c r="AI141" s="75" t="n">
        <v>46007</v>
      </c>
      <c r="AJ141" s="75" t="n">
        <v>46007</v>
      </c>
      <c r="AK141" t="inlineStr">
        <is>
          <t>CUOTA INICIAL</t>
        </is>
      </c>
      <c r="AL141" t="n">
        <v>2</v>
      </c>
      <c r="AM141" t="n">
        <v>21000</v>
      </c>
      <c r="AN141" t="n">
        <v>0</v>
      </c>
      <c r="AO141" t="n">
        <v>0</v>
      </c>
      <c r="AP141" s="39" t="n">
        <v>21000</v>
      </c>
      <c r="AQ141" s="39" t="n">
        <v>21000</v>
      </c>
      <c r="AR141" s="39" t="n">
        <v>0</v>
      </c>
      <c r="AS141" t="n">
        <v>0</v>
      </c>
      <c r="AT141" t="inlineStr">
        <is>
          <t>Crédito Hipotecario</t>
        </is>
      </c>
      <c r="AU141" t="inlineStr">
        <is>
          <t>Scotiabank Perú</t>
        </is>
      </c>
      <c r="AV141" t="inlineStr">
        <is>
          <t>0004071419</t>
        </is>
      </c>
      <c r="AW141" t="inlineStr">
        <is>
          <t>TRANSFERENCIA BANCARIA</t>
        </is>
      </c>
      <c r="AY141" t="inlineStr">
        <is>
          <t>u28740</t>
        </is>
      </c>
      <c r="AZ141" t="inlineStr">
        <is>
          <t>No</t>
        </is>
      </c>
      <c r="BB141" t="n">
        <v>4</v>
      </c>
      <c r="BC141" t="inlineStr">
        <is>
          <t>CANCELADO</t>
        </is>
      </c>
      <c r="BN141" t="inlineStr">
        <is>
          <t>No</t>
        </is>
      </c>
      <c r="BO141" s="76" t="n">
        <v>46178.33888888889</v>
      </c>
      <c r="BP141" t="inlineStr">
        <is>
          <t>Magaly Guevara Perez</t>
        </is>
      </c>
      <c r="BR141" t="n">
        <v>6</v>
      </c>
      <c r="BS141" t="inlineStr">
        <is>
          <t>24/05/2026 16:40</t>
        </is>
      </c>
      <c r="BW141" t="inlineStr">
        <is>
          <t>Cobranzas_2025.csv</t>
        </is>
      </c>
      <c r="BX141" t="n">
        <v>2025</v>
      </c>
      <c r="BY141" t="inlineStr">
        <is>
          <t>01/01/2024</t>
        </is>
      </c>
      <c r="BZ141" t="inlineStr">
        <is>
          <t>30/06/2031</t>
        </is>
      </c>
    </row>
    <row r="142">
      <c r="A142" t="inlineStr">
        <is>
          <t>RESIDENCIAL PRADA</t>
        </is>
      </c>
      <c r="B142" t="inlineStr">
        <is>
          <t>Etapa 1</t>
        </is>
      </c>
      <c r="C142" t="inlineStr">
        <is>
          <t>Edificio</t>
        </is>
      </c>
      <c r="D142" t="inlineStr">
        <is>
          <t>A</t>
        </is>
      </c>
      <c r="E142" t="inlineStr">
        <is>
          <t>Departamento</t>
        </is>
      </c>
      <c r="F142" t="inlineStr">
        <is>
          <t>401</t>
        </is>
      </c>
      <c r="G142" s="39" t="n">
        <v>630000</v>
      </c>
      <c r="H142" s="39" t="n">
        <v>630000</v>
      </c>
      <c r="M142" s="39" t="n"/>
      <c r="N142" s="39" t="n"/>
      <c r="S142" s="39" t="n"/>
      <c r="T142" s="39" t="n"/>
      <c r="Y142" s="39" t="n"/>
      <c r="Z142" s="39" t="n"/>
      <c r="AA142" t="inlineStr">
        <is>
          <t>Gladys Marta Moreano Bellido</t>
        </is>
      </c>
      <c r="AB142" t="inlineStr">
        <is>
          <t>23951642</t>
        </is>
      </c>
      <c r="AC142" t="inlineStr">
        <is>
          <t>General Sta. Cruz 416 interior 311</t>
        </is>
      </c>
      <c r="AD142" t="n">
        <v>0</v>
      </c>
      <c r="AE142" t="inlineStr">
        <is>
          <t>944421327</t>
        </is>
      </c>
      <c r="AF142" t="inlineStr">
        <is>
          <t>cuscoya@gmail.com</t>
        </is>
      </c>
      <c r="AG142" t="inlineStr">
        <is>
          <t>LIMA</t>
        </is>
      </c>
      <c r="AH142" t="inlineStr">
        <is>
          <t>JESUS MARIA</t>
        </is>
      </c>
      <c r="AI142" s="75" t="n">
        <v>45751</v>
      </c>
      <c r="AJ142" s="75" t="n">
        <v>45751</v>
      </c>
      <c r="AK142" t="inlineStr">
        <is>
          <t>SEPARACION</t>
        </is>
      </c>
      <c r="AL142" t="n">
        <v>1</v>
      </c>
      <c r="AM142" t="n">
        <v>3000</v>
      </c>
      <c r="AN142" t="n">
        <v>0</v>
      </c>
      <c r="AO142" t="n">
        <v>0</v>
      </c>
      <c r="AP142" s="39" t="n">
        <v>3000</v>
      </c>
      <c r="AQ142" s="39" t="n">
        <v>3000</v>
      </c>
      <c r="AR142" s="39" t="n">
        <v>0</v>
      </c>
      <c r="AS142" t="n">
        <v>0</v>
      </c>
      <c r="AT142" t="inlineStr">
        <is>
          <t>Crédito Directo</t>
        </is>
      </c>
      <c r="AU142" t="inlineStr">
        <is>
          <t>Scotiabank Perú</t>
        </is>
      </c>
      <c r="AV142" t="inlineStr">
        <is>
          <t>000-2768484</t>
        </is>
      </c>
      <c r="AW142" t="inlineStr">
        <is>
          <t>TRANSFERENCIA BANCARIA</t>
        </is>
      </c>
      <c r="AX142" t="n">
        <v>23951642</v>
      </c>
      <c r="AY142" t="inlineStr">
        <is>
          <t>00005585000000000</t>
        </is>
      </c>
      <c r="AZ142" t="inlineStr">
        <is>
          <t>No</t>
        </is>
      </c>
      <c r="BA142" t="inlineStr">
        <is>
          <t>NO PRECISA</t>
        </is>
      </c>
      <c r="BB142" t="n">
        <v>4</v>
      </c>
      <c r="BC142" t="inlineStr">
        <is>
          <t>CANCELADO</t>
        </is>
      </c>
      <c r="BN142" t="inlineStr">
        <is>
          <t>Si</t>
        </is>
      </c>
      <c r="BO142" s="76" t="n">
        <v>45773.61388888889</v>
      </c>
      <c r="BP142" t="inlineStr">
        <is>
          <t>Kenny Salazar S</t>
        </is>
      </c>
      <c r="BR142" t="n">
        <v>35</v>
      </c>
      <c r="BS142" t="inlineStr">
        <is>
          <t>02/06/2026 15:57</t>
        </is>
      </c>
      <c r="BW142" t="inlineStr">
        <is>
          <t>Cobranzas_2025.csv</t>
        </is>
      </c>
      <c r="BX142" t="n">
        <v>2025</v>
      </c>
      <c r="BY142" t="inlineStr">
        <is>
          <t>01/01/2024</t>
        </is>
      </c>
      <c r="BZ142" t="inlineStr">
        <is>
          <t>30/06/2031</t>
        </is>
      </c>
    </row>
    <row r="143">
      <c r="A143" t="inlineStr">
        <is>
          <t>RESIDENCIAL PRADA</t>
        </is>
      </c>
      <c r="B143" t="inlineStr">
        <is>
          <t>Etapa 1</t>
        </is>
      </c>
      <c r="C143" t="inlineStr">
        <is>
          <t>Edificio</t>
        </is>
      </c>
      <c r="D143" t="inlineStr">
        <is>
          <t>A</t>
        </is>
      </c>
      <c r="E143" t="inlineStr">
        <is>
          <t>Departamento</t>
        </is>
      </c>
      <c r="F143" t="inlineStr">
        <is>
          <t>401</t>
        </is>
      </c>
      <c r="G143" s="39" t="n">
        <v>630000</v>
      </c>
      <c r="H143" s="39" t="n">
        <v>630000</v>
      </c>
      <c r="M143" s="39" t="n"/>
      <c r="N143" s="39" t="n"/>
      <c r="S143" s="39" t="n"/>
      <c r="T143" s="39" t="n"/>
      <c r="Y143" s="39" t="n"/>
      <c r="Z143" s="39" t="n"/>
      <c r="AA143" t="inlineStr">
        <is>
          <t>Gladys Marta Moreano Bellido</t>
        </is>
      </c>
      <c r="AB143" t="inlineStr">
        <is>
          <t>23951642</t>
        </is>
      </c>
      <c r="AC143" t="inlineStr">
        <is>
          <t>General Sta. Cruz 416 interior 311</t>
        </is>
      </c>
      <c r="AD143" t="n">
        <v>0</v>
      </c>
      <c r="AE143" t="inlineStr">
        <is>
          <t>944421327</t>
        </is>
      </c>
      <c r="AF143" t="inlineStr">
        <is>
          <t>cuscoya@gmail.com</t>
        </is>
      </c>
      <c r="AG143" t="inlineStr">
        <is>
          <t>LIMA</t>
        </is>
      </c>
      <c r="AH143" t="inlineStr">
        <is>
          <t>JESUS MARIA</t>
        </is>
      </c>
      <c r="AI143" s="75" t="n">
        <v>45773</v>
      </c>
      <c r="AJ143" s="75" t="n">
        <v>45771</v>
      </c>
      <c r="AK143" t="inlineStr">
        <is>
          <t>CUOTA INICIAL</t>
        </is>
      </c>
      <c r="AL143" t="n">
        <v>1</v>
      </c>
      <c r="AM143" t="n">
        <v>187000</v>
      </c>
      <c r="AN143" t="n">
        <v>0</v>
      </c>
      <c r="AO143" t="n">
        <v>0</v>
      </c>
      <c r="AP143" s="39" t="n">
        <v>187000</v>
      </c>
      <c r="AQ143" s="39" t="n">
        <v>187000</v>
      </c>
      <c r="AR143" s="39" t="n">
        <v>0</v>
      </c>
      <c r="AS143" t="n">
        <v>0</v>
      </c>
      <c r="AT143" t="inlineStr">
        <is>
          <t>Crédito Directo</t>
        </is>
      </c>
      <c r="AU143" t="inlineStr">
        <is>
          <t>Scotiabank Perú</t>
        </is>
      </c>
      <c r="AV143" t="inlineStr">
        <is>
          <t>000-2768484</t>
        </is>
      </c>
      <c r="AW143" t="inlineStr">
        <is>
          <t>TRANSFERENCIA BANCARIA</t>
        </is>
      </c>
      <c r="AY143" t="inlineStr">
        <is>
          <t>004626773</t>
        </is>
      </c>
      <c r="AZ143" t="inlineStr">
        <is>
          <t>No</t>
        </is>
      </c>
      <c r="BB143" t="n">
        <v>4</v>
      </c>
      <c r="BC143" t="inlineStr">
        <is>
          <t>CANCELADO</t>
        </is>
      </c>
      <c r="BN143" t="inlineStr">
        <is>
          <t>Si</t>
        </is>
      </c>
      <c r="BO143" s="76" t="n">
        <v>45773.61388888889</v>
      </c>
      <c r="BP143" t="inlineStr">
        <is>
          <t>Kenny Salazar S</t>
        </is>
      </c>
      <c r="BR143" t="n">
        <v>35</v>
      </c>
      <c r="BS143" t="inlineStr">
        <is>
          <t>03/07/2026 11:38</t>
        </is>
      </c>
      <c r="BW143" t="inlineStr">
        <is>
          <t>Cobranzas_2025.csv</t>
        </is>
      </c>
      <c r="BX143" t="n">
        <v>2025</v>
      </c>
      <c r="BY143" t="inlineStr">
        <is>
          <t>01/01/2024</t>
        </is>
      </c>
      <c r="BZ143" t="inlineStr">
        <is>
          <t>30/06/2031</t>
        </is>
      </c>
    </row>
    <row r="144">
      <c r="A144" t="inlineStr">
        <is>
          <t>RESIDENCIAL PRADA</t>
        </is>
      </c>
      <c r="B144" t="inlineStr">
        <is>
          <t>Etapa 1</t>
        </is>
      </c>
      <c r="C144" t="inlineStr">
        <is>
          <t>Edificio</t>
        </is>
      </c>
      <c r="D144" t="inlineStr">
        <is>
          <t>A</t>
        </is>
      </c>
      <c r="E144" t="inlineStr">
        <is>
          <t>Departamento</t>
        </is>
      </c>
      <c r="F144" t="inlineStr">
        <is>
          <t>401</t>
        </is>
      </c>
      <c r="G144" s="39" t="n">
        <v>630000</v>
      </c>
      <c r="H144" s="39" t="n">
        <v>630000</v>
      </c>
      <c r="M144" s="39" t="n"/>
      <c r="N144" s="39" t="n"/>
      <c r="S144" s="39" t="n"/>
      <c r="T144" s="39" t="n"/>
      <c r="Y144" s="39" t="n"/>
      <c r="Z144" s="39" t="n"/>
      <c r="AA144" t="inlineStr">
        <is>
          <t>Gladys Marta Moreano Bellido</t>
        </is>
      </c>
      <c r="AB144" t="inlineStr">
        <is>
          <t>23951642</t>
        </is>
      </c>
      <c r="AC144" t="inlineStr">
        <is>
          <t>General Sta. Cruz 416 interior 311</t>
        </is>
      </c>
      <c r="AD144" t="n">
        <v>0</v>
      </c>
      <c r="AE144" t="inlineStr">
        <is>
          <t>944421327</t>
        </is>
      </c>
      <c r="AF144" t="inlineStr">
        <is>
          <t>cuscoya@gmail.com</t>
        </is>
      </c>
      <c r="AG144" t="inlineStr">
        <is>
          <t>LIMA</t>
        </is>
      </c>
      <c r="AH144" t="inlineStr">
        <is>
          <t>JESUS MARIA</t>
        </is>
      </c>
      <c r="AI144" s="75" t="n">
        <v>45864</v>
      </c>
      <c r="AJ144" s="75" t="n">
        <v>45864</v>
      </c>
      <c r="AK144" t="inlineStr">
        <is>
          <t>SALDO FINANCIAR</t>
        </is>
      </c>
      <c r="AL144" t="n">
        <v>1</v>
      </c>
      <c r="AM144" t="n">
        <v>73333.33</v>
      </c>
      <c r="AN144" t="n">
        <v>0</v>
      </c>
      <c r="AO144" t="n">
        <v>0</v>
      </c>
      <c r="AP144" s="39" t="n">
        <v>73333.33</v>
      </c>
      <c r="AQ144" s="39" t="n">
        <v>73333.33</v>
      </c>
      <c r="AR144" s="39" t="n">
        <v>0</v>
      </c>
      <c r="AS144" t="n">
        <v>0</v>
      </c>
      <c r="AT144" t="inlineStr">
        <is>
          <t>Crédito Directo</t>
        </is>
      </c>
      <c r="AU144" t="inlineStr">
        <is>
          <t>Scotiabank Perú</t>
        </is>
      </c>
      <c r="AV144" t="inlineStr">
        <is>
          <t>000-2768484</t>
        </is>
      </c>
      <c r="AW144" t="inlineStr">
        <is>
          <t>DEPOSITO EN CUENTA</t>
        </is>
      </c>
      <c r="AY144" t="inlineStr">
        <is>
          <t>007089743</t>
        </is>
      </c>
      <c r="AZ144" t="inlineStr">
        <is>
          <t>No</t>
        </is>
      </c>
      <c r="BB144" t="n">
        <v>4</v>
      </c>
      <c r="BC144" t="inlineStr">
        <is>
          <t>CANCELADO</t>
        </is>
      </c>
      <c r="BN144" t="inlineStr">
        <is>
          <t>Si</t>
        </is>
      </c>
      <c r="BO144" s="76" t="n">
        <v>45773.61388888889</v>
      </c>
      <c r="BP144" t="inlineStr">
        <is>
          <t>Kenny Salazar S</t>
        </is>
      </c>
      <c r="BR144" t="n">
        <v>35</v>
      </c>
      <c r="BS144" t="inlineStr">
        <is>
          <t>03/07/2026 11:50</t>
        </is>
      </c>
      <c r="BW144" t="inlineStr">
        <is>
          <t>Cobranzas_2025.csv</t>
        </is>
      </c>
      <c r="BX144" t="n">
        <v>2025</v>
      </c>
      <c r="BY144" t="inlineStr">
        <is>
          <t>01/01/2024</t>
        </is>
      </c>
      <c r="BZ144" t="inlineStr">
        <is>
          <t>30/06/2031</t>
        </is>
      </c>
    </row>
    <row r="145">
      <c r="A145" t="inlineStr">
        <is>
          <t>RESIDENCIAL PRADA</t>
        </is>
      </c>
      <c r="B145" t="inlineStr">
        <is>
          <t>Etapa 1</t>
        </is>
      </c>
      <c r="C145" t="inlineStr">
        <is>
          <t>Edificio</t>
        </is>
      </c>
      <c r="D145" t="inlineStr">
        <is>
          <t>A</t>
        </is>
      </c>
      <c r="E145" t="inlineStr">
        <is>
          <t>Departamento</t>
        </is>
      </c>
      <c r="F145" t="inlineStr">
        <is>
          <t>401</t>
        </is>
      </c>
      <c r="G145" s="39" t="n">
        <v>630000</v>
      </c>
      <c r="H145" s="39" t="n">
        <v>630000</v>
      </c>
      <c r="M145" s="39" t="n"/>
      <c r="N145" s="39" t="n"/>
      <c r="S145" s="39" t="n"/>
      <c r="T145" s="39" t="n"/>
      <c r="Y145" s="39" t="n"/>
      <c r="Z145" s="39" t="n"/>
      <c r="AA145" t="inlineStr">
        <is>
          <t>Gladys Marta Moreano Bellido</t>
        </is>
      </c>
      <c r="AB145" t="inlineStr">
        <is>
          <t>23951642</t>
        </is>
      </c>
      <c r="AC145" t="inlineStr">
        <is>
          <t>General Sta. Cruz 416 interior 311</t>
        </is>
      </c>
      <c r="AD145" t="n">
        <v>0</v>
      </c>
      <c r="AE145" t="inlineStr">
        <is>
          <t>944421327</t>
        </is>
      </c>
      <c r="AF145" t="inlineStr">
        <is>
          <t>cuscoya@gmail.com</t>
        </is>
      </c>
      <c r="AG145" t="inlineStr">
        <is>
          <t>LIMA</t>
        </is>
      </c>
      <c r="AH145" t="inlineStr">
        <is>
          <t>JESUS MARIA</t>
        </is>
      </c>
      <c r="AI145" s="75" t="n">
        <v>45956</v>
      </c>
      <c r="AJ145" s="75" t="n">
        <v>45864</v>
      </c>
      <c r="AK145" t="inlineStr">
        <is>
          <t>SALDO FINANCIAR</t>
        </is>
      </c>
      <c r="AL145" t="n">
        <v>2</v>
      </c>
      <c r="AM145" t="n">
        <v>0</v>
      </c>
      <c r="AN145" t="n">
        <v>0</v>
      </c>
      <c r="AO145" t="n">
        <v>0</v>
      </c>
      <c r="AP145" s="39" t="n">
        <v>73333.33</v>
      </c>
      <c r="AQ145" s="39" t="n">
        <v>46666.67</v>
      </c>
      <c r="AR145" s="39" t="n">
        <v>0</v>
      </c>
      <c r="AS145" t="n">
        <v>0</v>
      </c>
      <c r="AT145" t="inlineStr">
        <is>
          <t>Crédito Directo</t>
        </is>
      </c>
      <c r="AU145" t="inlineStr">
        <is>
          <t>Scotiabank Perú</t>
        </is>
      </c>
      <c r="AV145" t="inlineStr">
        <is>
          <t>000-2768484</t>
        </is>
      </c>
      <c r="AW145" t="inlineStr">
        <is>
          <t>DEPOSITO EN CUENTA</t>
        </is>
      </c>
      <c r="AY145" t="inlineStr">
        <is>
          <t>007089743</t>
        </is>
      </c>
      <c r="AZ145" t="inlineStr">
        <is>
          <t>No</t>
        </is>
      </c>
      <c r="BB145" t="n">
        <v>4</v>
      </c>
      <c r="BC145" t="inlineStr">
        <is>
          <t>CANCELADO</t>
        </is>
      </c>
      <c r="BN145" t="inlineStr">
        <is>
          <t>Si</t>
        </is>
      </c>
      <c r="BO145" s="76" t="n">
        <v>45773.61388888889</v>
      </c>
      <c r="BP145" t="inlineStr">
        <is>
          <t>Kenny Salazar S</t>
        </is>
      </c>
      <c r="BR145" t="n">
        <v>35</v>
      </c>
      <c r="BS145" t="inlineStr">
        <is>
          <t>03/07/2026 11:50</t>
        </is>
      </c>
      <c r="BW145" t="inlineStr">
        <is>
          <t>Cobranzas_2025.csv</t>
        </is>
      </c>
      <c r="BX145" t="n">
        <v>2025</v>
      </c>
      <c r="BY145" t="inlineStr">
        <is>
          <t>01/01/2024</t>
        </is>
      </c>
      <c r="BZ145" t="inlineStr">
        <is>
          <t>30/06/2031</t>
        </is>
      </c>
    </row>
    <row r="146">
      <c r="A146" t="inlineStr">
        <is>
          <t>RESIDENCIAL PRADA</t>
        </is>
      </c>
      <c r="B146" t="inlineStr">
        <is>
          <t>Etapa 1</t>
        </is>
      </c>
      <c r="C146" t="inlineStr">
        <is>
          <t>Edificio</t>
        </is>
      </c>
      <c r="D146" t="inlineStr">
        <is>
          <t>A</t>
        </is>
      </c>
      <c r="E146" t="inlineStr">
        <is>
          <t>Departamento</t>
        </is>
      </c>
      <c r="F146" t="inlineStr">
        <is>
          <t>401</t>
        </is>
      </c>
      <c r="G146" s="39" t="n">
        <v>630000</v>
      </c>
      <c r="H146" s="39" t="n">
        <v>630000</v>
      </c>
      <c r="M146" s="39" t="n"/>
      <c r="N146" s="39" t="n"/>
      <c r="S146" s="39" t="n"/>
      <c r="T146" s="39" t="n"/>
      <c r="Y146" s="39" t="n"/>
      <c r="Z146" s="39" t="n"/>
      <c r="AA146" t="inlineStr">
        <is>
          <t>Gladys Marta Moreano Bellido</t>
        </is>
      </c>
      <c r="AB146" t="inlineStr">
        <is>
          <t>23951642</t>
        </is>
      </c>
      <c r="AC146" t="inlineStr">
        <is>
          <t>General Sta. Cruz 416 interior 311</t>
        </is>
      </c>
      <c r="AD146" t="n">
        <v>0</v>
      </c>
      <c r="AE146" t="inlineStr">
        <is>
          <t>944421327</t>
        </is>
      </c>
      <c r="AF146" t="inlineStr">
        <is>
          <t>cuscoya@gmail.com</t>
        </is>
      </c>
      <c r="AG146" t="inlineStr">
        <is>
          <t>LIMA</t>
        </is>
      </c>
      <c r="AH146" t="inlineStr">
        <is>
          <t>JESUS MARIA</t>
        </is>
      </c>
      <c r="AI146" s="75" t="n">
        <v>45956</v>
      </c>
      <c r="AJ146" s="75" t="n">
        <v>45955</v>
      </c>
      <c r="AK146" t="inlineStr">
        <is>
          <t>SALDO FINANCIAR</t>
        </is>
      </c>
      <c r="AL146" t="n">
        <v>2</v>
      </c>
      <c r="AM146" t="n">
        <v>73333.33</v>
      </c>
      <c r="AN146" t="n">
        <v>0</v>
      </c>
      <c r="AO146" t="n">
        <v>0</v>
      </c>
      <c r="AP146" s="39" t="n">
        <v>0</v>
      </c>
      <c r="AQ146" s="39" t="n">
        <v>26666.66</v>
      </c>
      <c r="AR146" s="39" t="n">
        <v>0</v>
      </c>
      <c r="AS146" t="n">
        <v>0</v>
      </c>
      <c r="AT146" t="inlineStr">
        <is>
          <t>Crédito Directo</t>
        </is>
      </c>
      <c r="AU146" t="inlineStr">
        <is>
          <t>Scotiabank Perú</t>
        </is>
      </c>
      <c r="AV146" t="inlineStr">
        <is>
          <t>000-2768484</t>
        </is>
      </c>
      <c r="AW146" t="inlineStr">
        <is>
          <t>TRANSFERENCIA BANCARIA</t>
        </is>
      </c>
      <c r="AY146" t="inlineStr">
        <is>
          <t>009331226</t>
        </is>
      </c>
      <c r="AZ146" t="inlineStr">
        <is>
          <t>No</t>
        </is>
      </c>
      <c r="BB146" t="n">
        <v>4</v>
      </c>
      <c r="BC146" t="inlineStr">
        <is>
          <t>CANCELADO</t>
        </is>
      </c>
      <c r="BN146" t="inlineStr">
        <is>
          <t>Si</t>
        </is>
      </c>
      <c r="BO146" s="76" t="n">
        <v>45773.61388888889</v>
      </c>
      <c r="BP146" t="inlineStr">
        <is>
          <t>Kenny Salazar S</t>
        </is>
      </c>
      <c r="BR146" t="n">
        <v>35</v>
      </c>
      <c r="BS146" t="inlineStr">
        <is>
          <t>03/07/2026 11:54</t>
        </is>
      </c>
      <c r="BW146" t="inlineStr">
        <is>
          <t>Cobranzas_2025.csv</t>
        </is>
      </c>
      <c r="BX146" t="n">
        <v>2025</v>
      </c>
      <c r="BY146" t="inlineStr">
        <is>
          <t>01/01/2024</t>
        </is>
      </c>
      <c r="BZ146" t="inlineStr">
        <is>
          <t>30/06/2031</t>
        </is>
      </c>
    </row>
    <row r="147">
      <c r="A147" t="inlineStr">
        <is>
          <t>RESIDENCIAL PRADA</t>
        </is>
      </c>
      <c r="B147" t="inlineStr">
        <is>
          <t>Etapa 1</t>
        </is>
      </c>
      <c r="C147" t="inlineStr">
        <is>
          <t>Edificio</t>
        </is>
      </c>
      <c r="D147" t="inlineStr">
        <is>
          <t>A</t>
        </is>
      </c>
      <c r="E147" t="inlineStr">
        <is>
          <t>Departamento</t>
        </is>
      </c>
      <c r="F147" t="inlineStr">
        <is>
          <t>401</t>
        </is>
      </c>
      <c r="G147" s="39" t="n">
        <v>630000</v>
      </c>
      <c r="H147" s="39" t="n">
        <v>630000</v>
      </c>
      <c r="M147" s="39" t="n"/>
      <c r="N147" s="39" t="n"/>
      <c r="S147" s="39" t="n"/>
      <c r="T147" s="39" t="n"/>
      <c r="Y147" s="39" t="n"/>
      <c r="Z147" s="39" t="n"/>
      <c r="AA147" t="inlineStr">
        <is>
          <t>Gladys Marta Moreano Bellido</t>
        </is>
      </c>
      <c r="AB147" t="inlineStr">
        <is>
          <t>23951642</t>
        </is>
      </c>
      <c r="AC147" t="inlineStr">
        <is>
          <t>General Sta. Cruz 416 interior 311</t>
        </is>
      </c>
      <c r="AD147" t="n">
        <v>0</v>
      </c>
      <c r="AE147" t="inlineStr">
        <is>
          <t>944421327</t>
        </is>
      </c>
      <c r="AF147" t="inlineStr">
        <is>
          <t>cuscoya@gmail.com</t>
        </is>
      </c>
      <c r="AG147" t="inlineStr">
        <is>
          <t>LIMA</t>
        </is>
      </c>
      <c r="AH147" t="inlineStr">
        <is>
          <t>JESUS MARIA</t>
        </is>
      </c>
      <c r="AI147" s="75" t="n">
        <v>46017</v>
      </c>
      <c r="AJ147" s="75" t="n">
        <v>45955</v>
      </c>
      <c r="AK147" t="inlineStr">
        <is>
          <t>SALDO FINANCIAR</t>
        </is>
      </c>
      <c r="AL147" t="n">
        <v>3</v>
      </c>
      <c r="AM147" t="n">
        <v>73333.33</v>
      </c>
      <c r="AN147" t="n">
        <v>0</v>
      </c>
      <c r="AO147" t="n">
        <v>0</v>
      </c>
      <c r="AP147" s="39" t="n">
        <v>73333.33</v>
      </c>
      <c r="AQ147" s="39" t="n">
        <v>73333.33</v>
      </c>
      <c r="AR147" s="39" t="n">
        <v>0</v>
      </c>
      <c r="AS147" t="n">
        <v>0</v>
      </c>
      <c r="AT147" t="inlineStr">
        <is>
          <t>Crédito Directo</t>
        </is>
      </c>
      <c r="AU147" t="inlineStr">
        <is>
          <t>Scotiabank Perú</t>
        </is>
      </c>
      <c r="AV147" t="inlineStr">
        <is>
          <t>000-2768484</t>
        </is>
      </c>
      <c r="AW147" t="inlineStr">
        <is>
          <t>TRANSFERENCIA BANCARIA</t>
        </is>
      </c>
      <c r="AY147" t="inlineStr">
        <is>
          <t>009331226</t>
        </is>
      </c>
      <c r="AZ147" t="inlineStr">
        <is>
          <t>No</t>
        </is>
      </c>
      <c r="BB147" t="n">
        <v>4</v>
      </c>
      <c r="BC147" t="inlineStr">
        <is>
          <t>CANCELADO</t>
        </is>
      </c>
      <c r="BN147" t="inlineStr">
        <is>
          <t>Si</t>
        </is>
      </c>
      <c r="BO147" s="76" t="n">
        <v>45773.61388888889</v>
      </c>
      <c r="BP147" t="inlineStr">
        <is>
          <t>Kenny Salazar S</t>
        </is>
      </c>
      <c r="BR147" t="n">
        <v>35</v>
      </c>
      <c r="BS147" t="inlineStr">
        <is>
          <t>03/07/2026 11:54</t>
        </is>
      </c>
      <c r="BW147" t="inlineStr">
        <is>
          <t>Cobranzas_2025.csv</t>
        </is>
      </c>
      <c r="BX147" t="n">
        <v>2025</v>
      </c>
      <c r="BY147" t="inlineStr">
        <is>
          <t>01/01/2024</t>
        </is>
      </c>
      <c r="BZ147" t="inlineStr">
        <is>
          <t>30/06/2031</t>
        </is>
      </c>
    </row>
    <row r="148">
      <c r="A148" t="inlineStr">
        <is>
          <t>RESIDENCIAL PRADA</t>
        </is>
      </c>
      <c r="B148" t="inlineStr">
        <is>
          <t>Etapa 1</t>
        </is>
      </c>
      <c r="C148" t="inlineStr">
        <is>
          <t>Edificio</t>
        </is>
      </c>
      <c r="D148" t="inlineStr">
        <is>
          <t>A</t>
        </is>
      </c>
      <c r="E148" t="inlineStr">
        <is>
          <t>Departamento</t>
        </is>
      </c>
      <c r="F148" t="inlineStr">
        <is>
          <t>401</t>
        </is>
      </c>
      <c r="G148" s="39" t="n">
        <v>630000</v>
      </c>
      <c r="H148" s="39" t="n">
        <v>630000</v>
      </c>
      <c r="M148" s="39" t="n"/>
      <c r="N148" s="39" t="n"/>
      <c r="S148" s="39" t="n"/>
      <c r="T148" s="39" t="n"/>
      <c r="Y148" s="39" t="n"/>
      <c r="Z148" s="39" t="n"/>
      <c r="AA148" t="inlineStr">
        <is>
          <t>Gladys Marta Moreano Bellido</t>
        </is>
      </c>
      <c r="AB148" t="inlineStr">
        <is>
          <t>23951642</t>
        </is>
      </c>
      <c r="AC148" t="inlineStr">
        <is>
          <t>General Sta. Cruz 416 interior 311</t>
        </is>
      </c>
      <c r="AD148" t="n">
        <v>0</v>
      </c>
      <c r="AE148" t="inlineStr">
        <is>
          <t>944421327</t>
        </is>
      </c>
      <c r="AF148" t="inlineStr">
        <is>
          <t>cuscoya@gmail.com</t>
        </is>
      </c>
      <c r="AG148" t="inlineStr">
        <is>
          <t>LIMA</t>
        </is>
      </c>
      <c r="AH148" t="inlineStr">
        <is>
          <t>JESUS MARIA</t>
        </is>
      </c>
      <c r="AI148" s="75" t="n">
        <v>46017</v>
      </c>
      <c r="AJ148" s="75" t="n">
        <v>45955</v>
      </c>
      <c r="AK148" t="inlineStr">
        <is>
          <t>SALDO FINANCIAR</t>
        </is>
      </c>
      <c r="AL148" t="n">
        <v>4</v>
      </c>
      <c r="AM148" t="n">
        <v>0</v>
      </c>
      <c r="AN148" t="n">
        <v>0</v>
      </c>
      <c r="AO148" t="n">
        <v>0</v>
      </c>
      <c r="AP148" s="39" t="n">
        <v>73333.33</v>
      </c>
      <c r="AQ148" s="39" t="n">
        <v>55000.01</v>
      </c>
      <c r="AR148" s="39" t="n">
        <v>0</v>
      </c>
      <c r="AS148" t="n">
        <v>0</v>
      </c>
      <c r="AT148" t="inlineStr">
        <is>
          <t>Crédito Directo</t>
        </is>
      </c>
      <c r="AU148" t="inlineStr">
        <is>
          <t>Scotiabank Perú</t>
        </is>
      </c>
      <c r="AV148" t="inlineStr">
        <is>
          <t>000-2768484</t>
        </is>
      </c>
      <c r="AW148" t="inlineStr">
        <is>
          <t>TRANSFERENCIA BANCARIA</t>
        </is>
      </c>
      <c r="AY148" t="inlineStr">
        <is>
          <t>009331226</t>
        </is>
      </c>
      <c r="AZ148" t="inlineStr">
        <is>
          <t>No</t>
        </is>
      </c>
      <c r="BB148" t="n">
        <v>4</v>
      </c>
      <c r="BC148" t="inlineStr">
        <is>
          <t>CANCELADO</t>
        </is>
      </c>
      <c r="BN148" t="inlineStr">
        <is>
          <t>Si</t>
        </is>
      </c>
      <c r="BO148" s="76" t="n">
        <v>45773.61388888889</v>
      </c>
      <c r="BP148" t="inlineStr">
        <is>
          <t>Kenny Salazar S</t>
        </is>
      </c>
      <c r="BR148" t="n">
        <v>35</v>
      </c>
      <c r="BS148" t="inlineStr">
        <is>
          <t>03/07/2026 11:54</t>
        </is>
      </c>
      <c r="BW148" t="inlineStr">
        <is>
          <t>Cobranzas_2025.csv</t>
        </is>
      </c>
      <c r="BX148" t="n">
        <v>2025</v>
      </c>
      <c r="BY148" t="inlineStr">
        <is>
          <t>01/01/2024</t>
        </is>
      </c>
      <c r="BZ148" t="inlineStr">
        <is>
          <t>30/06/2031</t>
        </is>
      </c>
    </row>
    <row r="149">
      <c r="A149" t="inlineStr">
        <is>
          <t>RESIDENCIAL PRADA</t>
        </is>
      </c>
      <c r="B149" t="inlineStr">
        <is>
          <t>Etapa 1</t>
        </is>
      </c>
      <c r="C149" t="inlineStr">
        <is>
          <t>Edificio</t>
        </is>
      </c>
      <c r="D149" t="inlineStr">
        <is>
          <t>A</t>
        </is>
      </c>
      <c r="E149" t="inlineStr">
        <is>
          <t>Departamento</t>
        </is>
      </c>
      <c r="F149" t="inlineStr">
        <is>
          <t>401</t>
        </is>
      </c>
      <c r="G149" s="39" t="n">
        <v>630000</v>
      </c>
      <c r="H149" s="39" t="n">
        <v>630000</v>
      </c>
      <c r="M149" s="39" t="n"/>
      <c r="N149" s="39" t="n"/>
      <c r="S149" s="39" t="n"/>
      <c r="T149" s="39" t="n"/>
      <c r="Y149" s="39" t="n"/>
      <c r="Z149" s="39" t="n"/>
      <c r="AA149" t="inlineStr">
        <is>
          <t>Gladys Marta Moreano Bellido</t>
        </is>
      </c>
      <c r="AB149" t="inlineStr">
        <is>
          <t>23951642</t>
        </is>
      </c>
      <c r="AC149" t="inlineStr">
        <is>
          <t>General Sta. Cruz 416 interior 311</t>
        </is>
      </c>
      <c r="AD149" t="n">
        <v>0</v>
      </c>
      <c r="AE149" t="inlineStr">
        <is>
          <t>944421327</t>
        </is>
      </c>
      <c r="AF149" t="inlineStr">
        <is>
          <t>cuscoya@gmail.com</t>
        </is>
      </c>
      <c r="AG149" t="inlineStr">
        <is>
          <t>LIMA</t>
        </is>
      </c>
      <c r="AH149" t="inlineStr">
        <is>
          <t>JESUS MARIA</t>
        </is>
      </c>
      <c r="AI149" s="75" t="n">
        <v>46017</v>
      </c>
      <c r="AJ149" s="75" t="n">
        <v>46017</v>
      </c>
      <c r="AK149" t="inlineStr">
        <is>
          <t>SALDO FINANCIAR</t>
        </is>
      </c>
      <c r="AL149" t="n">
        <v>4</v>
      </c>
      <c r="AM149" t="n">
        <v>0</v>
      </c>
      <c r="AN149" t="n">
        <v>0</v>
      </c>
      <c r="AO149" t="n">
        <v>0</v>
      </c>
      <c r="AP149" s="39" t="n">
        <v>0</v>
      </c>
      <c r="AQ149" s="39" t="n">
        <v>12000</v>
      </c>
      <c r="AR149" s="39" t="n">
        <v>0</v>
      </c>
      <c r="AS149" t="n">
        <v>0</v>
      </c>
      <c r="AT149" t="inlineStr">
        <is>
          <t>Crédito Directo</t>
        </is>
      </c>
      <c r="AU149" t="inlineStr">
        <is>
          <t>Scotiabank Perú</t>
        </is>
      </c>
      <c r="AV149" t="inlineStr">
        <is>
          <t>000-2768484</t>
        </is>
      </c>
      <c r="AW149" t="inlineStr">
        <is>
          <t>TRANSFERENCIA BANCARIA</t>
        </is>
      </c>
      <c r="AY149" t="inlineStr">
        <is>
          <t>01291941</t>
        </is>
      </c>
      <c r="AZ149" t="inlineStr">
        <is>
          <t>No</t>
        </is>
      </c>
      <c r="BB149" t="n">
        <v>4</v>
      </c>
      <c r="BC149" t="inlineStr">
        <is>
          <t>CANCELADO</t>
        </is>
      </c>
      <c r="BN149" t="inlineStr">
        <is>
          <t>Si</t>
        </is>
      </c>
      <c r="BO149" s="76" t="n">
        <v>45773.61388888889</v>
      </c>
      <c r="BP149" t="inlineStr">
        <is>
          <t>Kenny Salazar S</t>
        </is>
      </c>
      <c r="BR149" t="n">
        <v>35</v>
      </c>
      <c r="BS149" t="inlineStr">
        <is>
          <t>03/07/2026 11:55</t>
        </is>
      </c>
      <c r="BW149" t="inlineStr">
        <is>
          <t>Cobranzas_2025.csv</t>
        </is>
      </c>
      <c r="BX149" t="n">
        <v>2025</v>
      </c>
      <c r="BY149" t="inlineStr">
        <is>
          <t>01/01/2024</t>
        </is>
      </c>
      <c r="BZ149" t="inlineStr">
        <is>
          <t>30/06/2031</t>
        </is>
      </c>
    </row>
    <row r="150">
      <c r="A150" t="inlineStr">
        <is>
          <t>RESIDENCIAL PRADA</t>
        </is>
      </c>
      <c r="B150" t="inlineStr">
        <is>
          <t>Etapa 1</t>
        </is>
      </c>
      <c r="C150" t="inlineStr">
        <is>
          <t>Edificio</t>
        </is>
      </c>
      <c r="D150" t="inlineStr">
        <is>
          <t>A</t>
        </is>
      </c>
      <c r="E150" t="inlineStr">
        <is>
          <t>Departamento</t>
        </is>
      </c>
      <c r="F150" t="inlineStr">
        <is>
          <t>401</t>
        </is>
      </c>
      <c r="G150" s="39" t="n">
        <v>630000</v>
      </c>
      <c r="H150" s="39" t="n">
        <v>630000</v>
      </c>
      <c r="M150" s="39" t="n"/>
      <c r="N150" s="39" t="n"/>
      <c r="S150" s="39" t="n"/>
      <c r="T150" s="39" t="n"/>
      <c r="Y150" s="39" t="n"/>
      <c r="Z150" s="39" t="n"/>
      <c r="AA150" t="inlineStr">
        <is>
          <t>Gladys Marta Moreano Bellido</t>
        </is>
      </c>
      <c r="AB150" t="inlineStr">
        <is>
          <t>23951642</t>
        </is>
      </c>
      <c r="AC150" t="inlineStr">
        <is>
          <t>General Sta. Cruz 416 interior 311</t>
        </is>
      </c>
      <c r="AD150" t="n">
        <v>0</v>
      </c>
      <c r="AE150" t="inlineStr">
        <is>
          <t>944421327</t>
        </is>
      </c>
      <c r="AF150" t="inlineStr">
        <is>
          <t>cuscoya@gmail.com</t>
        </is>
      </c>
      <c r="AG150" t="inlineStr">
        <is>
          <t>LIMA</t>
        </is>
      </c>
      <c r="AH150" t="inlineStr">
        <is>
          <t>JESUS MARIA</t>
        </is>
      </c>
      <c r="AI150" s="75" t="n">
        <v>46017</v>
      </c>
      <c r="AJ150" s="75" t="n">
        <v>46017</v>
      </c>
      <c r="AK150" t="inlineStr">
        <is>
          <t>SALDO FINANCIAR</t>
        </is>
      </c>
      <c r="AL150" t="n">
        <v>4</v>
      </c>
      <c r="AM150" t="n">
        <v>73333.33</v>
      </c>
      <c r="AN150" t="n">
        <v>0</v>
      </c>
      <c r="AO150" t="n">
        <v>0</v>
      </c>
      <c r="AP150" s="39" t="n">
        <v>0</v>
      </c>
      <c r="AQ150" s="39" t="n">
        <v>6333.32</v>
      </c>
      <c r="AR150" s="39" t="n">
        <v>0</v>
      </c>
      <c r="AS150" t="n">
        <v>0</v>
      </c>
      <c r="AT150" t="inlineStr">
        <is>
          <t>Crédito Directo</t>
        </is>
      </c>
      <c r="AU150" t="inlineStr">
        <is>
          <t>Scotiabank Perú</t>
        </is>
      </c>
      <c r="AV150" t="inlineStr">
        <is>
          <t>000-2768484</t>
        </is>
      </c>
      <c r="AW150" t="inlineStr">
        <is>
          <t>TRANSFERENCIA BANCARIA</t>
        </is>
      </c>
      <c r="AY150" t="inlineStr">
        <is>
          <t>01346005</t>
        </is>
      </c>
      <c r="AZ150" t="inlineStr">
        <is>
          <t>No</t>
        </is>
      </c>
      <c r="BB150" t="n">
        <v>4</v>
      </c>
      <c r="BC150" t="inlineStr">
        <is>
          <t>CANCELADO</t>
        </is>
      </c>
      <c r="BN150" t="inlineStr">
        <is>
          <t>Si</t>
        </is>
      </c>
      <c r="BO150" s="76" t="n">
        <v>45773.61388888889</v>
      </c>
      <c r="BP150" t="inlineStr">
        <is>
          <t>Kenny Salazar S</t>
        </is>
      </c>
      <c r="BR150" t="n">
        <v>35</v>
      </c>
      <c r="BS150" t="inlineStr">
        <is>
          <t>03/07/2026 11:57</t>
        </is>
      </c>
      <c r="BW150" t="inlineStr">
        <is>
          <t>Cobranzas_2025.csv</t>
        </is>
      </c>
      <c r="BX150" t="n">
        <v>2025</v>
      </c>
      <c r="BY150" t="inlineStr">
        <is>
          <t>01/01/2024</t>
        </is>
      </c>
      <c r="BZ150" t="inlineStr">
        <is>
          <t>30/06/2031</t>
        </is>
      </c>
    </row>
    <row r="151">
      <c r="A151" t="inlineStr">
        <is>
          <t>RESIDENCIAL BEYOND</t>
        </is>
      </c>
      <c r="B151" t="inlineStr">
        <is>
          <t>Etapa 1</t>
        </is>
      </c>
      <c r="C151" t="inlineStr">
        <is>
          <t>Edificio</t>
        </is>
      </c>
      <c r="D151" t="inlineStr">
        <is>
          <t>A</t>
        </is>
      </c>
      <c r="E151" t="inlineStr">
        <is>
          <t>Departamento</t>
        </is>
      </c>
      <c r="F151" t="inlineStr">
        <is>
          <t>805</t>
        </is>
      </c>
      <c r="G151" s="39" t="n">
        <v>532100</v>
      </c>
      <c r="H151" s="39" t="n">
        <v>532100</v>
      </c>
      <c r="M151" s="39" t="n"/>
      <c r="N151" s="39" t="n"/>
      <c r="S151" s="39" t="n"/>
      <c r="T151" s="39" t="n"/>
      <c r="Y151" s="39" t="n"/>
      <c r="Z151" s="39" t="n"/>
      <c r="AA151" t="inlineStr">
        <is>
          <t>Harry Anderson Yance Ruiz</t>
        </is>
      </c>
      <c r="AB151" t="inlineStr">
        <is>
          <t>10582963</t>
        </is>
      </c>
      <c r="AC151" t="inlineStr">
        <is>
          <t xml:space="preserve">Calle Las Pajillas 2329 - Urb. Mangomarca </t>
        </is>
      </c>
      <c r="AD151" t="n">
        <v>0</v>
      </c>
      <c r="AE151" t="inlineStr">
        <is>
          <t>948519070</t>
        </is>
      </c>
      <c r="AF151" t="inlineStr">
        <is>
          <t>harry_yance@hotmail.com</t>
        </is>
      </c>
      <c r="AG151" t="inlineStr">
        <is>
          <t>LIMA</t>
        </is>
      </c>
      <c r="AH151" t="inlineStr">
        <is>
          <t>SAN JUAN DE LURIGANCHO</t>
        </is>
      </c>
      <c r="AI151" s="75" t="n">
        <v>46017</v>
      </c>
      <c r="AJ151" s="75" t="n">
        <v>46017</v>
      </c>
      <c r="AK151" t="inlineStr">
        <is>
          <t>SEPARACION</t>
        </is>
      </c>
      <c r="AL151" t="n">
        <v>1</v>
      </c>
      <c r="AM151" t="n">
        <v>3000</v>
      </c>
      <c r="AN151" t="n">
        <v>0</v>
      </c>
      <c r="AO151" t="n">
        <v>0</v>
      </c>
      <c r="AP151" s="39" t="n">
        <v>3000</v>
      </c>
      <c r="AQ151" s="39" t="n">
        <v>3000</v>
      </c>
      <c r="AR151" s="39" t="n">
        <v>0</v>
      </c>
      <c r="AS151" t="n">
        <v>0</v>
      </c>
      <c r="AT151" t="inlineStr">
        <is>
          <t>Crédito Hipotecario</t>
        </is>
      </c>
      <c r="AU151" t="inlineStr">
        <is>
          <t>Banco de Credito del Perú</t>
        </is>
      </c>
      <c r="AV151" t="inlineStr">
        <is>
          <t>194-7325779-0-65</t>
        </is>
      </c>
      <c r="AW151" t="inlineStr">
        <is>
          <t>TRANSFERENCIA BANCARIA</t>
        </is>
      </c>
      <c r="AY151" t="inlineStr">
        <is>
          <t>01808405</t>
        </is>
      </c>
      <c r="AZ151" t="inlineStr">
        <is>
          <t>No</t>
        </is>
      </c>
      <c r="BB151" t="n">
        <v>4</v>
      </c>
      <c r="BC151" t="inlineStr">
        <is>
          <t>CANCELADO</t>
        </is>
      </c>
      <c r="BN151" t="inlineStr">
        <is>
          <t>No</t>
        </is>
      </c>
      <c r="BO151" s="76" t="n">
        <v>46039.41944444444</v>
      </c>
      <c r="BP151" t="inlineStr">
        <is>
          <t>Magaly Guevara Perez</t>
        </is>
      </c>
      <c r="BR151" t="n">
        <v>17</v>
      </c>
      <c r="BS151" t="inlineStr">
        <is>
          <t>23/05/2026 22:39</t>
        </is>
      </c>
      <c r="BW151" t="inlineStr">
        <is>
          <t>Cobranzas_2025.csv</t>
        </is>
      </c>
      <c r="BX151" t="n">
        <v>2025</v>
      </c>
      <c r="BY151" t="inlineStr">
        <is>
          <t>01/01/2024</t>
        </is>
      </c>
      <c r="BZ151" t="inlineStr">
        <is>
          <t>30/06/2031</t>
        </is>
      </c>
    </row>
    <row r="152">
      <c r="A152" t="inlineStr">
        <is>
          <t>RESIDENCIAL BEYOND</t>
        </is>
      </c>
      <c r="B152" t="inlineStr">
        <is>
          <t>Etapa 1</t>
        </is>
      </c>
      <c r="C152" t="inlineStr">
        <is>
          <t>Edificio</t>
        </is>
      </c>
      <c r="D152" t="inlineStr">
        <is>
          <t>A</t>
        </is>
      </c>
      <c r="E152" t="inlineStr">
        <is>
          <t>Departamento</t>
        </is>
      </c>
      <c r="F152" t="inlineStr">
        <is>
          <t>204</t>
        </is>
      </c>
      <c r="G152" s="39" t="n">
        <v>498000</v>
      </c>
      <c r="H152" s="39" t="n">
        <v>450000</v>
      </c>
      <c r="M152" s="39" t="n"/>
      <c r="N152" s="39" t="n"/>
      <c r="S152" s="39" t="n"/>
      <c r="T152" s="39" t="n"/>
      <c r="Y152" s="39" t="n"/>
      <c r="Z152" s="39" t="n"/>
      <c r="AA152" t="inlineStr">
        <is>
          <t>Jhoully Kattherine Moreno Saavedra</t>
        </is>
      </c>
      <c r="AB152" t="inlineStr">
        <is>
          <t>73600966</t>
        </is>
      </c>
      <c r="AC152" t="inlineStr">
        <is>
          <t>Emilio de la Barrera 264</t>
        </is>
      </c>
      <c r="AD152" t="n">
        <v>0</v>
      </c>
      <c r="AE152" t="inlineStr">
        <is>
          <t>934027061</t>
        </is>
      </c>
      <c r="AF152" t="inlineStr">
        <is>
          <t>jhoullym@gmail.com</t>
        </is>
      </c>
      <c r="AG152" t="inlineStr">
        <is>
          <t>LIMA</t>
        </is>
      </c>
      <c r="AH152" t="inlineStr">
        <is>
          <t>SAN MARTIN DE PORRES</t>
        </is>
      </c>
      <c r="AI152" s="75" t="n">
        <v>45953</v>
      </c>
      <c r="AJ152" s="75" t="n">
        <v>45953</v>
      </c>
      <c r="AK152" t="inlineStr">
        <is>
          <t>SEPARACION</t>
        </is>
      </c>
      <c r="AL152" t="n">
        <v>1</v>
      </c>
      <c r="AM152" t="n">
        <v>3000</v>
      </c>
      <c r="AN152" t="n">
        <v>0</v>
      </c>
      <c r="AO152" t="n">
        <v>0</v>
      </c>
      <c r="AP152" s="39" t="n">
        <v>3000</v>
      </c>
      <c r="AQ152" s="39" t="n">
        <v>3000</v>
      </c>
      <c r="AR152" s="39" t="n">
        <v>0</v>
      </c>
      <c r="AS152" t="n">
        <v>0</v>
      </c>
      <c r="AT152" t="inlineStr">
        <is>
          <t>Crédito Hipotecario</t>
        </is>
      </c>
      <c r="AU152" t="inlineStr">
        <is>
          <t>Banco de Credito del Perú</t>
        </is>
      </c>
      <c r="AV152" t="inlineStr">
        <is>
          <t>194-7325779-0-65</t>
        </is>
      </c>
      <c r="AW152" t="inlineStr">
        <is>
          <t>TRANSFERENCIA BANCARIA</t>
        </is>
      </c>
      <c r="AX152" t="n">
        <v>73600966</v>
      </c>
      <c r="AY152" t="inlineStr">
        <is>
          <t>04205706</t>
        </is>
      </c>
      <c r="AZ152" t="inlineStr">
        <is>
          <t>No</t>
        </is>
      </c>
      <c r="BA152" t="inlineStr">
        <is>
          <t>NO PRECISA</t>
        </is>
      </c>
      <c r="BB152" t="n">
        <v>4</v>
      </c>
      <c r="BC152" t="inlineStr">
        <is>
          <t>CANCELADO</t>
        </is>
      </c>
      <c r="BN152" t="inlineStr">
        <is>
          <t>Si</t>
        </is>
      </c>
      <c r="BO152" s="76" t="n">
        <v>45971.18472222222</v>
      </c>
      <c r="BP152" t="inlineStr">
        <is>
          <t>Carla Michue M</t>
        </is>
      </c>
      <c r="BR152" t="n">
        <v>3</v>
      </c>
      <c r="BS152" t="inlineStr">
        <is>
          <t>01/05/2026 10:13</t>
        </is>
      </c>
      <c r="BW152" t="inlineStr">
        <is>
          <t>Cobranzas_2025.csv</t>
        </is>
      </c>
      <c r="BX152" t="n">
        <v>2025</v>
      </c>
      <c r="BY152" t="inlineStr">
        <is>
          <t>01/01/2024</t>
        </is>
      </c>
      <c r="BZ152" t="inlineStr">
        <is>
          <t>30/06/2031</t>
        </is>
      </c>
    </row>
    <row r="153">
      <c r="A153" t="inlineStr">
        <is>
          <t>RESIDENCIAL BEYOND</t>
        </is>
      </c>
      <c r="B153" t="inlineStr">
        <is>
          <t>Etapa 1</t>
        </is>
      </c>
      <c r="C153" t="inlineStr">
        <is>
          <t>Edificio</t>
        </is>
      </c>
      <c r="D153" t="inlineStr">
        <is>
          <t>A</t>
        </is>
      </c>
      <c r="E153" t="inlineStr">
        <is>
          <t>Departamento</t>
        </is>
      </c>
      <c r="F153" t="inlineStr">
        <is>
          <t>204</t>
        </is>
      </c>
      <c r="G153" s="39" t="n">
        <v>498000</v>
      </c>
      <c r="H153" s="39" t="n">
        <v>450000</v>
      </c>
      <c r="M153" s="39" t="n"/>
      <c r="N153" s="39" t="n"/>
      <c r="S153" s="39" t="n"/>
      <c r="T153" s="39" t="n"/>
      <c r="Y153" s="39" t="n"/>
      <c r="Z153" s="39" t="n"/>
      <c r="AA153" t="inlineStr">
        <is>
          <t>Jhoully Kattherine Moreno Saavedra</t>
        </is>
      </c>
      <c r="AB153" t="inlineStr">
        <is>
          <t>73600966</t>
        </is>
      </c>
      <c r="AC153" t="inlineStr">
        <is>
          <t>Emilio de la Barrera 264</t>
        </is>
      </c>
      <c r="AD153" t="n">
        <v>0</v>
      </c>
      <c r="AE153" t="inlineStr">
        <is>
          <t>934027061</t>
        </is>
      </c>
      <c r="AF153" t="inlineStr">
        <is>
          <t>jhoullym@gmail.com</t>
        </is>
      </c>
      <c r="AG153" t="inlineStr">
        <is>
          <t>LIMA</t>
        </is>
      </c>
      <c r="AH153" t="inlineStr">
        <is>
          <t>SAN MARTIN DE PORRES</t>
        </is>
      </c>
      <c r="AI153" s="75" t="n">
        <v>45971</v>
      </c>
      <c r="AJ153" s="75" t="n">
        <v>45971</v>
      </c>
      <c r="AK153" t="inlineStr">
        <is>
          <t>CUOTA INICIAL</t>
        </is>
      </c>
      <c r="AL153" t="n">
        <v>1</v>
      </c>
      <c r="AM153" t="n">
        <v>19500</v>
      </c>
      <c r="AN153" t="n">
        <v>0</v>
      </c>
      <c r="AO153" t="n">
        <v>0</v>
      </c>
      <c r="AP153" s="39" t="n">
        <v>19500</v>
      </c>
      <c r="AQ153" s="39" t="n">
        <v>19500</v>
      </c>
      <c r="AR153" s="39" t="n">
        <v>0</v>
      </c>
      <c r="AS153" t="n">
        <v>0</v>
      </c>
      <c r="AT153" t="inlineStr">
        <is>
          <t>Crédito Hipotecario</t>
        </is>
      </c>
      <c r="AU153" t="inlineStr">
        <is>
          <t>Banco de Credito del Perú</t>
        </is>
      </c>
      <c r="AV153" t="inlineStr">
        <is>
          <t>194-7325779-0-65</t>
        </is>
      </c>
      <c r="AW153" t="inlineStr">
        <is>
          <t>TRANSFERENCIA BANCARIA</t>
        </is>
      </c>
      <c r="AX153" t="n">
        <v>73600966</v>
      </c>
      <c r="AY153" t="inlineStr">
        <is>
          <t>03263249</t>
        </is>
      </c>
      <c r="AZ153" t="inlineStr">
        <is>
          <t>No</t>
        </is>
      </c>
      <c r="BA153" t="inlineStr">
        <is>
          <t>NO PRECISA</t>
        </is>
      </c>
      <c r="BB153" t="n">
        <v>4</v>
      </c>
      <c r="BC153" t="inlineStr">
        <is>
          <t>CANCELADO</t>
        </is>
      </c>
      <c r="BN153" t="inlineStr">
        <is>
          <t>Si</t>
        </is>
      </c>
      <c r="BO153" s="76" t="n">
        <v>45971.18472222222</v>
      </c>
      <c r="BP153" t="inlineStr">
        <is>
          <t>Carla Michue M</t>
        </is>
      </c>
      <c r="BR153" t="n">
        <v>3</v>
      </c>
      <c r="BS153" t="inlineStr">
        <is>
          <t>18/05/2026 04:33</t>
        </is>
      </c>
      <c r="BW153" t="inlineStr">
        <is>
          <t>Cobranzas_2025.csv</t>
        </is>
      </c>
      <c r="BX153" t="n">
        <v>2025</v>
      </c>
      <c r="BY153" t="inlineStr">
        <is>
          <t>01/01/2024</t>
        </is>
      </c>
      <c r="BZ153" t="inlineStr">
        <is>
          <t>30/06/2031</t>
        </is>
      </c>
    </row>
    <row r="154">
      <c r="A154" t="inlineStr">
        <is>
          <t>RESIDENCIAL BEYOND</t>
        </is>
      </c>
      <c r="B154" t="inlineStr">
        <is>
          <t>Etapa 1</t>
        </is>
      </c>
      <c r="C154" t="inlineStr">
        <is>
          <t>Edificio</t>
        </is>
      </c>
      <c r="D154" t="inlineStr">
        <is>
          <t>A</t>
        </is>
      </c>
      <c r="E154" t="inlineStr">
        <is>
          <t>Departamento</t>
        </is>
      </c>
      <c r="F154" t="inlineStr">
        <is>
          <t>601</t>
        </is>
      </c>
      <c r="G154" s="39" t="n">
        <v>518500</v>
      </c>
      <c r="H154" s="39" t="n">
        <v>470000</v>
      </c>
      <c r="M154" s="39" t="n"/>
      <c r="N154" s="39" t="n"/>
      <c r="S154" s="39" t="n"/>
      <c r="T154" s="39" t="n"/>
      <c r="Y154" s="39" t="n"/>
      <c r="Z154" s="39" t="n"/>
      <c r="AA154" t="inlineStr">
        <is>
          <t>Jimmy Luis Andrade Morveli</t>
        </is>
      </c>
      <c r="AB154" t="inlineStr">
        <is>
          <t>40071918</t>
        </is>
      </c>
      <c r="AC154" t="inlineStr">
        <is>
          <t>Av. Brasil 1836 Edif Bh South Dpto. 409</t>
        </is>
      </c>
      <c r="AD154" t="n">
        <v>0</v>
      </c>
      <c r="AE154" t="inlineStr">
        <is>
          <t>924430158</t>
        </is>
      </c>
      <c r="AF154" t="inlineStr">
        <is>
          <t>Jimmyandrademorveli@gmail.com</t>
        </is>
      </c>
      <c r="AG154" t="inlineStr">
        <is>
          <t>LIMA</t>
        </is>
      </c>
      <c r="AH154" t="inlineStr">
        <is>
          <t>PUEBLO LIBRE</t>
        </is>
      </c>
      <c r="AI154" s="75" t="n">
        <v>45958</v>
      </c>
      <c r="AJ154" s="75" t="n">
        <v>45958</v>
      </c>
      <c r="AK154" t="inlineStr">
        <is>
          <t>SEPARACION</t>
        </is>
      </c>
      <c r="AL154" t="n">
        <v>1</v>
      </c>
      <c r="AM154" t="n">
        <v>3000</v>
      </c>
      <c r="AN154" t="n">
        <v>0</v>
      </c>
      <c r="AO154" t="n">
        <v>0</v>
      </c>
      <c r="AP154" s="39" t="n">
        <v>3000</v>
      </c>
      <c r="AQ154" s="39" t="n">
        <v>3000</v>
      </c>
      <c r="AR154" s="39" t="n">
        <v>0</v>
      </c>
      <c r="AS154" t="n">
        <v>0</v>
      </c>
      <c r="AT154" t="inlineStr">
        <is>
          <t>Crédito Hipotecario</t>
        </is>
      </c>
      <c r="AU154" t="inlineStr">
        <is>
          <t>Banco de Credito del Perú</t>
        </is>
      </c>
      <c r="AV154" t="inlineStr">
        <is>
          <t>194-7325779-0-65</t>
        </is>
      </c>
      <c r="AW154" t="inlineStr">
        <is>
          <t>TRANSFERENCIA BANCARIA</t>
        </is>
      </c>
      <c r="AY154" t="inlineStr">
        <is>
          <t>02080794</t>
        </is>
      </c>
      <c r="AZ154" t="inlineStr">
        <is>
          <t>No</t>
        </is>
      </c>
      <c r="BB154" t="n">
        <v>4</v>
      </c>
      <c r="BC154" t="inlineStr">
        <is>
          <t>CANCELADO</t>
        </is>
      </c>
      <c r="BN154" t="inlineStr">
        <is>
          <t>Si</t>
        </is>
      </c>
      <c r="BO154" s="76" t="n">
        <v>46028.40416666667</v>
      </c>
      <c r="BP154" t="inlineStr">
        <is>
          <t>Magaly Guevara Perez</t>
        </is>
      </c>
      <c r="BR154" t="n">
        <v>33</v>
      </c>
      <c r="BS154" t="inlineStr">
        <is>
          <t>16/07/2026 14:29</t>
        </is>
      </c>
      <c r="BW154" t="inlineStr">
        <is>
          <t>Cobranzas_2025.csv</t>
        </is>
      </c>
      <c r="BX154" t="n">
        <v>2025</v>
      </c>
      <c r="BY154" t="inlineStr">
        <is>
          <t>01/01/2024</t>
        </is>
      </c>
      <c r="BZ154" t="inlineStr">
        <is>
          <t>30/06/2031</t>
        </is>
      </c>
    </row>
    <row r="155">
      <c r="A155" t="inlineStr">
        <is>
          <t>RESIDENCIAL VENECIA</t>
        </is>
      </c>
      <c r="B155" t="inlineStr">
        <is>
          <t>Etapa 1</t>
        </is>
      </c>
      <c r="C155" t="inlineStr">
        <is>
          <t>Edificio</t>
        </is>
      </c>
      <c r="D155" t="inlineStr">
        <is>
          <t>A</t>
        </is>
      </c>
      <c r="E155" t="inlineStr">
        <is>
          <t>Departamento</t>
        </is>
      </c>
      <c r="F155" t="inlineStr">
        <is>
          <t>504</t>
        </is>
      </c>
      <c r="G155" s="39" t="n">
        <v>428000</v>
      </c>
      <c r="H155" s="39" t="n">
        <v>428000</v>
      </c>
      <c r="M155" s="39" t="n"/>
      <c r="N155" s="39" t="n"/>
      <c r="S155" s="39" t="n"/>
      <c r="T155" s="39" t="n"/>
      <c r="Y155" s="39" t="n"/>
      <c r="Z155" s="39" t="n"/>
      <c r="AA155" t="inlineStr">
        <is>
          <t>Jose Edgardo Camacho Cespedes</t>
        </is>
      </c>
      <c r="AB155" t="inlineStr">
        <is>
          <t>16631860</t>
        </is>
      </c>
      <c r="AC155" t="inlineStr">
        <is>
          <t>Jr. Huamachuco 1961Urb.Fundo Oyague</t>
        </is>
      </c>
      <c r="AD155" t="n">
        <v>0</v>
      </c>
      <c r="AE155" t="inlineStr">
        <is>
          <t>985758164</t>
        </is>
      </c>
      <c r="AF155" t="inlineStr">
        <is>
          <t>edgardocc1ro@gmail.com</t>
        </is>
      </c>
      <c r="AG155" t="inlineStr">
        <is>
          <t>LIMA</t>
        </is>
      </c>
      <c r="AH155" t="inlineStr">
        <is>
          <t>JESUS MARIA</t>
        </is>
      </c>
      <c r="AI155" s="75" t="n">
        <v>46009</v>
      </c>
      <c r="AJ155" s="75" t="n">
        <v>46009</v>
      </c>
      <c r="AK155" t="inlineStr">
        <is>
          <t>SEPARACION</t>
        </is>
      </c>
      <c r="AL155" t="n">
        <v>1</v>
      </c>
      <c r="AM155" t="n">
        <v>3000</v>
      </c>
      <c r="AN155" t="n">
        <v>0</v>
      </c>
      <c r="AO155" t="n">
        <v>0</v>
      </c>
      <c r="AP155" s="39" t="n">
        <v>3000</v>
      </c>
      <c r="AQ155" s="39" t="n">
        <v>3000</v>
      </c>
      <c r="AR155" s="39" t="n">
        <v>0</v>
      </c>
      <c r="AS155" t="n">
        <v>0</v>
      </c>
      <c r="AT155" t="inlineStr">
        <is>
          <t>Crédito Hipotecario</t>
        </is>
      </c>
      <c r="AU155" t="inlineStr">
        <is>
          <t>Scotiabank Perú</t>
        </is>
      </c>
      <c r="AV155" t="inlineStr">
        <is>
          <t>0004071419</t>
        </is>
      </c>
      <c r="AW155" t="inlineStr">
        <is>
          <t>TRANSFERENCIA BANCARIA</t>
        </is>
      </c>
      <c r="AY155" t="inlineStr">
        <is>
          <t>55556001</t>
        </is>
      </c>
      <c r="AZ155" t="inlineStr">
        <is>
          <t>No</t>
        </is>
      </c>
      <c r="BB155" t="n">
        <v>4</v>
      </c>
      <c r="BC155" t="inlineStr">
        <is>
          <t>CANCELADO</t>
        </is>
      </c>
      <c r="BN155" t="inlineStr">
        <is>
          <t>No</t>
        </is>
      </c>
      <c r="BO155" s="76" t="n">
        <v>46049.34444444445</v>
      </c>
      <c r="BP155" t="inlineStr">
        <is>
          <t>Magaly Guevara Perez</t>
        </is>
      </c>
      <c r="BR155" t="n">
        <v>10</v>
      </c>
      <c r="BS155" t="inlineStr">
        <is>
          <t>24/05/2026 20:03</t>
        </is>
      </c>
      <c r="BW155" t="inlineStr">
        <is>
          <t>Cobranzas_2025.csv</t>
        </is>
      </c>
      <c r="BX155" t="n">
        <v>2025</v>
      </c>
      <c r="BY155" t="inlineStr">
        <is>
          <t>01/01/2024</t>
        </is>
      </c>
      <c r="BZ155" t="inlineStr">
        <is>
          <t>30/06/2031</t>
        </is>
      </c>
    </row>
    <row r="156">
      <c r="A156" t="inlineStr">
        <is>
          <t>RESIDENCIAL PRADA</t>
        </is>
      </c>
      <c r="B156" t="inlineStr">
        <is>
          <t>Etapa 1</t>
        </is>
      </c>
      <c r="C156" t="inlineStr">
        <is>
          <t>Edificio</t>
        </is>
      </c>
      <c r="D156" t="inlineStr">
        <is>
          <t>A</t>
        </is>
      </c>
      <c r="E156" t="inlineStr">
        <is>
          <t>Departamento</t>
        </is>
      </c>
      <c r="F156" t="inlineStr">
        <is>
          <t>605</t>
        </is>
      </c>
      <c r="G156" s="39" t="n">
        <v>501000</v>
      </c>
      <c r="H156" s="39" t="n">
        <v>501000</v>
      </c>
      <c r="I156" t="inlineStr">
        <is>
          <t>Edificio</t>
        </is>
      </c>
      <c r="J156" t="inlineStr">
        <is>
          <t>A</t>
        </is>
      </c>
      <c r="K156" t="inlineStr">
        <is>
          <t>Estacionamiento</t>
        </is>
      </c>
      <c r="L156" t="inlineStr">
        <is>
          <t>E 07 - D 05</t>
        </is>
      </c>
      <c r="M156" s="39" t="n">
        <v>57300</v>
      </c>
      <c r="N156" s="39" t="n">
        <v>57300</v>
      </c>
      <c r="S156" s="39" t="n"/>
      <c r="T156" s="39" t="n"/>
      <c r="Y156" s="39" t="n"/>
      <c r="Z156" s="39" t="n"/>
      <c r="AA156" t="inlineStr">
        <is>
          <t>Jose Humberto Pehovaz Diez</t>
        </is>
      </c>
      <c r="AB156" t="inlineStr">
        <is>
          <t>49073756</t>
        </is>
      </c>
      <c r="AC156" t="inlineStr">
        <is>
          <t>-</t>
        </is>
      </c>
      <c r="AE156" t="inlineStr">
        <is>
          <t>952256518</t>
        </is>
      </c>
      <c r="AF156" t="inlineStr">
        <is>
          <t>josehp99@gmail.com</t>
        </is>
      </c>
      <c r="AG156" t="inlineStr">
        <is>
          <t>LIMA</t>
        </is>
      </c>
      <c r="AH156" t="inlineStr">
        <is>
          <t>MAGDALENA DEL MAR</t>
        </is>
      </c>
      <c r="AI156" s="75" t="n">
        <v>45713</v>
      </c>
      <c r="AJ156" s="75" t="n">
        <v>45709</v>
      </c>
      <c r="AK156" t="inlineStr">
        <is>
          <t>CUOTA INICIAL</t>
        </is>
      </c>
      <c r="AL156" t="n">
        <v>1</v>
      </c>
      <c r="AM156" t="n">
        <v>52830</v>
      </c>
      <c r="AN156" t="n">
        <v>0</v>
      </c>
      <c r="AO156" t="n">
        <v>0</v>
      </c>
      <c r="AP156" s="39" t="n">
        <v>52830</v>
      </c>
      <c r="AQ156" s="39" t="n">
        <v>52830</v>
      </c>
      <c r="AR156" s="39" t="n">
        <v>0</v>
      </c>
      <c r="AS156" t="n">
        <v>0</v>
      </c>
      <c r="AT156" t="inlineStr">
        <is>
          <t>Crédito Hipotecario</t>
        </is>
      </c>
      <c r="AU156" t="inlineStr">
        <is>
          <t>Scotiabank Perú</t>
        </is>
      </c>
      <c r="AV156" t="inlineStr">
        <is>
          <t>000-2768484</t>
        </is>
      </c>
      <c r="AW156" t="inlineStr">
        <is>
          <t>TRANSFERENCIA BANCARIA</t>
        </is>
      </c>
      <c r="AY156" t="inlineStr">
        <is>
          <t>u22607</t>
        </is>
      </c>
      <c r="AZ156" t="inlineStr">
        <is>
          <t>No</t>
        </is>
      </c>
      <c r="BB156" t="n">
        <v>4</v>
      </c>
      <c r="BC156" t="inlineStr">
        <is>
          <t>CANCELADO</t>
        </is>
      </c>
      <c r="BN156" t="inlineStr">
        <is>
          <t>Si</t>
        </is>
      </c>
      <c r="BO156" s="76" t="n">
        <v>45709.69652777778</v>
      </c>
      <c r="BP156" t="inlineStr">
        <is>
          <t>Carla Michue M</t>
        </is>
      </c>
      <c r="BR156" t="n">
        <v>10</v>
      </c>
      <c r="BS156" t="inlineStr">
        <is>
          <t>07/07/2026 16:31</t>
        </is>
      </c>
      <c r="BW156" t="inlineStr">
        <is>
          <t>Cobranzas_2025.csv</t>
        </is>
      </c>
      <c r="BX156" t="n">
        <v>2025</v>
      </c>
      <c r="BY156" t="inlineStr">
        <is>
          <t>01/01/2024</t>
        </is>
      </c>
      <c r="BZ156" t="inlineStr">
        <is>
          <t>30/06/2031</t>
        </is>
      </c>
    </row>
    <row r="157">
      <c r="A157" t="inlineStr">
        <is>
          <t>RESIDENCIAL PRADA</t>
        </is>
      </c>
      <c r="B157" t="inlineStr">
        <is>
          <t>Etapa 1</t>
        </is>
      </c>
      <c r="C157" t="inlineStr">
        <is>
          <t>Edificio</t>
        </is>
      </c>
      <c r="D157" t="inlineStr">
        <is>
          <t>A</t>
        </is>
      </c>
      <c r="E157" t="inlineStr">
        <is>
          <t>Departamento</t>
        </is>
      </c>
      <c r="F157" t="inlineStr">
        <is>
          <t>605</t>
        </is>
      </c>
      <c r="G157" s="39" t="n">
        <v>501000</v>
      </c>
      <c r="H157" s="39" t="n">
        <v>501000</v>
      </c>
      <c r="I157" t="inlineStr">
        <is>
          <t>Edificio</t>
        </is>
      </c>
      <c r="J157" t="inlineStr">
        <is>
          <t>A</t>
        </is>
      </c>
      <c r="K157" t="inlineStr">
        <is>
          <t>Estacionamiento</t>
        </is>
      </c>
      <c r="L157" t="inlineStr">
        <is>
          <t>E 07 - D 05</t>
        </is>
      </c>
      <c r="M157" s="39" t="n">
        <v>57300</v>
      </c>
      <c r="N157" s="39" t="n">
        <v>57300</v>
      </c>
      <c r="S157" s="39" t="n"/>
      <c r="T157" s="39" t="n"/>
      <c r="Y157" s="39" t="n"/>
      <c r="Z157" s="39" t="n"/>
      <c r="AA157" t="inlineStr">
        <is>
          <t>Jose Humberto Pehovaz Diez</t>
        </is>
      </c>
      <c r="AB157" t="inlineStr">
        <is>
          <t>49073756</t>
        </is>
      </c>
      <c r="AC157" t="inlineStr">
        <is>
          <t>-</t>
        </is>
      </c>
      <c r="AE157" t="inlineStr">
        <is>
          <t>952256518</t>
        </is>
      </c>
      <c r="AF157" t="inlineStr">
        <is>
          <t>josehp99@gmail.com</t>
        </is>
      </c>
      <c r="AG157" t="inlineStr">
        <is>
          <t>LIMA</t>
        </is>
      </c>
      <c r="AH157" t="inlineStr">
        <is>
          <t>MAGDALENA DEL MAR</t>
        </is>
      </c>
      <c r="AI157" s="75" t="n">
        <v>45746</v>
      </c>
      <c r="AJ157" s="75" t="n">
        <v>45747</v>
      </c>
      <c r="AK157" t="inlineStr">
        <is>
          <t>SALDO FINANCIAR</t>
        </is>
      </c>
      <c r="AL157" t="n">
        <v>1</v>
      </c>
      <c r="AM157" t="n">
        <v>502470</v>
      </c>
      <c r="AN157" t="n">
        <v>0</v>
      </c>
      <c r="AO157" t="n">
        <v>0</v>
      </c>
      <c r="AP157" s="39" t="n">
        <v>502470</v>
      </c>
      <c r="AQ157" s="39" t="n">
        <v>502470</v>
      </c>
      <c r="AR157" s="39" t="n">
        <v>0</v>
      </c>
      <c r="AS157" t="n">
        <v>0</v>
      </c>
      <c r="AT157" t="inlineStr">
        <is>
          <t>Crédito Hipotecario</t>
        </is>
      </c>
      <c r="AU157" t="inlineStr">
        <is>
          <t>Scotiabank Perú</t>
        </is>
      </c>
      <c r="AV157" t="inlineStr">
        <is>
          <t>000-2768484</t>
        </is>
      </c>
      <c r="AW157" t="inlineStr">
        <is>
          <t>TRANSFERENCIA BANCARIA</t>
        </is>
      </c>
      <c r="AY157" t="inlineStr">
        <is>
          <t>30032025</t>
        </is>
      </c>
      <c r="AZ157" t="inlineStr">
        <is>
          <t>No</t>
        </is>
      </c>
      <c r="BB157" t="n">
        <v>4</v>
      </c>
      <c r="BC157" t="inlineStr">
        <is>
          <t>CANCELADO</t>
        </is>
      </c>
      <c r="BN157" t="inlineStr">
        <is>
          <t>Si</t>
        </is>
      </c>
      <c r="BO157" s="76" t="n">
        <v>45709.69652777778</v>
      </c>
      <c r="BP157" t="inlineStr">
        <is>
          <t>Carla Michue M</t>
        </is>
      </c>
      <c r="BR157" t="n">
        <v>10</v>
      </c>
      <c r="BS157" t="inlineStr">
        <is>
          <t>07/07/2026 16:31</t>
        </is>
      </c>
      <c r="BW157" t="inlineStr">
        <is>
          <t>Cobranzas_2025.csv</t>
        </is>
      </c>
      <c r="BX157" t="n">
        <v>2025</v>
      </c>
      <c r="BY157" t="inlineStr">
        <is>
          <t>01/01/2024</t>
        </is>
      </c>
      <c r="BZ157" t="inlineStr">
        <is>
          <t>30/06/2031</t>
        </is>
      </c>
    </row>
    <row r="158">
      <c r="A158" t="inlineStr">
        <is>
          <t>RESIDENCIAL PRADA</t>
        </is>
      </c>
      <c r="B158" t="inlineStr">
        <is>
          <t>Etapa 1</t>
        </is>
      </c>
      <c r="C158" t="inlineStr">
        <is>
          <t>Edificio</t>
        </is>
      </c>
      <c r="D158" t="inlineStr">
        <is>
          <t>A</t>
        </is>
      </c>
      <c r="E158" t="inlineStr">
        <is>
          <t>Departamento</t>
        </is>
      </c>
      <c r="F158" t="inlineStr">
        <is>
          <t>201</t>
        </is>
      </c>
      <c r="G158" s="39" t="n">
        <v>622500</v>
      </c>
      <c r="H158" s="39" t="n">
        <v>622500</v>
      </c>
      <c r="M158" s="39" t="n"/>
      <c r="N158" s="39" t="n"/>
      <c r="S158" s="39" t="n"/>
      <c r="T158" s="39" t="n"/>
      <c r="Y158" s="39" t="n"/>
      <c r="Z158" s="39" t="n"/>
      <c r="AA158" t="inlineStr">
        <is>
          <t>Joseluis Gaspar Zapata Flores</t>
        </is>
      </c>
      <c r="AB158" t="inlineStr">
        <is>
          <t>46730672</t>
        </is>
      </c>
      <c r="AC158" t="inlineStr">
        <is>
          <t>Jr. Los Clavles 141 P. J  El Progreso 1er Sector</t>
        </is>
      </c>
      <c r="AE158" t="inlineStr">
        <is>
          <t>948041027</t>
        </is>
      </c>
      <c r="AF158" t="inlineStr">
        <is>
          <t>jlzapata91@gmail.com</t>
        </is>
      </c>
      <c r="AG158" t="inlineStr">
        <is>
          <t>LIMA</t>
        </is>
      </c>
      <c r="AH158" t="inlineStr">
        <is>
          <t>CARABAYLLO</t>
        </is>
      </c>
      <c r="AI158" s="75" t="n">
        <v>45688</v>
      </c>
      <c r="AJ158" s="75" t="n">
        <v>45722</v>
      </c>
      <c r="AK158" t="inlineStr">
        <is>
          <t>SALDO FINANCIAR</t>
        </is>
      </c>
      <c r="AL158" t="n">
        <v>1</v>
      </c>
      <c r="AM158" t="n">
        <v>532500</v>
      </c>
      <c r="AN158" t="n">
        <v>0</v>
      </c>
      <c r="AO158" t="n">
        <v>0</v>
      </c>
      <c r="AP158" s="39" t="n">
        <v>532500</v>
      </c>
      <c r="AQ158" s="39" t="n">
        <v>20000</v>
      </c>
      <c r="AR158" s="39" t="n">
        <v>0</v>
      </c>
      <c r="AS158" t="n">
        <v>0</v>
      </c>
      <c r="AT158" t="inlineStr">
        <is>
          <t>Ahorro</t>
        </is>
      </c>
      <c r="AU158" t="inlineStr">
        <is>
          <t>Scotiabank Perú</t>
        </is>
      </c>
      <c r="AV158" t="inlineStr">
        <is>
          <t>000-2768484</t>
        </is>
      </c>
      <c r="AW158" t="inlineStr">
        <is>
          <t>TRANSFERENCIA BANCARIA</t>
        </is>
      </c>
      <c r="AY158" t="inlineStr">
        <is>
          <t>7844655541508</t>
        </is>
      </c>
      <c r="AZ158" t="inlineStr">
        <is>
          <t>No</t>
        </is>
      </c>
      <c r="BB158" t="n">
        <v>4</v>
      </c>
      <c r="BC158" t="inlineStr">
        <is>
          <t>CANCELADO</t>
        </is>
      </c>
      <c r="BN158" t="inlineStr">
        <is>
          <t>Si</t>
        </is>
      </c>
      <c r="BO158" s="76" t="n">
        <v>45488.65486111111</v>
      </c>
      <c r="BP158" t="inlineStr">
        <is>
          <t>Carla Michue M</t>
        </is>
      </c>
      <c r="BR158" t="n">
        <v>6</v>
      </c>
      <c r="BS158" t="inlineStr">
        <is>
          <t>29/06/2026 01:08</t>
        </is>
      </c>
      <c r="BW158" t="inlineStr">
        <is>
          <t>Cobranzas_2025.csv</t>
        </is>
      </c>
      <c r="BX158" t="n">
        <v>2025</v>
      </c>
      <c r="BY158" t="inlineStr">
        <is>
          <t>01/01/2024</t>
        </is>
      </c>
      <c r="BZ158" t="inlineStr">
        <is>
          <t>30/06/2031</t>
        </is>
      </c>
    </row>
    <row r="159">
      <c r="A159" t="inlineStr">
        <is>
          <t>RESIDENCIAL PRADA</t>
        </is>
      </c>
      <c r="B159" t="inlineStr">
        <is>
          <t>Etapa 1</t>
        </is>
      </c>
      <c r="C159" t="inlineStr">
        <is>
          <t>Edificio</t>
        </is>
      </c>
      <c r="D159" t="inlineStr">
        <is>
          <t>A</t>
        </is>
      </c>
      <c r="E159" t="inlineStr">
        <is>
          <t>Departamento</t>
        </is>
      </c>
      <c r="F159" t="inlineStr">
        <is>
          <t>201</t>
        </is>
      </c>
      <c r="G159" s="39" t="n">
        <v>622500</v>
      </c>
      <c r="H159" s="39" t="n">
        <v>622500</v>
      </c>
      <c r="M159" s="39" t="n"/>
      <c r="N159" s="39" t="n"/>
      <c r="S159" s="39" t="n"/>
      <c r="T159" s="39" t="n"/>
      <c r="Y159" s="39" t="n"/>
      <c r="Z159" s="39" t="n"/>
      <c r="AA159" t="inlineStr">
        <is>
          <t>Joseluis Gaspar Zapata Flores</t>
        </is>
      </c>
      <c r="AB159" t="inlineStr">
        <is>
          <t>46730672</t>
        </is>
      </c>
      <c r="AC159" t="inlineStr">
        <is>
          <t>Jr. Los Clavles 141 P. J  El Progreso 1er Sector</t>
        </is>
      </c>
      <c r="AE159" t="inlineStr">
        <is>
          <t>948041027</t>
        </is>
      </c>
      <c r="AF159" t="inlineStr">
        <is>
          <t>jlzapata91@gmail.com</t>
        </is>
      </c>
      <c r="AG159" t="inlineStr">
        <is>
          <t>LIMA</t>
        </is>
      </c>
      <c r="AH159" t="inlineStr">
        <is>
          <t>CARABAYLLO</t>
        </is>
      </c>
      <c r="AI159" s="75" t="n">
        <v>45688</v>
      </c>
      <c r="AJ159" s="75" t="n">
        <v>45747</v>
      </c>
      <c r="AK159" t="inlineStr">
        <is>
          <t>SALDO FINANCIAR</t>
        </is>
      </c>
      <c r="AL159" t="n">
        <v>1</v>
      </c>
      <c r="AM159" t="n">
        <v>0</v>
      </c>
      <c r="AN159" t="n">
        <v>0</v>
      </c>
      <c r="AO159" t="n">
        <v>0</v>
      </c>
      <c r="AP159" s="39" t="n">
        <v>0</v>
      </c>
      <c r="AQ159" s="39" t="n">
        <v>512500</v>
      </c>
      <c r="AR159" s="39" t="n">
        <v>0</v>
      </c>
      <c r="AS159" t="n">
        <v>0</v>
      </c>
      <c r="AT159" t="inlineStr">
        <is>
          <t>Ahorro</t>
        </is>
      </c>
      <c r="AU159" t="inlineStr">
        <is>
          <t>Scotiabank Perú</t>
        </is>
      </c>
      <c r="AV159" t="inlineStr">
        <is>
          <t>000-2768484</t>
        </is>
      </c>
      <c r="AW159" t="inlineStr">
        <is>
          <t>TRANSFERENCIA BANCARIA</t>
        </is>
      </c>
      <c r="AY159" t="inlineStr">
        <is>
          <t>31032025</t>
        </is>
      </c>
      <c r="AZ159" t="inlineStr">
        <is>
          <t>No</t>
        </is>
      </c>
      <c r="BB159" t="n">
        <v>4</v>
      </c>
      <c r="BC159" t="inlineStr">
        <is>
          <t>CANCELADO</t>
        </is>
      </c>
      <c r="BN159" t="inlineStr">
        <is>
          <t>Si</t>
        </is>
      </c>
      <c r="BO159" s="76" t="n">
        <v>45488.65486111111</v>
      </c>
      <c r="BP159" t="inlineStr">
        <is>
          <t>Carla Michue M</t>
        </is>
      </c>
      <c r="BR159" t="n">
        <v>6</v>
      </c>
      <c r="BS159" t="inlineStr">
        <is>
          <t>29/06/2026 01:09</t>
        </is>
      </c>
      <c r="BW159" t="inlineStr">
        <is>
          <t>Cobranzas_2025.csv</t>
        </is>
      </c>
      <c r="BX159" t="n">
        <v>2025</v>
      </c>
      <c r="BY159" t="inlineStr">
        <is>
          <t>01/01/2024</t>
        </is>
      </c>
      <c r="BZ159" t="inlineStr">
        <is>
          <t>30/06/2031</t>
        </is>
      </c>
    </row>
    <row r="160">
      <c r="A160" t="inlineStr">
        <is>
          <t>RESIDENCIAL PRADA</t>
        </is>
      </c>
      <c r="B160" t="inlineStr">
        <is>
          <t>Etapa 1</t>
        </is>
      </c>
      <c r="C160" t="inlineStr">
        <is>
          <t>Edificio</t>
        </is>
      </c>
      <c r="D160" t="inlineStr">
        <is>
          <t>A</t>
        </is>
      </c>
      <c r="E160" t="inlineStr">
        <is>
          <t>Departamento</t>
        </is>
      </c>
      <c r="F160" t="inlineStr">
        <is>
          <t>501</t>
        </is>
      </c>
      <c r="G160" s="39" t="n">
        <v>612000</v>
      </c>
      <c r="H160" s="39" t="n">
        <v>612000</v>
      </c>
      <c r="M160" s="39" t="n"/>
      <c r="N160" s="39" t="n"/>
      <c r="S160" s="39" t="n"/>
      <c r="T160" s="39" t="n"/>
      <c r="Y160" s="39" t="n"/>
      <c r="Z160" s="39" t="n"/>
      <c r="AA160" t="inlineStr">
        <is>
          <t>Juan Carlos Ángeles Milla</t>
        </is>
      </c>
      <c r="AB160" t="inlineStr">
        <is>
          <t>32403305</t>
        </is>
      </c>
      <c r="AC160" t="inlineStr">
        <is>
          <t>Av. Miraflores 218</t>
        </is>
      </c>
      <c r="AE160" t="inlineStr">
        <is>
          <t>942097700</t>
        </is>
      </c>
      <c r="AF160" t="inlineStr">
        <is>
          <t>Vidang72@hotmail.com</t>
        </is>
      </c>
      <c r="AG160" t="inlineStr">
        <is>
          <t>HUAYLAS</t>
        </is>
      </c>
      <c r="AH160" t="inlineStr">
        <is>
          <t>HUAYLAS</t>
        </is>
      </c>
      <c r="AI160" s="75" t="n">
        <v>45687</v>
      </c>
      <c r="AJ160" s="75" t="n">
        <v>46018</v>
      </c>
      <c r="AK160" t="inlineStr">
        <is>
          <t>CUOTA INICIAL</t>
        </is>
      </c>
      <c r="AL160" t="n">
        <v>3</v>
      </c>
      <c r="AM160" t="n">
        <v>29500</v>
      </c>
      <c r="AN160" t="n">
        <v>0</v>
      </c>
      <c r="AO160" t="n">
        <v>0</v>
      </c>
      <c r="AP160" s="39" t="n">
        <v>29500</v>
      </c>
      <c r="AQ160" s="39" t="n">
        <v>29500</v>
      </c>
      <c r="AR160" s="39" t="n">
        <v>0</v>
      </c>
      <c r="AS160" t="n">
        <v>0</v>
      </c>
      <c r="AT160" t="inlineStr">
        <is>
          <t>Ahorro</t>
        </is>
      </c>
      <c r="AU160" t="inlineStr">
        <is>
          <t>Scotiabank Perú</t>
        </is>
      </c>
      <c r="AV160" t="inlineStr">
        <is>
          <t>000-2768484</t>
        </is>
      </c>
      <c r="AW160" t="inlineStr">
        <is>
          <t>TRANSFERENCIA BANCARIA</t>
        </is>
      </c>
      <c r="AX160" t="n">
        <v>32403305</v>
      </c>
      <c r="AY160" t="inlineStr">
        <is>
          <t>028925</t>
        </is>
      </c>
      <c r="AZ160" t="inlineStr">
        <is>
          <t>No</t>
        </is>
      </c>
      <c r="BA160" t="inlineStr">
        <is>
          <t>NO PRECISA</t>
        </is>
      </c>
      <c r="BB160" t="n">
        <v>1</v>
      </c>
      <c r="BC160" t="inlineStr">
        <is>
          <t>CANCELADO</t>
        </is>
      </c>
      <c r="BN160" t="inlineStr">
        <is>
          <t>Si</t>
        </is>
      </c>
      <c r="BO160" s="76" t="n">
        <v>45541.59444444445</v>
      </c>
      <c r="BP160" t="inlineStr">
        <is>
          <t>Carla Michue M</t>
        </is>
      </c>
      <c r="BR160" t="n">
        <v>21</v>
      </c>
      <c r="BS160" t="inlineStr">
        <is>
          <t>29/05/2026 12:21</t>
        </is>
      </c>
      <c r="BW160" t="inlineStr">
        <is>
          <t>Cobranzas_2025.csv</t>
        </is>
      </c>
      <c r="BX160" t="n">
        <v>2025</v>
      </c>
      <c r="BY160" t="inlineStr">
        <is>
          <t>01/01/2024</t>
        </is>
      </c>
      <c r="BZ160" t="inlineStr">
        <is>
          <t>30/06/2031</t>
        </is>
      </c>
    </row>
    <row r="161">
      <c r="A161" t="inlineStr">
        <is>
          <t>RESIDENCIAL PRADA</t>
        </is>
      </c>
      <c r="B161" t="inlineStr">
        <is>
          <t>Etapa 1</t>
        </is>
      </c>
      <c r="C161" t="inlineStr">
        <is>
          <t>Edificio</t>
        </is>
      </c>
      <c r="D161" t="inlineStr">
        <is>
          <t>A</t>
        </is>
      </c>
      <c r="E161" t="inlineStr">
        <is>
          <t>Departamento</t>
        </is>
      </c>
      <c r="F161" t="inlineStr">
        <is>
          <t>501</t>
        </is>
      </c>
      <c r="G161" s="39" t="n">
        <v>612000</v>
      </c>
      <c r="H161" s="39" t="n">
        <v>612000</v>
      </c>
      <c r="M161" s="39" t="n"/>
      <c r="N161" s="39" t="n"/>
      <c r="S161" s="39" t="n"/>
      <c r="T161" s="39" t="n"/>
      <c r="Y161" s="39" t="n"/>
      <c r="Z161" s="39" t="n"/>
      <c r="AA161" t="inlineStr">
        <is>
          <t>Juan Carlos Ángeles Milla</t>
        </is>
      </c>
      <c r="AB161" t="inlineStr">
        <is>
          <t>32403305</t>
        </is>
      </c>
      <c r="AC161" t="inlineStr">
        <is>
          <t>Av. Miraflores 218</t>
        </is>
      </c>
      <c r="AE161" t="inlineStr">
        <is>
          <t>942097700</t>
        </is>
      </c>
      <c r="AF161" t="inlineStr">
        <is>
          <t>Vidang72@hotmail.com</t>
        </is>
      </c>
      <c r="AG161" t="inlineStr">
        <is>
          <t>HUAYLAS</t>
        </is>
      </c>
      <c r="AH161" t="inlineStr">
        <is>
          <t>HUAYLAS</t>
        </is>
      </c>
      <c r="AI161" s="75" t="n">
        <v>45716</v>
      </c>
      <c r="AJ161" s="75" t="n">
        <v>46002</v>
      </c>
      <c r="AK161" t="inlineStr">
        <is>
          <t>SALDO FINANCIAR</t>
        </is>
      </c>
      <c r="AL161" t="n">
        <v>4</v>
      </c>
      <c r="AM161" t="n">
        <v>550000</v>
      </c>
      <c r="AN161" t="n">
        <v>0</v>
      </c>
      <c r="AO161" t="n">
        <v>0</v>
      </c>
      <c r="AP161" s="39" t="n">
        <v>550000</v>
      </c>
      <c r="AQ161" s="39" t="n">
        <v>550000</v>
      </c>
      <c r="AR161" s="39" t="n">
        <v>0</v>
      </c>
      <c r="AS161" t="n">
        <v>0</v>
      </c>
      <c r="AT161" t="inlineStr">
        <is>
          <t>Ahorro</t>
        </is>
      </c>
      <c r="AU161" t="inlineStr">
        <is>
          <t>Scotiabank Perú</t>
        </is>
      </c>
      <c r="AV161" t="inlineStr">
        <is>
          <t>000-2768484</t>
        </is>
      </c>
      <c r="AW161" t="inlineStr">
        <is>
          <t>TRANSFERENCIA BANCARIA</t>
        </is>
      </c>
      <c r="AY161" t="inlineStr">
        <is>
          <t>11122025</t>
        </is>
      </c>
      <c r="AZ161" t="inlineStr">
        <is>
          <t>No</t>
        </is>
      </c>
      <c r="BB161" t="n">
        <v>4</v>
      </c>
      <c r="BC161" t="inlineStr">
        <is>
          <t>CANCELADO</t>
        </is>
      </c>
      <c r="BN161" t="inlineStr">
        <is>
          <t>Si</t>
        </is>
      </c>
      <c r="BO161" s="76" t="n">
        <v>45541.59444444445</v>
      </c>
      <c r="BP161" t="inlineStr">
        <is>
          <t>Carla Michue M</t>
        </is>
      </c>
      <c r="BR161" t="n">
        <v>21</v>
      </c>
      <c r="BS161" t="inlineStr">
        <is>
          <t>07/07/2026 09:35</t>
        </is>
      </c>
      <c r="BW161" t="inlineStr">
        <is>
          <t>Cobranzas_2025.csv</t>
        </is>
      </c>
      <c r="BX161" t="n">
        <v>2025</v>
      </c>
      <c r="BY161" t="inlineStr">
        <is>
          <t>01/01/2024</t>
        </is>
      </c>
      <c r="BZ161" t="inlineStr">
        <is>
          <t>30/06/2031</t>
        </is>
      </c>
    </row>
    <row r="162">
      <c r="A162" t="inlineStr">
        <is>
          <t>RESIDENCIAL BEYOND</t>
        </is>
      </c>
      <c r="B162" t="inlineStr">
        <is>
          <t>Etapa 1</t>
        </is>
      </c>
      <c r="C162" t="inlineStr">
        <is>
          <t>Edificio</t>
        </is>
      </c>
      <c r="D162" t="inlineStr">
        <is>
          <t>A</t>
        </is>
      </c>
      <c r="E162" t="inlineStr">
        <is>
          <t>Departamento</t>
        </is>
      </c>
      <c r="F162" t="inlineStr">
        <is>
          <t>404</t>
        </is>
      </c>
      <c r="G162" s="39" t="n">
        <v>498000</v>
      </c>
      <c r="H162" s="39" t="n">
        <v>460000</v>
      </c>
      <c r="M162" s="39" t="n"/>
      <c r="N162" s="39" t="n"/>
      <c r="S162" s="39" t="n"/>
      <c r="T162" s="39" t="n"/>
      <c r="Y162" s="39" t="n"/>
      <c r="Z162" s="39" t="n"/>
      <c r="AA162" t="inlineStr">
        <is>
          <t>Juana Mercedes Moran Peralta</t>
        </is>
      </c>
      <c r="AB162" t="inlineStr">
        <is>
          <t>03495726</t>
        </is>
      </c>
      <c r="AC162" t="inlineStr">
        <is>
          <t>Jr. Ignacio Álvarez Thomas 1573 - Dpto. 302</t>
        </is>
      </c>
      <c r="AD162" t="n">
        <v>0</v>
      </c>
      <c r="AE162" t="inlineStr">
        <is>
          <t>978122557</t>
        </is>
      </c>
      <c r="AF162" t="inlineStr">
        <is>
          <t>Juanamoran2371@gmail.com</t>
        </is>
      </c>
      <c r="AG162" t="inlineStr">
        <is>
          <t>LIMA</t>
        </is>
      </c>
      <c r="AH162" t="inlineStr">
        <is>
          <t>CERCADO DE LIMA</t>
        </is>
      </c>
      <c r="AI162" s="75" t="n">
        <v>45779</v>
      </c>
      <c r="AJ162" s="75" t="n">
        <v>45779</v>
      </c>
      <c r="AK162" t="inlineStr">
        <is>
          <t>SEPARACION</t>
        </is>
      </c>
      <c r="AL162" t="n">
        <v>1</v>
      </c>
      <c r="AM162" t="n">
        <v>3000</v>
      </c>
      <c r="AN162" t="n">
        <v>0</v>
      </c>
      <c r="AO162" t="n">
        <v>0</v>
      </c>
      <c r="AP162" s="39" t="n">
        <v>3000</v>
      </c>
      <c r="AQ162" s="39" t="n">
        <v>3000</v>
      </c>
      <c r="AR162" s="39" t="n">
        <v>0</v>
      </c>
      <c r="AS162" t="n">
        <v>0</v>
      </c>
      <c r="AT162" t="inlineStr">
        <is>
          <t>Ahorro</t>
        </is>
      </c>
      <c r="AU162" t="inlineStr">
        <is>
          <t>Banco de Credito del Perú</t>
        </is>
      </c>
      <c r="AV162" t="inlineStr">
        <is>
          <t>194-7325779-0-65</t>
        </is>
      </c>
      <c r="AW162" t="inlineStr">
        <is>
          <t>TRANSFERENCIA BANCARIA</t>
        </is>
      </c>
      <c r="AY162" t="inlineStr">
        <is>
          <t>03861109</t>
        </is>
      </c>
      <c r="AZ162" t="inlineStr">
        <is>
          <t>No</t>
        </is>
      </c>
      <c r="BB162" t="n">
        <v>4</v>
      </c>
      <c r="BC162" t="inlineStr">
        <is>
          <t>CANCELADO</t>
        </is>
      </c>
      <c r="BN162" t="inlineStr">
        <is>
          <t>No</t>
        </is>
      </c>
      <c r="BO162" s="76" t="n">
        <v>46178.42777777778</v>
      </c>
      <c r="BP162" t="inlineStr">
        <is>
          <t>Magaly Guevara Perez</t>
        </is>
      </c>
      <c r="BR162" t="n">
        <v>29</v>
      </c>
      <c r="BS162" t="inlineStr">
        <is>
          <t>01/05/2026 18:02</t>
        </is>
      </c>
      <c r="BW162" t="inlineStr">
        <is>
          <t>Cobranzas_2025.csv</t>
        </is>
      </c>
      <c r="BX162" t="n">
        <v>2025</v>
      </c>
      <c r="BY162" t="inlineStr">
        <is>
          <t>01/01/2024</t>
        </is>
      </c>
      <c r="BZ162" t="inlineStr">
        <is>
          <t>30/06/2031</t>
        </is>
      </c>
    </row>
    <row r="163">
      <c r="A163" t="inlineStr">
        <is>
          <t>RESIDENCIAL PRADA</t>
        </is>
      </c>
      <c r="B163" t="inlineStr">
        <is>
          <t>Etapa 1</t>
        </is>
      </c>
      <c r="C163" t="inlineStr">
        <is>
          <t>Edificio</t>
        </is>
      </c>
      <c r="D163" t="inlineStr">
        <is>
          <t>A</t>
        </is>
      </c>
      <c r="E163" t="inlineStr">
        <is>
          <t>Departamento</t>
        </is>
      </c>
      <c r="F163" t="inlineStr">
        <is>
          <t>903</t>
        </is>
      </c>
      <c r="G163" s="39" t="n">
        <v>692000</v>
      </c>
      <c r="H163" s="39" t="n">
        <v>692000</v>
      </c>
      <c r="M163" s="39" t="n"/>
      <c r="N163" s="39" t="n"/>
      <c r="S163" s="39" t="n"/>
      <c r="T163" s="39" t="n"/>
      <c r="Y163" s="39" t="n"/>
      <c r="Z163" s="39" t="n"/>
      <c r="AA163" t="inlineStr">
        <is>
          <t>Karina Cabanillas Correa</t>
        </is>
      </c>
      <c r="AB163" t="inlineStr">
        <is>
          <t>40065933</t>
        </is>
      </c>
      <c r="AC163" t="inlineStr">
        <is>
          <t xml:space="preserve">Jr. Huiracocha 1639 Dpto. 1503 </t>
        </is>
      </c>
      <c r="AD163" t="n">
        <v>0</v>
      </c>
      <c r="AE163" t="inlineStr">
        <is>
          <t>970096822</t>
        </is>
      </c>
      <c r="AF163" t="inlineStr">
        <is>
          <t>karicab13@gmail.com</t>
        </is>
      </c>
      <c r="AG163" t="inlineStr">
        <is>
          <t>LIMA</t>
        </is>
      </c>
      <c r="AH163" t="inlineStr">
        <is>
          <t>JESUS MARIA</t>
        </is>
      </c>
      <c r="AI163" s="75" t="n">
        <v>45680</v>
      </c>
      <c r="AJ163" s="75" t="n">
        <v>45680</v>
      </c>
      <c r="AK163" t="inlineStr">
        <is>
          <t>SEPARACION</t>
        </is>
      </c>
      <c r="AL163" t="n">
        <v>1</v>
      </c>
      <c r="AM163" t="n">
        <v>3000</v>
      </c>
      <c r="AN163" t="n">
        <v>0</v>
      </c>
      <c r="AO163" t="n">
        <v>0</v>
      </c>
      <c r="AP163" s="39" t="n">
        <v>3000</v>
      </c>
      <c r="AQ163" s="39" t="n">
        <v>3000</v>
      </c>
      <c r="AR163" s="39" t="n">
        <v>0</v>
      </c>
      <c r="AS163" t="n">
        <v>0</v>
      </c>
      <c r="AT163" t="inlineStr">
        <is>
          <t>Crédito Hipotecario</t>
        </is>
      </c>
      <c r="AU163" t="inlineStr">
        <is>
          <t>Scotiabank Perú</t>
        </is>
      </c>
      <c r="AV163" t="inlineStr">
        <is>
          <t>000-2768484</t>
        </is>
      </c>
      <c r="AW163" t="inlineStr">
        <is>
          <t>POS VISA</t>
        </is>
      </c>
      <c r="AY163" t="inlineStr">
        <is>
          <t>234305</t>
        </is>
      </c>
      <c r="AZ163" t="inlineStr">
        <is>
          <t>No</t>
        </is>
      </c>
      <c r="BB163" t="n">
        <v>4</v>
      </c>
      <c r="BC163" t="inlineStr">
        <is>
          <t>CANCELADO</t>
        </is>
      </c>
      <c r="BN163" t="inlineStr">
        <is>
          <t>Si</t>
        </is>
      </c>
      <c r="BO163" s="76" t="n">
        <v>45733.35069444445</v>
      </c>
      <c r="BP163" t="inlineStr">
        <is>
          <t>Magaly Guevara Perez</t>
        </is>
      </c>
      <c r="BR163" t="n">
        <v>42</v>
      </c>
      <c r="BS163" t="inlineStr">
        <is>
          <t>06/07/2026 08:19</t>
        </is>
      </c>
      <c r="BW163" t="inlineStr">
        <is>
          <t>Cobranzas_2025.csv</t>
        </is>
      </c>
      <c r="BX163" t="n">
        <v>2025</v>
      </c>
      <c r="BY163" t="inlineStr">
        <is>
          <t>01/01/2024</t>
        </is>
      </c>
      <c r="BZ163" t="inlineStr">
        <is>
          <t>30/06/2031</t>
        </is>
      </c>
    </row>
    <row r="164">
      <c r="A164" t="inlineStr">
        <is>
          <t>RESIDENCIAL PRADA</t>
        </is>
      </c>
      <c r="B164" t="inlineStr">
        <is>
          <t>Etapa 1</t>
        </is>
      </c>
      <c r="C164" t="inlineStr">
        <is>
          <t>Edificio</t>
        </is>
      </c>
      <c r="D164" t="inlineStr">
        <is>
          <t>A</t>
        </is>
      </c>
      <c r="E164" t="inlineStr">
        <is>
          <t>Departamento</t>
        </is>
      </c>
      <c r="F164" t="inlineStr">
        <is>
          <t>903</t>
        </is>
      </c>
      <c r="G164" s="39" t="n">
        <v>692000</v>
      </c>
      <c r="H164" s="39" t="n">
        <v>692000</v>
      </c>
      <c r="M164" s="39" t="n"/>
      <c r="N164" s="39" t="n"/>
      <c r="S164" s="39" t="n"/>
      <c r="T164" s="39" t="n"/>
      <c r="Y164" s="39" t="n"/>
      <c r="Z164" s="39" t="n"/>
      <c r="AA164" t="inlineStr">
        <is>
          <t>Karina Cabanillas Correa</t>
        </is>
      </c>
      <c r="AB164" t="inlineStr">
        <is>
          <t>40065933</t>
        </is>
      </c>
      <c r="AC164" t="inlineStr">
        <is>
          <t xml:space="preserve">Jr. Huiracocha 1639 Dpto. 1503 </t>
        </is>
      </c>
      <c r="AD164" t="n">
        <v>0</v>
      </c>
      <c r="AE164" t="inlineStr">
        <is>
          <t>970096822</t>
        </is>
      </c>
      <c r="AF164" t="inlineStr">
        <is>
          <t>karicab13@gmail.com</t>
        </is>
      </c>
      <c r="AG164" t="inlineStr">
        <is>
          <t>LIMA</t>
        </is>
      </c>
      <c r="AH164" t="inlineStr">
        <is>
          <t>JESUS MARIA</t>
        </is>
      </c>
      <c r="AI164" s="75" t="n">
        <v>45747</v>
      </c>
      <c r="AJ164" s="75" t="n">
        <v>45733</v>
      </c>
      <c r="AK164" t="inlineStr">
        <is>
          <t>CUOTA INICIAL</t>
        </is>
      </c>
      <c r="AL164" t="n">
        <v>1</v>
      </c>
      <c r="AM164" t="n">
        <v>53300</v>
      </c>
      <c r="AN164" t="n">
        <v>0</v>
      </c>
      <c r="AO164" t="n">
        <v>0</v>
      </c>
      <c r="AP164" s="39" t="n">
        <v>53300</v>
      </c>
      <c r="AQ164" s="39" t="n">
        <v>53300</v>
      </c>
      <c r="AR164" s="39" t="n">
        <v>0</v>
      </c>
      <c r="AS164" t="n">
        <v>0</v>
      </c>
      <c r="AT164" t="inlineStr">
        <is>
          <t>Crédito Hipotecario</t>
        </is>
      </c>
      <c r="AU164" t="inlineStr">
        <is>
          <t>Scotiabank Perú</t>
        </is>
      </c>
      <c r="AV164" t="inlineStr">
        <is>
          <t>000-2768484</t>
        </is>
      </c>
      <c r="AW164" t="inlineStr">
        <is>
          <t>DEPOSITO EN CUENTA</t>
        </is>
      </c>
      <c r="AY164" t="inlineStr">
        <is>
          <t>U27813</t>
        </is>
      </c>
      <c r="AZ164" t="inlineStr">
        <is>
          <t>No</t>
        </is>
      </c>
      <c r="BB164" t="n">
        <v>4</v>
      </c>
      <c r="BC164" t="inlineStr">
        <is>
          <t>CANCELADO</t>
        </is>
      </c>
      <c r="BN164" t="inlineStr">
        <is>
          <t>Si</t>
        </is>
      </c>
      <c r="BO164" s="76" t="n">
        <v>45733.35069444445</v>
      </c>
      <c r="BP164" t="inlineStr">
        <is>
          <t>Magaly Guevara Perez</t>
        </is>
      </c>
      <c r="BR164" t="n">
        <v>42</v>
      </c>
      <c r="BS164" t="inlineStr">
        <is>
          <t>06/07/2026 08:21</t>
        </is>
      </c>
      <c r="BW164" t="inlineStr">
        <is>
          <t>Cobranzas_2025.csv</t>
        </is>
      </c>
      <c r="BX164" t="n">
        <v>2025</v>
      </c>
      <c r="BY164" t="inlineStr">
        <is>
          <t>01/01/2024</t>
        </is>
      </c>
      <c r="BZ164" t="inlineStr">
        <is>
          <t>30/06/2031</t>
        </is>
      </c>
    </row>
    <row r="165">
      <c r="A165" t="inlineStr">
        <is>
          <t>RESIDENCIAL PRADA</t>
        </is>
      </c>
      <c r="B165" t="inlineStr">
        <is>
          <t>Etapa 1</t>
        </is>
      </c>
      <c r="C165" t="inlineStr">
        <is>
          <t>Edificio</t>
        </is>
      </c>
      <c r="D165" t="inlineStr">
        <is>
          <t>A</t>
        </is>
      </c>
      <c r="E165" t="inlineStr">
        <is>
          <t>Departamento</t>
        </is>
      </c>
      <c r="F165" t="inlineStr">
        <is>
          <t>903</t>
        </is>
      </c>
      <c r="G165" s="39" t="n">
        <v>692000</v>
      </c>
      <c r="H165" s="39" t="n">
        <v>692000</v>
      </c>
      <c r="M165" s="39" t="n"/>
      <c r="N165" s="39" t="n"/>
      <c r="S165" s="39" t="n"/>
      <c r="T165" s="39" t="n"/>
      <c r="Y165" s="39" t="n"/>
      <c r="Z165" s="39" t="n"/>
      <c r="AA165" t="inlineStr">
        <is>
          <t>Karina Cabanillas Correa</t>
        </is>
      </c>
      <c r="AB165" t="inlineStr">
        <is>
          <t>40065933</t>
        </is>
      </c>
      <c r="AC165" t="inlineStr">
        <is>
          <t xml:space="preserve">Jr. Huiracocha 1639 Dpto. 1503 </t>
        </is>
      </c>
      <c r="AD165" t="n">
        <v>0</v>
      </c>
      <c r="AE165" t="inlineStr">
        <is>
          <t>970096822</t>
        </is>
      </c>
      <c r="AF165" t="inlineStr">
        <is>
          <t>karicab13@gmail.com</t>
        </is>
      </c>
      <c r="AG165" t="inlineStr">
        <is>
          <t>LIMA</t>
        </is>
      </c>
      <c r="AH165" t="inlineStr">
        <is>
          <t>JESUS MARIA</t>
        </is>
      </c>
      <c r="AI165" s="75" t="n">
        <v>45777</v>
      </c>
      <c r="AJ165" s="75" t="n">
        <v>45734</v>
      </c>
      <c r="AK165" t="inlineStr">
        <is>
          <t>CUOTA INICIAL</t>
        </is>
      </c>
      <c r="AL165" t="n">
        <v>2</v>
      </c>
      <c r="AM165" t="n">
        <v>82100</v>
      </c>
      <c r="AN165" t="n">
        <v>0</v>
      </c>
      <c r="AO165" t="n">
        <v>0</v>
      </c>
      <c r="AP165" s="39" t="n">
        <v>82100</v>
      </c>
      <c r="AQ165" s="39" t="n">
        <v>82100</v>
      </c>
      <c r="AR165" s="39" t="n">
        <v>0</v>
      </c>
      <c r="AS165" t="n">
        <v>0</v>
      </c>
      <c r="AT165" t="inlineStr">
        <is>
          <t>Crédito Hipotecario</t>
        </is>
      </c>
      <c r="AU165" t="inlineStr">
        <is>
          <t>Scotiabank Perú</t>
        </is>
      </c>
      <c r="AV165" t="inlineStr">
        <is>
          <t>000-2768484</t>
        </is>
      </c>
      <c r="AW165" t="inlineStr">
        <is>
          <t>DEPOSITO EN CUENTA</t>
        </is>
      </c>
      <c r="AY165" t="inlineStr">
        <is>
          <t>U27102</t>
        </is>
      </c>
      <c r="AZ165" t="inlineStr">
        <is>
          <t>No</t>
        </is>
      </c>
      <c r="BB165" t="n">
        <v>4</v>
      </c>
      <c r="BC165" t="inlineStr">
        <is>
          <t>CANCELADO</t>
        </is>
      </c>
      <c r="BN165" t="inlineStr">
        <is>
          <t>Si</t>
        </is>
      </c>
      <c r="BO165" s="76" t="n">
        <v>45733.35069444445</v>
      </c>
      <c r="BP165" t="inlineStr">
        <is>
          <t>Magaly Guevara Perez</t>
        </is>
      </c>
      <c r="BR165" t="n">
        <v>42</v>
      </c>
      <c r="BS165" t="inlineStr">
        <is>
          <t>06/07/2026 08:23</t>
        </is>
      </c>
      <c r="BW165" t="inlineStr">
        <is>
          <t>Cobranzas_2025.csv</t>
        </is>
      </c>
      <c r="BX165" t="n">
        <v>2025</v>
      </c>
      <c r="BY165" t="inlineStr">
        <is>
          <t>01/01/2024</t>
        </is>
      </c>
      <c r="BZ165" t="inlineStr">
        <is>
          <t>30/06/2031</t>
        </is>
      </c>
    </row>
    <row r="166">
      <c r="A166" t="inlineStr">
        <is>
          <t>RESIDENCIAL PRADA</t>
        </is>
      </c>
      <c r="B166" t="inlineStr">
        <is>
          <t>Etapa 1</t>
        </is>
      </c>
      <c r="C166" t="inlineStr">
        <is>
          <t>Edificio</t>
        </is>
      </c>
      <c r="D166" t="inlineStr">
        <is>
          <t>A</t>
        </is>
      </c>
      <c r="E166" t="inlineStr">
        <is>
          <t>Departamento</t>
        </is>
      </c>
      <c r="F166" t="inlineStr">
        <is>
          <t>903</t>
        </is>
      </c>
      <c r="G166" s="39" t="n">
        <v>692000</v>
      </c>
      <c r="H166" s="39" t="n">
        <v>692000</v>
      </c>
      <c r="M166" s="39" t="n"/>
      <c r="N166" s="39" t="n"/>
      <c r="S166" s="39" t="n"/>
      <c r="T166" s="39" t="n"/>
      <c r="Y166" s="39" t="n"/>
      <c r="Z166" s="39" t="n"/>
      <c r="AA166" t="inlineStr">
        <is>
          <t>Karina Cabanillas Correa</t>
        </is>
      </c>
      <c r="AB166" t="inlineStr">
        <is>
          <t>40065933</t>
        </is>
      </c>
      <c r="AC166" t="inlineStr">
        <is>
          <t xml:space="preserve">Jr. Huiracocha 1639 Dpto. 1503 </t>
        </is>
      </c>
      <c r="AD166" t="n">
        <v>0</v>
      </c>
      <c r="AE166" t="inlineStr">
        <is>
          <t>970096822</t>
        </is>
      </c>
      <c r="AF166" t="inlineStr">
        <is>
          <t>karicab13@gmail.com</t>
        </is>
      </c>
      <c r="AG166" t="inlineStr">
        <is>
          <t>LIMA</t>
        </is>
      </c>
      <c r="AH166" t="inlineStr">
        <is>
          <t>JESUS MARIA</t>
        </is>
      </c>
      <c r="AI166" s="75" t="n">
        <v>45777</v>
      </c>
      <c r="AJ166" s="75" t="n">
        <v>45747</v>
      </c>
      <c r="AK166" t="inlineStr">
        <is>
          <t>SALDO FINANCIAR</t>
        </is>
      </c>
      <c r="AL166" t="n">
        <v>1</v>
      </c>
      <c r="AM166" t="n">
        <v>553600</v>
      </c>
      <c r="AN166" t="n">
        <v>0</v>
      </c>
      <c r="AO166" t="n">
        <v>0</v>
      </c>
      <c r="AP166" s="39" t="n">
        <v>553600</v>
      </c>
      <c r="AQ166" s="39" t="n">
        <v>553600</v>
      </c>
      <c r="AR166" s="39" t="n">
        <v>0</v>
      </c>
      <c r="AS166" t="n">
        <v>0</v>
      </c>
      <c r="AT166" t="inlineStr">
        <is>
          <t>Crédito Hipotecario</t>
        </is>
      </c>
      <c r="AU166" t="inlineStr">
        <is>
          <t>Scotiabank Perú</t>
        </is>
      </c>
      <c r="AV166" t="inlineStr">
        <is>
          <t>000-2768484</t>
        </is>
      </c>
      <c r="AW166" t="inlineStr">
        <is>
          <t>TRANSFERENCIA BANCARIA</t>
        </is>
      </c>
      <c r="AY166" t="inlineStr">
        <is>
          <t>300320025</t>
        </is>
      </c>
      <c r="AZ166" t="inlineStr">
        <is>
          <t>No</t>
        </is>
      </c>
      <c r="BB166" t="n">
        <v>4</v>
      </c>
      <c r="BC166" t="inlineStr">
        <is>
          <t>CANCELADO</t>
        </is>
      </c>
      <c r="BN166" t="inlineStr">
        <is>
          <t>Si</t>
        </is>
      </c>
      <c r="BO166" s="76" t="n">
        <v>45733.35069444445</v>
      </c>
      <c r="BP166" t="inlineStr">
        <is>
          <t>Magaly Guevara Perez</t>
        </is>
      </c>
      <c r="BR166" t="n">
        <v>42</v>
      </c>
      <c r="BS166" t="inlineStr">
        <is>
          <t>06/07/2026 08:27</t>
        </is>
      </c>
      <c r="BW166" t="inlineStr">
        <is>
          <t>Cobranzas_2025.csv</t>
        </is>
      </c>
      <c r="BX166" t="n">
        <v>2025</v>
      </c>
      <c r="BY166" t="inlineStr">
        <is>
          <t>01/01/2024</t>
        </is>
      </c>
      <c r="BZ166" t="inlineStr">
        <is>
          <t>30/06/2031</t>
        </is>
      </c>
    </row>
    <row r="167">
      <c r="A167" t="inlineStr">
        <is>
          <t>RESIDENCIAL BEYOND</t>
        </is>
      </c>
      <c r="B167" t="inlineStr">
        <is>
          <t>Etapa 1</t>
        </is>
      </c>
      <c r="C167" t="inlineStr">
        <is>
          <t>Edificio</t>
        </is>
      </c>
      <c r="D167" t="inlineStr">
        <is>
          <t>A</t>
        </is>
      </c>
      <c r="E167" t="inlineStr">
        <is>
          <t>Departamento</t>
        </is>
      </c>
      <c r="F167" t="inlineStr">
        <is>
          <t>303</t>
        </is>
      </c>
      <c r="G167" s="39" t="n">
        <v>504700</v>
      </c>
      <c r="H167" s="39" t="n">
        <v>458000</v>
      </c>
      <c r="M167" s="39" t="n"/>
      <c r="N167" s="39" t="n"/>
      <c r="S167" s="39" t="n"/>
      <c r="T167" s="39" t="n"/>
      <c r="Y167" s="39" t="n"/>
      <c r="Z167" s="39" t="n"/>
      <c r="AA167" t="inlineStr">
        <is>
          <t>Leidy Lucero Espíritu Zabarburu</t>
        </is>
      </c>
      <c r="AB167" t="inlineStr">
        <is>
          <t>76936857</t>
        </is>
      </c>
      <c r="AC167" t="inlineStr">
        <is>
          <t>Av. José Arnaldo Márquez Nº 1655 – Dpto.403</t>
        </is>
      </c>
      <c r="AD167" t="n">
        <v>0</v>
      </c>
      <c r="AE167" t="inlineStr">
        <is>
          <t>966435253</t>
        </is>
      </c>
      <c r="AF167" t="inlineStr">
        <is>
          <t>lespiritu@zgroup.com.pe</t>
        </is>
      </c>
      <c r="AG167" t="inlineStr">
        <is>
          <t>LIMA</t>
        </is>
      </c>
      <c r="AH167" t="inlineStr">
        <is>
          <t>JESUS MARIA</t>
        </is>
      </c>
      <c r="AI167" s="75" t="n">
        <v>45925</v>
      </c>
      <c r="AJ167" s="75" t="n">
        <v>45925</v>
      </c>
      <c r="AK167" t="inlineStr">
        <is>
          <t>SEPARACION</t>
        </is>
      </c>
      <c r="AL167" t="n">
        <v>1</v>
      </c>
      <c r="AM167" t="n">
        <v>3000</v>
      </c>
      <c r="AN167" t="n">
        <v>0</v>
      </c>
      <c r="AO167" t="n">
        <v>0</v>
      </c>
      <c r="AP167" s="39" t="n">
        <v>3000</v>
      </c>
      <c r="AQ167" s="39" t="n">
        <v>3000</v>
      </c>
      <c r="AR167" s="39" t="n">
        <v>0</v>
      </c>
      <c r="AS167" t="n">
        <v>0</v>
      </c>
      <c r="AT167" t="inlineStr">
        <is>
          <t>Ahorro</t>
        </is>
      </c>
      <c r="AU167" t="inlineStr">
        <is>
          <t>Banco de Credito del Perú</t>
        </is>
      </c>
      <c r="AV167" t="inlineStr">
        <is>
          <t>194-7325779-0-65</t>
        </is>
      </c>
      <c r="AW167" t="inlineStr">
        <is>
          <t>TRANSFERENCIA BANCARIA</t>
        </is>
      </c>
      <c r="AY167" t="inlineStr">
        <is>
          <t>04037482</t>
        </is>
      </c>
      <c r="AZ167" t="inlineStr">
        <is>
          <t>No</t>
        </is>
      </c>
      <c r="BB167" t="n">
        <v>4</v>
      </c>
      <c r="BC167" t="inlineStr">
        <is>
          <t>CANCELADO</t>
        </is>
      </c>
      <c r="BN167" t="inlineStr">
        <is>
          <t>No</t>
        </is>
      </c>
      <c r="BO167" s="76" t="n">
        <v>46057.42013888889</v>
      </c>
      <c r="BP167" t="inlineStr">
        <is>
          <t>Magaly Guevara Perez</t>
        </is>
      </c>
      <c r="BR167" t="n">
        <v>25</v>
      </c>
      <c r="BS167" t="inlineStr">
        <is>
          <t>01/05/2026 16:29</t>
        </is>
      </c>
      <c r="BW167" t="inlineStr">
        <is>
          <t>Cobranzas_2025.csv</t>
        </is>
      </c>
      <c r="BX167" t="n">
        <v>2025</v>
      </c>
      <c r="BY167" t="inlineStr">
        <is>
          <t>01/01/2024</t>
        </is>
      </c>
      <c r="BZ167" t="inlineStr">
        <is>
          <t>30/06/2031</t>
        </is>
      </c>
    </row>
    <row r="168">
      <c r="A168" t="inlineStr">
        <is>
          <t>RESIDENCIAL VENECIA</t>
        </is>
      </c>
      <c r="B168" t="inlineStr">
        <is>
          <t>Etapa 1</t>
        </is>
      </c>
      <c r="C168" t="inlineStr">
        <is>
          <t>Edificio</t>
        </is>
      </c>
      <c r="D168" t="inlineStr">
        <is>
          <t>A</t>
        </is>
      </c>
      <c r="E168" t="inlineStr">
        <is>
          <t>Departamento</t>
        </is>
      </c>
      <c r="F168" t="inlineStr">
        <is>
          <t>301</t>
        </is>
      </c>
      <c r="G168" s="39" t="n">
        <v>534000</v>
      </c>
      <c r="H168" s="39" t="n">
        <v>534000</v>
      </c>
      <c r="I168" t="inlineStr">
        <is>
          <t>Edificio</t>
        </is>
      </c>
      <c r="J168" t="inlineStr">
        <is>
          <t>A</t>
        </is>
      </c>
      <c r="K168" t="inlineStr">
        <is>
          <t>Estacionamiento</t>
        </is>
      </c>
      <c r="L168" t="inlineStr">
        <is>
          <t>E 17</t>
        </is>
      </c>
      <c r="M168" s="39" t="n">
        <v>43000</v>
      </c>
      <c r="N168" s="39" t="n">
        <v>43000</v>
      </c>
      <c r="S168" s="39" t="n"/>
      <c r="T168" s="39" t="n"/>
      <c r="Y168" s="39" t="n"/>
      <c r="Z168" s="39" t="n"/>
      <c r="AA168" t="inlineStr">
        <is>
          <t>Leidy Pilar Espinoza Mariño</t>
        </is>
      </c>
      <c r="AB168" t="inlineStr">
        <is>
          <t>46546054</t>
        </is>
      </c>
      <c r="AC168" t="inlineStr">
        <is>
          <t>LAS AZUCENAS LT-34 MZ-F- HUMAYA</t>
        </is>
      </c>
      <c r="AD168" t="n">
        <v>0</v>
      </c>
      <c r="AE168" t="inlineStr">
        <is>
          <t>945411554</t>
        </is>
      </c>
      <c r="AF168" t="inlineStr">
        <is>
          <t>leidyespinoza30@gmail.com</t>
        </is>
      </c>
      <c r="AG168" t="inlineStr">
        <is>
          <t>HUAURA</t>
        </is>
      </c>
      <c r="AH168" t="inlineStr">
        <is>
          <t>HUAURA</t>
        </is>
      </c>
      <c r="AI168" s="75" t="n">
        <v>45897</v>
      </c>
      <c r="AJ168" s="75" t="n">
        <v>45897</v>
      </c>
      <c r="AK168" t="inlineStr">
        <is>
          <t>SEPARACION</t>
        </is>
      </c>
      <c r="AL168" t="n">
        <v>1</v>
      </c>
      <c r="AM168" t="n">
        <v>3000</v>
      </c>
      <c r="AN168" t="n">
        <v>0</v>
      </c>
      <c r="AO168" t="n">
        <v>0</v>
      </c>
      <c r="AP168" s="39" t="n">
        <v>3000</v>
      </c>
      <c r="AQ168" s="39" t="n">
        <v>3000</v>
      </c>
      <c r="AR168" s="39" t="n">
        <v>0</v>
      </c>
      <c r="AS168" t="n">
        <v>0</v>
      </c>
      <c r="AT168" t="inlineStr">
        <is>
          <t>Crédito Hipotecario</t>
        </is>
      </c>
      <c r="AU168" t="inlineStr">
        <is>
          <t>Scotiabank Perú</t>
        </is>
      </c>
      <c r="AV168" t="inlineStr">
        <is>
          <t>0004071419</t>
        </is>
      </c>
      <c r="AW168" t="inlineStr">
        <is>
          <t>TRANSFERENCIA BANCARIA</t>
        </is>
      </c>
      <c r="AY168" t="inlineStr">
        <is>
          <t>5545523</t>
        </is>
      </c>
      <c r="AZ168" t="inlineStr">
        <is>
          <t>No</t>
        </is>
      </c>
      <c r="BB168" t="n">
        <v>4</v>
      </c>
      <c r="BC168" t="inlineStr">
        <is>
          <t>CANCELADO</t>
        </is>
      </c>
      <c r="BN168" t="inlineStr">
        <is>
          <t>No</t>
        </is>
      </c>
      <c r="BO168" s="76" t="n">
        <v>45922.33680555555</v>
      </c>
      <c r="BP168" t="inlineStr">
        <is>
          <t>Magaly Guevara Perez</t>
        </is>
      </c>
      <c r="BR168" t="n">
        <v>5</v>
      </c>
      <c r="BS168" t="inlineStr">
        <is>
          <t>24/05/2026 16:09</t>
        </is>
      </c>
      <c r="BW168" t="inlineStr">
        <is>
          <t>Cobranzas_2025.csv</t>
        </is>
      </c>
      <c r="BX168" t="n">
        <v>2025</v>
      </c>
      <c r="BY168" t="inlineStr">
        <is>
          <t>01/01/2024</t>
        </is>
      </c>
      <c r="BZ168" t="inlineStr">
        <is>
          <t>30/06/2031</t>
        </is>
      </c>
    </row>
    <row r="169">
      <c r="A169" t="inlineStr">
        <is>
          <t>RESIDENCIAL VENECIA</t>
        </is>
      </c>
      <c r="B169" t="inlineStr">
        <is>
          <t>Etapa 1</t>
        </is>
      </c>
      <c r="C169" t="inlineStr">
        <is>
          <t>Edificio</t>
        </is>
      </c>
      <c r="D169" t="inlineStr">
        <is>
          <t>A</t>
        </is>
      </c>
      <c r="E169" t="inlineStr">
        <is>
          <t>Departamento</t>
        </is>
      </c>
      <c r="F169" t="inlineStr">
        <is>
          <t>301</t>
        </is>
      </c>
      <c r="G169" s="39" t="n">
        <v>534000</v>
      </c>
      <c r="H169" s="39" t="n">
        <v>534000</v>
      </c>
      <c r="I169" t="inlineStr">
        <is>
          <t>Edificio</t>
        </is>
      </c>
      <c r="J169" t="inlineStr">
        <is>
          <t>A</t>
        </is>
      </c>
      <c r="K169" t="inlineStr">
        <is>
          <t>Estacionamiento</t>
        </is>
      </c>
      <c r="L169" t="inlineStr">
        <is>
          <t>E 17</t>
        </is>
      </c>
      <c r="M169" s="39" t="n">
        <v>43000</v>
      </c>
      <c r="N169" s="39" t="n">
        <v>43000</v>
      </c>
      <c r="S169" s="39" t="n"/>
      <c r="T169" s="39" t="n"/>
      <c r="Y169" s="39" t="n"/>
      <c r="Z169" s="39" t="n"/>
      <c r="AA169" t="inlineStr">
        <is>
          <t>Leidy Pilar Espinoza Mariño</t>
        </is>
      </c>
      <c r="AB169" t="inlineStr">
        <is>
          <t>46546054</t>
        </is>
      </c>
      <c r="AC169" t="inlineStr">
        <is>
          <t>LAS AZUCENAS LT-34 MZ-F- HUMAYA</t>
        </is>
      </c>
      <c r="AD169" t="n">
        <v>0</v>
      </c>
      <c r="AE169" t="inlineStr">
        <is>
          <t>945411554</t>
        </is>
      </c>
      <c r="AF169" t="inlineStr">
        <is>
          <t>leidyespinoza30@gmail.com</t>
        </is>
      </c>
      <c r="AG169" t="inlineStr">
        <is>
          <t>HUAURA</t>
        </is>
      </c>
      <c r="AH169" t="inlineStr">
        <is>
          <t>HUAURA</t>
        </is>
      </c>
      <c r="AI169" s="75" t="n">
        <v>45922</v>
      </c>
      <c r="AJ169" s="75" t="n">
        <v>45922</v>
      </c>
      <c r="AK169" t="inlineStr">
        <is>
          <t>CUOTA INICIAL</t>
        </is>
      </c>
      <c r="AL169" t="n">
        <v>1</v>
      </c>
      <c r="AM169" t="n">
        <v>25850</v>
      </c>
      <c r="AN169" t="n">
        <v>0</v>
      </c>
      <c r="AO169" t="n">
        <v>0</v>
      </c>
      <c r="AP169" s="39" t="n">
        <v>25850</v>
      </c>
      <c r="AQ169" s="39" t="n">
        <v>25850</v>
      </c>
      <c r="AR169" s="39" t="n">
        <v>0</v>
      </c>
      <c r="AS169" t="n">
        <v>0</v>
      </c>
      <c r="AT169" t="inlineStr">
        <is>
          <t>Crédito Hipotecario</t>
        </is>
      </c>
      <c r="AU169" t="inlineStr">
        <is>
          <t>Scotiabank Perú</t>
        </is>
      </c>
      <c r="AV169" t="inlineStr">
        <is>
          <t>0004071419</t>
        </is>
      </c>
      <c r="AW169" t="inlineStr">
        <is>
          <t>TRANSFERENCIA BANCARIA</t>
        </is>
      </c>
      <c r="AY169" t="inlineStr">
        <is>
          <t>5569260</t>
        </is>
      </c>
      <c r="AZ169" t="inlineStr">
        <is>
          <t>No</t>
        </is>
      </c>
      <c r="BB169" t="n">
        <v>4</v>
      </c>
      <c r="BC169" t="inlineStr">
        <is>
          <t>CANCELADO</t>
        </is>
      </c>
      <c r="BN169" t="inlineStr">
        <is>
          <t>No</t>
        </is>
      </c>
      <c r="BO169" s="76" t="n">
        <v>45922.33680555555</v>
      </c>
      <c r="BP169" t="inlineStr">
        <is>
          <t>Magaly Guevara Perez</t>
        </is>
      </c>
      <c r="BR169" t="n">
        <v>5</v>
      </c>
      <c r="BS169" t="inlineStr">
        <is>
          <t>24/05/2026 16:13</t>
        </is>
      </c>
      <c r="BW169" t="inlineStr">
        <is>
          <t>Cobranzas_2025.csv</t>
        </is>
      </c>
      <c r="BX169" t="n">
        <v>2025</v>
      </c>
      <c r="BY169" t="inlineStr">
        <is>
          <t>01/01/2024</t>
        </is>
      </c>
      <c r="BZ169" t="inlineStr">
        <is>
          <t>30/06/2031</t>
        </is>
      </c>
    </row>
    <row r="170">
      <c r="A170" t="inlineStr">
        <is>
          <t>RESIDENCIAL PRADA</t>
        </is>
      </c>
      <c r="B170" t="inlineStr">
        <is>
          <t>Etapa 1</t>
        </is>
      </c>
      <c r="C170" t="inlineStr">
        <is>
          <t>Edificio</t>
        </is>
      </c>
      <c r="D170" t="inlineStr">
        <is>
          <t>A</t>
        </is>
      </c>
      <c r="E170" t="inlineStr">
        <is>
          <t>Departamento</t>
        </is>
      </c>
      <c r="F170" t="inlineStr">
        <is>
          <t>603</t>
        </is>
      </c>
      <c r="G170" s="39" t="n">
        <v>654000</v>
      </c>
      <c r="H170" s="39" t="n">
        <v>654000</v>
      </c>
      <c r="M170" s="39" t="n"/>
      <c r="N170" s="39" t="n"/>
      <c r="S170" s="39" t="n"/>
      <c r="T170" s="39" t="n"/>
      <c r="Y170" s="39" t="n"/>
      <c r="Z170" s="39" t="n"/>
      <c r="AA170" t="inlineStr">
        <is>
          <t>Luis Alberto Ovalle Huamanguilla</t>
        </is>
      </c>
      <c r="AB170" t="inlineStr">
        <is>
          <t>43953371</t>
        </is>
      </c>
      <c r="AC170" t="inlineStr">
        <is>
          <t>JR. NAPO NRO. 821</t>
        </is>
      </c>
      <c r="AE170" t="inlineStr">
        <is>
          <t>992764943</t>
        </is>
      </c>
      <c r="AF170" t="inlineStr">
        <is>
          <t>aovalle2212@gmail.com</t>
        </is>
      </c>
      <c r="AG170" t="inlineStr">
        <is>
          <t>LIMA</t>
        </is>
      </c>
      <c r="AH170" t="inlineStr">
        <is>
          <t>BREÑA</t>
        </is>
      </c>
      <c r="AI170" s="75" t="n">
        <v>45688</v>
      </c>
      <c r="AJ170" s="75" t="n">
        <v>45747</v>
      </c>
      <c r="AK170" t="inlineStr">
        <is>
          <t>SALDO FINANCIAR</t>
        </is>
      </c>
      <c r="AL170" t="n">
        <v>1</v>
      </c>
      <c r="AM170" t="n">
        <v>588600</v>
      </c>
      <c r="AN170" t="n">
        <v>0</v>
      </c>
      <c r="AO170" t="n">
        <v>0</v>
      </c>
      <c r="AP170" s="39" t="n">
        <v>588600</v>
      </c>
      <c r="AQ170" s="39" t="n">
        <v>588600</v>
      </c>
      <c r="AR170" s="39" t="n">
        <v>0</v>
      </c>
      <c r="AS170" t="n">
        <v>0</v>
      </c>
      <c r="AT170" t="inlineStr">
        <is>
          <t>Ahorro</t>
        </is>
      </c>
      <c r="AU170" t="inlineStr">
        <is>
          <t>Scotiabank Perú</t>
        </is>
      </c>
      <c r="AV170" t="inlineStr">
        <is>
          <t>000-2768484</t>
        </is>
      </c>
      <c r="AW170" t="inlineStr">
        <is>
          <t>TRANSFERENCIA BANCARIA</t>
        </is>
      </c>
      <c r="AY170" t="inlineStr">
        <is>
          <t>31032025</t>
        </is>
      </c>
      <c r="AZ170" t="inlineStr">
        <is>
          <t>No</t>
        </is>
      </c>
      <c r="BB170" t="n">
        <v>4</v>
      </c>
      <c r="BC170" t="inlineStr">
        <is>
          <t>CANCELADO</t>
        </is>
      </c>
      <c r="BN170" t="inlineStr">
        <is>
          <t>Si</t>
        </is>
      </c>
      <c r="BO170" s="76" t="n">
        <v>45567.69444444445</v>
      </c>
      <c r="BP170" t="inlineStr">
        <is>
          <t>Carla Michue M</t>
        </is>
      </c>
      <c r="BR170" t="n">
        <v>11</v>
      </c>
      <c r="BS170" t="inlineStr">
        <is>
          <t>07/07/2026 11:06</t>
        </is>
      </c>
      <c r="BW170" t="inlineStr">
        <is>
          <t>Cobranzas_2025.csv</t>
        </is>
      </c>
      <c r="BX170" t="n">
        <v>2025</v>
      </c>
      <c r="BY170" t="inlineStr">
        <is>
          <t>01/01/2024</t>
        </is>
      </c>
      <c r="BZ170" t="inlineStr">
        <is>
          <t>30/06/2031</t>
        </is>
      </c>
    </row>
    <row r="171">
      <c r="A171" t="inlineStr">
        <is>
          <t>RESIDENCIAL BEYOND</t>
        </is>
      </c>
      <c r="B171" t="inlineStr">
        <is>
          <t>Etapa 1</t>
        </is>
      </c>
      <c r="C171" t="inlineStr">
        <is>
          <t>Edificio</t>
        </is>
      </c>
      <c r="D171" t="inlineStr">
        <is>
          <t>A</t>
        </is>
      </c>
      <c r="E171" t="inlineStr">
        <is>
          <t>Departamento</t>
        </is>
      </c>
      <c r="F171" t="inlineStr">
        <is>
          <t>401</t>
        </is>
      </c>
      <c r="G171" s="39" t="n">
        <v>518500</v>
      </c>
      <c r="H171" s="39" t="n">
        <v>470000</v>
      </c>
      <c r="M171" s="39" t="n"/>
      <c r="N171" s="39" t="n"/>
      <c r="S171" s="39" t="n"/>
      <c r="T171" s="39" t="n"/>
      <c r="Y171" s="39" t="n"/>
      <c r="Z171" s="39" t="n"/>
      <c r="AA171" t="inlineStr">
        <is>
          <t>Luis Alberto Vargas Chacaltana</t>
        </is>
      </c>
      <c r="AB171" t="inlineStr">
        <is>
          <t>09389936</t>
        </is>
      </c>
      <c r="AC171" t="inlineStr">
        <is>
          <t>Los Tilos 388 – 392</t>
        </is>
      </c>
      <c r="AD171" t="n">
        <v>0</v>
      </c>
      <c r="AE171" t="inlineStr">
        <is>
          <t>946890596</t>
        </is>
      </c>
      <c r="AF171" t="inlineStr">
        <is>
          <t>nicolle1095@gmail.com</t>
        </is>
      </c>
      <c r="AG171" t="inlineStr">
        <is>
          <t>LIMA</t>
        </is>
      </c>
      <c r="AH171" t="inlineStr">
        <is>
          <t>SANTIAGO DE SURCO</t>
        </is>
      </c>
      <c r="AI171" s="75" t="n">
        <v>45904</v>
      </c>
      <c r="AJ171" s="75" t="n">
        <v>45904</v>
      </c>
      <c r="AK171" t="inlineStr">
        <is>
          <t>SEPARACION</t>
        </is>
      </c>
      <c r="AL171" t="n">
        <v>1</v>
      </c>
      <c r="AM171" t="n">
        <v>3000</v>
      </c>
      <c r="AN171" t="n">
        <v>0</v>
      </c>
      <c r="AO171" t="n">
        <v>0</v>
      </c>
      <c r="AP171" s="39" t="n">
        <v>3000</v>
      </c>
      <c r="AQ171" s="39" t="n">
        <v>3000</v>
      </c>
      <c r="AR171" s="39" t="n">
        <v>0</v>
      </c>
      <c r="AS171" t="n">
        <v>0</v>
      </c>
      <c r="AT171" t="inlineStr">
        <is>
          <t>Crédito Directo</t>
        </is>
      </c>
      <c r="AU171" t="inlineStr">
        <is>
          <t>Banco de Credito del Perú</t>
        </is>
      </c>
      <c r="AV171" t="inlineStr">
        <is>
          <t>194-7325779-0-65</t>
        </is>
      </c>
      <c r="AW171" t="inlineStr">
        <is>
          <t>TRANSFERENCIA BANCARIA</t>
        </is>
      </c>
      <c r="AY171" t="inlineStr">
        <is>
          <t>0000254400000</t>
        </is>
      </c>
      <c r="AZ171" t="inlineStr">
        <is>
          <t>No</t>
        </is>
      </c>
      <c r="BB171" t="n">
        <v>4</v>
      </c>
      <c r="BC171" t="inlineStr">
        <is>
          <t>CANCELADO</t>
        </is>
      </c>
      <c r="BN171" t="inlineStr">
        <is>
          <t>No</t>
        </is>
      </c>
      <c r="BO171" s="76" t="n">
        <v>45932.42222222222</v>
      </c>
      <c r="BP171" t="inlineStr">
        <is>
          <t>Magaly Guevara Perez</t>
        </is>
      </c>
      <c r="BR171" t="n">
        <v>26</v>
      </c>
      <c r="BS171" t="inlineStr">
        <is>
          <t>01/05/2026 17:20</t>
        </is>
      </c>
      <c r="BW171" t="inlineStr">
        <is>
          <t>Cobranzas_2025.csv</t>
        </is>
      </c>
      <c r="BX171" t="n">
        <v>2025</v>
      </c>
      <c r="BY171" t="inlineStr">
        <is>
          <t>01/01/2024</t>
        </is>
      </c>
      <c r="BZ171" t="inlineStr">
        <is>
          <t>30/06/2031</t>
        </is>
      </c>
    </row>
    <row r="172">
      <c r="A172" t="inlineStr">
        <is>
          <t>RESIDENCIAL VENECIA</t>
        </is>
      </c>
      <c r="B172" t="inlineStr">
        <is>
          <t>Etapa 1</t>
        </is>
      </c>
      <c r="C172" t="inlineStr">
        <is>
          <t>Edificio</t>
        </is>
      </c>
      <c r="D172" t="inlineStr">
        <is>
          <t>A</t>
        </is>
      </c>
      <c r="E172" t="inlineStr">
        <is>
          <t>Departamento</t>
        </is>
      </c>
      <c r="F172" t="inlineStr">
        <is>
          <t>104</t>
        </is>
      </c>
      <c r="G172" s="39" t="n">
        <v>553000</v>
      </c>
      <c r="H172" s="39" t="n">
        <v>497000</v>
      </c>
      <c r="M172" s="39" t="n"/>
      <c r="N172" s="39" t="n"/>
      <c r="S172" s="39" t="n"/>
      <c r="T172" s="39" t="n"/>
      <c r="Y172" s="39" t="n"/>
      <c r="Z172" s="39" t="n"/>
      <c r="AA172" t="inlineStr">
        <is>
          <t>Luis Miguel Montero Monteza</t>
        </is>
      </c>
      <c r="AB172" t="inlineStr">
        <is>
          <t>45611107</t>
        </is>
      </c>
      <c r="AC172" t="inlineStr">
        <is>
          <t>calle los rosales 128</t>
        </is>
      </c>
      <c r="AD172" t="n">
        <v>0</v>
      </c>
      <c r="AE172" t="inlineStr">
        <is>
          <t>970277190</t>
        </is>
      </c>
      <c r="AF172" t="inlineStr">
        <is>
          <t>monter25@hotmail.com</t>
        </is>
      </c>
      <c r="AG172" t="inlineStr">
        <is>
          <t>JAEN</t>
        </is>
      </c>
      <c r="AH172" t="inlineStr">
        <is>
          <t>JAEN</t>
        </is>
      </c>
      <c r="AI172" s="75" t="n">
        <v>45972</v>
      </c>
      <c r="AJ172" s="75" t="n">
        <v>45972</v>
      </c>
      <c r="AK172" t="inlineStr">
        <is>
          <t>SEPARACION</t>
        </is>
      </c>
      <c r="AL172" t="n">
        <v>1</v>
      </c>
      <c r="AM172" t="n">
        <v>3000</v>
      </c>
      <c r="AN172" t="n">
        <v>0</v>
      </c>
      <c r="AO172" t="n">
        <v>0</v>
      </c>
      <c r="AP172" s="39" t="n">
        <v>3000</v>
      </c>
      <c r="AQ172" s="39" t="n">
        <v>3000</v>
      </c>
      <c r="AR172" s="39" t="n">
        <v>0</v>
      </c>
      <c r="AS172" t="n">
        <v>0</v>
      </c>
      <c r="AT172" t="inlineStr">
        <is>
          <t>Ahorro</t>
        </is>
      </c>
      <c r="AU172" t="inlineStr">
        <is>
          <t>Scotiabank Perú</t>
        </is>
      </c>
      <c r="AV172" t="inlineStr">
        <is>
          <t>0004071419</t>
        </is>
      </c>
      <c r="AW172" t="inlineStr">
        <is>
          <t>TRANSFERENCIA BANCARIA</t>
        </is>
      </c>
      <c r="AY172" t="inlineStr">
        <is>
          <t>7844655520829</t>
        </is>
      </c>
      <c r="AZ172" t="inlineStr">
        <is>
          <t>Si</t>
        </is>
      </c>
      <c r="BB172" t="n">
        <v>4</v>
      </c>
      <c r="BC172" t="inlineStr">
        <is>
          <t>CANCELADO</t>
        </is>
      </c>
      <c r="BN172" t="inlineStr">
        <is>
          <t>No</t>
        </is>
      </c>
      <c r="BO172" s="76" t="n">
        <v>45988.33333333334</v>
      </c>
      <c r="BP172" t="inlineStr">
        <is>
          <t>Magaly Guevara Perez</t>
        </is>
      </c>
      <c r="BR172" t="n">
        <v>3</v>
      </c>
      <c r="BS172" t="inlineStr">
        <is>
          <t>12/05/2026 10:16</t>
        </is>
      </c>
      <c r="BW172" t="inlineStr">
        <is>
          <t>Cobranzas_2025.csv</t>
        </is>
      </c>
      <c r="BX172" t="n">
        <v>2025</v>
      </c>
      <c r="BY172" t="inlineStr">
        <is>
          <t>01/01/2024</t>
        </is>
      </c>
      <c r="BZ172" t="inlineStr">
        <is>
          <t>30/06/2031</t>
        </is>
      </c>
    </row>
    <row r="173">
      <c r="A173" t="inlineStr">
        <is>
          <t>RESIDENCIAL VENECIA</t>
        </is>
      </c>
      <c r="B173" t="inlineStr">
        <is>
          <t>Etapa 1</t>
        </is>
      </c>
      <c r="C173" t="inlineStr">
        <is>
          <t>Edificio</t>
        </is>
      </c>
      <c r="D173" t="inlineStr">
        <is>
          <t>A</t>
        </is>
      </c>
      <c r="E173" t="inlineStr">
        <is>
          <t>Departamento</t>
        </is>
      </c>
      <c r="F173" t="inlineStr">
        <is>
          <t>104</t>
        </is>
      </c>
      <c r="G173" s="39" t="n">
        <v>553000</v>
      </c>
      <c r="H173" s="39" t="n">
        <v>497000</v>
      </c>
      <c r="M173" s="39" t="n"/>
      <c r="N173" s="39" t="n"/>
      <c r="S173" s="39" t="n"/>
      <c r="T173" s="39" t="n"/>
      <c r="Y173" s="39" t="n"/>
      <c r="Z173" s="39" t="n"/>
      <c r="AA173" t="inlineStr">
        <is>
          <t>Luis Miguel Montero Monteza</t>
        </is>
      </c>
      <c r="AB173" t="inlineStr">
        <is>
          <t>45611107</t>
        </is>
      </c>
      <c r="AC173" t="inlineStr">
        <is>
          <t>calle los rosales 128</t>
        </is>
      </c>
      <c r="AD173" t="n">
        <v>0</v>
      </c>
      <c r="AE173" t="inlineStr">
        <is>
          <t>970277190</t>
        </is>
      </c>
      <c r="AF173" t="inlineStr">
        <is>
          <t>monter25@hotmail.com</t>
        </is>
      </c>
      <c r="AG173" t="inlineStr">
        <is>
          <t>JAEN</t>
        </is>
      </c>
      <c r="AH173" t="inlineStr">
        <is>
          <t>JAEN</t>
        </is>
      </c>
      <c r="AI173" s="75" t="n">
        <v>45983</v>
      </c>
      <c r="AJ173" s="75" t="n">
        <v>45983</v>
      </c>
      <c r="AK173" t="inlineStr">
        <is>
          <t>CUOTA INICIAL</t>
        </is>
      </c>
      <c r="AL173" t="n">
        <v>1</v>
      </c>
      <c r="AM173" t="n">
        <v>17000</v>
      </c>
      <c r="AN173" t="n">
        <v>0</v>
      </c>
      <c r="AO173" t="n">
        <v>0</v>
      </c>
      <c r="AP173" s="39" t="n">
        <v>17000</v>
      </c>
      <c r="AQ173" s="39" t="n">
        <v>17000</v>
      </c>
      <c r="AR173" s="39" t="n">
        <v>0</v>
      </c>
      <c r="AS173" t="n">
        <v>0</v>
      </c>
      <c r="AT173" t="inlineStr">
        <is>
          <t>Ahorro</t>
        </is>
      </c>
      <c r="AU173" t="inlineStr">
        <is>
          <t>Scotiabank Perú</t>
        </is>
      </c>
      <c r="AV173" t="inlineStr">
        <is>
          <t>0004071419</t>
        </is>
      </c>
      <c r="AW173" t="inlineStr">
        <is>
          <t>TRANSFERENCIA BANCARIA</t>
        </is>
      </c>
      <c r="AY173" t="inlineStr">
        <is>
          <t>U26790</t>
        </is>
      </c>
      <c r="AZ173" t="inlineStr">
        <is>
          <t>No</t>
        </is>
      </c>
      <c r="BB173" t="n">
        <v>4</v>
      </c>
      <c r="BC173" t="inlineStr">
        <is>
          <t>CANCELADO</t>
        </is>
      </c>
      <c r="BN173" t="inlineStr">
        <is>
          <t>No</t>
        </is>
      </c>
      <c r="BO173" s="76" t="n">
        <v>45988.33333333334</v>
      </c>
      <c r="BP173" t="inlineStr">
        <is>
          <t>Magaly Guevara Perez</t>
        </is>
      </c>
      <c r="BR173" t="n">
        <v>3</v>
      </c>
      <c r="BS173" t="inlineStr">
        <is>
          <t>24/05/2026 14:46</t>
        </is>
      </c>
      <c r="BW173" t="inlineStr">
        <is>
          <t>Cobranzas_2025.csv</t>
        </is>
      </c>
      <c r="BX173" t="n">
        <v>2025</v>
      </c>
      <c r="BY173" t="inlineStr">
        <is>
          <t>01/01/2024</t>
        </is>
      </c>
      <c r="BZ173" t="inlineStr">
        <is>
          <t>30/06/2031</t>
        </is>
      </c>
    </row>
    <row r="174">
      <c r="A174" t="inlineStr">
        <is>
          <t>RESIDENCIAL BEYOND</t>
        </is>
      </c>
      <c r="B174" t="inlineStr">
        <is>
          <t>Etapa 1</t>
        </is>
      </c>
      <c r="C174" t="inlineStr">
        <is>
          <t>Edificio</t>
        </is>
      </c>
      <c r="D174" t="inlineStr">
        <is>
          <t>A</t>
        </is>
      </c>
      <c r="E174" t="inlineStr">
        <is>
          <t>Departamento</t>
        </is>
      </c>
      <c r="F174" t="inlineStr">
        <is>
          <t>201</t>
        </is>
      </c>
      <c r="G174" s="39" t="n">
        <v>518500</v>
      </c>
      <c r="H174" s="39" t="n">
        <v>469500</v>
      </c>
      <c r="I174" t="inlineStr">
        <is>
          <t>Edificio</t>
        </is>
      </c>
      <c r="J174" t="inlineStr">
        <is>
          <t>A</t>
        </is>
      </c>
      <c r="K174" t="inlineStr">
        <is>
          <t>Estacionamiento</t>
        </is>
      </c>
      <c r="L174" t="inlineStr">
        <is>
          <t>E 16</t>
        </is>
      </c>
      <c r="M174" s="39" t="n">
        <v>50400</v>
      </c>
      <c r="N174" s="39" t="n">
        <v>50400</v>
      </c>
      <c r="S174" s="39" t="n"/>
      <c r="T174" s="39" t="n"/>
      <c r="Y174" s="39" t="n"/>
      <c r="Z174" s="39" t="n"/>
      <c r="AA174" t="inlineStr">
        <is>
          <t>Marco Antonio Cordova Oropeza</t>
        </is>
      </c>
      <c r="AB174" t="inlineStr">
        <is>
          <t>22079563</t>
        </is>
      </c>
      <c r="AC174" t="inlineStr">
        <is>
          <t>Av.Cayetano Heredia 435 Int.1 Urb Fundo Oyague</t>
        </is>
      </c>
      <c r="AD174" t="n">
        <v>0</v>
      </c>
      <c r="AE174" t="inlineStr">
        <is>
          <t>1513-257-6062</t>
        </is>
      </c>
      <c r="AF174" t="inlineStr">
        <is>
          <t>maancoor@gmail.com</t>
        </is>
      </c>
      <c r="AG174" t="inlineStr">
        <is>
          <t>LIMA</t>
        </is>
      </c>
      <c r="AH174" t="inlineStr">
        <is>
          <t>JESUS MARIA</t>
        </is>
      </c>
      <c r="AI174" s="75" t="n">
        <v>45986</v>
      </c>
      <c r="AJ174" s="75" t="n">
        <v>45986</v>
      </c>
      <c r="AK174" t="inlineStr">
        <is>
          <t>SEPARACION</t>
        </is>
      </c>
      <c r="AL174" t="n">
        <v>1</v>
      </c>
      <c r="AM174" t="n">
        <v>20000</v>
      </c>
      <c r="AN174" t="n">
        <v>0</v>
      </c>
      <c r="AO174" t="n">
        <v>0</v>
      </c>
      <c r="AP174" s="39" t="n">
        <v>20000</v>
      </c>
      <c r="AQ174" s="39" t="n">
        <v>20000</v>
      </c>
      <c r="AR174" s="39" t="n">
        <v>0</v>
      </c>
      <c r="AS174" t="n">
        <v>0</v>
      </c>
      <c r="AT174" t="inlineStr">
        <is>
          <t>Crédito Directo</t>
        </is>
      </c>
      <c r="AU174" t="inlineStr">
        <is>
          <t>Banco de Credito del Perú</t>
        </is>
      </c>
      <c r="AV174" t="inlineStr">
        <is>
          <t>194-7325779-0-65</t>
        </is>
      </c>
      <c r="AW174" t="inlineStr">
        <is>
          <t>TRANSFERENCIA BANCARIA</t>
        </is>
      </c>
      <c r="AX174" t="n">
        <v>22079563</v>
      </c>
      <c r="AY174" t="inlineStr">
        <is>
          <t>03836154</t>
        </is>
      </c>
      <c r="AZ174" t="inlineStr">
        <is>
          <t>No</t>
        </is>
      </c>
      <c r="BA174" t="inlineStr">
        <is>
          <t>NO PRECISA</t>
        </is>
      </c>
      <c r="BB174" t="n">
        <v>4</v>
      </c>
      <c r="BC174" t="inlineStr">
        <is>
          <t>CANCELADO</t>
        </is>
      </c>
      <c r="BN174" t="inlineStr">
        <is>
          <t>Si</t>
        </is>
      </c>
      <c r="BO174" s="76" t="n">
        <v>45986.54513888889</v>
      </c>
      <c r="BP174" t="inlineStr">
        <is>
          <t>Magaly Guevara Perez</t>
        </is>
      </c>
      <c r="BR174" t="n">
        <v>1</v>
      </c>
      <c r="BS174" t="inlineStr">
        <is>
          <t>01/05/2026 09:27</t>
        </is>
      </c>
      <c r="BW174" t="inlineStr">
        <is>
          <t>Cobranzas_2025.csv</t>
        </is>
      </c>
      <c r="BX174" t="n">
        <v>2025</v>
      </c>
      <c r="BY174" t="inlineStr">
        <is>
          <t>01/01/2024</t>
        </is>
      </c>
      <c r="BZ174" t="inlineStr">
        <is>
          <t>30/06/2031</t>
        </is>
      </c>
    </row>
    <row r="175">
      <c r="A175" t="inlineStr">
        <is>
          <t>RESIDENCIAL PRADA</t>
        </is>
      </c>
      <c r="B175" t="inlineStr">
        <is>
          <t>Etapa 1</t>
        </is>
      </c>
      <c r="C175" t="inlineStr">
        <is>
          <t>Edificio</t>
        </is>
      </c>
      <c r="D175" t="inlineStr">
        <is>
          <t>A</t>
        </is>
      </c>
      <c r="E175" t="inlineStr">
        <is>
          <t>Departamento</t>
        </is>
      </c>
      <c r="F175" t="inlineStr">
        <is>
          <t>803</t>
        </is>
      </c>
      <c r="G175" s="39" t="n">
        <v>654000</v>
      </c>
      <c r="H175" s="39" t="n">
        <v>654000</v>
      </c>
      <c r="I175" t="inlineStr">
        <is>
          <t>Edificio</t>
        </is>
      </c>
      <c r="J175" t="inlineStr">
        <is>
          <t>A</t>
        </is>
      </c>
      <c r="K175" t="inlineStr">
        <is>
          <t>Estacionamiento</t>
        </is>
      </c>
      <c r="L175" t="inlineStr">
        <is>
          <t>E 32 - D 24</t>
        </is>
      </c>
      <c r="M175" s="39" t="n">
        <v>55800</v>
      </c>
      <c r="N175" s="39" t="n">
        <v>55800</v>
      </c>
      <c r="O175" t="inlineStr">
        <is>
          <t>Edificio</t>
        </is>
      </c>
      <c r="P175" t="inlineStr">
        <is>
          <t>A</t>
        </is>
      </c>
      <c r="Q175" t="inlineStr">
        <is>
          <t>Estacionamiento</t>
        </is>
      </c>
      <c r="R175" t="inlineStr">
        <is>
          <t>E 33 - D 25</t>
        </is>
      </c>
      <c r="S175" s="39" t="n">
        <v>60000</v>
      </c>
      <c r="T175" s="39" t="n">
        <v>60000</v>
      </c>
      <c r="Y175" s="39" t="n"/>
      <c r="Z175" s="39" t="n"/>
      <c r="AA175" t="inlineStr">
        <is>
          <t>Marco Antonio Cordova Oropeza</t>
        </is>
      </c>
      <c r="AB175" t="inlineStr">
        <is>
          <t>22079563</t>
        </is>
      </c>
      <c r="AC175" t="inlineStr">
        <is>
          <t>Av.Cayetano Heredia 435 Int.1 Urb Fundo Oyague</t>
        </is>
      </c>
      <c r="AD175" t="n">
        <v>0</v>
      </c>
      <c r="AE175" t="inlineStr">
        <is>
          <t>1513-257-6062</t>
        </is>
      </c>
      <c r="AF175" t="inlineStr">
        <is>
          <t>maancoor@gmail.com</t>
        </is>
      </c>
      <c r="AG175" t="inlineStr">
        <is>
          <t>LIMA</t>
        </is>
      </c>
      <c r="AH175" t="inlineStr">
        <is>
          <t>JESUS MARIA</t>
        </is>
      </c>
      <c r="AI175" s="75" t="n">
        <v>45813</v>
      </c>
      <c r="AJ175" s="75" t="n">
        <v>45813</v>
      </c>
      <c r="AK175" t="inlineStr">
        <is>
          <t>SEPARACION</t>
        </is>
      </c>
      <c r="AL175" t="n">
        <v>1</v>
      </c>
      <c r="AM175" t="n">
        <v>3000</v>
      </c>
      <c r="AN175" t="n">
        <v>0</v>
      </c>
      <c r="AO175" t="n">
        <v>0</v>
      </c>
      <c r="AP175" s="39" t="n">
        <v>3000</v>
      </c>
      <c r="AQ175" s="39" t="n">
        <v>3000</v>
      </c>
      <c r="AR175" s="39" t="n">
        <v>0</v>
      </c>
      <c r="AS175" t="n">
        <v>0</v>
      </c>
      <c r="AT175" t="inlineStr">
        <is>
          <t>Crédito Directo</t>
        </is>
      </c>
      <c r="AU175" t="inlineStr">
        <is>
          <t>Scotiabank Perú</t>
        </is>
      </c>
      <c r="AV175" t="inlineStr">
        <is>
          <t>000-2768484</t>
        </is>
      </c>
      <c r="AW175" t="inlineStr">
        <is>
          <t>TRANSFERENCIA BANCARIA</t>
        </is>
      </c>
      <c r="AY175" t="inlineStr">
        <is>
          <t>02822017</t>
        </is>
      </c>
      <c r="AZ175" t="inlineStr">
        <is>
          <t>No</t>
        </is>
      </c>
      <c r="BB175" t="n">
        <v>4</v>
      </c>
      <c r="BC175" t="inlineStr">
        <is>
          <t>CANCELADO</t>
        </is>
      </c>
      <c r="BN175" t="inlineStr">
        <is>
          <t>Si</t>
        </is>
      </c>
      <c r="BO175" s="76" t="n">
        <v>45863.7375</v>
      </c>
      <c r="BP175" t="inlineStr">
        <is>
          <t>Magaly Guevara Perez</t>
        </is>
      </c>
      <c r="BR175" t="n">
        <v>40</v>
      </c>
      <c r="BS175" t="inlineStr">
        <is>
          <t>03/07/2026 17:34</t>
        </is>
      </c>
      <c r="BW175" t="inlineStr">
        <is>
          <t>Cobranzas_2025.csv</t>
        </is>
      </c>
      <c r="BX175" t="n">
        <v>2025</v>
      </c>
      <c r="BY175" t="inlineStr">
        <is>
          <t>01/01/2024</t>
        </is>
      </c>
      <c r="BZ175" t="inlineStr">
        <is>
          <t>30/06/2031</t>
        </is>
      </c>
    </row>
    <row r="176">
      <c r="A176" t="inlineStr">
        <is>
          <t>RESIDENCIAL PRADA</t>
        </is>
      </c>
      <c r="B176" t="inlineStr">
        <is>
          <t>Etapa 1</t>
        </is>
      </c>
      <c r="C176" t="inlineStr">
        <is>
          <t>Edificio</t>
        </is>
      </c>
      <c r="D176" t="inlineStr">
        <is>
          <t>A</t>
        </is>
      </c>
      <c r="E176" t="inlineStr">
        <is>
          <t>Departamento</t>
        </is>
      </c>
      <c r="F176" t="inlineStr">
        <is>
          <t>803</t>
        </is>
      </c>
      <c r="G176" s="39" t="n">
        <v>654000</v>
      </c>
      <c r="H176" s="39" t="n">
        <v>654000</v>
      </c>
      <c r="I176" t="inlineStr">
        <is>
          <t>Edificio</t>
        </is>
      </c>
      <c r="J176" t="inlineStr">
        <is>
          <t>A</t>
        </is>
      </c>
      <c r="K176" t="inlineStr">
        <is>
          <t>Estacionamiento</t>
        </is>
      </c>
      <c r="L176" t="inlineStr">
        <is>
          <t>E 32 - D 24</t>
        </is>
      </c>
      <c r="M176" s="39" t="n">
        <v>55800</v>
      </c>
      <c r="N176" s="39" t="n">
        <v>55800</v>
      </c>
      <c r="O176" t="inlineStr">
        <is>
          <t>Edificio</t>
        </is>
      </c>
      <c r="P176" t="inlineStr">
        <is>
          <t>A</t>
        </is>
      </c>
      <c r="Q176" t="inlineStr">
        <is>
          <t>Estacionamiento</t>
        </is>
      </c>
      <c r="R176" t="inlineStr">
        <is>
          <t>E 33 - D 25</t>
        </is>
      </c>
      <c r="S176" s="39" t="n">
        <v>60000</v>
      </c>
      <c r="T176" s="39" t="n">
        <v>60000</v>
      </c>
      <c r="Y176" s="39" t="n"/>
      <c r="Z176" s="39" t="n"/>
      <c r="AA176" t="inlineStr">
        <is>
          <t>Marco Antonio Cordova Oropeza</t>
        </is>
      </c>
      <c r="AB176" t="inlineStr">
        <is>
          <t>22079563</t>
        </is>
      </c>
      <c r="AC176" t="inlineStr">
        <is>
          <t>Av.Cayetano Heredia 435 Int.1 Urb Fundo Oyague</t>
        </is>
      </c>
      <c r="AD176" t="n">
        <v>0</v>
      </c>
      <c r="AE176" t="inlineStr">
        <is>
          <t>1513-257-6062</t>
        </is>
      </c>
      <c r="AF176" t="inlineStr">
        <is>
          <t>maancoor@gmail.com</t>
        </is>
      </c>
      <c r="AG176" t="inlineStr">
        <is>
          <t>LIMA</t>
        </is>
      </c>
      <c r="AH176" t="inlineStr">
        <is>
          <t>JESUS MARIA</t>
        </is>
      </c>
      <c r="AI176" s="75" t="n">
        <v>45869</v>
      </c>
      <c r="AJ176" s="75" t="n">
        <v>45863</v>
      </c>
      <c r="AK176" t="inlineStr">
        <is>
          <t>CUOTA INICIAL</t>
        </is>
      </c>
      <c r="AL176" t="n">
        <v>1</v>
      </c>
      <c r="AM176" t="n">
        <v>304920</v>
      </c>
      <c r="AN176" t="n">
        <v>0</v>
      </c>
      <c r="AO176" t="n">
        <v>0</v>
      </c>
      <c r="AP176" s="39" t="n">
        <v>304920</v>
      </c>
      <c r="AQ176" s="39" t="n">
        <v>304920</v>
      </c>
      <c r="AR176" s="39" t="n">
        <v>0</v>
      </c>
      <c r="AS176" t="n">
        <v>0</v>
      </c>
      <c r="AT176" t="inlineStr">
        <is>
          <t>Crédito Directo</t>
        </is>
      </c>
      <c r="AU176" t="inlineStr">
        <is>
          <t>Scotiabank Perú</t>
        </is>
      </c>
      <c r="AV176" t="inlineStr">
        <is>
          <t>000-2768484</t>
        </is>
      </c>
      <c r="AW176" t="inlineStr">
        <is>
          <t>TRANSFERENCIA BANCARIA</t>
        </is>
      </c>
      <c r="AY176" t="inlineStr">
        <is>
          <t>0713083</t>
        </is>
      </c>
      <c r="AZ176" t="inlineStr">
        <is>
          <t>No</t>
        </is>
      </c>
      <c r="BB176" t="n">
        <v>4</v>
      </c>
      <c r="BC176" t="inlineStr">
        <is>
          <t>CANCELADO</t>
        </is>
      </c>
      <c r="BN176" t="inlineStr">
        <is>
          <t>Si</t>
        </is>
      </c>
      <c r="BO176" s="76" t="n">
        <v>45863.7375</v>
      </c>
      <c r="BP176" t="inlineStr">
        <is>
          <t>Magaly Guevara Perez</t>
        </is>
      </c>
      <c r="BR176" t="n">
        <v>40</v>
      </c>
      <c r="BS176" t="inlineStr">
        <is>
          <t>03/07/2026 17:03</t>
        </is>
      </c>
      <c r="BW176" t="inlineStr">
        <is>
          <t>Cobranzas_2025.csv</t>
        </is>
      </c>
      <c r="BX176" t="n">
        <v>2025</v>
      </c>
      <c r="BY176" t="inlineStr">
        <is>
          <t>01/01/2024</t>
        </is>
      </c>
      <c r="BZ176" t="inlineStr">
        <is>
          <t>30/06/2031</t>
        </is>
      </c>
    </row>
    <row r="177">
      <c r="A177" t="inlineStr">
        <is>
          <t>RESIDENCIAL PRADA</t>
        </is>
      </c>
      <c r="B177" t="inlineStr">
        <is>
          <t>Etapa 1</t>
        </is>
      </c>
      <c r="C177" t="inlineStr">
        <is>
          <t>Edificio</t>
        </is>
      </c>
      <c r="D177" t="inlineStr">
        <is>
          <t>A</t>
        </is>
      </c>
      <c r="E177" t="inlineStr">
        <is>
          <t>Departamento</t>
        </is>
      </c>
      <c r="F177" t="inlineStr">
        <is>
          <t>803</t>
        </is>
      </c>
      <c r="G177" s="39" t="n">
        <v>654000</v>
      </c>
      <c r="H177" s="39" t="n">
        <v>654000</v>
      </c>
      <c r="I177" t="inlineStr">
        <is>
          <t>Edificio</t>
        </is>
      </c>
      <c r="J177" t="inlineStr">
        <is>
          <t>A</t>
        </is>
      </c>
      <c r="K177" t="inlineStr">
        <is>
          <t>Estacionamiento</t>
        </is>
      </c>
      <c r="L177" t="inlineStr">
        <is>
          <t>E 32 - D 24</t>
        </is>
      </c>
      <c r="M177" s="39" t="n">
        <v>55800</v>
      </c>
      <c r="N177" s="39" t="n">
        <v>55800</v>
      </c>
      <c r="O177" t="inlineStr">
        <is>
          <t>Edificio</t>
        </is>
      </c>
      <c r="P177" t="inlineStr">
        <is>
          <t>A</t>
        </is>
      </c>
      <c r="Q177" t="inlineStr">
        <is>
          <t>Estacionamiento</t>
        </is>
      </c>
      <c r="R177" t="inlineStr">
        <is>
          <t>E 33 - D 25</t>
        </is>
      </c>
      <c r="S177" s="39" t="n">
        <v>60000</v>
      </c>
      <c r="T177" s="39" t="n">
        <v>60000</v>
      </c>
      <c r="Y177" s="39" t="n"/>
      <c r="Z177" s="39" t="n"/>
      <c r="AA177" t="inlineStr">
        <is>
          <t>Marco Antonio Cordova Oropeza</t>
        </is>
      </c>
      <c r="AB177" t="inlineStr">
        <is>
          <t>22079563</t>
        </is>
      </c>
      <c r="AC177" t="inlineStr">
        <is>
          <t>Av.Cayetano Heredia 435 Int.1 Urb Fundo Oyague</t>
        </is>
      </c>
      <c r="AD177" t="n">
        <v>0</v>
      </c>
      <c r="AE177" t="inlineStr">
        <is>
          <t>1513-257-6062</t>
        </is>
      </c>
      <c r="AF177" t="inlineStr">
        <is>
          <t>maancoor@gmail.com</t>
        </is>
      </c>
      <c r="AG177" t="inlineStr">
        <is>
          <t>LIMA</t>
        </is>
      </c>
      <c r="AH177" t="inlineStr">
        <is>
          <t>JESUS MARIA</t>
        </is>
      </c>
      <c r="AI177" s="75" t="n">
        <v>45930</v>
      </c>
      <c r="AJ177" s="75" t="n">
        <v>45908</v>
      </c>
      <c r="AK177" t="inlineStr">
        <is>
          <t>SALDO FINANCIAR</t>
        </is>
      </c>
      <c r="AL177" t="n">
        <v>1</v>
      </c>
      <c r="AM177" t="n">
        <v>65982.86</v>
      </c>
      <c r="AN177" t="n">
        <v>0</v>
      </c>
      <c r="AO177" t="n">
        <v>0</v>
      </c>
      <c r="AP177" s="39" t="n">
        <v>65982.86</v>
      </c>
      <c r="AQ177" s="39" t="n">
        <v>65982.86</v>
      </c>
      <c r="AR177" s="39" t="n">
        <v>0</v>
      </c>
      <c r="AS177" t="n">
        <v>0</v>
      </c>
      <c r="AT177" t="inlineStr">
        <is>
          <t>Crédito Directo</t>
        </is>
      </c>
      <c r="AU177" t="inlineStr">
        <is>
          <t>Scotiabank Perú</t>
        </is>
      </c>
      <c r="AV177" t="inlineStr">
        <is>
          <t>000-2768484</t>
        </is>
      </c>
      <c r="AW177" t="inlineStr">
        <is>
          <t>TRANSFERENCIA BANCARIA</t>
        </is>
      </c>
      <c r="AY177" t="inlineStr">
        <is>
          <t>04169503</t>
        </is>
      </c>
      <c r="AZ177" t="inlineStr">
        <is>
          <t>No</t>
        </is>
      </c>
      <c r="BB177" t="n">
        <v>4</v>
      </c>
      <c r="BC177" t="inlineStr">
        <is>
          <t>CANCELADO</t>
        </is>
      </c>
      <c r="BN177" t="inlineStr">
        <is>
          <t>Si</t>
        </is>
      </c>
      <c r="BO177" s="76" t="n">
        <v>45863.7375</v>
      </c>
      <c r="BP177" t="inlineStr">
        <is>
          <t>Magaly Guevara Perez</t>
        </is>
      </c>
      <c r="BR177" t="n">
        <v>40</v>
      </c>
      <c r="BS177" t="inlineStr">
        <is>
          <t>03/07/2026 17:35</t>
        </is>
      </c>
      <c r="BW177" t="inlineStr">
        <is>
          <t>Cobranzas_2025.csv</t>
        </is>
      </c>
      <c r="BX177" t="n">
        <v>2025</v>
      </c>
      <c r="BY177" t="inlineStr">
        <is>
          <t>01/01/2024</t>
        </is>
      </c>
      <c r="BZ177" t="inlineStr">
        <is>
          <t>30/06/2031</t>
        </is>
      </c>
    </row>
    <row r="178">
      <c r="A178" t="inlineStr">
        <is>
          <t>RESIDENCIAL PRADA</t>
        </is>
      </c>
      <c r="B178" t="inlineStr">
        <is>
          <t>Etapa 1</t>
        </is>
      </c>
      <c r="C178" t="inlineStr">
        <is>
          <t>Edificio</t>
        </is>
      </c>
      <c r="D178" t="inlineStr">
        <is>
          <t>A</t>
        </is>
      </c>
      <c r="E178" t="inlineStr">
        <is>
          <t>Departamento</t>
        </is>
      </c>
      <c r="F178" t="inlineStr">
        <is>
          <t>803</t>
        </is>
      </c>
      <c r="G178" s="39" t="n">
        <v>654000</v>
      </c>
      <c r="H178" s="39" t="n">
        <v>654000</v>
      </c>
      <c r="I178" t="inlineStr">
        <is>
          <t>Edificio</t>
        </is>
      </c>
      <c r="J178" t="inlineStr">
        <is>
          <t>A</t>
        </is>
      </c>
      <c r="K178" t="inlineStr">
        <is>
          <t>Estacionamiento</t>
        </is>
      </c>
      <c r="L178" t="inlineStr">
        <is>
          <t>E 32 - D 24</t>
        </is>
      </c>
      <c r="M178" s="39" t="n">
        <v>55800</v>
      </c>
      <c r="N178" s="39" t="n">
        <v>55800</v>
      </c>
      <c r="O178" t="inlineStr">
        <is>
          <t>Edificio</t>
        </is>
      </c>
      <c r="P178" t="inlineStr">
        <is>
          <t>A</t>
        </is>
      </c>
      <c r="Q178" t="inlineStr">
        <is>
          <t>Estacionamiento</t>
        </is>
      </c>
      <c r="R178" t="inlineStr">
        <is>
          <t>E 33 - D 25</t>
        </is>
      </c>
      <c r="S178" s="39" t="n">
        <v>60000</v>
      </c>
      <c r="T178" s="39" t="n">
        <v>60000</v>
      </c>
      <c r="Y178" s="39" t="n"/>
      <c r="Z178" s="39" t="n"/>
      <c r="AA178" t="inlineStr">
        <is>
          <t>Marco Antonio Cordova Oropeza</t>
        </is>
      </c>
      <c r="AB178" t="inlineStr">
        <is>
          <t>22079563</t>
        </is>
      </c>
      <c r="AC178" t="inlineStr">
        <is>
          <t>Av.Cayetano Heredia 435 Int.1 Urb Fundo Oyague</t>
        </is>
      </c>
      <c r="AD178" t="n">
        <v>0</v>
      </c>
      <c r="AE178" t="inlineStr">
        <is>
          <t>1513-257-6062</t>
        </is>
      </c>
      <c r="AF178" t="inlineStr">
        <is>
          <t>maancoor@gmail.com</t>
        </is>
      </c>
      <c r="AG178" t="inlineStr">
        <is>
          <t>LIMA</t>
        </is>
      </c>
      <c r="AH178" t="inlineStr">
        <is>
          <t>JESUS MARIA</t>
        </is>
      </c>
      <c r="AI178" s="75" t="n">
        <v>45960</v>
      </c>
      <c r="AJ178" s="75" t="n">
        <v>45939</v>
      </c>
      <c r="AK178" t="inlineStr">
        <is>
          <t>SALDO FINANCIAR</t>
        </is>
      </c>
      <c r="AL178" t="n">
        <v>2</v>
      </c>
      <c r="AM178" t="n">
        <v>65982.86</v>
      </c>
      <c r="AN178" t="n">
        <v>0</v>
      </c>
      <c r="AO178" t="n">
        <v>0</v>
      </c>
      <c r="AP178" s="39" t="n">
        <v>65982.86</v>
      </c>
      <c r="AQ178" s="39" t="n">
        <v>65982.86</v>
      </c>
      <c r="AR178" s="39" t="n">
        <v>0</v>
      </c>
      <c r="AS178" t="n">
        <v>0</v>
      </c>
      <c r="AT178" t="inlineStr">
        <is>
          <t>Crédito Directo</t>
        </is>
      </c>
      <c r="AU178" t="inlineStr">
        <is>
          <t>Scotiabank Perú</t>
        </is>
      </c>
      <c r="AV178" t="inlineStr">
        <is>
          <t>000-2768484</t>
        </is>
      </c>
      <c r="AW178" t="inlineStr">
        <is>
          <t>TRANSFERENCIA BANCARIA</t>
        </is>
      </c>
      <c r="AY178" t="inlineStr">
        <is>
          <t>02244690</t>
        </is>
      </c>
      <c r="AZ178" t="inlineStr">
        <is>
          <t>No</t>
        </is>
      </c>
      <c r="BB178" t="n">
        <v>4</v>
      </c>
      <c r="BC178" t="inlineStr">
        <is>
          <t>CANCELADO</t>
        </is>
      </c>
      <c r="BN178" t="inlineStr">
        <is>
          <t>Si</t>
        </is>
      </c>
      <c r="BO178" s="76" t="n">
        <v>45863.7375</v>
      </c>
      <c r="BP178" t="inlineStr">
        <is>
          <t>Magaly Guevara Perez</t>
        </is>
      </c>
      <c r="BR178" t="n">
        <v>40</v>
      </c>
      <c r="BS178" t="inlineStr">
        <is>
          <t>03/07/2026 17:36</t>
        </is>
      </c>
      <c r="BW178" t="inlineStr">
        <is>
          <t>Cobranzas_2025.csv</t>
        </is>
      </c>
      <c r="BX178" t="n">
        <v>2025</v>
      </c>
      <c r="BY178" t="inlineStr">
        <is>
          <t>01/01/2024</t>
        </is>
      </c>
      <c r="BZ178" t="inlineStr">
        <is>
          <t>30/06/2031</t>
        </is>
      </c>
    </row>
    <row r="179">
      <c r="A179" t="inlineStr">
        <is>
          <t>RESIDENCIAL PRADA</t>
        </is>
      </c>
      <c r="B179" t="inlineStr">
        <is>
          <t>Etapa 1</t>
        </is>
      </c>
      <c r="C179" t="inlineStr">
        <is>
          <t>Edificio</t>
        </is>
      </c>
      <c r="D179" t="inlineStr">
        <is>
          <t>A</t>
        </is>
      </c>
      <c r="E179" t="inlineStr">
        <is>
          <t>Departamento</t>
        </is>
      </c>
      <c r="F179" t="inlineStr">
        <is>
          <t>803</t>
        </is>
      </c>
      <c r="G179" s="39" t="n">
        <v>654000</v>
      </c>
      <c r="H179" s="39" t="n">
        <v>654000</v>
      </c>
      <c r="I179" t="inlineStr">
        <is>
          <t>Edificio</t>
        </is>
      </c>
      <c r="J179" t="inlineStr">
        <is>
          <t>A</t>
        </is>
      </c>
      <c r="K179" t="inlineStr">
        <is>
          <t>Estacionamiento</t>
        </is>
      </c>
      <c r="L179" t="inlineStr">
        <is>
          <t>E 32 - D 24</t>
        </is>
      </c>
      <c r="M179" s="39" t="n">
        <v>55800</v>
      </c>
      <c r="N179" s="39" t="n">
        <v>55800</v>
      </c>
      <c r="O179" t="inlineStr">
        <is>
          <t>Edificio</t>
        </is>
      </c>
      <c r="P179" t="inlineStr">
        <is>
          <t>A</t>
        </is>
      </c>
      <c r="Q179" t="inlineStr">
        <is>
          <t>Estacionamiento</t>
        </is>
      </c>
      <c r="R179" t="inlineStr">
        <is>
          <t>E 33 - D 25</t>
        </is>
      </c>
      <c r="S179" s="39" t="n">
        <v>60000</v>
      </c>
      <c r="T179" s="39" t="n">
        <v>60000</v>
      </c>
      <c r="Y179" s="39" t="n"/>
      <c r="Z179" s="39" t="n"/>
      <c r="AA179" t="inlineStr">
        <is>
          <t>Marco Antonio Cordova Oropeza</t>
        </is>
      </c>
      <c r="AB179" t="inlineStr">
        <is>
          <t>22079563</t>
        </is>
      </c>
      <c r="AC179" t="inlineStr">
        <is>
          <t>Av.Cayetano Heredia 435 Int.1 Urb Fundo Oyague</t>
        </is>
      </c>
      <c r="AD179" t="n">
        <v>0</v>
      </c>
      <c r="AE179" t="inlineStr">
        <is>
          <t>1513-257-6062</t>
        </is>
      </c>
      <c r="AF179" t="inlineStr">
        <is>
          <t>maancoor@gmail.com</t>
        </is>
      </c>
      <c r="AG179" t="inlineStr">
        <is>
          <t>LIMA</t>
        </is>
      </c>
      <c r="AH179" t="inlineStr">
        <is>
          <t>JESUS MARIA</t>
        </is>
      </c>
      <c r="AI179" s="75" t="n">
        <v>45991</v>
      </c>
      <c r="AJ179" s="75" t="n">
        <v>45964</v>
      </c>
      <c r="AK179" t="inlineStr">
        <is>
          <t>SALDO FINANCIAR</t>
        </is>
      </c>
      <c r="AL179" t="n">
        <v>3</v>
      </c>
      <c r="AM179" t="n">
        <v>65982.86</v>
      </c>
      <c r="AN179" t="n">
        <v>0</v>
      </c>
      <c r="AO179" t="n">
        <v>0</v>
      </c>
      <c r="AP179" s="39" t="n">
        <v>65982.86</v>
      </c>
      <c r="AQ179" s="39" t="n">
        <v>65982.86</v>
      </c>
      <c r="AR179" s="39" t="n">
        <v>0</v>
      </c>
      <c r="AS179" t="n">
        <v>0</v>
      </c>
      <c r="AT179" t="inlineStr">
        <is>
          <t>Crédito Directo</t>
        </is>
      </c>
      <c r="AU179" t="inlineStr">
        <is>
          <t>Scotiabank Perú</t>
        </is>
      </c>
      <c r="AV179" t="inlineStr">
        <is>
          <t>000-2768484</t>
        </is>
      </c>
      <c r="AW179" t="inlineStr">
        <is>
          <t>TRANSFERENCIA BANCARIA</t>
        </is>
      </c>
      <c r="AY179" t="inlineStr">
        <is>
          <t>0210772</t>
        </is>
      </c>
      <c r="AZ179" t="inlineStr">
        <is>
          <t>No</t>
        </is>
      </c>
      <c r="BB179" t="n">
        <v>4</v>
      </c>
      <c r="BC179" t="inlineStr">
        <is>
          <t>CANCELADO</t>
        </is>
      </c>
      <c r="BN179" t="inlineStr">
        <is>
          <t>Si</t>
        </is>
      </c>
      <c r="BO179" s="76" t="n">
        <v>45863.7375</v>
      </c>
      <c r="BP179" t="inlineStr">
        <is>
          <t>Magaly Guevara Perez</t>
        </is>
      </c>
      <c r="BR179" t="n">
        <v>40</v>
      </c>
      <c r="BS179" t="inlineStr">
        <is>
          <t>03/07/2026 17:38</t>
        </is>
      </c>
      <c r="BW179" t="inlineStr">
        <is>
          <t>Cobranzas_2025.csv</t>
        </is>
      </c>
      <c r="BX179" t="n">
        <v>2025</v>
      </c>
      <c r="BY179" t="inlineStr">
        <is>
          <t>01/01/2024</t>
        </is>
      </c>
      <c r="BZ179" t="inlineStr">
        <is>
          <t>30/06/2031</t>
        </is>
      </c>
    </row>
    <row r="180">
      <c r="A180" t="inlineStr">
        <is>
          <t>RESIDENCIAL PRADA</t>
        </is>
      </c>
      <c r="B180" t="inlineStr">
        <is>
          <t>Etapa 1</t>
        </is>
      </c>
      <c r="C180" t="inlineStr">
        <is>
          <t>Edificio</t>
        </is>
      </c>
      <c r="D180" t="inlineStr">
        <is>
          <t>A</t>
        </is>
      </c>
      <c r="E180" t="inlineStr">
        <is>
          <t>Departamento</t>
        </is>
      </c>
      <c r="F180" t="inlineStr">
        <is>
          <t>803</t>
        </is>
      </c>
      <c r="G180" s="39" t="n">
        <v>654000</v>
      </c>
      <c r="H180" s="39" t="n">
        <v>654000</v>
      </c>
      <c r="I180" t="inlineStr">
        <is>
          <t>Edificio</t>
        </is>
      </c>
      <c r="J180" t="inlineStr">
        <is>
          <t>A</t>
        </is>
      </c>
      <c r="K180" t="inlineStr">
        <is>
          <t>Estacionamiento</t>
        </is>
      </c>
      <c r="L180" t="inlineStr">
        <is>
          <t>E 32 - D 24</t>
        </is>
      </c>
      <c r="M180" s="39" t="n">
        <v>55800</v>
      </c>
      <c r="N180" s="39" t="n">
        <v>55800</v>
      </c>
      <c r="O180" t="inlineStr">
        <is>
          <t>Edificio</t>
        </is>
      </c>
      <c r="P180" t="inlineStr">
        <is>
          <t>A</t>
        </is>
      </c>
      <c r="Q180" t="inlineStr">
        <is>
          <t>Estacionamiento</t>
        </is>
      </c>
      <c r="R180" t="inlineStr">
        <is>
          <t>E 33 - D 25</t>
        </is>
      </c>
      <c r="S180" s="39" t="n">
        <v>60000</v>
      </c>
      <c r="T180" s="39" t="n">
        <v>60000</v>
      </c>
      <c r="Y180" s="39" t="n"/>
      <c r="Z180" s="39" t="n"/>
      <c r="AA180" t="inlineStr">
        <is>
          <t>Marco Antonio Cordova Oropeza</t>
        </is>
      </c>
      <c r="AB180" t="inlineStr">
        <is>
          <t>22079563</t>
        </is>
      </c>
      <c r="AC180" t="inlineStr">
        <is>
          <t>Av.Cayetano Heredia 435 Int.1 Urb Fundo Oyague</t>
        </is>
      </c>
      <c r="AD180" t="n">
        <v>0</v>
      </c>
      <c r="AE180" t="inlineStr">
        <is>
          <t>1513-257-6062</t>
        </is>
      </c>
      <c r="AF180" t="inlineStr">
        <is>
          <t>maancoor@gmail.com</t>
        </is>
      </c>
      <c r="AG180" t="inlineStr">
        <is>
          <t>LIMA</t>
        </is>
      </c>
      <c r="AH180" t="inlineStr">
        <is>
          <t>JESUS MARIA</t>
        </is>
      </c>
      <c r="AI180" s="75" t="n">
        <v>46021</v>
      </c>
      <c r="AJ180" s="75" t="n">
        <v>45964</v>
      </c>
      <c r="AK180" t="inlineStr">
        <is>
          <t>SALDO FINANCIAR</t>
        </is>
      </c>
      <c r="AL180" t="n">
        <v>4</v>
      </c>
      <c r="AM180" t="n">
        <v>65982.86</v>
      </c>
      <c r="AN180" t="n">
        <v>0</v>
      </c>
      <c r="AO180" t="n">
        <v>0</v>
      </c>
      <c r="AP180" s="39" t="n">
        <v>65982.86</v>
      </c>
      <c r="AQ180" s="39" t="n">
        <v>65982.86</v>
      </c>
      <c r="AR180" s="39" t="n">
        <v>0</v>
      </c>
      <c r="AS180" t="n">
        <v>0</v>
      </c>
      <c r="AT180" t="inlineStr">
        <is>
          <t>Crédito Directo</t>
        </is>
      </c>
      <c r="AU180" t="inlineStr">
        <is>
          <t>Scotiabank Perú</t>
        </is>
      </c>
      <c r="AV180" t="inlineStr">
        <is>
          <t>000-2768484</t>
        </is>
      </c>
      <c r="AW180" t="inlineStr">
        <is>
          <t>TRANSFERENCIA BANCARIA</t>
        </is>
      </c>
      <c r="AY180" t="inlineStr">
        <is>
          <t>0210772</t>
        </is>
      </c>
      <c r="AZ180" t="inlineStr">
        <is>
          <t>No</t>
        </is>
      </c>
      <c r="BB180" t="n">
        <v>4</v>
      </c>
      <c r="BC180" t="inlineStr">
        <is>
          <t>CANCELADO</t>
        </is>
      </c>
      <c r="BN180" t="inlineStr">
        <is>
          <t>Si</t>
        </is>
      </c>
      <c r="BO180" s="76" t="n">
        <v>45863.7375</v>
      </c>
      <c r="BP180" t="inlineStr">
        <is>
          <t>Magaly Guevara Perez</t>
        </is>
      </c>
      <c r="BR180" t="n">
        <v>40</v>
      </c>
      <c r="BS180" t="inlineStr">
        <is>
          <t>03/07/2026 17:38</t>
        </is>
      </c>
      <c r="BW180" t="inlineStr">
        <is>
          <t>Cobranzas_2025.csv</t>
        </is>
      </c>
      <c r="BX180" t="n">
        <v>2025</v>
      </c>
      <c r="BY180" t="inlineStr">
        <is>
          <t>01/01/2024</t>
        </is>
      </c>
      <c r="BZ180" t="inlineStr">
        <is>
          <t>30/06/2031</t>
        </is>
      </c>
    </row>
    <row r="181">
      <c r="A181" t="inlineStr">
        <is>
          <t>RESIDENCIAL BEYOND</t>
        </is>
      </c>
      <c r="B181" t="inlineStr">
        <is>
          <t>Etapa 1</t>
        </is>
      </c>
      <c r="C181" t="inlineStr">
        <is>
          <t>Edificio</t>
        </is>
      </c>
      <c r="D181" t="inlineStr">
        <is>
          <t>A</t>
        </is>
      </c>
      <c r="E181" t="inlineStr">
        <is>
          <t>Departamento</t>
        </is>
      </c>
      <c r="F181" t="inlineStr">
        <is>
          <t>202</t>
        </is>
      </c>
      <c r="G181" s="39" t="n">
        <v>430000</v>
      </c>
      <c r="H181" s="39" t="n">
        <v>430000</v>
      </c>
      <c r="M181" s="39" t="n"/>
      <c r="N181" s="39" t="n"/>
      <c r="S181" s="39" t="n"/>
      <c r="T181" s="39" t="n"/>
      <c r="Y181" s="39" t="n"/>
      <c r="Z181" s="39" t="n"/>
      <c r="AA181" t="inlineStr">
        <is>
          <t>Margarita Mercedes Lujas Paredes</t>
        </is>
      </c>
      <c r="AB181" t="inlineStr">
        <is>
          <t>06772294</t>
        </is>
      </c>
      <c r="AC181" t="inlineStr">
        <is>
          <t>Jr. Aguarico 1412 Dpto. 202</t>
        </is>
      </c>
      <c r="AD181" t="n">
        <v>0</v>
      </c>
      <c r="AE181" t="inlineStr">
        <is>
          <t>949196249</t>
        </is>
      </c>
      <c r="AF181" t="inlineStr">
        <is>
          <t>maggilujan@hotmail.com</t>
        </is>
      </c>
      <c r="AG181" t="inlineStr">
        <is>
          <t>LIMA</t>
        </is>
      </c>
      <c r="AH181" t="inlineStr">
        <is>
          <t>BREÑA</t>
        </is>
      </c>
      <c r="AI181" s="75" t="n">
        <v>45837</v>
      </c>
      <c r="AJ181" s="75" t="n">
        <v>45837</v>
      </c>
      <c r="AK181" t="inlineStr">
        <is>
          <t>SEPARACION</t>
        </is>
      </c>
      <c r="AL181" t="n">
        <v>1</v>
      </c>
      <c r="AM181" t="n">
        <v>3000</v>
      </c>
      <c r="AN181" t="n">
        <v>0</v>
      </c>
      <c r="AO181" t="n">
        <v>0</v>
      </c>
      <c r="AP181" s="39" t="n">
        <v>3000</v>
      </c>
      <c r="AQ181" s="39" t="n">
        <v>3000</v>
      </c>
      <c r="AR181" s="39" t="n">
        <v>0</v>
      </c>
      <c r="AS181" t="n">
        <v>0</v>
      </c>
      <c r="AT181" t="inlineStr">
        <is>
          <t>Ahorro</t>
        </is>
      </c>
      <c r="AU181" t="inlineStr">
        <is>
          <t>Banco de Credito del Perú</t>
        </is>
      </c>
      <c r="AV181" t="inlineStr">
        <is>
          <t>194-7325779-0-65</t>
        </is>
      </c>
      <c r="AW181" t="inlineStr">
        <is>
          <t>TRANSFERENCIA BANCARIA</t>
        </is>
      </c>
      <c r="AX181" t="n">
        <v>6772294</v>
      </c>
      <c r="AY181" t="inlineStr">
        <is>
          <t>00007175000000000</t>
        </is>
      </c>
      <c r="AZ181" t="inlineStr">
        <is>
          <t>No</t>
        </is>
      </c>
      <c r="BA181" t="inlineStr">
        <is>
          <t>NO PRECISA</t>
        </is>
      </c>
      <c r="BB181" t="n">
        <v>4</v>
      </c>
      <c r="BC181" t="inlineStr">
        <is>
          <t>CANCELADO</t>
        </is>
      </c>
      <c r="BN181" t="inlineStr">
        <is>
          <t>Si</t>
        </is>
      </c>
      <c r="BO181" s="76" t="n">
        <v>45917.17222222222</v>
      </c>
      <c r="BP181" t="inlineStr">
        <is>
          <t>Carla Michue M</t>
        </is>
      </c>
      <c r="BR181" t="n">
        <v>2</v>
      </c>
      <c r="BS181" t="inlineStr">
        <is>
          <t>01/05/2026 09:58</t>
        </is>
      </c>
      <c r="BW181" t="inlineStr">
        <is>
          <t>Cobranzas_2025.csv</t>
        </is>
      </c>
      <c r="BX181" t="n">
        <v>2025</v>
      </c>
      <c r="BY181" t="inlineStr">
        <is>
          <t>01/01/2024</t>
        </is>
      </c>
      <c r="BZ181" t="inlineStr">
        <is>
          <t>30/06/2031</t>
        </is>
      </c>
    </row>
    <row r="182">
      <c r="A182" t="inlineStr">
        <is>
          <t>RESIDENCIAL BEYOND</t>
        </is>
      </c>
      <c r="B182" t="inlineStr">
        <is>
          <t>Etapa 1</t>
        </is>
      </c>
      <c r="C182" t="inlineStr">
        <is>
          <t>Edificio</t>
        </is>
      </c>
      <c r="D182" t="inlineStr">
        <is>
          <t>A</t>
        </is>
      </c>
      <c r="E182" t="inlineStr">
        <is>
          <t>Departamento</t>
        </is>
      </c>
      <c r="F182" t="inlineStr">
        <is>
          <t>202</t>
        </is>
      </c>
      <c r="G182" s="39" t="n">
        <v>430000</v>
      </c>
      <c r="H182" s="39" t="n">
        <v>430000</v>
      </c>
      <c r="M182" s="39" t="n"/>
      <c r="N182" s="39" t="n"/>
      <c r="S182" s="39" t="n"/>
      <c r="T182" s="39" t="n"/>
      <c r="Y182" s="39" t="n"/>
      <c r="Z182" s="39" t="n"/>
      <c r="AA182" t="inlineStr">
        <is>
          <t>Margarita Mercedes Lujas Paredes</t>
        </is>
      </c>
      <c r="AB182" t="inlineStr">
        <is>
          <t>06772294</t>
        </is>
      </c>
      <c r="AC182" t="inlineStr">
        <is>
          <t>Jr. Aguarico 1412 Dpto. 202</t>
        </is>
      </c>
      <c r="AD182" t="n">
        <v>0</v>
      </c>
      <c r="AE182" t="inlineStr">
        <is>
          <t>949196249</t>
        </is>
      </c>
      <c r="AF182" t="inlineStr">
        <is>
          <t>maggilujan@hotmail.com</t>
        </is>
      </c>
      <c r="AG182" t="inlineStr">
        <is>
          <t>LIMA</t>
        </is>
      </c>
      <c r="AH182" t="inlineStr">
        <is>
          <t>BREÑA</t>
        </is>
      </c>
      <c r="AI182" s="75" t="n">
        <v>45917</v>
      </c>
      <c r="AJ182" s="75" t="n">
        <v>45917</v>
      </c>
      <c r="AK182" t="inlineStr">
        <is>
          <t>CUOTA INICIAL</t>
        </is>
      </c>
      <c r="AL182" t="n">
        <v>1</v>
      </c>
      <c r="AM182" t="n">
        <v>20000</v>
      </c>
      <c r="AN182" t="n">
        <v>0</v>
      </c>
      <c r="AO182" t="n">
        <v>0</v>
      </c>
      <c r="AP182" s="39" t="n">
        <v>20000</v>
      </c>
      <c r="AQ182" s="39" t="n">
        <v>20000</v>
      </c>
      <c r="AR182" s="39" t="n">
        <v>0</v>
      </c>
      <c r="AS182" t="n">
        <v>0</v>
      </c>
      <c r="AT182" t="inlineStr">
        <is>
          <t>Ahorro</t>
        </is>
      </c>
      <c r="AU182" t="inlineStr">
        <is>
          <t>Banco de Credito del Perú</t>
        </is>
      </c>
      <c r="AV182" t="inlineStr">
        <is>
          <t>194-7325779-0-65</t>
        </is>
      </c>
      <c r="AW182" t="inlineStr">
        <is>
          <t>TRANSFERENCIA BANCARIA</t>
        </is>
      </c>
      <c r="AX182" t="n">
        <v>6772294</v>
      </c>
      <c r="AY182" t="inlineStr">
        <is>
          <t>00007344000000000</t>
        </is>
      </c>
      <c r="AZ182" t="inlineStr">
        <is>
          <t>No</t>
        </is>
      </c>
      <c r="BA182" t="inlineStr">
        <is>
          <t>NO PRECISA</t>
        </is>
      </c>
      <c r="BB182" t="n">
        <v>4</v>
      </c>
      <c r="BC182" t="inlineStr">
        <is>
          <t>CANCELADO</t>
        </is>
      </c>
      <c r="BN182" t="inlineStr">
        <is>
          <t>Si</t>
        </is>
      </c>
      <c r="BO182" s="76" t="n">
        <v>45917.17222222222</v>
      </c>
      <c r="BP182" t="inlineStr">
        <is>
          <t>Carla Michue M</t>
        </is>
      </c>
      <c r="BR182" t="n">
        <v>2</v>
      </c>
      <c r="BS182" t="inlineStr">
        <is>
          <t>18/05/2026 04:17</t>
        </is>
      </c>
      <c r="BW182" t="inlineStr">
        <is>
          <t>Cobranzas_2025.csv</t>
        </is>
      </c>
      <c r="BX182" t="n">
        <v>2025</v>
      </c>
      <c r="BY182" t="inlineStr">
        <is>
          <t>01/01/2024</t>
        </is>
      </c>
      <c r="BZ182" t="inlineStr">
        <is>
          <t>30/06/2031</t>
        </is>
      </c>
    </row>
    <row r="183">
      <c r="A183" t="inlineStr">
        <is>
          <t>RESIDENCIAL PRADA</t>
        </is>
      </c>
      <c r="B183" t="inlineStr">
        <is>
          <t>Etapa 1</t>
        </is>
      </c>
      <c r="C183" t="inlineStr">
        <is>
          <t>Edificio</t>
        </is>
      </c>
      <c r="D183" t="inlineStr">
        <is>
          <t>A</t>
        </is>
      </c>
      <c r="E183" t="inlineStr">
        <is>
          <t>Departamento</t>
        </is>
      </c>
      <c r="F183" t="inlineStr">
        <is>
          <t>202</t>
        </is>
      </c>
      <c r="G183" s="39" t="n">
        <v>446900</v>
      </c>
      <c r="H183" s="39" t="n">
        <v>446900</v>
      </c>
      <c r="M183" s="39" t="n"/>
      <c r="N183" s="39" t="n"/>
      <c r="S183" s="39" t="n"/>
      <c r="T183" s="39" t="n"/>
      <c r="Y183" s="39" t="n"/>
      <c r="Z183" s="39" t="n"/>
      <c r="AA183" t="inlineStr">
        <is>
          <t>María Cristina Collazos Romero</t>
        </is>
      </c>
      <c r="AB183" t="inlineStr">
        <is>
          <t>31676885</t>
        </is>
      </c>
      <c r="AC183" t="inlineStr">
        <is>
          <t>Jr. Huandoy 242</t>
        </is>
      </c>
      <c r="AD183" t="n">
        <v>969870030</v>
      </c>
      <c r="AE183" t="inlineStr">
        <is>
          <t>969870030</t>
        </is>
      </c>
      <c r="AF183" t="inlineStr">
        <is>
          <t>gerenciasnacks1@gmail.com</t>
        </is>
      </c>
      <c r="AG183" t="inlineStr">
        <is>
          <t>HUARAZ</t>
        </is>
      </c>
      <c r="AH183" t="inlineStr">
        <is>
          <t>HUARAZ</t>
        </is>
      </c>
      <c r="AI183" s="75" t="n">
        <v>45911</v>
      </c>
      <c r="AJ183" s="75" t="n">
        <v>45911</v>
      </c>
      <c r="AK183" t="inlineStr">
        <is>
          <t>CUOTA INICIAL</t>
        </is>
      </c>
      <c r="AL183" t="n">
        <v>1</v>
      </c>
      <c r="AM183" t="n">
        <v>86380</v>
      </c>
      <c r="AN183" t="n">
        <v>0</v>
      </c>
      <c r="AO183" t="n">
        <v>0</v>
      </c>
      <c r="AP183" s="39" t="n">
        <v>86380</v>
      </c>
      <c r="AQ183" s="39" t="n">
        <v>86380</v>
      </c>
      <c r="AR183" s="39" t="n">
        <v>0</v>
      </c>
      <c r="AS183" t="n">
        <v>0</v>
      </c>
      <c r="AT183" t="inlineStr">
        <is>
          <t>Crédito Hipotecario</t>
        </is>
      </c>
      <c r="AU183" t="inlineStr">
        <is>
          <t>Scotiabank Perú</t>
        </is>
      </c>
      <c r="AV183" t="inlineStr">
        <is>
          <t>000-2768484</t>
        </is>
      </c>
      <c r="AW183" t="inlineStr">
        <is>
          <t>TRANSFERENCIA BANCARIA</t>
        </is>
      </c>
      <c r="AY183" t="inlineStr">
        <is>
          <t>U100030</t>
        </is>
      </c>
      <c r="AZ183" t="inlineStr">
        <is>
          <t>No</t>
        </is>
      </c>
      <c r="BB183" t="n">
        <v>4</v>
      </c>
      <c r="BC183" t="inlineStr">
        <is>
          <t>CANCELADO</t>
        </is>
      </c>
      <c r="BN183" t="inlineStr">
        <is>
          <t>Si</t>
        </is>
      </c>
      <c r="BO183" s="76" t="n">
        <v>45911.60694444444</v>
      </c>
      <c r="BP183" t="inlineStr">
        <is>
          <t>Kenny Salazar S</t>
        </is>
      </c>
      <c r="BR183" t="n">
        <v>33</v>
      </c>
      <c r="BS183" t="inlineStr">
        <is>
          <t>29/06/2026 21:11</t>
        </is>
      </c>
      <c r="BW183" t="inlineStr">
        <is>
          <t>Cobranzas_2025.csv</t>
        </is>
      </c>
      <c r="BX183" t="n">
        <v>2025</v>
      </c>
      <c r="BY183" t="inlineStr">
        <is>
          <t>01/01/2024</t>
        </is>
      </c>
      <c r="BZ183" t="inlineStr">
        <is>
          <t>30/06/2031</t>
        </is>
      </c>
    </row>
    <row r="184">
      <c r="A184" t="inlineStr">
        <is>
          <t>RESIDENCIAL PRADA</t>
        </is>
      </c>
      <c r="B184" t="inlineStr">
        <is>
          <t>Etapa 1</t>
        </is>
      </c>
      <c r="C184" t="inlineStr">
        <is>
          <t>Edificio</t>
        </is>
      </c>
      <c r="D184" t="inlineStr">
        <is>
          <t>A</t>
        </is>
      </c>
      <c r="E184" t="inlineStr">
        <is>
          <t>Departamento</t>
        </is>
      </c>
      <c r="F184" t="inlineStr">
        <is>
          <t>202</t>
        </is>
      </c>
      <c r="G184" s="39" t="n">
        <v>446900</v>
      </c>
      <c r="H184" s="39" t="n">
        <v>446900</v>
      </c>
      <c r="M184" s="39" t="n"/>
      <c r="N184" s="39" t="n"/>
      <c r="S184" s="39" t="n"/>
      <c r="T184" s="39" t="n"/>
      <c r="Y184" s="39" t="n"/>
      <c r="Z184" s="39" t="n"/>
      <c r="AA184" t="inlineStr">
        <is>
          <t>María Cristina Collazos Romero</t>
        </is>
      </c>
      <c r="AB184" t="inlineStr">
        <is>
          <t>31676885</t>
        </is>
      </c>
      <c r="AC184" t="inlineStr">
        <is>
          <t>Jr. Huandoy 242</t>
        </is>
      </c>
      <c r="AD184" t="n">
        <v>969870030</v>
      </c>
      <c r="AE184" t="inlineStr">
        <is>
          <t>969870030</t>
        </is>
      </c>
      <c r="AF184" t="inlineStr">
        <is>
          <t>gerenciasnacks1@gmail.com</t>
        </is>
      </c>
      <c r="AG184" t="inlineStr">
        <is>
          <t>HUARAZ</t>
        </is>
      </c>
      <c r="AH184" t="inlineStr">
        <is>
          <t>HUARAZ</t>
        </is>
      </c>
      <c r="AI184" s="75" t="n">
        <v>46021</v>
      </c>
      <c r="AJ184" s="75" t="n">
        <v>46326</v>
      </c>
      <c r="AK184" t="inlineStr">
        <is>
          <t>SALDO FINANCIAR</t>
        </is>
      </c>
      <c r="AL184" t="n">
        <v>1</v>
      </c>
      <c r="AM184" t="n">
        <v>357520</v>
      </c>
      <c r="AN184" t="n">
        <v>0</v>
      </c>
      <c r="AO184" t="n">
        <v>0</v>
      </c>
      <c r="AP184" s="39" t="n">
        <v>357520</v>
      </c>
      <c r="AQ184" s="39" t="n">
        <v>357520</v>
      </c>
      <c r="AR184" s="39" t="n">
        <v>0</v>
      </c>
      <c r="AS184" t="n">
        <v>0</v>
      </c>
      <c r="AT184" t="inlineStr">
        <is>
          <t>Crédito Hipotecario</t>
        </is>
      </c>
      <c r="AU184" t="inlineStr">
        <is>
          <t>Scotiabank Perú</t>
        </is>
      </c>
      <c r="AV184" t="inlineStr">
        <is>
          <t>000-2768484</t>
        </is>
      </c>
      <c r="AW184" t="inlineStr">
        <is>
          <t>TRANSFERENCIA BANCARIA</t>
        </is>
      </c>
      <c r="AY184" t="inlineStr">
        <is>
          <t>30102025</t>
        </is>
      </c>
      <c r="AZ184" t="inlineStr">
        <is>
          <t>No</t>
        </is>
      </c>
      <c r="BB184" t="n">
        <v>4</v>
      </c>
      <c r="BC184" t="inlineStr">
        <is>
          <t>CANCELADO</t>
        </is>
      </c>
      <c r="BN184" t="inlineStr">
        <is>
          <t>Si</t>
        </is>
      </c>
      <c r="BO184" s="76" t="n">
        <v>45911.60694444444</v>
      </c>
      <c r="BP184" t="inlineStr">
        <is>
          <t>Kenny Salazar S</t>
        </is>
      </c>
      <c r="BR184" t="n">
        <v>33</v>
      </c>
      <c r="BS184" t="inlineStr">
        <is>
          <t>29/06/2026 21:12</t>
        </is>
      </c>
      <c r="BW184" t="inlineStr">
        <is>
          <t>Cobranzas_2025.csv</t>
        </is>
      </c>
      <c r="BX184" t="n">
        <v>2025</v>
      </c>
      <c r="BY184" t="inlineStr">
        <is>
          <t>01/01/2024</t>
        </is>
      </c>
      <c r="BZ184" t="inlineStr">
        <is>
          <t>30/06/2031</t>
        </is>
      </c>
    </row>
    <row r="185">
      <c r="A185" t="inlineStr">
        <is>
          <t>RESIDENCIAL PRADA</t>
        </is>
      </c>
      <c r="B185" t="inlineStr">
        <is>
          <t>Etapa 1</t>
        </is>
      </c>
      <c r="C185" t="inlineStr">
        <is>
          <t>Edificio</t>
        </is>
      </c>
      <c r="D185" t="inlineStr">
        <is>
          <t>A</t>
        </is>
      </c>
      <c r="E185" t="inlineStr">
        <is>
          <t>Departamento</t>
        </is>
      </c>
      <c r="F185" t="inlineStr">
        <is>
          <t>1002</t>
        </is>
      </c>
      <c r="G185" s="39" t="n">
        <v>415000</v>
      </c>
      <c r="H185" s="39" t="n">
        <v>415000</v>
      </c>
      <c r="M185" s="39" t="n"/>
      <c r="N185" s="39" t="n"/>
      <c r="S185" s="39" t="n"/>
      <c r="T185" s="39" t="n"/>
      <c r="Y185" s="39" t="n"/>
      <c r="Z185" s="39" t="n"/>
      <c r="AA185" t="inlineStr">
        <is>
          <t>Maria de los Angeles Ibañez Mogrovejo</t>
        </is>
      </c>
      <c r="AB185" t="inlineStr">
        <is>
          <t>72190258</t>
        </is>
      </c>
      <c r="AC185" t="inlineStr">
        <is>
          <t xml:space="preserve">Coop.Colegio de Abogados Mz.ELT.1 </t>
        </is>
      </c>
      <c r="AE185" t="inlineStr">
        <is>
          <t>982570759</t>
        </is>
      </c>
      <c r="AF185" t="inlineStr">
        <is>
          <t>maria.benezmogrovejo@gmail.com</t>
        </is>
      </c>
      <c r="AG185" t="inlineStr">
        <is>
          <t>AREQUIPA</t>
        </is>
      </c>
      <c r="AH185" t="inlineStr">
        <is>
          <t>YANAHUARA</t>
        </is>
      </c>
      <c r="AI185" s="75" t="n">
        <v>45921</v>
      </c>
      <c r="AJ185" s="75" t="n">
        <v>45921</v>
      </c>
      <c r="AK185" t="inlineStr">
        <is>
          <t>SEPARACION</t>
        </is>
      </c>
      <c r="AL185" t="n">
        <v>1</v>
      </c>
      <c r="AM185" t="n">
        <v>3000</v>
      </c>
      <c r="AN185" t="n">
        <v>0</v>
      </c>
      <c r="AO185" t="n">
        <v>0</v>
      </c>
      <c r="AP185" s="39" t="n">
        <v>3000</v>
      </c>
      <c r="AQ185" s="39" t="n">
        <v>3000</v>
      </c>
      <c r="AR185" s="39" t="n">
        <v>0</v>
      </c>
      <c r="AS185" t="n">
        <v>0</v>
      </c>
      <c r="AT185" t="inlineStr">
        <is>
          <t>Ahorro</t>
        </is>
      </c>
      <c r="AU185" t="inlineStr">
        <is>
          <t>Scotiabank Perú</t>
        </is>
      </c>
      <c r="AV185" t="inlineStr">
        <is>
          <t>000-2768484</t>
        </is>
      </c>
      <c r="AW185" t="inlineStr">
        <is>
          <t>TRANSFERENCIA BANCARIA</t>
        </is>
      </c>
      <c r="AX185" t="n">
        <v>72190258</v>
      </c>
      <c r="AY185" t="inlineStr">
        <is>
          <t>2335911</t>
        </is>
      </c>
      <c r="AZ185" t="inlineStr">
        <is>
          <t>No</t>
        </is>
      </c>
      <c r="BA185" t="inlineStr">
        <is>
          <t>NO PRECISA</t>
        </is>
      </c>
      <c r="BB185" t="n">
        <v>1</v>
      </c>
      <c r="BC185" t="inlineStr">
        <is>
          <t>CANCELADO</t>
        </is>
      </c>
      <c r="BN185" t="inlineStr">
        <is>
          <t>Si</t>
        </is>
      </c>
      <c r="BO185" s="76" t="n">
        <v>45993.73611111111</v>
      </c>
      <c r="BP185" t="inlineStr">
        <is>
          <t>Carla Michue M</t>
        </is>
      </c>
      <c r="BR185" t="n">
        <v>16</v>
      </c>
      <c r="BS185" t="inlineStr">
        <is>
          <t>29/05/2026 12:21</t>
        </is>
      </c>
      <c r="BW185" t="inlineStr">
        <is>
          <t>Cobranzas_2025.csv</t>
        </is>
      </c>
      <c r="BX185" t="n">
        <v>2025</v>
      </c>
      <c r="BY185" t="inlineStr">
        <is>
          <t>01/01/2024</t>
        </is>
      </c>
      <c r="BZ185" t="inlineStr">
        <is>
          <t>30/06/2031</t>
        </is>
      </c>
    </row>
    <row r="186">
      <c r="A186" t="inlineStr">
        <is>
          <t>RESIDENCIAL PRADA</t>
        </is>
      </c>
      <c r="B186" t="inlineStr">
        <is>
          <t>Etapa 1</t>
        </is>
      </c>
      <c r="C186" t="inlineStr">
        <is>
          <t>Edificio</t>
        </is>
      </c>
      <c r="D186" t="inlineStr">
        <is>
          <t>A</t>
        </is>
      </c>
      <c r="E186" t="inlineStr">
        <is>
          <t>Departamento</t>
        </is>
      </c>
      <c r="F186" t="inlineStr">
        <is>
          <t>1002</t>
        </is>
      </c>
      <c r="G186" s="39" t="n">
        <v>415000</v>
      </c>
      <c r="H186" s="39" t="n">
        <v>415000</v>
      </c>
      <c r="M186" s="39" t="n"/>
      <c r="N186" s="39" t="n"/>
      <c r="S186" s="39" t="n"/>
      <c r="T186" s="39" t="n"/>
      <c r="Y186" s="39" t="n"/>
      <c r="Z186" s="39" t="n"/>
      <c r="AA186" t="inlineStr">
        <is>
          <t>Maria de los Angeles Ibañez Mogrovejo</t>
        </is>
      </c>
      <c r="AB186" t="inlineStr">
        <is>
          <t>72190258</t>
        </is>
      </c>
      <c r="AC186" t="inlineStr">
        <is>
          <t xml:space="preserve">Coop.Colegio de Abogados Mz.ELT.1 </t>
        </is>
      </c>
      <c r="AE186" t="inlineStr">
        <is>
          <t>982570759</t>
        </is>
      </c>
      <c r="AF186" t="inlineStr">
        <is>
          <t>maria.benezmogrovejo@gmail.com</t>
        </is>
      </c>
      <c r="AG186" t="inlineStr">
        <is>
          <t>AREQUIPA</t>
        </is>
      </c>
      <c r="AH186" t="inlineStr">
        <is>
          <t>YANAHUARA</t>
        </is>
      </c>
      <c r="AI186" s="75" t="n">
        <v>45993</v>
      </c>
      <c r="AJ186" s="75" t="n">
        <v>45993</v>
      </c>
      <c r="AK186" t="inlineStr">
        <is>
          <t>CUOTA INICIAL</t>
        </is>
      </c>
      <c r="AL186" t="n">
        <v>1</v>
      </c>
      <c r="AM186" t="n">
        <v>38500</v>
      </c>
      <c r="AN186" t="n">
        <v>0</v>
      </c>
      <c r="AO186" t="n">
        <v>0</v>
      </c>
      <c r="AP186" s="39" t="n">
        <v>38500</v>
      </c>
      <c r="AQ186" s="39" t="n">
        <v>38500</v>
      </c>
      <c r="AR186" s="39" t="n">
        <v>0</v>
      </c>
      <c r="AS186" t="n">
        <v>0</v>
      </c>
      <c r="AT186" t="inlineStr">
        <is>
          <t>Ahorro</t>
        </is>
      </c>
      <c r="AU186" t="inlineStr">
        <is>
          <t>Scotiabank Perú</t>
        </is>
      </c>
      <c r="AV186" t="inlineStr">
        <is>
          <t>000-2768484</t>
        </is>
      </c>
      <c r="AW186" t="inlineStr">
        <is>
          <t>TRANSFERENCIA BANCARIA</t>
        </is>
      </c>
      <c r="AY186" t="inlineStr">
        <is>
          <t>0241196</t>
        </is>
      </c>
      <c r="AZ186" t="inlineStr">
        <is>
          <t>No</t>
        </is>
      </c>
      <c r="BB186" t="n">
        <v>4</v>
      </c>
      <c r="BC186" t="inlineStr">
        <is>
          <t>CANCELADO</t>
        </is>
      </c>
      <c r="BN186" t="inlineStr">
        <is>
          <t>Si</t>
        </is>
      </c>
      <c r="BO186" s="76" t="n">
        <v>45993.73611111111</v>
      </c>
      <c r="BP186" t="inlineStr">
        <is>
          <t>Carla Michue M</t>
        </is>
      </c>
      <c r="BR186" t="n">
        <v>16</v>
      </c>
      <c r="BS186" t="inlineStr">
        <is>
          <t>03/07/2026 19:10</t>
        </is>
      </c>
      <c r="BW186" t="inlineStr">
        <is>
          <t>Cobranzas_2025.csv</t>
        </is>
      </c>
      <c r="BX186" t="n">
        <v>2025</v>
      </c>
      <c r="BY186" t="inlineStr">
        <is>
          <t>01/01/2024</t>
        </is>
      </c>
      <c r="BZ186" t="inlineStr">
        <is>
          <t>30/06/2031</t>
        </is>
      </c>
    </row>
    <row r="187">
      <c r="A187" t="inlineStr">
        <is>
          <t>RESIDENCIAL VENECIA</t>
        </is>
      </c>
      <c r="B187" t="inlineStr">
        <is>
          <t>Etapa 1</t>
        </is>
      </c>
      <c r="C187" t="inlineStr">
        <is>
          <t>Edificio</t>
        </is>
      </c>
      <c r="D187" t="inlineStr">
        <is>
          <t>A</t>
        </is>
      </c>
      <c r="E187" t="inlineStr">
        <is>
          <t>Departamento</t>
        </is>
      </c>
      <c r="F187" t="inlineStr">
        <is>
          <t>205</t>
        </is>
      </c>
      <c r="G187" s="39" t="n">
        <v>386000</v>
      </c>
      <c r="H187" s="39" t="n">
        <v>386000</v>
      </c>
      <c r="I187" t="inlineStr">
        <is>
          <t>Edificio</t>
        </is>
      </c>
      <c r="J187" t="inlineStr">
        <is>
          <t>A</t>
        </is>
      </c>
      <c r="K187" t="inlineStr">
        <is>
          <t>Estacionamiento</t>
        </is>
      </c>
      <c r="L187" t="inlineStr">
        <is>
          <t>E 20</t>
        </is>
      </c>
      <c r="M187" s="39" t="n">
        <v>46800</v>
      </c>
      <c r="N187" s="39" t="n">
        <v>46800</v>
      </c>
      <c r="S187" s="39" t="n"/>
      <c r="T187" s="39" t="n"/>
      <c r="Y187" s="39" t="n"/>
      <c r="Z187" s="39" t="n"/>
      <c r="AA187" t="inlineStr">
        <is>
          <t>Mariela Gabriela Zapata Santivañez</t>
        </is>
      </c>
      <c r="AB187" t="inlineStr">
        <is>
          <t>47172559</t>
        </is>
      </c>
      <c r="AC187" t="inlineStr">
        <is>
          <t>Calle Manuel de Falla 233 - 237 Dpto. 102</t>
        </is>
      </c>
      <c r="AD187" t="n">
        <v>0</v>
      </c>
      <c r="AE187" t="inlineStr">
        <is>
          <t>998346460</t>
        </is>
      </c>
      <c r="AF187" t="inlineStr">
        <is>
          <t>g.zapata.santivanez@gmail.com</t>
        </is>
      </c>
      <c r="AG187" t="inlineStr">
        <is>
          <t>LIMA</t>
        </is>
      </c>
      <c r="AH187" t="inlineStr">
        <is>
          <t>SAN BORJA</t>
        </is>
      </c>
      <c r="AI187" s="75" t="n">
        <v>46009</v>
      </c>
      <c r="AJ187" s="75" t="n">
        <v>46009</v>
      </c>
      <c r="AK187" t="inlineStr">
        <is>
          <t>SEPARACION</t>
        </is>
      </c>
      <c r="AL187" t="n">
        <v>1</v>
      </c>
      <c r="AM187" t="n">
        <v>3000</v>
      </c>
      <c r="AN187" t="n">
        <v>0</v>
      </c>
      <c r="AO187" t="n">
        <v>0</v>
      </c>
      <c r="AP187" s="39" t="n">
        <v>3000</v>
      </c>
      <c r="AQ187" s="39" t="n">
        <v>3000</v>
      </c>
      <c r="AR187" s="39" t="n">
        <v>0</v>
      </c>
      <c r="AS187" t="n">
        <v>0</v>
      </c>
      <c r="AT187" t="inlineStr">
        <is>
          <t>Crédito Hipotecario</t>
        </is>
      </c>
      <c r="AU187" t="inlineStr">
        <is>
          <t>Scotiabank Perú</t>
        </is>
      </c>
      <c r="AV187" t="inlineStr">
        <is>
          <t>0004071419</t>
        </is>
      </c>
      <c r="AW187" t="inlineStr">
        <is>
          <t>TRANSFERENCIA BANCARIA</t>
        </is>
      </c>
      <c r="AY187" t="inlineStr">
        <is>
          <t>007246</t>
        </is>
      </c>
      <c r="AZ187" t="inlineStr">
        <is>
          <t>No</t>
        </is>
      </c>
      <c r="BB187" t="n">
        <v>4</v>
      </c>
      <c r="BC187" t="inlineStr">
        <is>
          <t>CANCELADO</t>
        </is>
      </c>
      <c r="BN187" t="inlineStr">
        <is>
          <t>Si</t>
        </is>
      </c>
      <c r="BO187" s="76" t="n">
        <v>46032.38194444445</v>
      </c>
      <c r="BP187" t="inlineStr">
        <is>
          <t>Magaly Guevara Perez</t>
        </is>
      </c>
      <c r="BR187" t="n">
        <v>4</v>
      </c>
      <c r="BS187" t="inlineStr">
        <is>
          <t>14/07/2026 16:48</t>
        </is>
      </c>
      <c r="BW187" t="inlineStr">
        <is>
          <t>Cobranzas_2025.csv</t>
        </is>
      </c>
      <c r="BX187" t="n">
        <v>2025</v>
      </c>
      <c r="BY187" t="inlineStr">
        <is>
          <t>01/01/2024</t>
        </is>
      </c>
      <c r="BZ187" t="inlineStr">
        <is>
          <t>30/06/2031</t>
        </is>
      </c>
    </row>
    <row r="188">
      <c r="A188" t="inlineStr">
        <is>
          <t>RESIDENCIAL PRADA</t>
        </is>
      </c>
      <c r="B188" t="inlineStr">
        <is>
          <t>Etapa 1</t>
        </is>
      </c>
      <c r="C188" t="inlineStr">
        <is>
          <t>Edificio</t>
        </is>
      </c>
      <c r="D188" t="inlineStr">
        <is>
          <t>A</t>
        </is>
      </c>
      <c r="E188" t="inlineStr">
        <is>
          <t>Departamento</t>
        </is>
      </c>
      <c r="F188" t="inlineStr">
        <is>
          <t>505</t>
        </is>
      </c>
      <c r="G188" s="39" t="n">
        <v>490000</v>
      </c>
      <c r="H188" s="39" t="n">
        <v>490000</v>
      </c>
      <c r="M188" s="39" t="n"/>
      <c r="N188" s="39" t="n"/>
      <c r="S188" s="39" t="n"/>
      <c r="T188" s="39" t="n"/>
      <c r="Y188" s="39" t="n"/>
      <c r="Z188" s="39" t="n"/>
      <c r="AA188" t="inlineStr">
        <is>
          <t xml:space="preserve">Marina Francisca Vasquez Samaniego </t>
        </is>
      </c>
      <c r="AB188" t="inlineStr">
        <is>
          <t>19907001</t>
        </is>
      </c>
      <c r="AC188" t="inlineStr">
        <is>
          <t>Huandoy 887</t>
        </is>
      </c>
      <c r="AD188" t="n">
        <v>964247615</v>
      </c>
      <c r="AE188" t="inlineStr">
        <is>
          <t>964247615</t>
        </is>
      </c>
      <c r="AF188" t="inlineStr">
        <is>
          <t>francisca4547@hotmail.com</t>
        </is>
      </c>
      <c r="AG188" t="inlineStr">
        <is>
          <t>LIMA</t>
        </is>
      </c>
      <c r="AH188" t="inlineStr">
        <is>
          <t>SAN MIGUEL</t>
        </is>
      </c>
      <c r="AI188" s="75" t="n">
        <v>45682</v>
      </c>
      <c r="AJ188" s="75" t="n">
        <v>45682</v>
      </c>
      <c r="AK188" t="inlineStr">
        <is>
          <t>CUOTA INICIAL</t>
        </is>
      </c>
      <c r="AL188" t="n">
        <v>2</v>
      </c>
      <c r="AM188" t="n">
        <v>10000</v>
      </c>
      <c r="AN188" t="n">
        <v>0</v>
      </c>
      <c r="AO188" t="n">
        <v>0</v>
      </c>
      <c r="AP188" s="39" t="n">
        <v>10000</v>
      </c>
      <c r="AQ188" s="39" t="n">
        <v>10000</v>
      </c>
      <c r="AR188" s="39" t="n">
        <v>0</v>
      </c>
      <c r="AS188" t="n">
        <v>0</v>
      </c>
      <c r="AT188" t="inlineStr">
        <is>
          <t>Crédito Hipotecario</t>
        </is>
      </c>
      <c r="AU188" t="inlineStr">
        <is>
          <t>Scotiabank Perú</t>
        </is>
      </c>
      <c r="AV188" t="inlineStr">
        <is>
          <t>000-2768484</t>
        </is>
      </c>
      <c r="AW188" t="inlineStr">
        <is>
          <t>TRANSFERENCIA BANCARIA</t>
        </is>
      </c>
      <c r="AX188" t="n">
        <v>19907001</v>
      </c>
      <c r="AY188" t="inlineStr">
        <is>
          <t>15623468</t>
        </is>
      </c>
      <c r="AZ188" t="inlineStr">
        <is>
          <t>No</t>
        </is>
      </c>
      <c r="BA188" t="inlineStr">
        <is>
          <t>NO PRECISA</t>
        </is>
      </c>
      <c r="BB188" t="n">
        <v>4</v>
      </c>
      <c r="BC188" t="inlineStr">
        <is>
          <t>CANCELADO</t>
        </is>
      </c>
      <c r="BN188" t="inlineStr">
        <is>
          <t>Si</t>
        </is>
      </c>
      <c r="BO188" s="76" t="n">
        <v>45652.61666666667</v>
      </c>
      <c r="BP188" t="inlineStr">
        <is>
          <t>Kenny Salazar S</t>
        </is>
      </c>
      <c r="BR188" t="n">
        <v>37</v>
      </c>
      <c r="BS188" t="inlineStr">
        <is>
          <t>05/06/2026 09:11</t>
        </is>
      </c>
      <c r="BW188" t="inlineStr">
        <is>
          <t>Cobranzas_2025.csv</t>
        </is>
      </c>
      <c r="BX188" t="n">
        <v>2025</v>
      </c>
      <c r="BY188" t="inlineStr">
        <is>
          <t>01/01/2024</t>
        </is>
      </c>
      <c r="BZ188" t="inlineStr">
        <is>
          <t>30/06/2031</t>
        </is>
      </c>
    </row>
    <row r="189">
      <c r="A189" t="inlineStr">
        <is>
          <t>RESIDENCIAL PRADA</t>
        </is>
      </c>
      <c r="B189" t="inlineStr">
        <is>
          <t>Etapa 1</t>
        </is>
      </c>
      <c r="C189" t="inlineStr">
        <is>
          <t>Edificio</t>
        </is>
      </c>
      <c r="D189" t="inlineStr">
        <is>
          <t>A</t>
        </is>
      </c>
      <c r="E189" t="inlineStr">
        <is>
          <t>Departamento</t>
        </is>
      </c>
      <c r="F189" t="inlineStr">
        <is>
          <t>505</t>
        </is>
      </c>
      <c r="G189" s="39" t="n">
        <v>490000</v>
      </c>
      <c r="H189" s="39" t="n">
        <v>490000</v>
      </c>
      <c r="M189" s="39" t="n"/>
      <c r="N189" s="39" t="n"/>
      <c r="S189" s="39" t="n"/>
      <c r="T189" s="39" t="n"/>
      <c r="Y189" s="39" t="n"/>
      <c r="Z189" s="39" t="n"/>
      <c r="AA189" t="inlineStr">
        <is>
          <t xml:space="preserve">Marina Francisca Vasquez Samaniego </t>
        </is>
      </c>
      <c r="AB189" t="inlineStr">
        <is>
          <t>19907001</t>
        </is>
      </c>
      <c r="AC189" t="inlineStr">
        <is>
          <t>Huandoy 887</t>
        </is>
      </c>
      <c r="AD189" t="n">
        <v>964247615</v>
      </c>
      <c r="AE189" t="inlineStr">
        <is>
          <t>964247615</t>
        </is>
      </c>
      <c r="AF189" t="inlineStr">
        <is>
          <t>francisca4547@hotmail.com</t>
        </is>
      </c>
      <c r="AG189" t="inlineStr">
        <is>
          <t>LIMA</t>
        </is>
      </c>
      <c r="AH189" t="inlineStr">
        <is>
          <t>SAN MIGUEL</t>
        </is>
      </c>
      <c r="AI189" s="75" t="n">
        <v>45706</v>
      </c>
      <c r="AJ189" s="75" t="n">
        <v>45709</v>
      </c>
      <c r="AK189" t="inlineStr">
        <is>
          <t>CUOTA INICIAL</t>
        </is>
      </c>
      <c r="AL189" t="n">
        <v>3</v>
      </c>
      <c r="AM189" t="n">
        <v>30000</v>
      </c>
      <c r="AN189" t="n">
        <v>0</v>
      </c>
      <c r="AO189" t="n">
        <v>0</v>
      </c>
      <c r="AP189" s="39" t="n">
        <v>30000</v>
      </c>
      <c r="AQ189" s="39" t="n">
        <v>30000</v>
      </c>
      <c r="AR189" s="39" t="n">
        <v>0</v>
      </c>
      <c r="AS189" t="n">
        <v>0</v>
      </c>
      <c r="AT189" t="inlineStr">
        <is>
          <t>Crédito Hipotecario</t>
        </is>
      </c>
      <c r="AU189" t="inlineStr">
        <is>
          <t>Scotiabank Perú</t>
        </is>
      </c>
      <c r="AV189" t="inlineStr">
        <is>
          <t>000-2768484</t>
        </is>
      </c>
      <c r="AW189" t="inlineStr">
        <is>
          <t>TRANSFERENCIA BANCARIA</t>
        </is>
      </c>
      <c r="AX189" t="n">
        <v>19907001</v>
      </c>
      <c r="AY189" t="inlineStr">
        <is>
          <t>050003001</t>
        </is>
      </c>
      <c r="AZ189" t="inlineStr">
        <is>
          <t>No</t>
        </is>
      </c>
      <c r="BA189" t="inlineStr">
        <is>
          <t>NO PRECISA</t>
        </is>
      </c>
      <c r="BB189" t="n">
        <v>4</v>
      </c>
      <c r="BC189" t="inlineStr">
        <is>
          <t>CANCELADO</t>
        </is>
      </c>
      <c r="BN189" t="inlineStr">
        <is>
          <t>Si</t>
        </is>
      </c>
      <c r="BO189" s="76" t="n">
        <v>45652.61666666667</v>
      </c>
      <c r="BP189" t="inlineStr">
        <is>
          <t>Kenny Salazar S</t>
        </is>
      </c>
      <c r="BR189" t="n">
        <v>37</v>
      </c>
      <c r="BS189" t="inlineStr">
        <is>
          <t>05/06/2026 09:08</t>
        </is>
      </c>
      <c r="BW189" t="inlineStr">
        <is>
          <t>Cobranzas_2025.csv</t>
        </is>
      </c>
      <c r="BX189" t="n">
        <v>2025</v>
      </c>
      <c r="BY189" t="inlineStr">
        <is>
          <t>01/01/2024</t>
        </is>
      </c>
      <c r="BZ189" t="inlineStr">
        <is>
          <t>30/06/2031</t>
        </is>
      </c>
    </row>
    <row r="190">
      <c r="A190" t="inlineStr">
        <is>
          <t>RESIDENCIAL PRADA</t>
        </is>
      </c>
      <c r="B190" t="inlineStr">
        <is>
          <t>Etapa 1</t>
        </is>
      </c>
      <c r="C190" t="inlineStr">
        <is>
          <t>Edificio</t>
        </is>
      </c>
      <c r="D190" t="inlineStr">
        <is>
          <t>A</t>
        </is>
      </c>
      <c r="E190" t="inlineStr">
        <is>
          <t>Departamento</t>
        </is>
      </c>
      <c r="F190" t="inlineStr">
        <is>
          <t>505</t>
        </is>
      </c>
      <c r="G190" s="39" t="n">
        <v>490000</v>
      </c>
      <c r="H190" s="39" t="n">
        <v>490000</v>
      </c>
      <c r="M190" s="39" t="n"/>
      <c r="N190" s="39" t="n"/>
      <c r="S190" s="39" t="n"/>
      <c r="T190" s="39" t="n"/>
      <c r="Y190" s="39" t="n"/>
      <c r="Z190" s="39" t="n"/>
      <c r="AA190" t="inlineStr">
        <is>
          <t xml:space="preserve">Marina Francisca Vasquez Samaniego </t>
        </is>
      </c>
      <c r="AB190" t="inlineStr">
        <is>
          <t>19907001</t>
        </is>
      </c>
      <c r="AC190" t="inlineStr">
        <is>
          <t>Huandoy 887</t>
        </is>
      </c>
      <c r="AD190" t="n">
        <v>964247615</v>
      </c>
      <c r="AE190" t="inlineStr">
        <is>
          <t>964247615</t>
        </is>
      </c>
      <c r="AF190" t="inlineStr">
        <is>
          <t>francisca4547@hotmail.com</t>
        </is>
      </c>
      <c r="AG190" t="inlineStr">
        <is>
          <t>LIMA</t>
        </is>
      </c>
      <c r="AH190" t="inlineStr">
        <is>
          <t>SAN MIGUEL</t>
        </is>
      </c>
      <c r="AI190" s="75" t="n">
        <v>45746</v>
      </c>
      <c r="AJ190" s="75" t="n">
        <v>45736</v>
      </c>
      <c r="AK190" t="inlineStr">
        <is>
          <t>SALDO FINANCIAR</t>
        </is>
      </c>
      <c r="AL190" t="n">
        <v>1</v>
      </c>
      <c r="AM190" t="n">
        <v>427000</v>
      </c>
      <c r="AN190" t="n">
        <v>0</v>
      </c>
      <c r="AO190" t="n">
        <v>0</v>
      </c>
      <c r="AP190" s="39" t="n">
        <v>427000</v>
      </c>
      <c r="AQ190" s="39" t="n">
        <v>427000</v>
      </c>
      <c r="AR190" s="39" t="n">
        <v>0</v>
      </c>
      <c r="AS190" t="n">
        <v>0</v>
      </c>
      <c r="AT190" t="inlineStr">
        <is>
          <t>Crédito Hipotecario</t>
        </is>
      </c>
      <c r="AU190" t="inlineStr">
        <is>
          <t>Scotiabank Perú</t>
        </is>
      </c>
      <c r="AV190" t="inlineStr">
        <is>
          <t>000-2768484</t>
        </is>
      </c>
      <c r="AW190" t="inlineStr">
        <is>
          <t>TRANSFERENCIA BANCARIA</t>
        </is>
      </c>
      <c r="AY190" t="inlineStr">
        <is>
          <t>20032025</t>
        </is>
      </c>
      <c r="AZ190" t="inlineStr">
        <is>
          <t>No</t>
        </is>
      </c>
      <c r="BB190" t="n">
        <v>4</v>
      </c>
      <c r="BC190" t="inlineStr">
        <is>
          <t>CANCELADO</t>
        </is>
      </c>
      <c r="BN190" t="inlineStr">
        <is>
          <t>Si</t>
        </is>
      </c>
      <c r="BO190" s="76" t="n">
        <v>45652.61666666667</v>
      </c>
      <c r="BP190" t="inlineStr">
        <is>
          <t>Kenny Salazar S</t>
        </is>
      </c>
      <c r="BR190" t="n">
        <v>37</v>
      </c>
      <c r="BS190" t="inlineStr">
        <is>
          <t>07/07/2026 10:36</t>
        </is>
      </c>
      <c r="BW190" t="inlineStr">
        <is>
          <t>Cobranzas_2025.csv</t>
        </is>
      </c>
      <c r="BX190" t="n">
        <v>2025</v>
      </c>
      <c r="BY190" t="inlineStr">
        <is>
          <t>01/01/2024</t>
        </is>
      </c>
      <c r="BZ190" t="inlineStr">
        <is>
          <t>30/06/2031</t>
        </is>
      </c>
    </row>
    <row r="191">
      <c r="A191" t="inlineStr">
        <is>
          <t>RESIDENCIAL BEYOND</t>
        </is>
      </c>
      <c r="B191" t="inlineStr">
        <is>
          <t>Etapa 1</t>
        </is>
      </c>
      <c r="C191" t="inlineStr">
        <is>
          <t>Edificio</t>
        </is>
      </c>
      <c r="D191" t="inlineStr">
        <is>
          <t>A</t>
        </is>
      </c>
      <c r="E191" t="inlineStr">
        <is>
          <t>Departamento</t>
        </is>
      </c>
      <c r="F191" t="inlineStr">
        <is>
          <t>605</t>
        </is>
      </c>
      <c r="G191" s="39" t="n">
        <v>532100</v>
      </c>
      <c r="H191" s="39" t="n">
        <v>495000</v>
      </c>
      <c r="M191" s="39" t="n"/>
      <c r="N191" s="39" t="n"/>
      <c r="S191" s="39" t="n"/>
      <c r="T191" s="39" t="n"/>
      <c r="Y191" s="39" t="n"/>
      <c r="Z191" s="39" t="n"/>
      <c r="AA191" t="inlineStr">
        <is>
          <t>Mayra Andrea Montenegro Gomez</t>
        </is>
      </c>
      <c r="AB191" t="inlineStr">
        <is>
          <t>73214647</t>
        </is>
      </c>
      <c r="AC191" t="inlineStr">
        <is>
          <t>Jr. Huiracocha 1740 Dpto. 202 Edif Maldonado</t>
        </is>
      </c>
      <c r="AD191" t="n">
        <v>0</v>
      </c>
      <c r="AE191" t="inlineStr">
        <is>
          <t>987505094</t>
        </is>
      </c>
      <c r="AF191" t="inlineStr">
        <is>
          <t>maya.monte18@hotmail.com</t>
        </is>
      </c>
      <c r="AG191" t="inlineStr">
        <is>
          <t>LIMA</t>
        </is>
      </c>
      <c r="AH191" t="inlineStr">
        <is>
          <t>JESUS MARIA</t>
        </is>
      </c>
      <c r="AI191" s="75" t="n">
        <v>45844</v>
      </c>
      <c r="AJ191" s="75" t="n">
        <v>45844</v>
      </c>
      <c r="AK191" t="inlineStr">
        <is>
          <t>SEPARACION</t>
        </is>
      </c>
      <c r="AL191" t="n">
        <v>1</v>
      </c>
      <c r="AM191" t="n">
        <v>3000</v>
      </c>
      <c r="AN191" t="n">
        <v>0</v>
      </c>
      <c r="AO191" t="n">
        <v>0</v>
      </c>
      <c r="AP191" s="39" t="n">
        <v>3000</v>
      </c>
      <c r="AQ191" s="39" t="n">
        <v>3000</v>
      </c>
      <c r="AR191" s="39" t="n">
        <v>0</v>
      </c>
      <c r="AS191" t="n">
        <v>0</v>
      </c>
      <c r="AT191" t="inlineStr">
        <is>
          <t>Crédito Hipotecario</t>
        </is>
      </c>
      <c r="AU191" t="inlineStr">
        <is>
          <t>Banco de Credito del Perú</t>
        </is>
      </c>
      <c r="AV191" t="inlineStr">
        <is>
          <t>194-7325779-0-65</t>
        </is>
      </c>
      <c r="AW191" t="inlineStr">
        <is>
          <t>TRANSFERENCIA BANCARIA</t>
        </is>
      </c>
      <c r="AY191" t="inlineStr">
        <is>
          <t>021118111</t>
        </is>
      </c>
      <c r="AZ191" t="inlineStr">
        <is>
          <t>No</t>
        </is>
      </c>
      <c r="BB191" t="n">
        <v>4</v>
      </c>
      <c r="BC191" t="inlineStr">
        <is>
          <t>CANCELADO</t>
        </is>
      </c>
      <c r="BN191" t="inlineStr">
        <is>
          <t>No</t>
        </is>
      </c>
      <c r="BO191" s="76" t="n">
        <v>45868.40763888889</v>
      </c>
      <c r="BP191" t="inlineStr">
        <is>
          <t>Magaly Guevara Perez</t>
        </is>
      </c>
      <c r="BR191" t="n">
        <v>22</v>
      </c>
      <c r="BS191" t="inlineStr">
        <is>
          <t>01/05/2026 21:41</t>
        </is>
      </c>
      <c r="BW191" t="inlineStr">
        <is>
          <t>Cobranzas_2025.csv</t>
        </is>
      </c>
      <c r="BX191" t="n">
        <v>2025</v>
      </c>
      <c r="BY191" t="inlineStr">
        <is>
          <t>01/01/2024</t>
        </is>
      </c>
      <c r="BZ191" t="inlineStr">
        <is>
          <t>30/06/2031</t>
        </is>
      </c>
    </row>
    <row r="192">
      <c r="A192" t="inlineStr">
        <is>
          <t>RESIDENCIAL VENECIA</t>
        </is>
      </c>
      <c r="B192" t="inlineStr">
        <is>
          <t>Etapa 1</t>
        </is>
      </c>
      <c r="C192" t="inlineStr">
        <is>
          <t>Edificio</t>
        </is>
      </c>
      <c r="D192" t="inlineStr">
        <is>
          <t>A</t>
        </is>
      </c>
      <c r="E192" t="inlineStr">
        <is>
          <t>Departamento</t>
        </is>
      </c>
      <c r="F192" t="inlineStr">
        <is>
          <t>1005</t>
        </is>
      </c>
      <c r="G192" s="39" t="n">
        <v>372000</v>
      </c>
      <c r="H192" s="39" t="n">
        <v>372000</v>
      </c>
      <c r="M192" s="39" t="n"/>
      <c r="N192" s="39" t="n"/>
      <c r="S192" s="39" t="n"/>
      <c r="T192" s="39" t="n"/>
      <c r="Y192" s="39" t="n"/>
      <c r="Z192" s="39" t="n"/>
      <c r="AA192" t="inlineStr">
        <is>
          <t>Noelia Abarca Chavez</t>
        </is>
      </c>
      <c r="AB192" t="inlineStr">
        <is>
          <t>74834392</t>
        </is>
      </c>
      <c r="AC192" t="inlineStr">
        <is>
          <t xml:space="preserve"> Juan  Dávalos 570 Piso Nº2  Urbanización Pamplona Baj</t>
        </is>
      </c>
      <c r="AD192" t="n">
        <v>0</v>
      </c>
      <c r="AE192" t="inlineStr">
        <is>
          <t>977162821</t>
        </is>
      </c>
      <c r="AF192" t="inlineStr">
        <is>
          <t>noeliaabarca@outlook.com</t>
        </is>
      </c>
      <c r="AG192" t="inlineStr">
        <is>
          <t>LIMA</t>
        </is>
      </c>
      <c r="AH192" t="inlineStr">
        <is>
          <t>SAN JUAN DE MIRAFLORES</t>
        </is>
      </c>
      <c r="AI192" s="75" t="n">
        <v>45878</v>
      </c>
      <c r="AJ192" s="75" t="n">
        <v>45878</v>
      </c>
      <c r="AK192" t="inlineStr">
        <is>
          <t>SEPARACION</t>
        </is>
      </c>
      <c r="AL192" t="n">
        <v>1</v>
      </c>
      <c r="AM192" t="n">
        <v>18600</v>
      </c>
      <c r="AN192" t="n">
        <v>0</v>
      </c>
      <c r="AO192" t="n">
        <v>0</v>
      </c>
      <c r="AP192" s="39" t="n">
        <v>18600</v>
      </c>
      <c r="AQ192" s="39" t="n">
        <v>18600</v>
      </c>
      <c r="AR192" s="39" t="n">
        <v>0</v>
      </c>
      <c r="AS192" t="n">
        <v>0</v>
      </c>
      <c r="AT192" t="inlineStr">
        <is>
          <t>Crédito Hipotecario</t>
        </is>
      </c>
      <c r="AU192" t="inlineStr">
        <is>
          <t>Scotiabank Perú</t>
        </is>
      </c>
      <c r="AV192" t="inlineStr">
        <is>
          <t>0004071419</t>
        </is>
      </c>
      <c r="AW192" t="inlineStr">
        <is>
          <t>TRANSFERENCIA BANCARIA</t>
        </is>
      </c>
      <c r="AY192" t="inlineStr">
        <is>
          <t>1859313</t>
        </is>
      </c>
      <c r="AZ192" t="inlineStr">
        <is>
          <t>No</t>
        </is>
      </c>
      <c r="BB192" t="n">
        <v>4</v>
      </c>
      <c r="BC192" t="inlineStr">
        <is>
          <t>CANCELADO</t>
        </is>
      </c>
      <c r="BN192" t="inlineStr">
        <is>
          <t>No</t>
        </is>
      </c>
      <c r="BO192" s="76" t="n">
        <v>45878.92083333333</v>
      </c>
      <c r="BP192" t="inlineStr">
        <is>
          <t>Magaly Guevara Perez</t>
        </is>
      </c>
      <c r="BR192" t="n">
        <v>15</v>
      </c>
      <c r="BS192" t="inlineStr">
        <is>
          <t>24/05/2026 22:02</t>
        </is>
      </c>
      <c r="BW192" t="inlineStr">
        <is>
          <t>Cobranzas_2025.csv</t>
        </is>
      </c>
      <c r="BX192" t="n">
        <v>2025</v>
      </c>
      <c r="BY192" t="inlineStr">
        <is>
          <t>01/01/2024</t>
        </is>
      </c>
      <c r="BZ192" t="inlineStr">
        <is>
          <t>30/06/2031</t>
        </is>
      </c>
    </row>
    <row r="193">
      <c r="A193" t="inlineStr">
        <is>
          <t>RESIDENCIAL VENECIA</t>
        </is>
      </c>
      <c r="B193" t="inlineStr">
        <is>
          <t>Etapa 1</t>
        </is>
      </c>
      <c r="C193" t="inlineStr">
        <is>
          <t>Edificio</t>
        </is>
      </c>
      <c r="D193" t="inlineStr">
        <is>
          <t>A</t>
        </is>
      </c>
      <c r="E193" t="inlineStr">
        <is>
          <t>Departamento</t>
        </is>
      </c>
      <c r="F193" t="inlineStr">
        <is>
          <t>601</t>
        </is>
      </c>
      <c r="G193" s="39" t="n">
        <v>545000</v>
      </c>
      <c r="H193" s="39" t="n">
        <v>545000</v>
      </c>
      <c r="I193" t="inlineStr">
        <is>
          <t>Edificio</t>
        </is>
      </c>
      <c r="J193" t="inlineStr">
        <is>
          <t>A</t>
        </is>
      </c>
      <c r="K193" t="inlineStr">
        <is>
          <t>Estacionamiento</t>
        </is>
      </c>
      <c r="L193" t="inlineStr">
        <is>
          <t>E 11</t>
        </is>
      </c>
      <c r="M193" s="39" t="n">
        <v>50800</v>
      </c>
      <c r="N193" s="39" t="n">
        <v>50800</v>
      </c>
      <c r="S193" s="39" t="n"/>
      <c r="T193" s="39" t="n"/>
      <c r="Y193" s="39" t="n"/>
      <c r="Z193" s="39" t="n"/>
      <c r="AA193" t="inlineStr">
        <is>
          <t>Norma Luz Tello Contreras</t>
        </is>
      </c>
      <c r="AB193" t="inlineStr">
        <is>
          <t>04063971</t>
        </is>
      </c>
      <c r="AC193" t="inlineStr">
        <is>
          <t>Av. Militar 1745 - Dpto. 1202</t>
        </is>
      </c>
      <c r="AD193" t="n">
        <v>0</v>
      </c>
      <c r="AE193" t="inlineStr">
        <is>
          <t>952305311</t>
        </is>
      </c>
      <c r="AF193" t="inlineStr">
        <is>
          <t>normatello@gmail.com</t>
        </is>
      </c>
      <c r="AG193" t="inlineStr">
        <is>
          <t>LIMA</t>
        </is>
      </c>
      <c r="AH193" t="inlineStr">
        <is>
          <t>LA VICTORIA</t>
        </is>
      </c>
      <c r="AI193" s="75" t="n">
        <v>45831</v>
      </c>
      <c r="AJ193" s="75" t="n">
        <v>45831</v>
      </c>
      <c r="AK193" t="inlineStr">
        <is>
          <t>SEPARACION</t>
        </is>
      </c>
      <c r="AL193" t="n">
        <v>1</v>
      </c>
      <c r="AM193" t="n">
        <v>3000</v>
      </c>
      <c r="AN193" t="n">
        <v>0</v>
      </c>
      <c r="AO193" t="n">
        <v>0</v>
      </c>
      <c r="AP193" s="39" t="n">
        <v>3000</v>
      </c>
      <c r="AQ193" s="39" t="n">
        <v>3000</v>
      </c>
      <c r="AR193" s="39" t="n">
        <v>0</v>
      </c>
      <c r="AS193" t="n">
        <v>0</v>
      </c>
      <c r="AT193" t="inlineStr">
        <is>
          <t>Crédito Directo</t>
        </is>
      </c>
      <c r="AU193" t="inlineStr">
        <is>
          <t>Scotiabank Perú</t>
        </is>
      </c>
      <c r="AV193" t="inlineStr">
        <is>
          <t>0004071419</t>
        </is>
      </c>
      <c r="AW193" t="inlineStr">
        <is>
          <t>TRANSFERENCIA BANCARIA</t>
        </is>
      </c>
      <c r="AY193" t="inlineStr">
        <is>
          <t>26267</t>
        </is>
      </c>
      <c r="AZ193" t="inlineStr">
        <is>
          <t>No</t>
        </is>
      </c>
      <c r="BB193" t="n">
        <v>4</v>
      </c>
      <c r="BC193" t="inlineStr">
        <is>
          <t>CANCELADO</t>
        </is>
      </c>
      <c r="BN193" t="inlineStr">
        <is>
          <t>No</t>
        </is>
      </c>
      <c r="BO193" s="76" t="n">
        <v>45857.51944444444</v>
      </c>
      <c r="BP193" t="inlineStr">
        <is>
          <t>Magaly Guevara Perez</t>
        </is>
      </c>
      <c r="BR193" t="n">
        <v>11</v>
      </c>
      <c r="BS193" t="inlineStr">
        <is>
          <t>24/05/2026 20:20</t>
        </is>
      </c>
      <c r="BW193" t="inlineStr">
        <is>
          <t>Cobranzas_2025.csv</t>
        </is>
      </c>
      <c r="BX193" t="n">
        <v>2025</v>
      </c>
      <c r="BY193" t="inlineStr">
        <is>
          <t>01/01/2024</t>
        </is>
      </c>
      <c r="BZ193" t="inlineStr">
        <is>
          <t>30/06/2031</t>
        </is>
      </c>
    </row>
    <row r="194">
      <c r="A194" t="inlineStr">
        <is>
          <t>RESIDENCIAL VENECIA</t>
        </is>
      </c>
      <c r="B194" t="inlineStr">
        <is>
          <t>Etapa 1</t>
        </is>
      </c>
      <c r="C194" t="inlineStr">
        <is>
          <t>Edificio</t>
        </is>
      </c>
      <c r="D194" t="inlineStr">
        <is>
          <t>A</t>
        </is>
      </c>
      <c r="E194" t="inlineStr">
        <is>
          <t>Departamento</t>
        </is>
      </c>
      <c r="F194" t="inlineStr">
        <is>
          <t>601</t>
        </is>
      </c>
      <c r="G194" s="39" t="n">
        <v>545000</v>
      </c>
      <c r="H194" s="39" t="n">
        <v>545000</v>
      </c>
      <c r="I194" t="inlineStr">
        <is>
          <t>Edificio</t>
        </is>
      </c>
      <c r="J194" t="inlineStr">
        <is>
          <t>A</t>
        </is>
      </c>
      <c r="K194" t="inlineStr">
        <is>
          <t>Estacionamiento</t>
        </is>
      </c>
      <c r="L194" t="inlineStr">
        <is>
          <t>E 11</t>
        </is>
      </c>
      <c r="M194" s="39" t="n">
        <v>50800</v>
      </c>
      <c r="N194" s="39" t="n">
        <v>50800</v>
      </c>
      <c r="S194" s="39" t="n"/>
      <c r="T194" s="39" t="n"/>
      <c r="Y194" s="39" t="n"/>
      <c r="Z194" s="39" t="n"/>
      <c r="AA194" t="inlineStr">
        <is>
          <t>Norma Luz Tello Contreras</t>
        </is>
      </c>
      <c r="AB194" t="inlineStr">
        <is>
          <t>04063971</t>
        </is>
      </c>
      <c r="AC194" t="inlineStr">
        <is>
          <t>Av. Militar 1745 - Dpto. 1202</t>
        </is>
      </c>
      <c r="AD194" t="n">
        <v>0</v>
      </c>
      <c r="AE194" t="inlineStr">
        <is>
          <t>952305311</t>
        </is>
      </c>
      <c r="AF194" t="inlineStr">
        <is>
          <t>normatello@gmail.com</t>
        </is>
      </c>
      <c r="AG194" t="inlineStr">
        <is>
          <t>LIMA</t>
        </is>
      </c>
      <c r="AH194" t="inlineStr">
        <is>
          <t>LA VICTORIA</t>
        </is>
      </c>
      <c r="AI194" s="75" t="n">
        <v>45876</v>
      </c>
      <c r="AJ194" s="75" t="n">
        <v>45876</v>
      </c>
      <c r="AK194" t="inlineStr">
        <is>
          <t>CUOTA INICIAL</t>
        </is>
      </c>
      <c r="AL194" t="n">
        <v>1</v>
      </c>
      <c r="AM194" t="n">
        <v>72000</v>
      </c>
      <c r="AN194" t="n">
        <v>0</v>
      </c>
      <c r="AO194" t="n">
        <v>0</v>
      </c>
      <c r="AP194" s="39" t="n">
        <v>72000</v>
      </c>
      <c r="AQ194" s="39" t="n">
        <v>72000</v>
      </c>
      <c r="AR194" s="39" t="n">
        <v>0</v>
      </c>
      <c r="AS194" t="n">
        <v>0</v>
      </c>
      <c r="AT194" t="inlineStr">
        <is>
          <t>Crédito Directo</t>
        </is>
      </c>
      <c r="AU194" t="inlineStr">
        <is>
          <t>Scotiabank Perú</t>
        </is>
      </c>
      <c r="AV194" t="inlineStr">
        <is>
          <t>0004071419</t>
        </is>
      </c>
      <c r="AW194" t="inlineStr">
        <is>
          <t>TRANSFERENCIA BANCARIA</t>
        </is>
      </c>
      <c r="AY194" t="inlineStr">
        <is>
          <t>U28740</t>
        </is>
      </c>
      <c r="AZ194" t="inlineStr">
        <is>
          <t>No</t>
        </is>
      </c>
      <c r="BB194" t="n">
        <v>4</v>
      </c>
      <c r="BC194" t="inlineStr">
        <is>
          <t>CANCELADO</t>
        </is>
      </c>
      <c r="BN194" t="inlineStr">
        <is>
          <t>No</t>
        </is>
      </c>
      <c r="BO194" s="76" t="n">
        <v>45857.51944444444</v>
      </c>
      <c r="BP194" t="inlineStr">
        <is>
          <t>Magaly Guevara Perez</t>
        </is>
      </c>
      <c r="BR194" t="n">
        <v>11</v>
      </c>
      <c r="BS194" t="inlineStr">
        <is>
          <t>24/05/2026 20:22</t>
        </is>
      </c>
      <c r="BW194" t="inlineStr">
        <is>
          <t>Cobranzas_2025.csv</t>
        </is>
      </c>
      <c r="BX194" t="n">
        <v>2025</v>
      </c>
      <c r="BY194" t="inlineStr">
        <is>
          <t>01/01/2024</t>
        </is>
      </c>
      <c r="BZ194" t="inlineStr">
        <is>
          <t>30/06/2031</t>
        </is>
      </c>
    </row>
    <row r="195">
      <c r="A195" t="inlineStr">
        <is>
          <t>RESIDENCIAL VENECIA</t>
        </is>
      </c>
      <c r="B195" t="inlineStr">
        <is>
          <t>Etapa 1</t>
        </is>
      </c>
      <c r="C195" t="inlineStr">
        <is>
          <t>Edificio</t>
        </is>
      </c>
      <c r="D195" t="inlineStr">
        <is>
          <t>A</t>
        </is>
      </c>
      <c r="E195" t="inlineStr">
        <is>
          <t>Departamento</t>
        </is>
      </c>
      <c r="F195" t="inlineStr">
        <is>
          <t>601</t>
        </is>
      </c>
      <c r="G195" s="39" t="n">
        <v>545000</v>
      </c>
      <c r="H195" s="39" t="n">
        <v>545000</v>
      </c>
      <c r="I195" t="inlineStr">
        <is>
          <t>Edificio</t>
        </is>
      </c>
      <c r="J195" t="inlineStr">
        <is>
          <t>A</t>
        </is>
      </c>
      <c r="K195" t="inlineStr">
        <is>
          <t>Estacionamiento</t>
        </is>
      </c>
      <c r="L195" t="inlineStr">
        <is>
          <t>E 11</t>
        </is>
      </c>
      <c r="M195" s="39" t="n">
        <v>50800</v>
      </c>
      <c r="N195" s="39" t="n">
        <v>50800</v>
      </c>
      <c r="S195" s="39" t="n"/>
      <c r="T195" s="39" t="n"/>
      <c r="Y195" s="39" t="n"/>
      <c r="Z195" s="39" t="n"/>
      <c r="AA195" t="inlineStr">
        <is>
          <t>Norma Luz Tello Contreras</t>
        </is>
      </c>
      <c r="AB195" t="inlineStr">
        <is>
          <t>04063971</t>
        </is>
      </c>
      <c r="AC195" t="inlineStr">
        <is>
          <t>Av. Militar 1745 - Dpto. 1202</t>
        </is>
      </c>
      <c r="AD195" t="n">
        <v>0</v>
      </c>
      <c r="AE195" t="inlineStr">
        <is>
          <t>952305311</t>
        </is>
      </c>
      <c r="AF195" t="inlineStr">
        <is>
          <t>normatello@gmail.com</t>
        </is>
      </c>
      <c r="AG195" t="inlineStr">
        <is>
          <t>LIMA</t>
        </is>
      </c>
      <c r="AH195" t="inlineStr">
        <is>
          <t>LA VICTORIA</t>
        </is>
      </c>
      <c r="AI195" s="75" t="n">
        <v>45883</v>
      </c>
      <c r="AJ195" s="75" t="n">
        <v>45883</v>
      </c>
      <c r="AK195" t="inlineStr">
        <is>
          <t>CUOTA INICIAL</t>
        </is>
      </c>
      <c r="AL195" t="n">
        <v>2</v>
      </c>
      <c r="AM195" t="n">
        <v>70000</v>
      </c>
      <c r="AN195" t="n">
        <v>0</v>
      </c>
      <c r="AO195" t="n">
        <v>0</v>
      </c>
      <c r="AP195" s="39" t="n">
        <v>70000</v>
      </c>
      <c r="AQ195" s="39" t="n">
        <v>70000</v>
      </c>
      <c r="AR195" s="39" t="n">
        <v>0</v>
      </c>
      <c r="AS195" t="n">
        <v>0</v>
      </c>
      <c r="AT195" t="inlineStr">
        <is>
          <t>Crédito Directo</t>
        </is>
      </c>
      <c r="AU195" t="inlineStr">
        <is>
          <t>Scotiabank Perú</t>
        </is>
      </c>
      <c r="AV195" t="inlineStr">
        <is>
          <t>0004071419</t>
        </is>
      </c>
      <c r="AW195" t="inlineStr">
        <is>
          <t>TRANSFERENCIA BANCARIA</t>
        </is>
      </c>
      <c r="AY195" t="inlineStr">
        <is>
          <t>0261843</t>
        </is>
      </c>
      <c r="AZ195" t="inlineStr">
        <is>
          <t>No</t>
        </is>
      </c>
      <c r="BB195" t="n">
        <v>4</v>
      </c>
      <c r="BC195" t="inlineStr">
        <is>
          <t>CANCELADO</t>
        </is>
      </c>
      <c r="BN195" t="inlineStr">
        <is>
          <t>No</t>
        </is>
      </c>
      <c r="BO195" s="76" t="n">
        <v>45857.51944444444</v>
      </c>
      <c r="BP195" t="inlineStr">
        <is>
          <t>Magaly Guevara Perez</t>
        </is>
      </c>
      <c r="BR195" t="n">
        <v>11</v>
      </c>
      <c r="BS195" t="inlineStr">
        <is>
          <t>24/05/2026 20:23</t>
        </is>
      </c>
      <c r="BW195" t="inlineStr">
        <is>
          <t>Cobranzas_2025.csv</t>
        </is>
      </c>
      <c r="BX195" t="n">
        <v>2025</v>
      </c>
      <c r="BY195" t="inlineStr">
        <is>
          <t>01/01/2024</t>
        </is>
      </c>
      <c r="BZ195" t="inlineStr">
        <is>
          <t>30/06/2031</t>
        </is>
      </c>
    </row>
    <row r="196">
      <c r="A196" t="inlineStr">
        <is>
          <t>RESIDENCIAL VENECIA</t>
        </is>
      </c>
      <c r="B196" t="inlineStr">
        <is>
          <t>Etapa 1</t>
        </is>
      </c>
      <c r="C196" t="inlineStr">
        <is>
          <t>Edificio</t>
        </is>
      </c>
      <c r="D196" t="inlineStr">
        <is>
          <t>A</t>
        </is>
      </c>
      <c r="E196" t="inlineStr">
        <is>
          <t>Departamento</t>
        </is>
      </c>
      <c r="F196" t="inlineStr">
        <is>
          <t>601</t>
        </is>
      </c>
      <c r="G196" s="39" t="n">
        <v>545000</v>
      </c>
      <c r="H196" s="39" t="n">
        <v>545000</v>
      </c>
      <c r="I196" t="inlineStr">
        <is>
          <t>Edificio</t>
        </is>
      </c>
      <c r="J196" t="inlineStr">
        <is>
          <t>A</t>
        </is>
      </c>
      <c r="K196" t="inlineStr">
        <is>
          <t>Estacionamiento</t>
        </is>
      </c>
      <c r="L196" t="inlineStr">
        <is>
          <t>E 11</t>
        </is>
      </c>
      <c r="M196" s="39" t="n">
        <v>50800</v>
      </c>
      <c r="N196" s="39" t="n">
        <v>50800</v>
      </c>
      <c r="S196" s="39" t="n"/>
      <c r="T196" s="39" t="n"/>
      <c r="Y196" s="39" t="n"/>
      <c r="Z196" s="39" t="n"/>
      <c r="AA196" t="inlineStr">
        <is>
          <t>Norma Luz Tello Contreras</t>
        </is>
      </c>
      <c r="AB196" t="inlineStr">
        <is>
          <t>04063971</t>
        </is>
      </c>
      <c r="AC196" t="inlineStr">
        <is>
          <t>Av. Militar 1745 - Dpto. 1202</t>
        </is>
      </c>
      <c r="AD196" t="n">
        <v>0</v>
      </c>
      <c r="AE196" t="inlineStr">
        <is>
          <t>952305311</t>
        </is>
      </c>
      <c r="AF196" t="inlineStr">
        <is>
          <t>normatello@gmail.com</t>
        </is>
      </c>
      <c r="AG196" t="inlineStr">
        <is>
          <t>LIMA</t>
        </is>
      </c>
      <c r="AH196" t="inlineStr">
        <is>
          <t>LA VICTORIA</t>
        </is>
      </c>
      <c r="AI196" s="75" t="n">
        <v>45944</v>
      </c>
      <c r="AJ196" s="75" t="n">
        <v>45883</v>
      </c>
      <c r="AK196" t="inlineStr">
        <is>
          <t>CUOTA INICIAL</t>
        </is>
      </c>
      <c r="AL196" t="n">
        <v>3</v>
      </c>
      <c r="AM196" t="n">
        <v>95000</v>
      </c>
      <c r="AN196" t="n">
        <v>0</v>
      </c>
      <c r="AO196" t="n">
        <v>0</v>
      </c>
      <c r="AP196" s="39" t="n">
        <v>95000</v>
      </c>
      <c r="AQ196" s="39" t="n">
        <v>95000</v>
      </c>
      <c r="AR196" s="39" t="n">
        <v>0</v>
      </c>
      <c r="AS196" t="n">
        <v>0</v>
      </c>
      <c r="AT196" t="inlineStr">
        <is>
          <t>Crédito Directo</t>
        </is>
      </c>
      <c r="AU196" t="inlineStr">
        <is>
          <t>Scotiabank Perú</t>
        </is>
      </c>
      <c r="AV196" t="inlineStr">
        <is>
          <t>0004071419</t>
        </is>
      </c>
      <c r="AW196" t="inlineStr">
        <is>
          <t>TRANSFERENCIA BANCARIA</t>
        </is>
      </c>
      <c r="AY196" t="inlineStr">
        <is>
          <t>0261843</t>
        </is>
      </c>
      <c r="AZ196" t="inlineStr">
        <is>
          <t>No</t>
        </is>
      </c>
      <c r="BB196" t="n">
        <v>4</v>
      </c>
      <c r="BC196" t="inlineStr">
        <is>
          <t>CANCELADO</t>
        </is>
      </c>
      <c r="BN196" t="inlineStr">
        <is>
          <t>No</t>
        </is>
      </c>
      <c r="BO196" s="76" t="n">
        <v>45857.51944444444</v>
      </c>
      <c r="BP196" t="inlineStr">
        <is>
          <t>Magaly Guevara Perez</t>
        </is>
      </c>
      <c r="BR196" t="n">
        <v>11</v>
      </c>
      <c r="BS196" t="inlineStr">
        <is>
          <t>24/05/2026 20:24</t>
        </is>
      </c>
      <c r="BW196" t="inlineStr">
        <is>
          <t>Cobranzas_2025.csv</t>
        </is>
      </c>
      <c r="BX196" t="n">
        <v>2025</v>
      </c>
      <c r="BY196" t="inlineStr">
        <is>
          <t>01/01/2024</t>
        </is>
      </c>
      <c r="BZ196" t="inlineStr">
        <is>
          <t>30/06/2031</t>
        </is>
      </c>
    </row>
    <row r="197">
      <c r="A197" t="inlineStr">
        <is>
          <t>RESIDENCIAL VENECIA</t>
        </is>
      </c>
      <c r="B197" t="inlineStr">
        <is>
          <t>Etapa 1</t>
        </is>
      </c>
      <c r="C197" t="inlineStr">
        <is>
          <t>Edificio</t>
        </is>
      </c>
      <c r="D197" t="inlineStr">
        <is>
          <t>A</t>
        </is>
      </c>
      <c r="E197" t="inlineStr">
        <is>
          <t>Departamento</t>
        </is>
      </c>
      <c r="F197" t="inlineStr">
        <is>
          <t>601</t>
        </is>
      </c>
      <c r="G197" s="39" t="n">
        <v>545000</v>
      </c>
      <c r="H197" s="39" t="n">
        <v>545000</v>
      </c>
      <c r="I197" t="inlineStr">
        <is>
          <t>Edificio</t>
        </is>
      </c>
      <c r="J197" t="inlineStr">
        <is>
          <t>A</t>
        </is>
      </c>
      <c r="K197" t="inlineStr">
        <is>
          <t>Estacionamiento</t>
        </is>
      </c>
      <c r="L197" t="inlineStr">
        <is>
          <t>E 11</t>
        </is>
      </c>
      <c r="M197" s="39" t="n">
        <v>50800</v>
      </c>
      <c r="N197" s="39" t="n">
        <v>50800</v>
      </c>
      <c r="S197" s="39" t="n"/>
      <c r="T197" s="39" t="n"/>
      <c r="Y197" s="39" t="n"/>
      <c r="Z197" s="39" t="n"/>
      <c r="AA197" t="inlineStr">
        <is>
          <t>Norma Luz Tello Contreras</t>
        </is>
      </c>
      <c r="AB197" t="inlineStr">
        <is>
          <t>04063971</t>
        </is>
      </c>
      <c r="AC197" t="inlineStr">
        <is>
          <t>Av. Militar 1745 - Dpto. 1202</t>
        </is>
      </c>
      <c r="AD197" t="n">
        <v>0</v>
      </c>
      <c r="AE197" t="inlineStr">
        <is>
          <t>952305311</t>
        </is>
      </c>
      <c r="AF197" t="inlineStr">
        <is>
          <t>normatello@gmail.com</t>
        </is>
      </c>
      <c r="AG197" t="inlineStr">
        <is>
          <t>LIMA</t>
        </is>
      </c>
      <c r="AH197" t="inlineStr">
        <is>
          <t>LA VICTORIA</t>
        </is>
      </c>
      <c r="AI197" s="75" t="n">
        <v>45930</v>
      </c>
      <c r="AJ197" s="75" t="n">
        <v>45896</v>
      </c>
      <c r="AK197" t="inlineStr">
        <is>
          <t>SALDO FINANCIAR</t>
        </is>
      </c>
      <c r="AL197" t="n">
        <v>1</v>
      </c>
      <c r="AM197" t="n">
        <v>6800</v>
      </c>
      <c r="AN197" t="n">
        <v>0</v>
      </c>
      <c r="AO197" t="n">
        <v>0</v>
      </c>
      <c r="AP197" s="39" t="n">
        <v>6800</v>
      </c>
      <c r="AQ197" s="39" t="n">
        <v>6800</v>
      </c>
      <c r="AR197" s="39" t="n">
        <v>0</v>
      </c>
      <c r="AS197" t="n">
        <v>0</v>
      </c>
      <c r="AT197" t="inlineStr">
        <is>
          <t>Crédito Directo</t>
        </is>
      </c>
      <c r="AU197" t="inlineStr">
        <is>
          <t>Scotiabank Perú</t>
        </is>
      </c>
      <c r="AV197" t="inlineStr">
        <is>
          <t>0004071419</t>
        </is>
      </c>
      <c r="AW197" t="inlineStr">
        <is>
          <t>TRANSFERENCIA BANCARIA</t>
        </is>
      </c>
      <c r="AX197" t="n">
        <v>22079563</v>
      </c>
      <c r="AY197" t="inlineStr">
        <is>
          <t>0500010134</t>
        </is>
      </c>
      <c r="AZ197" t="inlineStr">
        <is>
          <t>No</t>
        </is>
      </c>
      <c r="BA197" t="inlineStr">
        <is>
          <t>NO PRECISA</t>
        </is>
      </c>
      <c r="BB197" t="n">
        <v>4</v>
      </c>
      <c r="BC197" t="inlineStr">
        <is>
          <t>CANCELADO</t>
        </is>
      </c>
      <c r="BN197" t="inlineStr">
        <is>
          <t>Si</t>
        </is>
      </c>
      <c r="BO197" s="76" t="n">
        <v>45857.51944444444</v>
      </c>
      <c r="BP197" t="inlineStr">
        <is>
          <t>Magaly Guevara Perez</t>
        </is>
      </c>
      <c r="BR197" t="n">
        <v>11</v>
      </c>
      <c r="BS197" t="inlineStr">
        <is>
          <t>04/06/2026 09:05</t>
        </is>
      </c>
      <c r="BW197" t="inlineStr">
        <is>
          <t>Cobranzas_2025.csv</t>
        </is>
      </c>
      <c r="BX197" t="n">
        <v>2025</v>
      </c>
      <c r="BY197" t="inlineStr">
        <is>
          <t>01/01/2024</t>
        </is>
      </c>
      <c r="BZ197" t="inlineStr">
        <is>
          <t>30/06/2031</t>
        </is>
      </c>
    </row>
    <row r="198">
      <c r="A198" t="inlineStr">
        <is>
          <t>RESIDENCIAL VENECIA</t>
        </is>
      </c>
      <c r="B198" t="inlineStr">
        <is>
          <t>Etapa 1</t>
        </is>
      </c>
      <c r="C198" t="inlineStr">
        <is>
          <t>Edificio</t>
        </is>
      </c>
      <c r="D198" t="inlineStr">
        <is>
          <t>A</t>
        </is>
      </c>
      <c r="E198" t="inlineStr">
        <is>
          <t>Departamento</t>
        </is>
      </c>
      <c r="F198" t="inlineStr">
        <is>
          <t>601</t>
        </is>
      </c>
      <c r="G198" s="39" t="n">
        <v>545000</v>
      </c>
      <c r="H198" s="39" t="n">
        <v>545000</v>
      </c>
      <c r="I198" t="inlineStr">
        <is>
          <t>Edificio</t>
        </is>
      </c>
      <c r="J198" t="inlineStr">
        <is>
          <t>A</t>
        </is>
      </c>
      <c r="K198" t="inlineStr">
        <is>
          <t>Estacionamiento</t>
        </is>
      </c>
      <c r="L198" t="inlineStr">
        <is>
          <t>E 11</t>
        </is>
      </c>
      <c r="M198" s="39" t="n">
        <v>50800</v>
      </c>
      <c r="N198" s="39" t="n">
        <v>50800</v>
      </c>
      <c r="S198" s="39" t="n"/>
      <c r="T198" s="39" t="n"/>
      <c r="Y198" s="39" t="n"/>
      <c r="Z198" s="39" t="n"/>
      <c r="AA198" t="inlineStr">
        <is>
          <t>Norma Luz Tello Contreras</t>
        </is>
      </c>
      <c r="AB198" t="inlineStr">
        <is>
          <t>04063971</t>
        </is>
      </c>
      <c r="AC198" t="inlineStr">
        <is>
          <t>Av. Militar 1745 - Dpto. 1202</t>
        </is>
      </c>
      <c r="AD198" t="n">
        <v>0</v>
      </c>
      <c r="AE198" t="inlineStr">
        <is>
          <t>952305311</t>
        </is>
      </c>
      <c r="AF198" t="inlineStr">
        <is>
          <t>normatello@gmail.com</t>
        </is>
      </c>
      <c r="AG198" t="inlineStr">
        <is>
          <t>LIMA</t>
        </is>
      </c>
      <c r="AH198" t="inlineStr">
        <is>
          <t>LA VICTORIA</t>
        </is>
      </c>
      <c r="AI198" s="75" t="n">
        <v>45960</v>
      </c>
      <c r="AJ198" s="75" t="n">
        <v>45932</v>
      </c>
      <c r="AK198" t="inlineStr">
        <is>
          <t>SALDO FINANCIAR</t>
        </is>
      </c>
      <c r="AL198" t="n">
        <v>2</v>
      </c>
      <c r="AM198" t="n">
        <v>7500</v>
      </c>
      <c r="AN198" t="n">
        <v>0</v>
      </c>
      <c r="AO198" t="n">
        <v>0</v>
      </c>
      <c r="AP198" s="39" t="n">
        <v>7500</v>
      </c>
      <c r="AQ198" s="39" t="n">
        <v>7500</v>
      </c>
      <c r="AR198" s="39" t="n">
        <v>0</v>
      </c>
      <c r="AS198" t="n">
        <v>0</v>
      </c>
      <c r="AT198" t="inlineStr">
        <is>
          <t>Crédito Directo</t>
        </is>
      </c>
      <c r="AU198" t="inlineStr">
        <is>
          <t>Scotiabank Perú</t>
        </is>
      </c>
      <c r="AV198" t="inlineStr">
        <is>
          <t>0004071419</t>
        </is>
      </c>
      <c r="AW198" t="inlineStr">
        <is>
          <t>TRANSFERENCIA BANCARIA</t>
        </is>
      </c>
      <c r="AX198" t="n">
        <v>22079563</v>
      </c>
      <c r="AY198" t="inlineStr">
        <is>
          <t>0500010144</t>
        </is>
      </c>
      <c r="AZ198" t="inlineStr">
        <is>
          <t>No</t>
        </is>
      </c>
      <c r="BA198" t="inlineStr">
        <is>
          <t>NO PRECISA</t>
        </is>
      </c>
      <c r="BB198" t="n">
        <v>4</v>
      </c>
      <c r="BC198" t="inlineStr">
        <is>
          <t>CANCELADO</t>
        </is>
      </c>
      <c r="BN198" t="inlineStr">
        <is>
          <t>Si</t>
        </is>
      </c>
      <c r="BO198" s="76" t="n">
        <v>45857.51944444444</v>
      </c>
      <c r="BP198" t="inlineStr">
        <is>
          <t>Magaly Guevara Perez</t>
        </is>
      </c>
      <c r="BR198" t="n">
        <v>11</v>
      </c>
      <c r="BS198" t="inlineStr">
        <is>
          <t>04/06/2026 09:17</t>
        </is>
      </c>
      <c r="BW198" t="inlineStr">
        <is>
          <t>Cobranzas_2025.csv</t>
        </is>
      </c>
      <c r="BX198" t="n">
        <v>2025</v>
      </c>
      <c r="BY198" t="inlineStr">
        <is>
          <t>01/01/2024</t>
        </is>
      </c>
      <c r="BZ198" t="inlineStr">
        <is>
          <t>30/06/2031</t>
        </is>
      </c>
    </row>
    <row r="199">
      <c r="A199" t="inlineStr">
        <is>
          <t>RESIDENCIAL VENECIA</t>
        </is>
      </c>
      <c r="B199" t="inlineStr">
        <is>
          <t>Etapa 1</t>
        </is>
      </c>
      <c r="C199" t="inlineStr">
        <is>
          <t>Edificio</t>
        </is>
      </c>
      <c r="D199" t="inlineStr">
        <is>
          <t>A</t>
        </is>
      </c>
      <c r="E199" t="inlineStr">
        <is>
          <t>Departamento</t>
        </is>
      </c>
      <c r="F199" t="inlineStr">
        <is>
          <t>601</t>
        </is>
      </c>
      <c r="G199" s="39" t="n">
        <v>545000</v>
      </c>
      <c r="H199" s="39" t="n">
        <v>545000</v>
      </c>
      <c r="I199" t="inlineStr">
        <is>
          <t>Edificio</t>
        </is>
      </c>
      <c r="J199" t="inlineStr">
        <is>
          <t>A</t>
        </is>
      </c>
      <c r="K199" t="inlineStr">
        <is>
          <t>Estacionamiento</t>
        </is>
      </c>
      <c r="L199" t="inlineStr">
        <is>
          <t>E 11</t>
        </is>
      </c>
      <c r="M199" s="39" t="n">
        <v>50800</v>
      </c>
      <c r="N199" s="39" t="n">
        <v>50800</v>
      </c>
      <c r="S199" s="39" t="n"/>
      <c r="T199" s="39" t="n"/>
      <c r="Y199" s="39" t="n"/>
      <c r="Z199" s="39" t="n"/>
      <c r="AA199" t="inlineStr">
        <is>
          <t>Norma Luz Tello Contreras</t>
        </is>
      </c>
      <c r="AB199" t="inlineStr">
        <is>
          <t>04063971</t>
        </is>
      </c>
      <c r="AC199" t="inlineStr">
        <is>
          <t>Av. Militar 1745 - Dpto. 1202</t>
        </is>
      </c>
      <c r="AD199" t="n">
        <v>0</v>
      </c>
      <c r="AE199" t="inlineStr">
        <is>
          <t>952305311</t>
        </is>
      </c>
      <c r="AF199" t="inlineStr">
        <is>
          <t>normatello@gmail.com</t>
        </is>
      </c>
      <c r="AG199" t="inlineStr">
        <is>
          <t>LIMA</t>
        </is>
      </c>
      <c r="AH199" t="inlineStr">
        <is>
          <t>LA VICTORIA</t>
        </is>
      </c>
      <c r="AI199" s="75" t="n">
        <v>45991</v>
      </c>
      <c r="AJ199" s="75" t="n">
        <v>45964</v>
      </c>
      <c r="AK199" t="inlineStr">
        <is>
          <t>SALDO FINANCIAR</t>
        </is>
      </c>
      <c r="AL199" t="n">
        <v>3</v>
      </c>
      <c r="AM199" t="n">
        <v>7500</v>
      </c>
      <c r="AN199" t="n">
        <v>0</v>
      </c>
      <c r="AO199" t="n">
        <v>0</v>
      </c>
      <c r="AP199" s="39" t="n">
        <v>7500</v>
      </c>
      <c r="AQ199" s="39" t="n">
        <v>7500</v>
      </c>
      <c r="AR199" s="39" t="n">
        <v>0</v>
      </c>
      <c r="AS199" t="n">
        <v>0</v>
      </c>
      <c r="AT199" t="inlineStr">
        <is>
          <t>Crédito Directo</t>
        </is>
      </c>
      <c r="AU199" t="inlineStr">
        <is>
          <t>Scotiabank Perú</t>
        </is>
      </c>
      <c r="AV199" t="inlineStr">
        <is>
          <t>0004071419</t>
        </is>
      </c>
      <c r="AW199" t="inlineStr">
        <is>
          <t>TRANSFERENCIA BANCARIA</t>
        </is>
      </c>
      <c r="AY199" t="inlineStr">
        <is>
          <t>U27847</t>
        </is>
      </c>
      <c r="AZ199" t="inlineStr">
        <is>
          <t>No</t>
        </is>
      </c>
      <c r="BB199" t="n">
        <v>4</v>
      </c>
      <c r="BC199" t="inlineStr">
        <is>
          <t>CANCELADO</t>
        </is>
      </c>
      <c r="BN199" t="inlineStr">
        <is>
          <t>No</t>
        </is>
      </c>
      <c r="BO199" s="76" t="n">
        <v>45857.51944444444</v>
      </c>
      <c r="BP199" t="inlineStr">
        <is>
          <t>Magaly Guevara Perez</t>
        </is>
      </c>
      <c r="BR199" t="n">
        <v>11</v>
      </c>
      <c r="BS199" t="inlineStr">
        <is>
          <t>10/06/2026 17:20</t>
        </is>
      </c>
      <c r="BW199" t="inlineStr">
        <is>
          <t>Cobranzas_2025.csv</t>
        </is>
      </c>
      <c r="BX199" t="n">
        <v>2025</v>
      </c>
      <c r="BY199" t="inlineStr">
        <is>
          <t>01/01/2024</t>
        </is>
      </c>
      <c r="BZ199" t="inlineStr">
        <is>
          <t>30/06/2031</t>
        </is>
      </c>
    </row>
    <row r="200">
      <c r="A200" t="inlineStr">
        <is>
          <t>RESIDENCIAL VENECIA</t>
        </is>
      </c>
      <c r="B200" t="inlineStr">
        <is>
          <t>Etapa 1</t>
        </is>
      </c>
      <c r="C200" t="inlineStr">
        <is>
          <t>Edificio</t>
        </is>
      </c>
      <c r="D200" t="inlineStr">
        <is>
          <t>A</t>
        </is>
      </c>
      <c r="E200" t="inlineStr">
        <is>
          <t>Departamento</t>
        </is>
      </c>
      <c r="F200" t="inlineStr">
        <is>
          <t>601</t>
        </is>
      </c>
      <c r="G200" s="39" t="n">
        <v>545000</v>
      </c>
      <c r="H200" s="39" t="n">
        <v>545000</v>
      </c>
      <c r="I200" t="inlineStr">
        <is>
          <t>Edificio</t>
        </is>
      </c>
      <c r="J200" t="inlineStr">
        <is>
          <t>A</t>
        </is>
      </c>
      <c r="K200" t="inlineStr">
        <is>
          <t>Estacionamiento</t>
        </is>
      </c>
      <c r="L200" t="inlineStr">
        <is>
          <t>E 11</t>
        </is>
      </c>
      <c r="M200" s="39" t="n">
        <v>50800</v>
      </c>
      <c r="N200" s="39" t="n">
        <v>50800</v>
      </c>
      <c r="S200" s="39" t="n"/>
      <c r="T200" s="39" t="n"/>
      <c r="Y200" s="39" t="n"/>
      <c r="Z200" s="39" t="n"/>
      <c r="AA200" t="inlineStr">
        <is>
          <t>Norma Luz Tello Contreras</t>
        </is>
      </c>
      <c r="AB200" t="inlineStr">
        <is>
          <t>04063971</t>
        </is>
      </c>
      <c r="AC200" t="inlineStr">
        <is>
          <t>Av. Militar 1745 - Dpto. 1202</t>
        </is>
      </c>
      <c r="AD200" t="n">
        <v>0</v>
      </c>
      <c r="AE200" t="inlineStr">
        <is>
          <t>952305311</t>
        </is>
      </c>
      <c r="AF200" t="inlineStr">
        <is>
          <t>normatello@gmail.com</t>
        </is>
      </c>
      <c r="AG200" t="inlineStr">
        <is>
          <t>LIMA</t>
        </is>
      </c>
      <c r="AH200" t="inlineStr">
        <is>
          <t>LA VICTORIA</t>
        </is>
      </c>
      <c r="AI200" s="75" t="n">
        <v>46021</v>
      </c>
      <c r="AJ200" s="75" t="n">
        <v>46021</v>
      </c>
      <c r="AK200" t="inlineStr">
        <is>
          <t>SALDO FINANCIAR</t>
        </is>
      </c>
      <c r="AL200" t="n">
        <v>4</v>
      </c>
      <c r="AM200" t="n">
        <v>6000</v>
      </c>
      <c r="AN200" t="n">
        <v>0</v>
      </c>
      <c r="AO200" t="n">
        <v>0</v>
      </c>
      <c r="AP200" s="39" t="n">
        <v>6000</v>
      </c>
      <c r="AQ200" s="39" t="n">
        <v>6000</v>
      </c>
      <c r="AR200" s="39" t="n">
        <v>0</v>
      </c>
      <c r="AS200" t="n">
        <v>0</v>
      </c>
      <c r="AT200" t="inlineStr">
        <is>
          <t>Crédito Directo</t>
        </is>
      </c>
      <c r="AU200" t="inlineStr">
        <is>
          <t>Scotiabank Perú</t>
        </is>
      </c>
      <c r="AV200" t="inlineStr">
        <is>
          <t>0004071419</t>
        </is>
      </c>
      <c r="AW200" t="inlineStr">
        <is>
          <t>DEPOSITO EN CUENTA</t>
        </is>
      </c>
      <c r="AX200" t="n">
        <v>22079563</v>
      </c>
      <c r="AY200" t="inlineStr">
        <is>
          <t>0500010177</t>
        </is>
      </c>
      <c r="AZ200" t="inlineStr">
        <is>
          <t>No</t>
        </is>
      </c>
      <c r="BA200" t="inlineStr">
        <is>
          <t>NO PRECISA</t>
        </is>
      </c>
      <c r="BB200" t="n">
        <v>4</v>
      </c>
      <c r="BC200" t="inlineStr">
        <is>
          <t>CANCELADO</t>
        </is>
      </c>
      <c r="BN200" t="inlineStr">
        <is>
          <t>Si</t>
        </is>
      </c>
      <c r="BO200" s="76" t="n">
        <v>45857.51944444444</v>
      </c>
      <c r="BP200" t="inlineStr">
        <is>
          <t>Magaly Guevara Perez</t>
        </is>
      </c>
      <c r="BR200" t="n">
        <v>11</v>
      </c>
      <c r="BS200" t="inlineStr">
        <is>
          <t>04/06/2026 09:25</t>
        </is>
      </c>
      <c r="BW200" t="inlineStr">
        <is>
          <t>Cobranzas_2025.csv</t>
        </is>
      </c>
      <c r="BX200" t="n">
        <v>2025</v>
      </c>
      <c r="BY200" t="inlineStr">
        <is>
          <t>01/01/2024</t>
        </is>
      </c>
      <c r="BZ200" t="inlineStr">
        <is>
          <t>30/06/2031</t>
        </is>
      </c>
    </row>
    <row r="201">
      <c r="A201" t="inlineStr">
        <is>
          <t>RESIDENCIAL BEYOND</t>
        </is>
      </c>
      <c r="B201" t="inlineStr">
        <is>
          <t>Etapa 1</t>
        </is>
      </c>
      <c r="C201" t="inlineStr">
        <is>
          <t>Edificio</t>
        </is>
      </c>
      <c r="D201" t="inlineStr">
        <is>
          <t>A</t>
        </is>
      </c>
      <c r="E201" t="inlineStr">
        <is>
          <t>Departamento</t>
        </is>
      </c>
      <c r="F201" t="inlineStr">
        <is>
          <t>604</t>
        </is>
      </c>
      <c r="G201" s="39" t="n">
        <v>460000</v>
      </c>
      <c r="H201" s="39" t="n">
        <v>460000</v>
      </c>
      <c r="I201" t="inlineStr">
        <is>
          <t>Edificio</t>
        </is>
      </c>
      <c r="J201" t="inlineStr">
        <is>
          <t>A</t>
        </is>
      </c>
      <c r="K201" t="inlineStr">
        <is>
          <t>Estacionamiento</t>
        </is>
      </c>
      <c r="L201" t="inlineStr">
        <is>
          <t>E 11</t>
        </is>
      </c>
      <c r="M201" s="39" t="n">
        <v>47500</v>
      </c>
      <c r="N201" s="39" t="n">
        <v>47500</v>
      </c>
      <c r="O201" t="inlineStr">
        <is>
          <t>Edificio</t>
        </is>
      </c>
      <c r="P201" t="inlineStr">
        <is>
          <t>A</t>
        </is>
      </c>
      <c r="Q201" t="inlineStr">
        <is>
          <t>Depósito</t>
        </is>
      </c>
      <c r="R201" t="inlineStr">
        <is>
          <t>D 06</t>
        </is>
      </c>
      <c r="S201" s="39" t="n">
        <v>21700</v>
      </c>
      <c r="T201" s="39" t="n">
        <v>21700</v>
      </c>
      <c r="U201" t="inlineStr">
        <is>
          <t>Edificio</t>
        </is>
      </c>
      <c r="V201" t="inlineStr">
        <is>
          <t>A</t>
        </is>
      </c>
      <c r="W201" t="inlineStr">
        <is>
          <t>Depósito</t>
        </is>
      </c>
      <c r="X201" t="inlineStr">
        <is>
          <t>D 07</t>
        </is>
      </c>
      <c r="Y201" s="39" t="n">
        <v>9500</v>
      </c>
      <c r="Z201" s="39" t="n">
        <v>9500</v>
      </c>
      <c r="AA201" t="inlineStr">
        <is>
          <t>PABLO JAIME CORNEJO PEREDA</t>
        </is>
      </c>
      <c r="AB201" t="inlineStr">
        <is>
          <t>07763504</t>
        </is>
      </c>
      <c r="AC201" t="inlineStr">
        <is>
          <t>Lima - Lima - San Miguel - Jr. Simon Bolivar 105 Dpto 1201</t>
        </is>
      </c>
      <c r="AE201" t="inlineStr">
        <is>
          <t>998912031</t>
        </is>
      </c>
      <c r="AF201" t="inlineStr">
        <is>
          <t>pablocornejo@yahoo.com</t>
        </is>
      </c>
      <c r="AG201" t="inlineStr">
        <is>
          <t>LIMA</t>
        </is>
      </c>
      <c r="AH201" t="inlineStr">
        <is>
          <t>SAN MIGUEL</t>
        </is>
      </c>
      <c r="AI201" s="75" t="n">
        <v>45756</v>
      </c>
      <c r="AJ201" s="75" t="n">
        <v>45756</v>
      </c>
      <c r="AK201" t="inlineStr">
        <is>
          <t>SEPARACION</t>
        </is>
      </c>
      <c r="AL201" t="n">
        <v>1</v>
      </c>
      <c r="AM201" t="n">
        <v>3000</v>
      </c>
      <c r="AN201" t="n">
        <v>0</v>
      </c>
      <c r="AO201" t="n">
        <v>0</v>
      </c>
      <c r="AP201" s="39" t="n">
        <v>3000</v>
      </c>
      <c r="AQ201" s="39" t="n">
        <v>3000</v>
      </c>
      <c r="AR201" s="39" t="n">
        <v>0</v>
      </c>
      <c r="AS201" t="n">
        <v>0</v>
      </c>
      <c r="AT201" t="inlineStr">
        <is>
          <t>Crédito Directo</t>
        </is>
      </c>
      <c r="AU201" t="inlineStr">
        <is>
          <t>Banco de Credito del Perú</t>
        </is>
      </c>
      <c r="AV201" t="inlineStr">
        <is>
          <t>194-7325779-0-65</t>
        </is>
      </c>
      <c r="AW201" t="inlineStr">
        <is>
          <t>POS VISA</t>
        </is>
      </c>
      <c r="AY201" t="inlineStr">
        <is>
          <t>435048</t>
        </is>
      </c>
      <c r="AZ201" t="inlineStr">
        <is>
          <t>No</t>
        </is>
      </c>
      <c r="BB201" t="n">
        <v>1</v>
      </c>
      <c r="BC201" t="inlineStr">
        <is>
          <t>CANCELADO</t>
        </is>
      </c>
      <c r="BN201" t="inlineStr">
        <is>
          <t>No</t>
        </is>
      </c>
      <c r="BO201" s="76" t="n">
        <v>45761.40694444445</v>
      </c>
      <c r="BP201" t="inlineStr">
        <is>
          <t>Carla Michue M</t>
        </is>
      </c>
      <c r="BR201" t="n">
        <v>38</v>
      </c>
      <c r="BS201" t="inlineStr">
        <is>
          <t>29/05/2026 02:48</t>
        </is>
      </c>
      <c r="BW201" t="inlineStr">
        <is>
          <t>Cobranzas_2025.csv</t>
        </is>
      </c>
      <c r="BX201" t="n">
        <v>2025</v>
      </c>
      <c r="BY201" t="inlineStr">
        <is>
          <t>01/01/2024</t>
        </is>
      </c>
      <c r="BZ201" t="inlineStr">
        <is>
          <t>30/06/2031</t>
        </is>
      </c>
    </row>
    <row r="202">
      <c r="A202" t="inlineStr">
        <is>
          <t>RESIDENCIAL BEYOND</t>
        </is>
      </c>
      <c r="B202" t="inlineStr">
        <is>
          <t>Etapa 1</t>
        </is>
      </c>
      <c r="C202" t="inlineStr">
        <is>
          <t>Edificio</t>
        </is>
      </c>
      <c r="D202" t="inlineStr">
        <is>
          <t>A</t>
        </is>
      </c>
      <c r="E202" t="inlineStr">
        <is>
          <t>Departamento</t>
        </is>
      </c>
      <c r="F202" t="inlineStr">
        <is>
          <t>604</t>
        </is>
      </c>
      <c r="G202" s="39" t="n">
        <v>460000</v>
      </c>
      <c r="H202" s="39" t="n">
        <v>460000</v>
      </c>
      <c r="I202" t="inlineStr">
        <is>
          <t>Edificio</t>
        </is>
      </c>
      <c r="J202" t="inlineStr">
        <is>
          <t>A</t>
        </is>
      </c>
      <c r="K202" t="inlineStr">
        <is>
          <t>Estacionamiento</t>
        </is>
      </c>
      <c r="L202" t="inlineStr">
        <is>
          <t>E 11</t>
        </is>
      </c>
      <c r="M202" s="39" t="n">
        <v>47500</v>
      </c>
      <c r="N202" s="39" t="n">
        <v>47500</v>
      </c>
      <c r="O202" t="inlineStr">
        <is>
          <t>Edificio</t>
        </is>
      </c>
      <c r="P202" t="inlineStr">
        <is>
          <t>A</t>
        </is>
      </c>
      <c r="Q202" t="inlineStr">
        <is>
          <t>Depósito</t>
        </is>
      </c>
      <c r="R202" t="inlineStr">
        <is>
          <t>D 06</t>
        </is>
      </c>
      <c r="S202" s="39" t="n">
        <v>21700</v>
      </c>
      <c r="T202" s="39" t="n">
        <v>21700</v>
      </c>
      <c r="U202" t="inlineStr">
        <is>
          <t>Edificio</t>
        </is>
      </c>
      <c r="V202" t="inlineStr">
        <is>
          <t>A</t>
        </is>
      </c>
      <c r="W202" t="inlineStr">
        <is>
          <t>Depósito</t>
        </is>
      </c>
      <c r="X202" t="inlineStr">
        <is>
          <t>D 07</t>
        </is>
      </c>
      <c r="Y202" s="39" t="n">
        <v>9500</v>
      </c>
      <c r="Z202" s="39" t="n">
        <v>9500</v>
      </c>
      <c r="AA202" t="inlineStr">
        <is>
          <t>PABLO JAIME CORNEJO PEREDA</t>
        </is>
      </c>
      <c r="AB202" t="inlineStr">
        <is>
          <t>07763504</t>
        </is>
      </c>
      <c r="AC202" t="inlineStr">
        <is>
          <t>Lima - Lima - San Miguel - Jr. Simon Bolivar 105 Dpto 1201</t>
        </is>
      </c>
      <c r="AE202" t="inlineStr">
        <is>
          <t>998912031</t>
        </is>
      </c>
      <c r="AF202" t="inlineStr">
        <is>
          <t>pablocornejo@yahoo.com</t>
        </is>
      </c>
      <c r="AG202" t="inlineStr">
        <is>
          <t>LIMA</t>
        </is>
      </c>
      <c r="AH202" t="inlineStr">
        <is>
          <t>SAN MIGUEL</t>
        </is>
      </c>
      <c r="AI202" s="75" t="n">
        <v>45761</v>
      </c>
      <c r="AJ202" s="75" t="n">
        <v>45761</v>
      </c>
      <c r="AK202" t="inlineStr">
        <is>
          <t>CUOTA INICIAL</t>
        </is>
      </c>
      <c r="AL202" t="n">
        <v>2</v>
      </c>
      <c r="AM202" t="n">
        <v>104340</v>
      </c>
      <c r="AN202" t="n">
        <v>0</v>
      </c>
      <c r="AO202" t="n">
        <v>0</v>
      </c>
      <c r="AP202" s="39" t="n">
        <v>104340</v>
      </c>
      <c r="AQ202" s="39" t="n">
        <v>104340</v>
      </c>
      <c r="AR202" s="39" t="n">
        <v>0</v>
      </c>
      <c r="AS202" t="n">
        <v>0</v>
      </c>
      <c r="AT202" t="inlineStr">
        <is>
          <t>Crédito Directo</t>
        </is>
      </c>
      <c r="AU202" t="inlineStr">
        <is>
          <t>Banco de Credito del Perú</t>
        </is>
      </c>
      <c r="AV202" t="inlineStr">
        <is>
          <t>194-7325779-0-65</t>
        </is>
      </c>
      <c r="AW202" t="inlineStr">
        <is>
          <t>DEPOSITO EN CUENTA</t>
        </is>
      </c>
      <c r="AY202" t="inlineStr">
        <is>
          <t>004422892</t>
        </is>
      </c>
      <c r="AZ202" t="inlineStr">
        <is>
          <t>No</t>
        </is>
      </c>
      <c r="BB202" t="n">
        <v>1</v>
      </c>
      <c r="BC202" t="inlineStr">
        <is>
          <t>CANCELADO</t>
        </is>
      </c>
      <c r="BN202" t="inlineStr">
        <is>
          <t>No</t>
        </is>
      </c>
      <c r="BO202" s="76" t="n">
        <v>45761.40694444445</v>
      </c>
      <c r="BP202" t="inlineStr">
        <is>
          <t>Carla Michue M</t>
        </is>
      </c>
      <c r="BR202" t="n">
        <v>38</v>
      </c>
      <c r="BS202" t="inlineStr">
        <is>
          <t>29/05/2026 02:48</t>
        </is>
      </c>
      <c r="BW202" t="inlineStr">
        <is>
          <t>Cobranzas_2025.csv</t>
        </is>
      </c>
      <c r="BX202" t="n">
        <v>2025</v>
      </c>
      <c r="BY202" t="inlineStr">
        <is>
          <t>01/01/2024</t>
        </is>
      </c>
      <c r="BZ202" t="inlineStr">
        <is>
          <t>30/06/2031</t>
        </is>
      </c>
    </row>
    <row r="203">
      <c r="A203" t="inlineStr">
        <is>
          <t>RESIDENCIAL BEYOND</t>
        </is>
      </c>
      <c r="B203" t="inlineStr">
        <is>
          <t>Etapa 1</t>
        </is>
      </c>
      <c r="C203" t="inlineStr">
        <is>
          <t>Edificio</t>
        </is>
      </c>
      <c r="D203" t="inlineStr">
        <is>
          <t>A</t>
        </is>
      </c>
      <c r="E203" t="inlineStr">
        <is>
          <t>Departamento</t>
        </is>
      </c>
      <c r="F203" t="inlineStr">
        <is>
          <t>604</t>
        </is>
      </c>
      <c r="G203" s="39" t="n">
        <v>460000</v>
      </c>
      <c r="H203" s="39" t="n">
        <v>460000</v>
      </c>
      <c r="I203" t="inlineStr">
        <is>
          <t>Edificio</t>
        </is>
      </c>
      <c r="J203" t="inlineStr">
        <is>
          <t>A</t>
        </is>
      </c>
      <c r="K203" t="inlineStr">
        <is>
          <t>Estacionamiento</t>
        </is>
      </c>
      <c r="L203" t="inlineStr">
        <is>
          <t>E 11</t>
        </is>
      </c>
      <c r="M203" s="39" t="n">
        <v>47500</v>
      </c>
      <c r="N203" s="39" t="n">
        <v>47500</v>
      </c>
      <c r="O203" t="inlineStr">
        <is>
          <t>Edificio</t>
        </is>
      </c>
      <c r="P203" t="inlineStr">
        <is>
          <t>A</t>
        </is>
      </c>
      <c r="Q203" t="inlineStr">
        <is>
          <t>Depósito</t>
        </is>
      </c>
      <c r="R203" t="inlineStr">
        <is>
          <t>D 06</t>
        </is>
      </c>
      <c r="S203" s="39" t="n">
        <v>21700</v>
      </c>
      <c r="T203" s="39" t="n">
        <v>21700</v>
      </c>
      <c r="U203" t="inlineStr">
        <is>
          <t>Edificio</t>
        </is>
      </c>
      <c r="V203" t="inlineStr">
        <is>
          <t>A</t>
        </is>
      </c>
      <c r="W203" t="inlineStr">
        <is>
          <t>Depósito</t>
        </is>
      </c>
      <c r="X203" t="inlineStr">
        <is>
          <t>D 07</t>
        </is>
      </c>
      <c r="Y203" s="39" t="n">
        <v>9500</v>
      </c>
      <c r="Z203" s="39" t="n">
        <v>9500</v>
      </c>
      <c r="AA203" t="inlineStr">
        <is>
          <t>PABLO JAIME CORNEJO PEREDA</t>
        </is>
      </c>
      <c r="AB203" t="inlineStr">
        <is>
          <t>07763504</t>
        </is>
      </c>
      <c r="AC203" t="inlineStr">
        <is>
          <t>Lima - Lima - San Miguel - Jr. Simon Bolivar 105 Dpto 1201</t>
        </is>
      </c>
      <c r="AE203" t="inlineStr">
        <is>
          <t>998912031</t>
        </is>
      </c>
      <c r="AF203" t="inlineStr">
        <is>
          <t>pablocornejo@yahoo.com</t>
        </is>
      </c>
      <c r="AG203" t="inlineStr">
        <is>
          <t>LIMA</t>
        </is>
      </c>
      <c r="AH203" t="inlineStr">
        <is>
          <t>SAN MIGUEL</t>
        </is>
      </c>
      <c r="AI203" s="75" t="n">
        <v>45800</v>
      </c>
      <c r="AJ203" s="75" t="n">
        <v>45800</v>
      </c>
      <c r="AK203" t="inlineStr">
        <is>
          <t>CUOTA INICIAL</t>
        </is>
      </c>
      <c r="AL203" t="n">
        <v>3</v>
      </c>
      <c r="AM203" t="n">
        <v>104340</v>
      </c>
      <c r="AN203" t="n">
        <v>0</v>
      </c>
      <c r="AO203" t="n">
        <v>0</v>
      </c>
      <c r="AP203" s="39" t="n">
        <v>104340</v>
      </c>
      <c r="AQ203" s="39" t="n">
        <v>104340</v>
      </c>
      <c r="AR203" s="39" t="n">
        <v>0</v>
      </c>
      <c r="AS203" t="n">
        <v>0</v>
      </c>
      <c r="AT203" t="inlineStr">
        <is>
          <t>Crédito Directo</t>
        </is>
      </c>
      <c r="AU203" t="inlineStr">
        <is>
          <t>Banco de Credito del Perú</t>
        </is>
      </c>
      <c r="AV203" t="inlineStr">
        <is>
          <t>194-7325779-0-65</t>
        </is>
      </c>
      <c r="AW203" t="inlineStr">
        <is>
          <t>DEPOSITO EN CUENTA</t>
        </is>
      </c>
      <c r="AY203" t="inlineStr">
        <is>
          <t>0748099</t>
        </is>
      </c>
      <c r="AZ203" t="inlineStr">
        <is>
          <t>No</t>
        </is>
      </c>
      <c r="BB203" t="n">
        <v>1</v>
      </c>
      <c r="BC203" t="inlineStr">
        <is>
          <t>CANCELADO</t>
        </is>
      </c>
      <c r="BN203" t="inlineStr">
        <is>
          <t>No</t>
        </is>
      </c>
      <c r="BO203" s="76" t="n">
        <v>45761.40694444445</v>
      </c>
      <c r="BP203" t="inlineStr">
        <is>
          <t>Carla Michue M</t>
        </is>
      </c>
      <c r="BR203" t="n">
        <v>38</v>
      </c>
      <c r="BS203" t="inlineStr">
        <is>
          <t>29/05/2026 02:48</t>
        </is>
      </c>
      <c r="BW203" t="inlineStr">
        <is>
          <t>Cobranzas_2025.csv</t>
        </is>
      </c>
      <c r="BX203" t="n">
        <v>2025</v>
      </c>
      <c r="BY203" t="inlineStr">
        <is>
          <t>01/01/2024</t>
        </is>
      </c>
      <c r="BZ203" t="inlineStr">
        <is>
          <t>30/06/2031</t>
        </is>
      </c>
    </row>
    <row r="204">
      <c r="A204" t="inlineStr">
        <is>
          <t>RESIDENCIAL BEYOND</t>
        </is>
      </c>
      <c r="B204" t="inlineStr">
        <is>
          <t>Etapa 1</t>
        </is>
      </c>
      <c r="C204" t="inlineStr">
        <is>
          <t>Edificio</t>
        </is>
      </c>
      <c r="D204" t="inlineStr">
        <is>
          <t>A</t>
        </is>
      </c>
      <c r="E204" t="inlineStr">
        <is>
          <t>Departamento</t>
        </is>
      </c>
      <c r="F204" t="inlineStr">
        <is>
          <t>604</t>
        </is>
      </c>
      <c r="G204" s="39" t="n">
        <v>460000</v>
      </c>
      <c r="H204" s="39" t="n">
        <v>460000</v>
      </c>
      <c r="I204" t="inlineStr">
        <is>
          <t>Edificio</t>
        </is>
      </c>
      <c r="J204" t="inlineStr">
        <is>
          <t>A</t>
        </is>
      </c>
      <c r="K204" t="inlineStr">
        <is>
          <t>Estacionamiento</t>
        </is>
      </c>
      <c r="L204" t="inlineStr">
        <is>
          <t>E 11</t>
        </is>
      </c>
      <c r="M204" s="39" t="n">
        <v>47500</v>
      </c>
      <c r="N204" s="39" t="n">
        <v>47500</v>
      </c>
      <c r="O204" t="inlineStr">
        <is>
          <t>Edificio</t>
        </is>
      </c>
      <c r="P204" t="inlineStr">
        <is>
          <t>A</t>
        </is>
      </c>
      <c r="Q204" t="inlineStr">
        <is>
          <t>Depósito</t>
        </is>
      </c>
      <c r="R204" t="inlineStr">
        <is>
          <t>D 06</t>
        </is>
      </c>
      <c r="S204" s="39" t="n">
        <v>21700</v>
      </c>
      <c r="T204" s="39" t="n">
        <v>21700</v>
      </c>
      <c r="U204" t="inlineStr">
        <is>
          <t>Edificio</t>
        </is>
      </c>
      <c r="V204" t="inlineStr">
        <is>
          <t>A</t>
        </is>
      </c>
      <c r="W204" t="inlineStr">
        <is>
          <t>Depósito</t>
        </is>
      </c>
      <c r="X204" t="inlineStr">
        <is>
          <t>D 07</t>
        </is>
      </c>
      <c r="Y204" s="39" t="n">
        <v>9500</v>
      </c>
      <c r="Z204" s="39" t="n">
        <v>9500</v>
      </c>
      <c r="AA204" t="inlineStr">
        <is>
          <t>PABLO JAIME CORNEJO PEREDA</t>
        </is>
      </c>
      <c r="AB204" t="inlineStr">
        <is>
          <t>07763504</t>
        </is>
      </c>
      <c r="AC204" t="inlineStr">
        <is>
          <t>Lima - Lima - San Miguel - Jr. Simon Bolivar 105 Dpto 1201</t>
        </is>
      </c>
      <c r="AE204" t="inlineStr">
        <is>
          <t>998912031</t>
        </is>
      </c>
      <c r="AF204" t="inlineStr">
        <is>
          <t>pablocornejo@yahoo.com</t>
        </is>
      </c>
      <c r="AG204" t="inlineStr">
        <is>
          <t>LIMA</t>
        </is>
      </c>
      <c r="AH204" t="inlineStr">
        <is>
          <t>SAN MIGUEL</t>
        </is>
      </c>
      <c r="AI204" s="75" t="n">
        <v>45800</v>
      </c>
      <c r="AJ204" s="75" t="n">
        <v>45800</v>
      </c>
      <c r="AK204" t="inlineStr">
        <is>
          <t>SALDO FINANCIAR</t>
        </is>
      </c>
      <c r="AL204" t="n">
        <v>4</v>
      </c>
      <c r="AM204" t="n">
        <v>9500</v>
      </c>
      <c r="AN204" t="n">
        <v>0</v>
      </c>
      <c r="AO204" t="n">
        <v>0</v>
      </c>
      <c r="AP204" s="39" t="n">
        <v>9500</v>
      </c>
      <c r="AQ204" s="39" t="n">
        <v>9500</v>
      </c>
      <c r="AR204" s="39" t="n">
        <v>0</v>
      </c>
      <c r="AS204" t="n">
        <v>0</v>
      </c>
      <c r="AT204" t="inlineStr">
        <is>
          <t>Crédito Directo</t>
        </is>
      </c>
      <c r="AU204" t="inlineStr">
        <is>
          <t>Banco de Credito del Perú</t>
        </is>
      </c>
      <c r="AV204" t="inlineStr">
        <is>
          <t>194-7325779-0-65</t>
        </is>
      </c>
      <c r="AW204" t="inlineStr">
        <is>
          <t>DEPOSITO EN CUENTA</t>
        </is>
      </c>
      <c r="AY204" t="inlineStr">
        <is>
          <t>0737014</t>
        </is>
      </c>
      <c r="AZ204" t="inlineStr">
        <is>
          <t>No</t>
        </is>
      </c>
      <c r="BB204" t="n">
        <v>1</v>
      </c>
      <c r="BC204" t="inlineStr">
        <is>
          <t>CANCELADO</t>
        </is>
      </c>
      <c r="BN204" t="inlineStr">
        <is>
          <t>No</t>
        </is>
      </c>
      <c r="BO204" s="76" t="n">
        <v>45761.40694444445</v>
      </c>
      <c r="BP204" t="inlineStr">
        <is>
          <t>Carla Michue M</t>
        </is>
      </c>
      <c r="BR204" t="n">
        <v>38</v>
      </c>
      <c r="BS204" t="inlineStr">
        <is>
          <t>29/05/2026 02:48</t>
        </is>
      </c>
      <c r="BW204" t="inlineStr">
        <is>
          <t>Cobranzas_2025.csv</t>
        </is>
      </c>
      <c r="BX204" t="n">
        <v>2025</v>
      </c>
      <c r="BY204" t="inlineStr">
        <is>
          <t>01/01/2024</t>
        </is>
      </c>
      <c r="BZ204" t="inlineStr">
        <is>
          <t>30/06/2031</t>
        </is>
      </c>
    </row>
    <row r="205">
      <c r="A205" t="inlineStr">
        <is>
          <t>RESIDENCIAL BEYOND</t>
        </is>
      </c>
      <c r="B205" t="inlineStr">
        <is>
          <t>Etapa 1</t>
        </is>
      </c>
      <c r="C205" t="inlineStr">
        <is>
          <t>Edificio</t>
        </is>
      </c>
      <c r="D205" t="inlineStr">
        <is>
          <t>A</t>
        </is>
      </c>
      <c r="E205" t="inlineStr">
        <is>
          <t>Departamento</t>
        </is>
      </c>
      <c r="F205" t="inlineStr">
        <is>
          <t>604</t>
        </is>
      </c>
      <c r="G205" s="39" t="n">
        <v>460000</v>
      </c>
      <c r="H205" s="39" t="n">
        <v>460000</v>
      </c>
      <c r="I205" t="inlineStr">
        <is>
          <t>Edificio</t>
        </is>
      </c>
      <c r="J205" t="inlineStr">
        <is>
          <t>A</t>
        </is>
      </c>
      <c r="K205" t="inlineStr">
        <is>
          <t>Estacionamiento</t>
        </is>
      </c>
      <c r="L205" t="inlineStr">
        <is>
          <t>E 11</t>
        </is>
      </c>
      <c r="M205" s="39" t="n">
        <v>47500</v>
      </c>
      <c r="N205" s="39" t="n">
        <v>47500</v>
      </c>
      <c r="O205" t="inlineStr">
        <is>
          <t>Edificio</t>
        </is>
      </c>
      <c r="P205" t="inlineStr">
        <is>
          <t>A</t>
        </is>
      </c>
      <c r="Q205" t="inlineStr">
        <is>
          <t>Depósito</t>
        </is>
      </c>
      <c r="R205" t="inlineStr">
        <is>
          <t>D 06</t>
        </is>
      </c>
      <c r="S205" s="39" t="n">
        <v>21700</v>
      </c>
      <c r="T205" s="39" t="n">
        <v>21700</v>
      </c>
      <c r="U205" t="inlineStr">
        <is>
          <t>Edificio</t>
        </is>
      </c>
      <c r="V205" t="inlineStr">
        <is>
          <t>A</t>
        </is>
      </c>
      <c r="W205" t="inlineStr">
        <is>
          <t>Depósito</t>
        </is>
      </c>
      <c r="X205" t="inlineStr">
        <is>
          <t>D 07</t>
        </is>
      </c>
      <c r="Y205" s="39" t="n">
        <v>9500</v>
      </c>
      <c r="Z205" s="39" t="n">
        <v>9500</v>
      </c>
      <c r="AA205" t="inlineStr">
        <is>
          <t>PABLO JAIME CORNEJO PEREDA</t>
        </is>
      </c>
      <c r="AB205" t="inlineStr">
        <is>
          <t>07763504</t>
        </is>
      </c>
      <c r="AC205" t="inlineStr">
        <is>
          <t>Lima - Lima - San Miguel - Jr. Simon Bolivar 105 Dpto 1201</t>
        </is>
      </c>
      <c r="AE205" t="inlineStr">
        <is>
          <t>998912031</t>
        </is>
      </c>
      <c r="AF205" t="inlineStr">
        <is>
          <t>pablocornejo@yahoo.com</t>
        </is>
      </c>
      <c r="AG205" t="inlineStr">
        <is>
          <t>LIMA</t>
        </is>
      </c>
      <c r="AH205" t="inlineStr">
        <is>
          <t>SAN MIGUEL</t>
        </is>
      </c>
      <c r="AI205" s="75" t="n">
        <v>45819</v>
      </c>
      <c r="AJ205" s="75" t="n">
        <v>45819</v>
      </c>
      <c r="AK205" t="inlineStr">
        <is>
          <t>SALDO FINANCIAR</t>
        </is>
      </c>
      <c r="AL205" t="n">
        <v>5</v>
      </c>
      <c r="AM205" t="n">
        <v>21168</v>
      </c>
      <c r="AN205" t="n">
        <v>0</v>
      </c>
      <c r="AO205" t="n">
        <v>0</v>
      </c>
      <c r="AP205" s="39" t="n">
        <v>21168</v>
      </c>
      <c r="AQ205" s="39" t="n">
        <v>21168</v>
      </c>
      <c r="AR205" s="39" t="n">
        <v>0</v>
      </c>
      <c r="AS205" t="n">
        <v>0</v>
      </c>
      <c r="AT205" t="inlineStr">
        <is>
          <t>Crédito Directo</t>
        </is>
      </c>
      <c r="AU205" t="inlineStr">
        <is>
          <t>Banco de Credito del Perú</t>
        </is>
      </c>
      <c r="AV205" t="inlineStr">
        <is>
          <t>194-7325779-0-65</t>
        </is>
      </c>
      <c r="AW205" t="inlineStr">
        <is>
          <t>DEPOSITO EN CUENTA</t>
        </is>
      </c>
      <c r="AY205" t="inlineStr">
        <is>
          <t>0825269</t>
        </is>
      </c>
      <c r="AZ205" t="inlineStr">
        <is>
          <t>No</t>
        </is>
      </c>
      <c r="BB205" t="n">
        <v>1</v>
      </c>
      <c r="BC205" t="inlineStr">
        <is>
          <t>CANCELADO</t>
        </is>
      </c>
      <c r="BN205" t="inlineStr">
        <is>
          <t>No</t>
        </is>
      </c>
      <c r="BO205" s="76" t="n">
        <v>45761.40694444445</v>
      </c>
      <c r="BP205" t="inlineStr">
        <is>
          <t>Carla Michue M</t>
        </is>
      </c>
      <c r="BR205" t="n">
        <v>38</v>
      </c>
      <c r="BS205" t="inlineStr">
        <is>
          <t>29/05/2026 02:48</t>
        </is>
      </c>
      <c r="BW205" t="inlineStr">
        <is>
          <t>Cobranzas_2025.csv</t>
        </is>
      </c>
      <c r="BX205" t="n">
        <v>2025</v>
      </c>
      <c r="BY205" t="inlineStr">
        <is>
          <t>01/01/2024</t>
        </is>
      </c>
      <c r="BZ205" t="inlineStr">
        <is>
          <t>30/06/2031</t>
        </is>
      </c>
    </row>
    <row r="206">
      <c r="A206" t="inlineStr">
        <is>
          <t>RESIDENCIAL BEYOND</t>
        </is>
      </c>
      <c r="B206" t="inlineStr">
        <is>
          <t>Etapa 1</t>
        </is>
      </c>
      <c r="C206" t="inlineStr">
        <is>
          <t>Edificio</t>
        </is>
      </c>
      <c r="D206" t="inlineStr">
        <is>
          <t>A</t>
        </is>
      </c>
      <c r="E206" t="inlineStr">
        <is>
          <t>Departamento</t>
        </is>
      </c>
      <c r="F206" t="inlineStr">
        <is>
          <t>604</t>
        </is>
      </c>
      <c r="G206" s="39" t="n">
        <v>460000</v>
      </c>
      <c r="H206" s="39" t="n">
        <v>460000</v>
      </c>
      <c r="I206" t="inlineStr">
        <is>
          <t>Edificio</t>
        </is>
      </c>
      <c r="J206" t="inlineStr">
        <is>
          <t>A</t>
        </is>
      </c>
      <c r="K206" t="inlineStr">
        <is>
          <t>Estacionamiento</t>
        </is>
      </c>
      <c r="L206" t="inlineStr">
        <is>
          <t>E 11</t>
        </is>
      </c>
      <c r="M206" s="39" t="n">
        <v>47500</v>
      </c>
      <c r="N206" s="39" t="n">
        <v>47500</v>
      </c>
      <c r="O206" t="inlineStr">
        <is>
          <t>Edificio</t>
        </is>
      </c>
      <c r="P206" t="inlineStr">
        <is>
          <t>A</t>
        </is>
      </c>
      <c r="Q206" t="inlineStr">
        <is>
          <t>Depósito</t>
        </is>
      </c>
      <c r="R206" t="inlineStr">
        <is>
          <t>D 06</t>
        </is>
      </c>
      <c r="S206" s="39" t="n">
        <v>21700</v>
      </c>
      <c r="T206" s="39" t="n">
        <v>21700</v>
      </c>
      <c r="U206" t="inlineStr">
        <is>
          <t>Edificio</t>
        </is>
      </c>
      <c r="V206" t="inlineStr">
        <is>
          <t>A</t>
        </is>
      </c>
      <c r="W206" t="inlineStr">
        <is>
          <t>Depósito</t>
        </is>
      </c>
      <c r="X206" t="inlineStr">
        <is>
          <t>D 07</t>
        </is>
      </c>
      <c r="Y206" s="39" t="n">
        <v>9500</v>
      </c>
      <c r="Z206" s="39" t="n">
        <v>9500</v>
      </c>
      <c r="AA206" t="inlineStr">
        <is>
          <t>PABLO JAIME CORNEJO PEREDA</t>
        </is>
      </c>
      <c r="AB206" t="inlineStr">
        <is>
          <t>07763504</t>
        </is>
      </c>
      <c r="AC206" t="inlineStr">
        <is>
          <t>Lima - Lima - San Miguel - Jr. Simon Bolivar 105 Dpto 1201</t>
        </is>
      </c>
      <c r="AE206" t="inlineStr">
        <is>
          <t>998912031</t>
        </is>
      </c>
      <c r="AF206" t="inlineStr">
        <is>
          <t>pablocornejo@yahoo.com</t>
        </is>
      </c>
      <c r="AG206" t="inlineStr">
        <is>
          <t>LIMA</t>
        </is>
      </c>
      <c r="AH206" t="inlineStr">
        <is>
          <t>SAN MIGUEL</t>
        </is>
      </c>
      <c r="AI206" s="75" t="n">
        <v>45819</v>
      </c>
      <c r="AJ206" s="75" t="n">
        <v>45819</v>
      </c>
      <c r="AK206" t="inlineStr">
        <is>
          <t>SALDO FINANCIAR</t>
        </is>
      </c>
      <c r="AL206" t="n">
        <v>6</v>
      </c>
      <c r="AM206" t="n">
        <v>21168</v>
      </c>
      <c r="AN206" t="n">
        <v>0</v>
      </c>
      <c r="AO206" t="n">
        <v>0</v>
      </c>
      <c r="AP206" s="39" t="n">
        <v>21168</v>
      </c>
      <c r="AQ206" s="39" t="n">
        <v>21168</v>
      </c>
      <c r="AR206" s="39" t="n">
        <v>0</v>
      </c>
      <c r="AS206" t="n">
        <v>0</v>
      </c>
      <c r="AT206" t="inlineStr">
        <is>
          <t>Crédito Directo</t>
        </is>
      </c>
      <c r="AU206" t="inlineStr">
        <is>
          <t>Banco de Credito del Perú</t>
        </is>
      </c>
      <c r="AV206" t="inlineStr">
        <is>
          <t>194-7325779-0-65</t>
        </is>
      </c>
      <c r="AW206" t="inlineStr">
        <is>
          <t>DEPOSITO EN CUENTA</t>
        </is>
      </c>
      <c r="AY206" t="inlineStr">
        <is>
          <t>0828384</t>
        </is>
      </c>
      <c r="AZ206" t="inlineStr">
        <is>
          <t>No</t>
        </is>
      </c>
      <c r="BB206" t="n">
        <v>1</v>
      </c>
      <c r="BC206" t="inlineStr">
        <is>
          <t>CANCELADO</t>
        </is>
      </c>
      <c r="BN206" t="inlineStr">
        <is>
          <t>No</t>
        </is>
      </c>
      <c r="BO206" s="76" t="n">
        <v>45761.40694444445</v>
      </c>
      <c r="BP206" t="inlineStr">
        <is>
          <t>Carla Michue M</t>
        </is>
      </c>
      <c r="BR206" t="n">
        <v>38</v>
      </c>
      <c r="BS206" t="inlineStr">
        <is>
          <t>29/05/2026 02:48</t>
        </is>
      </c>
      <c r="BW206" t="inlineStr">
        <is>
          <t>Cobranzas_2025.csv</t>
        </is>
      </c>
      <c r="BX206" t="n">
        <v>2025</v>
      </c>
      <c r="BY206" t="inlineStr">
        <is>
          <t>01/01/2024</t>
        </is>
      </c>
      <c r="BZ206" t="inlineStr">
        <is>
          <t>30/06/2031</t>
        </is>
      </c>
    </row>
    <row r="207">
      <c r="A207" t="inlineStr">
        <is>
          <t>RESIDENCIAL BEYOND</t>
        </is>
      </c>
      <c r="B207" t="inlineStr">
        <is>
          <t>Etapa 1</t>
        </is>
      </c>
      <c r="C207" t="inlineStr">
        <is>
          <t>Edificio</t>
        </is>
      </c>
      <c r="D207" t="inlineStr">
        <is>
          <t>A</t>
        </is>
      </c>
      <c r="E207" t="inlineStr">
        <is>
          <t>Departamento</t>
        </is>
      </c>
      <c r="F207" t="inlineStr">
        <is>
          <t>604</t>
        </is>
      </c>
      <c r="G207" s="39" t="n">
        <v>460000</v>
      </c>
      <c r="H207" s="39" t="n">
        <v>460000</v>
      </c>
      <c r="I207" t="inlineStr">
        <is>
          <t>Edificio</t>
        </is>
      </c>
      <c r="J207" t="inlineStr">
        <is>
          <t>A</t>
        </is>
      </c>
      <c r="K207" t="inlineStr">
        <is>
          <t>Estacionamiento</t>
        </is>
      </c>
      <c r="L207" t="inlineStr">
        <is>
          <t>E 11</t>
        </is>
      </c>
      <c r="M207" s="39" t="n">
        <v>47500</v>
      </c>
      <c r="N207" s="39" t="n">
        <v>47500</v>
      </c>
      <c r="O207" t="inlineStr">
        <is>
          <t>Edificio</t>
        </is>
      </c>
      <c r="P207" t="inlineStr">
        <is>
          <t>A</t>
        </is>
      </c>
      <c r="Q207" t="inlineStr">
        <is>
          <t>Depósito</t>
        </is>
      </c>
      <c r="R207" t="inlineStr">
        <is>
          <t>D 06</t>
        </is>
      </c>
      <c r="S207" s="39" t="n">
        <v>21700</v>
      </c>
      <c r="T207" s="39" t="n">
        <v>21700</v>
      </c>
      <c r="U207" t="inlineStr">
        <is>
          <t>Edificio</t>
        </is>
      </c>
      <c r="V207" t="inlineStr">
        <is>
          <t>A</t>
        </is>
      </c>
      <c r="W207" t="inlineStr">
        <is>
          <t>Depósito</t>
        </is>
      </c>
      <c r="X207" t="inlineStr">
        <is>
          <t>D 07</t>
        </is>
      </c>
      <c r="Y207" s="39" t="n">
        <v>9500</v>
      </c>
      <c r="Z207" s="39" t="n">
        <v>9500</v>
      </c>
      <c r="AA207" t="inlineStr">
        <is>
          <t>PABLO JAIME CORNEJO PEREDA</t>
        </is>
      </c>
      <c r="AB207" t="inlineStr">
        <is>
          <t>07763504</t>
        </is>
      </c>
      <c r="AC207" t="inlineStr">
        <is>
          <t>Lima - Lima - San Miguel - Jr. Simon Bolivar 105 Dpto 1201</t>
        </is>
      </c>
      <c r="AE207" t="inlineStr">
        <is>
          <t>998912031</t>
        </is>
      </c>
      <c r="AF207" t="inlineStr">
        <is>
          <t>pablocornejo@yahoo.com</t>
        </is>
      </c>
      <c r="AG207" t="inlineStr">
        <is>
          <t>LIMA</t>
        </is>
      </c>
      <c r="AH207" t="inlineStr">
        <is>
          <t>SAN MIGUEL</t>
        </is>
      </c>
      <c r="AI207" s="75" t="n">
        <v>45819</v>
      </c>
      <c r="AJ207" s="75" t="n">
        <v>45819</v>
      </c>
      <c r="AK207" t="inlineStr">
        <is>
          <t>SALDO FINANCIAR</t>
        </is>
      </c>
      <c r="AL207" t="n">
        <v>7</v>
      </c>
      <c r="AM207" t="n">
        <v>21168</v>
      </c>
      <c r="AN207" t="n">
        <v>0</v>
      </c>
      <c r="AO207" t="n">
        <v>0</v>
      </c>
      <c r="AP207" s="39" t="n">
        <v>21168</v>
      </c>
      <c r="AQ207" s="39" t="n">
        <v>21168</v>
      </c>
      <c r="AR207" s="39" t="n">
        <v>0</v>
      </c>
      <c r="AS207" t="n">
        <v>0</v>
      </c>
      <c r="AT207" t="inlineStr">
        <is>
          <t>Crédito Directo</t>
        </is>
      </c>
      <c r="AU207" t="inlineStr">
        <is>
          <t>Banco de Credito del Perú</t>
        </is>
      </c>
      <c r="AV207" t="inlineStr">
        <is>
          <t>194-7325779-0-65</t>
        </is>
      </c>
      <c r="AW207" t="inlineStr">
        <is>
          <t>DEPOSITO EN CUENTA</t>
        </is>
      </c>
      <c r="AY207" t="inlineStr">
        <is>
          <t>0831202</t>
        </is>
      </c>
      <c r="AZ207" t="inlineStr">
        <is>
          <t>No</t>
        </is>
      </c>
      <c r="BB207" t="n">
        <v>1</v>
      </c>
      <c r="BC207" t="inlineStr">
        <is>
          <t>CANCELADO</t>
        </is>
      </c>
      <c r="BN207" t="inlineStr">
        <is>
          <t>No</t>
        </is>
      </c>
      <c r="BO207" s="76" t="n">
        <v>45761.40694444445</v>
      </c>
      <c r="BP207" t="inlineStr">
        <is>
          <t>Carla Michue M</t>
        </is>
      </c>
      <c r="BR207" t="n">
        <v>38</v>
      </c>
      <c r="BS207" t="inlineStr">
        <is>
          <t>29/05/2026 02:48</t>
        </is>
      </c>
      <c r="BW207" t="inlineStr">
        <is>
          <t>Cobranzas_2025.csv</t>
        </is>
      </c>
      <c r="BX207" t="n">
        <v>2025</v>
      </c>
      <c r="BY207" t="inlineStr">
        <is>
          <t>01/01/2024</t>
        </is>
      </c>
      <c r="BZ207" t="inlineStr">
        <is>
          <t>30/06/2031</t>
        </is>
      </c>
    </row>
    <row r="208">
      <c r="A208" t="inlineStr">
        <is>
          <t>RESIDENCIAL BEYOND</t>
        </is>
      </c>
      <c r="B208" t="inlineStr">
        <is>
          <t>Etapa 1</t>
        </is>
      </c>
      <c r="C208" t="inlineStr">
        <is>
          <t>Edificio</t>
        </is>
      </c>
      <c r="D208" t="inlineStr">
        <is>
          <t>A</t>
        </is>
      </c>
      <c r="E208" t="inlineStr">
        <is>
          <t>Departamento</t>
        </is>
      </c>
      <c r="F208" t="inlineStr">
        <is>
          <t>604</t>
        </is>
      </c>
      <c r="G208" s="39" t="n">
        <v>460000</v>
      </c>
      <c r="H208" s="39" t="n">
        <v>460000</v>
      </c>
      <c r="I208" t="inlineStr">
        <is>
          <t>Edificio</t>
        </is>
      </c>
      <c r="J208" t="inlineStr">
        <is>
          <t>A</t>
        </is>
      </c>
      <c r="K208" t="inlineStr">
        <is>
          <t>Estacionamiento</t>
        </is>
      </c>
      <c r="L208" t="inlineStr">
        <is>
          <t>E 11</t>
        </is>
      </c>
      <c r="M208" s="39" t="n">
        <v>47500</v>
      </c>
      <c r="N208" s="39" t="n">
        <v>47500</v>
      </c>
      <c r="O208" t="inlineStr">
        <is>
          <t>Edificio</t>
        </is>
      </c>
      <c r="P208" t="inlineStr">
        <is>
          <t>A</t>
        </is>
      </c>
      <c r="Q208" t="inlineStr">
        <is>
          <t>Depósito</t>
        </is>
      </c>
      <c r="R208" t="inlineStr">
        <is>
          <t>D 06</t>
        </is>
      </c>
      <c r="S208" s="39" t="n">
        <v>21700</v>
      </c>
      <c r="T208" s="39" t="n">
        <v>21700</v>
      </c>
      <c r="U208" t="inlineStr">
        <is>
          <t>Edificio</t>
        </is>
      </c>
      <c r="V208" t="inlineStr">
        <is>
          <t>A</t>
        </is>
      </c>
      <c r="W208" t="inlineStr">
        <is>
          <t>Depósito</t>
        </is>
      </c>
      <c r="X208" t="inlineStr">
        <is>
          <t>D 07</t>
        </is>
      </c>
      <c r="Y208" s="39" t="n">
        <v>9500</v>
      </c>
      <c r="Z208" s="39" t="n">
        <v>9500</v>
      </c>
      <c r="AA208" t="inlineStr">
        <is>
          <t>PABLO JAIME CORNEJO PEREDA</t>
        </is>
      </c>
      <c r="AB208" t="inlineStr">
        <is>
          <t>07763504</t>
        </is>
      </c>
      <c r="AC208" t="inlineStr">
        <is>
          <t>Lima - Lima - San Miguel - Jr. Simon Bolivar 105 Dpto 1201</t>
        </is>
      </c>
      <c r="AE208" t="inlineStr">
        <is>
          <t>998912031</t>
        </is>
      </c>
      <c r="AF208" t="inlineStr">
        <is>
          <t>pablocornejo@yahoo.com</t>
        </is>
      </c>
      <c r="AG208" t="inlineStr">
        <is>
          <t>LIMA</t>
        </is>
      </c>
      <c r="AH208" t="inlineStr">
        <is>
          <t>SAN MIGUEL</t>
        </is>
      </c>
      <c r="AI208" s="75" t="n">
        <v>45819</v>
      </c>
      <c r="AJ208" s="75" t="n">
        <v>45819</v>
      </c>
      <c r="AK208" t="inlineStr">
        <is>
          <t>SALDO FINANCIAR</t>
        </is>
      </c>
      <c r="AL208" t="n">
        <v>8</v>
      </c>
      <c r="AM208" t="n">
        <v>21168</v>
      </c>
      <c r="AN208" t="n">
        <v>0</v>
      </c>
      <c r="AO208" t="n">
        <v>0</v>
      </c>
      <c r="AP208" s="39" t="n">
        <v>21168</v>
      </c>
      <c r="AQ208" s="39" t="n">
        <v>21168</v>
      </c>
      <c r="AR208" s="39" t="n">
        <v>0</v>
      </c>
      <c r="AS208" t="n">
        <v>0</v>
      </c>
      <c r="AT208" t="inlineStr">
        <is>
          <t>Crédito Directo</t>
        </is>
      </c>
      <c r="AU208" t="inlineStr">
        <is>
          <t>Banco de Credito del Perú</t>
        </is>
      </c>
      <c r="AV208" t="inlineStr">
        <is>
          <t>194-7325779-0-65</t>
        </is>
      </c>
      <c r="AW208" t="inlineStr">
        <is>
          <t>DEPOSITO EN CUENTA</t>
        </is>
      </c>
      <c r="AY208" t="inlineStr">
        <is>
          <t>0836496</t>
        </is>
      </c>
      <c r="AZ208" t="inlineStr">
        <is>
          <t>No</t>
        </is>
      </c>
      <c r="BB208" t="n">
        <v>1</v>
      </c>
      <c r="BC208" t="inlineStr">
        <is>
          <t>CANCELADO</t>
        </is>
      </c>
      <c r="BN208" t="inlineStr">
        <is>
          <t>No</t>
        </is>
      </c>
      <c r="BO208" s="76" t="n">
        <v>45761.40694444445</v>
      </c>
      <c r="BP208" t="inlineStr">
        <is>
          <t>Carla Michue M</t>
        </is>
      </c>
      <c r="BR208" t="n">
        <v>38</v>
      </c>
      <c r="BS208" t="inlineStr">
        <is>
          <t>29/05/2026 02:48</t>
        </is>
      </c>
      <c r="BW208" t="inlineStr">
        <is>
          <t>Cobranzas_2025.csv</t>
        </is>
      </c>
      <c r="BX208" t="n">
        <v>2025</v>
      </c>
      <c r="BY208" t="inlineStr">
        <is>
          <t>01/01/2024</t>
        </is>
      </c>
      <c r="BZ208" t="inlineStr">
        <is>
          <t>30/06/2031</t>
        </is>
      </c>
    </row>
    <row r="209">
      <c r="A209" t="inlineStr">
        <is>
          <t>RESIDENCIAL BEYOND</t>
        </is>
      </c>
      <c r="B209" t="inlineStr">
        <is>
          <t>Etapa 1</t>
        </is>
      </c>
      <c r="C209" t="inlineStr">
        <is>
          <t>Edificio</t>
        </is>
      </c>
      <c r="D209" t="inlineStr">
        <is>
          <t>A</t>
        </is>
      </c>
      <c r="E209" t="inlineStr">
        <is>
          <t>Departamento</t>
        </is>
      </c>
      <c r="F209" t="inlineStr">
        <is>
          <t>604</t>
        </is>
      </c>
      <c r="G209" s="39" t="n">
        <v>460000</v>
      </c>
      <c r="H209" s="39" t="n">
        <v>460000</v>
      </c>
      <c r="I209" t="inlineStr">
        <is>
          <t>Edificio</t>
        </is>
      </c>
      <c r="J209" t="inlineStr">
        <is>
          <t>A</t>
        </is>
      </c>
      <c r="K209" t="inlineStr">
        <is>
          <t>Estacionamiento</t>
        </is>
      </c>
      <c r="L209" t="inlineStr">
        <is>
          <t>E 11</t>
        </is>
      </c>
      <c r="M209" s="39" t="n">
        <v>47500</v>
      </c>
      <c r="N209" s="39" t="n">
        <v>47500</v>
      </c>
      <c r="O209" t="inlineStr">
        <is>
          <t>Edificio</t>
        </is>
      </c>
      <c r="P209" t="inlineStr">
        <is>
          <t>A</t>
        </is>
      </c>
      <c r="Q209" t="inlineStr">
        <is>
          <t>Depósito</t>
        </is>
      </c>
      <c r="R209" t="inlineStr">
        <is>
          <t>D 06</t>
        </is>
      </c>
      <c r="S209" s="39" t="n">
        <v>21700</v>
      </c>
      <c r="T209" s="39" t="n">
        <v>21700</v>
      </c>
      <c r="U209" t="inlineStr">
        <is>
          <t>Edificio</t>
        </is>
      </c>
      <c r="V209" t="inlineStr">
        <is>
          <t>A</t>
        </is>
      </c>
      <c r="W209" t="inlineStr">
        <is>
          <t>Depósito</t>
        </is>
      </c>
      <c r="X209" t="inlineStr">
        <is>
          <t>D 07</t>
        </is>
      </c>
      <c r="Y209" s="39" t="n">
        <v>9500</v>
      </c>
      <c r="Z209" s="39" t="n">
        <v>9500</v>
      </c>
      <c r="AA209" t="inlineStr">
        <is>
          <t>PABLO JAIME CORNEJO PEREDA</t>
        </is>
      </c>
      <c r="AB209" t="inlineStr">
        <is>
          <t>07763504</t>
        </is>
      </c>
      <c r="AC209" t="inlineStr">
        <is>
          <t>Lima - Lima - San Miguel - Jr. Simon Bolivar 105 Dpto 1201</t>
        </is>
      </c>
      <c r="AE209" t="inlineStr">
        <is>
          <t>998912031</t>
        </is>
      </c>
      <c r="AF209" t="inlineStr">
        <is>
          <t>pablocornejo@yahoo.com</t>
        </is>
      </c>
      <c r="AG209" t="inlineStr">
        <is>
          <t>LIMA</t>
        </is>
      </c>
      <c r="AH209" t="inlineStr">
        <is>
          <t>SAN MIGUEL</t>
        </is>
      </c>
      <c r="AI209" s="75" t="n">
        <v>45819</v>
      </c>
      <c r="AJ209" s="75" t="n">
        <v>45819</v>
      </c>
      <c r="AK209" t="inlineStr">
        <is>
          <t>SALDO FINANCIAR</t>
        </is>
      </c>
      <c r="AL209" t="n">
        <v>9</v>
      </c>
      <c r="AM209" t="n">
        <v>21168</v>
      </c>
      <c r="AN209" t="n">
        <v>0</v>
      </c>
      <c r="AO209" t="n">
        <v>0</v>
      </c>
      <c r="AP209" s="39" t="n">
        <v>21168</v>
      </c>
      <c r="AQ209" s="39" t="n">
        <v>21168</v>
      </c>
      <c r="AR209" s="39" t="n">
        <v>0</v>
      </c>
      <c r="AS209" t="n">
        <v>0</v>
      </c>
      <c r="AT209" t="inlineStr">
        <is>
          <t>Crédito Directo</t>
        </is>
      </c>
      <c r="AU209" t="inlineStr">
        <is>
          <t>Banco de Credito del Perú</t>
        </is>
      </c>
      <c r="AV209" t="inlineStr">
        <is>
          <t>194-7325779-0-65</t>
        </is>
      </c>
      <c r="AW209" t="inlineStr">
        <is>
          <t>DEPOSITO EN CUENTA</t>
        </is>
      </c>
      <c r="AY209" t="inlineStr">
        <is>
          <t>0836780</t>
        </is>
      </c>
      <c r="AZ209" t="inlineStr">
        <is>
          <t>No</t>
        </is>
      </c>
      <c r="BB209" t="n">
        <v>1</v>
      </c>
      <c r="BC209" t="inlineStr">
        <is>
          <t>CANCELADO</t>
        </is>
      </c>
      <c r="BN209" t="inlineStr">
        <is>
          <t>No</t>
        </is>
      </c>
      <c r="BO209" s="76" t="n">
        <v>45761.40694444445</v>
      </c>
      <c r="BP209" t="inlineStr">
        <is>
          <t>Carla Michue M</t>
        </is>
      </c>
      <c r="BR209" t="n">
        <v>38</v>
      </c>
      <c r="BS209" t="inlineStr">
        <is>
          <t>29/05/2026 02:48</t>
        </is>
      </c>
      <c r="BW209" t="inlineStr">
        <is>
          <t>Cobranzas_2025.csv</t>
        </is>
      </c>
      <c r="BX209" t="n">
        <v>2025</v>
      </c>
      <c r="BY209" t="inlineStr">
        <is>
          <t>01/01/2024</t>
        </is>
      </c>
      <c r="BZ209" t="inlineStr">
        <is>
          <t>30/06/2031</t>
        </is>
      </c>
    </row>
    <row r="210">
      <c r="A210" t="inlineStr">
        <is>
          <t>RESIDENCIAL BEYOND</t>
        </is>
      </c>
      <c r="B210" t="inlineStr">
        <is>
          <t>Etapa 1</t>
        </is>
      </c>
      <c r="C210" t="inlineStr">
        <is>
          <t>Edificio</t>
        </is>
      </c>
      <c r="D210" t="inlineStr">
        <is>
          <t>A</t>
        </is>
      </c>
      <c r="E210" t="inlineStr">
        <is>
          <t>Departamento</t>
        </is>
      </c>
      <c r="F210" t="inlineStr">
        <is>
          <t>604</t>
        </is>
      </c>
      <c r="G210" s="39" t="n">
        <v>460000</v>
      </c>
      <c r="H210" s="39" t="n">
        <v>460000</v>
      </c>
      <c r="I210" t="inlineStr">
        <is>
          <t>Edificio</t>
        </is>
      </c>
      <c r="J210" t="inlineStr">
        <is>
          <t>A</t>
        </is>
      </c>
      <c r="K210" t="inlineStr">
        <is>
          <t>Estacionamiento</t>
        </is>
      </c>
      <c r="L210" t="inlineStr">
        <is>
          <t>E 11</t>
        </is>
      </c>
      <c r="M210" s="39" t="n">
        <v>47500</v>
      </c>
      <c r="N210" s="39" t="n">
        <v>47500</v>
      </c>
      <c r="O210" t="inlineStr">
        <is>
          <t>Edificio</t>
        </is>
      </c>
      <c r="P210" t="inlineStr">
        <is>
          <t>A</t>
        </is>
      </c>
      <c r="Q210" t="inlineStr">
        <is>
          <t>Depósito</t>
        </is>
      </c>
      <c r="R210" t="inlineStr">
        <is>
          <t>D 06</t>
        </is>
      </c>
      <c r="S210" s="39" t="n">
        <v>21700</v>
      </c>
      <c r="T210" s="39" t="n">
        <v>21700</v>
      </c>
      <c r="U210" t="inlineStr">
        <is>
          <t>Edificio</t>
        </is>
      </c>
      <c r="V210" t="inlineStr">
        <is>
          <t>A</t>
        </is>
      </c>
      <c r="W210" t="inlineStr">
        <is>
          <t>Depósito</t>
        </is>
      </c>
      <c r="X210" t="inlineStr">
        <is>
          <t>D 07</t>
        </is>
      </c>
      <c r="Y210" s="39" t="n">
        <v>9500</v>
      </c>
      <c r="Z210" s="39" t="n">
        <v>9500</v>
      </c>
      <c r="AA210" t="inlineStr">
        <is>
          <t>PABLO JAIME CORNEJO PEREDA</t>
        </is>
      </c>
      <c r="AB210" t="inlineStr">
        <is>
          <t>07763504</t>
        </is>
      </c>
      <c r="AC210" t="inlineStr">
        <is>
          <t>Lima - Lima - San Miguel - Jr. Simon Bolivar 105 Dpto 1201</t>
        </is>
      </c>
      <c r="AE210" t="inlineStr">
        <is>
          <t>998912031</t>
        </is>
      </c>
      <c r="AF210" t="inlineStr">
        <is>
          <t>pablocornejo@yahoo.com</t>
        </is>
      </c>
      <c r="AG210" t="inlineStr">
        <is>
          <t>LIMA</t>
        </is>
      </c>
      <c r="AH210" t="inlineStr">
        <is>
          <t>SAN MIGUEL</t>
        </is>
      </c>
      <c r="AI210" s="75" t="n">
        <v>45819</v>
      </c>
      <c r="AJ210" s="75" t="n">
        <v>45819</v>
      </c>
      <c r="AK210" t="inlineStr">
        <is>
          <t>SALDO FINANCIAR</t>
        </is>
      </c>
      <c r="AL210" t="n">
        <v>10</v>
      </c>
      <c r="AM210" t="n">
        <v>21168</v>
      </c>
      <c r="AN210" t="n">
        <v>0</v>
      </c>
      <c r="AO210" t="n">
        <v>0</v>
      </c>
      <c r="AP210" s="39" t="n">
        <v>21168</v>
      </c>
      <c r="AQ210" s="39" t="n">
        <v>21168</v>
      </c>
      <c r="AR210" s="39" t="n">
        <v>0</v>
      </c>
      <c r="AS210" t="n">
        <v>0</v>
      </c>
      <c r="AT210" t="inlineStr">
        <is>
          <t>Crédito Directo</t>
        </is>
      </c>
      <c r="AU210" t="inlineStr">
        <is>
          <t>Banco de Credito del Perú</t>
        </is>
      </c>
      <c r="AV210" t="inlineStr">
        <is>
          <t>194-7325779-0-65</t>
        </is>
      </c>
      <c r="AW210" t="inlineStr">
        <is>
          <t>DEPOSITO EN CUENTA</t>
        </is>
      </c>
      <c r="AY210" t="inlineStr">
        <is>
          <t>0837109</t>
        </is>
      </c>
      <c r="AZ210" t="inlineStr">
        <is>
          <t>No</t>
        </is>
      </c>
      <c r="BB210" t="n">
        <v>1</v>
      </c>
      <c r="BC210" t="inlineStr">
        <is>
          <t>CANCELADO</t>
        </is>
      </c>
      <c r="BN210" t="inlineStr">
        <is>
          <t>No</t>
        </is>
      </c>
      <c r="BO210" s="76" t="n">
        <v>45761.40694444445</v>
      </c>
      <c r="BP210" t="inlineStr">
        <is>
          <t>Carla Michue M</t>
        </is>
      </c>
      <c r="BR210" t="n">
        <v>38</v>
      </c>
      <c r="BS210" t="inlineStr">
        <is>
          <t>29/05/2026 02:48</t>
        </is>
      </c>
      <c r="BW210" t="inlineStr">
        <is>
          <t>Cobranzas_2025.csv</t>
        </is>
      </c>
      <c r="BX210" t="n">
        <v>2025</v>
      </c>
      <c r="BY210" t="inlineStr">
        <is>
          <t>01/01/2024</t>
        </is>
      </c>
      <c r="BZ210" t="inlineStr">
        <is>
          <t>30/06/2031</t>
        </is>
      </c>
    </row>
    <row r="211">
      <c r="A211" t="inlineStr">
        <is>
          <t>RESIDENCIAL PRADA</t>
        </is>
      </c>
      <c r="B211" t="inlineStr">
        <is>
          <t>Etapa 1</t>
        </is>
      </c>
      <c r="C211" t="inlineStr">
        <is>
          <t>Edificio</t>
        </is>
      </c>
      <c r="D211" t="inlineStr">
        <is>
          <t>A</t>
        </is>
      </c>
      <c r="E211" t="inlineStr">
        <is>
          <t>Departamento</t>
        </is>
      </c>
      <c r="F211" t="inlineStr">
        <is>
          <t>503</t>
        </is>
      </c>
      <c r="G211" s="39" t="n">
        <v>660000</v>
      </c>
      <c r="H211" s="39" t="n">
        <v>660000</v>
      </c>
      <c r="M211" s="39" t="n"/>
      <c r="N211" s="39" t="n"/>
      <c r="S211" s="39" t="n"/>
      <c r="T211" s="39" t="n"/>
      <c r="Y211" s="39" t="n"/>
      <c r="Z211" s="39" t="n"/>
      <c r="AA211" t="inlineStr">
        <is>
          <t>PATROCINIO HUAMANI CUEVAS</t>
        </is>
      </c>
      <c r="AB211" t="inlineStr">
        <is>
          <t>28965506</t>
        </is>
      </c>
      <c r="AC211" t="inlineStr">
        <is>
          <t>AV. SALAVERRY N°2080 DPTO. 304</t>
        </is>
      </c>
      <c r="AE211" t="inlineStr">
        <is>
          <t>991730000</t>
        </is>
      </c>
      <c r="AF211" t="inlineStr">
        <is>
          <t>oftalmconsulta@gmail.com</t>
        </is>
      </c>
      <c r="AG211" t="inlineStr">
        <is>
          <t>LIMA</t>
        </is>
      </c>
      <c r="AH211" t="inlineStr">
        <is>
          <t>JESUS MARIA</t>
        </is>
      </c>
      <c r="AI211" s="75" t="n">
        <v>45805</v>
      </c>
      <c r="AJ211" s="75" t="n">
        <v>45805</v>
      </c>
      <c r="AK211" t="inlineStr">
        <is>
          <t>SEPARACION</t>
        </is>
      </c>
      <c r="AL211" t="n">
        <v>1</v>
      </c>
      <c r="AM211" t="n">
        <v>3000</v>
      </c>
      <c r="AN211" t="n">
        <v>0</v>
      </c>
      <c r="AO211" t="n">
        <v>0</v>
      </c>
      <c r="AP211" s="39" t="n">
        <v>3000</v>
      </c>
      <c r="AQ211" s="39" t="n">
        <v>3000</v>
      </c>
      <c r="AR211" s="39" t="n">
        <v>0</v>
      </c>
      <c r="AS211" t="n">
        <v>0</v>
      </c>
      <c r="AT211" t="inlineStr">
        <is>
          <t>Crédito Directo</t>
        </is>
      </c>
      <c r="AU211" t="inlineStr">
        <is>
          <t>Scotiabank Perú</t>
        </is>
      </c>
      <c r="AV211" t="inlineStr">
        <is>
          <t>000-2768484</t>
        </is>
      </c>
      <c r="AW211" t="inlineStr">
        <is>
          <t>TRANSFERENCIA BANCARIA</t>
        </is>
      </c>
      <c r="AX211" t="n">
        <v>28965506</v>
      </c>
      <c r="AY211" t="inlineStr">
        <is>
          <t>00016000000018</t>
        </is>
      </c>
      <c r="AZ211" t="inlineStr">
        <is>
          <t>No</t>
        </is>
      </c>
      <c r="BA211" t="inlineStr">
        <is>
          <t>NO PRECISA</t>
        </is>
      </c>
      <c r="BB211" t="n">
        <v>1</v>
      </c>
      <c r="BC211" t="inlineStr">
        <is>
          <t>CANCELADO</t>
        </is>
      </c>
      <c r="BN211" t="inlineStr">
        <is>
          <t>Si</t>
        </is>
      </c>
      <c r="BO211" s="76" t="n">
        <v>45856.68958333333</v>
      </c>
      <c r="BP211" t="inlineStr">
        <is>
          <t>Carla Michue M</t>
        </is>
      </c>
      <c r="BR211" t="n">
        <v>14</v>
      </c>
      <c r="BS211" t="inlineStr">
        <is>
          <t>29/05/2026 12:21</t>
        </is>
      </c>
      <c r="BW211" t="inlineStr">
        <is>
          <t>Cobranzas_2025.csv</t>
        </is>
      </c>
      <c r="BX211" t="n">
        <v>2025</v>
      </c>
      <c r="BY211" t="inlineStr">
        <is>
          <t>01/01/2024</t>
        </is>
      </c>
      <c r="BZ211" t="inlineStr">
        <is>
          <t>30/06/2031</t>
        </is>
      </c>
    </row>
    <row r="212">
      <c r="A212" t="inlineStr">
        <is>
          <t>RESIDENCIAL PRADA</t>
        </is>
      </c>
      <c r="B212" t="inlineStr">
        <is>
          <t>Etapa 1</t>
        </is>
      </c>
      <c r="C212" t="inlineStr">
        <is>
          <t>Edificio</t>
        </is>
      </c>
      <c r="D212" t="inlineStr">
        <is>
          <t>A</t>
        </is>
      </c>
      <c r="E212" t="inlineStr">
        <is>
          <t>Departamento</t>
        </is>
      </c>
      <c r="F212" t="inlineStr">
        <is>
          <t>503</t>
        </is>
      </c>
      <c r="G212" s="39" t="n">
        <v>660000</v>
      </c>
      <c r="H212" s="39" t="n">
        <v>660000</v>
      </c>
      <c r="M212" s="39" t="n"/>
      <c r="N212" s="39" t="n"/>
      <c r="S212" s="39" t="n"/>
      <c r="T212" s="39" t="n"/>
      <c r="Y212" s="39" t="n"/>
      <c r="Z212" s="39" t="n"/>
      <c r="AA212" t="inlineStr">
        <is>
          <t>PATROCINIO HUAMANI CUEVAS</t>
        </is>
      </c>
      <c r="AB212" t="inlineStr">
        <is>
          <t>28965506</t>
        </is>
      </c>
      <c r="AC212" t="inlineStr">
        <is>
          <t>AV. SALAVERRY N°2080 DPTO. 304</t>
        </is>
      </c>
      <c r="AE212" t="inlineStr">
        <is>
          <t>991730000</t>
        </is>
      </c>
      <c r="AF212" t="inlineStr">
        <is>
          <t>oftalmconsulta@gmail.com</t>
        </is>
      </c>
      <c r="AG212" t="inlineStr">
        <is>
          <t>LIMA</t>
        </is>
      </c>
      <c r="AH212" t="inlineStr">
        <is>
          <t>JESUS MARIA</t>
        </is>
      </c>
      <c r="AI212" s="75" t="n">
        <v>45856</v>
      </c>
      <c r="AJ212" s="75" t="n">
        <v>45856</v>
      </c>
      <c r="AK212" t="inlineStr">
        <is>
          <t>CUOTA INICIAL</t>
        </is>
      </c>
      <c r="AL212" t="n">
        <v>2</v>
      </c>
      <c r="AM212" t="n">
        <v>162000</v>
      </c>
      <c r="AN212" t="n">
        <v>0</v>
      </c>
      <c r="AO212" t="n">
        <v>0</v>
      </c>
      <c r="AP212" s="39" t="n">
        <v>162000</v>
      </c>
      <c r="AQ212" s="39" t="n">
        <v>162</v>
      </c>
      <c r="AR212" s="39" t="n">
        <v>0</v>
      </c>
      <c r="AS212" t="n">
        <v>0</v>
      </c>
      <c r="AT212" t="inlineStr">
        <is>
          <t>Crédito Directo</t>
        </is>
      </c>
      <c r="AU212" t="inlineStr">
        <is>
          <t>Scotiabank Perú</t>
        </is>
      </c>
      <c r="AV212" t="inlineStr">
        <is>
          <t>000-2768484</t>
        </is>
      </c>
      <c r="AW212" t="inlineStr">
        <is>
          <t>TRANSFERENCIA BANCARIA</t>
        </is>
      </c>
      <c r="AY212" t="inlineStr">
        <is>
          <t>006905091</t>
        </is>
      </c>
      <c r="AZ212" t="inlineStr">
        <is>
          <t>No</t>
        </is>
      </c>
      <c r="BA212" t="inlineStr">
        <is>
          <t>NO PRECISA</t>
        </is>
      </c>
      <c r="BB212" t="n">
        <v>4</v>
      </c>
      <c r="BC212" t="inlineStr">
        <is>
          <t>CANCELADO</t>
        </is>
      </c>
      <c r="BN212" t="inlineStr">
        <is>
          <t>Si</t>
        </is>
      </c>
      <c r="BO212" s="76" t="n">
        <v>45856.68958333333</v>
      </c>
      <c r="BP212" t="inlineStr">
        <is>
          <t>Carla Michue M</t>
        </is>
      </c>
      <c r="BR212" t="n">
        <v>14</v>
      </c>
      <c r="BS212" t="inlineStr">
        <is>
          <t>07/07/2026 09:46</t>
        </is>
      </c>
      <c r="BW212" t="inlineStr">
        <is>
          <t>Cobranzas_2025.csv</t>
        </is>
      </c>
      <c r="BX212" t="n">
        <v>2025</v>
      </c>
      <c r="BY212" t="inlineStr">
        <is>
          <t>01/01/2024</t>
        </is>
      </c>
      <c r="BZ212" t="inlineStr">
        <is>
          <t>30/06/2031</t>
        </is>
      </c>
    </row>
    <row r="213">
      <c r="A213" t="inlineStr">
        <is>
          <t>RESIDENCIAL PRADA</t>
        </is>
      </c>
      <c r="B213" t="inlineStr">
        <is>
          <t>Etapa 1</t>
        </is>
      </c>
      <c r="C213" t="inlineStr">
        <is>
          <t>Edificio</t>
        </is>
      </c>
      <c r="D213" t="inlineStr">
        <is>
          <t>A</t>
        </is>
      </c>
      <c r="E213" t="inlineStr">
        <is>
          <t>Departamento</t>
        </is>
      </c>
      <c r="F213" t="inlineStr">
        <is>
          <t>503</t>
        </is>
      </c>
      <c r="G213" s="39" t="n">
        <v>660000</v>
      </c>
      <c r="H213" s="39" t="n">
        <v>660000</v>
      </c>
      <c r="M213" s="39" t="n"/>
      <c r="N213" s="39" t="n"/>
      <c r="S213" s="39" t="n"/>
      <c r="T213" s="39" t="n"/>
      <c r="Y213" s="39" t="n"/>
      <c r="Z213" s="39" t="n"/>
      <c r="AA213" t="inlineStr">
        <is>
          <t>PATROCINIO HUAMANI CUEVAS</t>
        </is>
      </c>
      <c r="AB213" t="inlineStr">
        <is>
          <t>28965506</t>
        </is>
      </c>
      <c r="AC213" t="inlineStr">
        <is>
          <t>AV. SALAVERRY N°2080 DPTO. 304</t>
        </is>
      </c>
      <c r="AE213" t="inlineStr">
        <is>
          <t>991730000</t>
        </is>
      </c>
      <c r="AF213" t="inlineStr">
        <is>
          <t>oftalmconsulta@gmail.com</t>
        </is>
      </c>
      <c r="AG213" t="inlineStr">
        <is>
          <t>LIMA</t>
        </is>
      </c>
      <c r="AH213" t="inlineStr">
        <is>
          <t>JESUS MARIA</t>
        </is>
      </c>
      <c r="AI213" s="75" t="n">
        <v>45856</v>
      </c>
      <c r="AJ213" s="75" t="n">
        <v>45856</v>
      </c>
      <c r="AK213" t="inlineStr">
        <is>
          <t>CUOTA INICIAL</t>
        </is>
      </c>
      <c r="AL213" t="n">
        <v>2</v>
      </c>
      <c r="AM213" t="n">
        <v>0</v>
      </c>
      <c r="AN213" t="n">
        <v>0</v>
      </c>
      <c r="AO213" t="n">
        <v>0</v>
      </c>
      <c r="AP213" s="39" t="n">
        <v>0</v>
      </c>
      <c r="AQ213" s="39" t="n">
        <v>161838</v>
      </c>
      <c r="AR213" s="39" t="n">
        <v>0</v>
      </c>
      <c r="AS213" t="n">
        <v>0</v>
      </c>
      <c r="AT213" t="inlineStr">
        <is>
          <t>Crédito Directo</t>
        </is>
      </c>
      <c r="AU213" t="inlineStr">
        <is>
          <t>Scotiabank Perú</t>
        </is>
      </c>
      <c r="AV213" t="inlineStr">
        <is>
          <t>000-2768484</t>
        </is>
      </c>
      <c r="AW213" t="inlineStr">
        <is>
          <t>TRANSFERENCIA BANCARIA</t>
        </is>
      </c>
      <c r="AY213" t="inlineStr">
        <is>
          <t>006913096</t>
        </is>
      </c>
      <c r="AZ213" t="inlineStr">
        <is>
          <t>No</t>
        </is>
      </c>
      <c r="BA213" t="inlineStr">
        <is>
          <t>NO PRECISA</t>
        </is>
      </c>
      <c r="BB213" t="n">
        <v>4</v>
      </c>
      <c r="BC213" t="inlineStr">
        <is>
          <t>CANCELADO</t>
        </is>
      </c>
      <c r="BN213" t="inlineStr">
        <is>
          <t>Si</t>
        </is>
      </c>
      <c r="BO213" s="76" t="n">
        <v>45856.68958333333</v>
      </c>
      <c r="BP213" t="inlineStr">
        <is>
          <t>Carla Michue M</t>
        </is>
      </c>
      <c r="BR213" t="n">
        <v>14</v>
      </c>
      <c r="BS213" t="inlineStr">
        <is>
          <t>07/07/2026 09:46</t>
        </is>
      </c>
      <c r="BW213" t="inlineStr">
        <is>
          <t>Cobranzas_2025.csv</t>
        </is>
      </c>
      <c r="BX213" t="n">
        <v>2025</v>
      </c>
      <c r="BY213" t="inlineStr">
        <is>
          <t>01/01/2024</t>
        </is>
      </c>
      <c r="BZ213" t="inlineStr">
        <is>
          <t>30/06/2031</t>
        </is>
      </c>
    </row>
    <row r="214">
      <c r="A214" t="inlineStr">
        <is>
          <t>RESIDENCIAL VENECIA</t>
        </is>
      </c>
      <c r="B214" t="inlineStr">
        <is>
          <t>Etapa 1</t>
        </is>
      </c>
      <c r="C214" t="inlineStr">
        <is>
          <t>Edificio</t>
        </is>
      </c>
      <c r="D214" t="inlineStr">
        <is>
          <t>A</t>
        </is>
      </c>
      <c r="E214" t="inlineStr">
        <is>
          <t>Departamento</t>
        </is>
      </c>
      <c r="F214" t="inlineStr">
        <is>
          <t>405</t>
        </is>
      </c>
      <c r="G214" s="39" t="n">
        <v>392000</v>
      </c>
      <c r="H214" s="39" t="n">
        <v>392000</v>
      </c>
      <c r="I214" t="inlineStr">
        <is>
          <t>Edificio</t>
        </is>
      </c>
      <c r="J214" t="inlineStr">
        <is>
          <t>A</t>
        </is>
      </c>
      <c r="K214" t="inlineStr">
        <is>
          <t>Estacionamiento</t>
        </is>
      </c>
      <c r="L214" t="inlineStr">
        <is>
          <t>E 29 - D 14</t>
        </is>
      </c>
      <c r="M214" s="39" t="n">
        <v>43000</v>
      </c>
      <c r="N214" s="39" t="n">
        <v>43000</v>
      </c>
      <c r="S214" s="39" t="n"/>
      <c r="T214" s="39" t="n"/>
      <c r="Y214" s="39" t="n"/>
      <c r="Z214" s="39" t="n"/>
      <c r="AA214" t="inlineStr">
        <is>
          <t>Petronila Tisnado Meneses</t>
        </is>
      </c>
      <c r="AB214" t="inlineStr">
        <is>
          <t>01207150</t>
        </is>
      </c>
      <c r="AC214" t="inlineStr">
        <is>
          <t>Jr. Jose de La Mar Nº 460 Barrio San Josè</t>
        </is>
      </c>
      <c r="AD214" t="n">
        <v>0</v>
      </c>
      <c r="AE214" t="inlineStr">
        <is>
          <t>989735959</t>
        </is>
      </c>
      <c r="AF214" t="inlineStr">
        <is>
          <t>lupequis60@hotmail.com</t>
        </is>
      </c>
      <c r="AG214" t="inlineStr">
        <is>
          <t>PUNO</t>
        </is>
      </c>
      <c r="AH214" t="inlineStr">
        <is>
          <t>PUNO</t>
        </is>
      </c>
      <c r="AI214" s="75" t="n">
        <v>45896</v>
      </c>
      <c r="AJ214" s="75" t="n">
        <v>45896</v>
      </c>
      <c r="AK214" t="inlineStr">
        <is>
          <t>SEPARACION</t>
        </is>
      </c>
      <c r="AL214" t="n">
        <v>1</v>
      </c>
      <c r="AM214" t="n">
        <v>3000</v>
      </c>
      <c r="AN214" t="n">
        <v>0</v>
      </c>
      <c r="AO214" t="n">
        <v>0</v>
      </c>
      <c r="AP214" s="39" t="n">
        <v>3000</v>
      </c>
      <c r="AQ214" s="39" t="n">
        <v>3000</v>
      </c>
      <c r="AR214" s="39" t="n">
        <v>0</v>
      </c>
      <c r="AS214" t="n">
        <v>0</v>
      </c>
      <c r="AT214" t="inlineStr">
        <is>
          <t>Crédito Directo</t>
        </is>
      </c>
      <c r="AY214" t="inlineStr">
        <is>
          <t>00921160</t>
        </is>
      </c>
      <c r="AZ214" t="inlineStr">
        <is>
          <t>No</t>
        </is>
      </c>
      <c r="BB214" t="n">
        <v>4</v>
      </c>
      <c r="BC214" t="inlineStr">
        <is>
          <t>CANCELADO</t>
        </is>
      </c>
      <c r="BN214" t="inlineStr">
        <is>
          <t>No</t>
        </is>
      </c>
      <c r="BO214" s="76" t="n">
        <v>46178.34305555555</v>
      </c>
      <c r="BP214" t="inlineStr">
        <is>
          <t>Magaly Guevara Perez</t>
        </is>
      </c>
      <c r="BR214" t="n">
        <v>9</v>
      </c>
      <c r="BS214" t="inlineStr">
        <is>
          <t>24/05/2026 19:37</t>
        </is>
      </c>
      <c r="BW214" t="inlineStr">
        <is>
          <t>Cobranzas_2025.csv</t>
        </is>
      </c>
      <c r="BX214" t="n">
        <v>2025</v>
      </c>
      <c r="BY214" t="inlineStr">
        <is>
          <t>01/01/2024</t>
        </is>
      </c>
      <c r="BZ214" t="inlineStr">
        <is>
          <t>30/06/2031</t>
        </is>
      </c>
    </row>
    <row r="215">
      <c r="A215" t="inlineStr">
        <is>
          <t>RESIDENCIAL VENECIA</t>
        </is>
      </c>
      <c r="B215" t="inlineStr">
        <is>
          <t>Etapa 1</t>
        </is>
      </c>
      <c r="C215" t="inlineStr">
        <is>
          <t>Edificio</t>
        </is>
      </c>
      <c r="D215" t="inlineStr">
        <is>
          <t>A</t>
        </is>
      </c>
      <c r="E215" t="inlineStr">
        <is>
          <t>Departamento</t>
        </is>
      </c>
      <c r="F215" t="inlineStr">
        <is>
          <t>405</t>
        </is>
      </c>
      <c r="G215" s="39" t="n">
        <v>392000</v>
      </c>
      <c r="H215" s="39" t="n">
        <v>392000</v>
      </c>
      <c r="I215" t="inlineStr">
        <is>
          <t>Edificio</t>
        </is>
      </c>
      <c r="J215" t="inlineStr">
        <is>
          <t>A</t>
        </is>
      </c>
      <c r="K215" t="inlineStr">
        <is>
          <t>Estacionamiento</t>
        </is>
      </c>
      <c r="L215" t="inlineStr">
        <is>
          <t>E 29 - D 14</t>
        </is>
      </c>
      <c r="M215" s="39" t="n">
        <v>43000</v>
      </c>
      <c r="N215" s="39" t="n">
        <v>43000</v>
      </c>
      <c r="S215" s="39" t="n"/>
      <c r="T215" s="39" t="n"/>
      <c r="Y215" s="39" t="n"/>
      <c r="Z215" s="39" t="n"/>
      <c r="AA215" t="inlineStr">
        <is>
          <t>Petronila Tisnado Meneses</t>
        </is>
      </c>
      <c r="AB215" t="inlineStr">
        <is>
          <t>01207150</t>
        </is>
      </c>
      <c r="AC215" t="inlineStr">
        <is>
          <t>Jr. Jose de La Mar Nº 460 Barrio San Josè</t>
        </is>
      </c>
      <c r="AD215" t="n">
        <v>0</v>
      </c>
      <c r="AE215" t="inlineStr">
        <is>
          <t>989735959</t>
        </is>
      </c>
      <c r="AF215" t="inlineStr">
        <is>
          <t>lupequis60@hotmail.com</t>
        </is>
      </c>
      <c r="AG215" t="inlineStr">
        <is>
          <t>PUNO</t>
        </is>
      </c>
      <c r="AH215" t="inlineStr">
        <is>
          <t>PUNO</t>
        </is>
      </c>
      <c r="AI215" s="75" t="n">
        <v>45905</v>
      </c>
      <c r="AJ215" s="75" t="n">
        <v>45905</v>
      </c>
      <c r="AK215" t="inlineStr">
        <is>
          <t>CUOTA INICIAL</t>
        </is>
      </c>
      <c r="AL215" t="n">
        <v>1</v>
      </c>
      <c r="AM215" t="n">
        <v>217500</v>
      </c>
      <c r="AN215" t="n">
        <v>0</v>
      </c>
      <c r="AO215" t="n">
        <v>0</v>
      </c>
      <c r="AP215" s="39" t="n">
        <v>217500</v>
      </c>
      <c r="AQ215" s="39" t="n">
        <v>217500</v>
      </c>
      <c r="AR215" s="39" t="n">
        <v>0</v>
      </c>
      <c r="AS215" t="n">
        <v>0</v>
      </c>
      <c r="AT215" t="inlineStr">
        <is>
          <t>Crédito Directo</t>
        </is>
      </c>
      <c r="AU215" t="inlineStr">
        <is>
          <t>Scotiabank Perú</t>
        </is>
      </c>
      <c r="AV215" t="inlineStr">
        <is>
          <t>0004071419</t>
        </is>
      </c>
      <c r="AW215" t="inlineStr">
        <is>
          <t>CHEQUE DE GERENCIA</t>
        </is>
      </c>
      <c r="AX215" t="n">
        <v>1202614</v>
      </c>
      <c r="AY215" t="inlineStr">
        <is>
          <t>000031195011094090000001705</t>
        </is>
      </c>
      <c r="AZ215" t="inlineStr">
        <is>
          <t>No</t>
        </is>
      </c>
      <c r="BA215" t="inlineStr">
        <is>
          <t>NO PRECISA</t>
        </is>
      </c>
      <c r="BB215" t="n">
        <v>4</v>
      </c>
      <c r="BC215" t="inlineStr">
        <is>
          <t>CANCELADO</t>
        </is>
      </c>
      <c r="BN215" t="inlineStr">
        <is>
          <t>Si</t>
        </is>
      </c>
      <c r="BO215" s="76" t="n">
        <v>46178.34305555555</v>
      </c>
      <c r="BP215" t="inlineStr">
        <is>
          <t>Magaly Guevara Perez</t>
        </is>
      </c>
      <c r="BR215" t="n">
        <v>9</v>
      </c>
      <c r="BS215" t="inlineStr">
        <is>
          <t>04/06/2026 08:45</t>
        </is>
      </c>
      <c r="BW215" t="inlineStr">
        <is>
          <t>Cobranzas_2025.csv</t>
        </is>
      </c>
      <c r="BX215" t="n">
        <v>2025</v>
      </c>
      <c r="BY215" t="inlineStr">
        <is>
          <t>01/01/2024</t>
        </is>
      </c>
      <c r="BZ215" t="inlineStr">
        <is>
          <t>30/06/2031</t>
        </is>
      </c>
    </row>
    <row r="216">
      <c r="A216" t="inlineStr">
        <is>
          <t>RESIDENCIAL VENECIA</t>
        </is>
      </c>
      <c r="B216" t="inlineStr">
        <is>
          <t>Etapa 1</t>
        </is>
      </c>
      <c r="C216" t="inlineStr">
        <is>
          <t>Edificio</t>
        </is>
      </c>
      <c r="D216" t="inlineStr">
        <is>
          <t>A</t>
        </is>
      </c>
      <c r="E216" t="inlineStr">
        <is>
          <t>Departamento</t>
        </is>
      </c>
      <c r="F216" t="inlineStr">
        <is>
          <t>405</t>
        </is>
      </c>
      <c r="G216" s="39" t="n">
        <v>392000</v>
      </c>
      <c r="H216" s="39" t="n">
        <v>392000</v>
      </c>
      <c r="I216" t="inlineStr">
        <is>
          <t>Edificio</t>
        </is>
      </c>
      <c r="J216" t="inlineStr">
        <is>
          <t>A</t>
        </is>
      </c>
      <c r="K216" t="inlineStr">
        <is>
          <t>Estacionamiento</t>
        </is>
      </c>
      <c r="L216" t="inlineStr">
        <is>
          <t>E 29 - D 14</t>
        </is>
      </c>
      <c r="M216" s="39" t="n">
        <v>43000</v>
      </c>
      <c r="N216" s="39" t="n">
        <v>43000</v>
      </c>
      <c r="S216" s="39" t="n"/>
      <c r="T216" s="39" t="n"/>
      <c r="Y216" s="39" t="n"/>
      <c r="Z216" s="39" t="n"/>
      <c r="AA216" t="inlineStr">
        <is>
          <t>Petronila Tisnado Meneses</t>
        </is>
      </c>
      <c r="AB216" t="inlineStr">
        <is>
          <t>01207150</t>
        </is>
      </c>
      <c r="AC216" t="inlineStr">
        <is>
          <t>Jr. Jose de La Mar Nº 460 Barrio San Josè</t>
        </is>
      </c>
      <c r="AD216" t="n">
        <v>0</v>
      </c>
      <c r="AE216" t="inlineStr">
        <is>
          <t>989735959</t>
        </is>
      </c>
      <c r="AF216" t="inlineStr">
        <is>
          <t>lupequis60@hotmail.com</t>
        </is>
      </c>
      <c r="AG216" t="inlineStr">
        <is>
          <t>PUNO</t>
        </is>
      </c>
      <c r="AH216" t="inlineStr">
        <is>
          <t>PUNO</t>
        </is>
      </c>
      <c r="AI216" s="75" t="n">
        <v>45961</v>
      </c>
      <c r="AJ216" s="75" t="n">
        <v>45954</v>
      </c>
      <c r="AK216" t="inlineStr">
        <is>
          <t>SALDO FINANCIAR</t>
        </is>
      </c>
      <c r="AL216" t="n">
        <v>1</v>
      </c>
      <c r="AM216" t="n">
        <v>14300</v>
      </c>
      <c r="AN216" t="n">
        <v>0</v>
      </c>
      <c r="AO216" t="n">
        <v>0</v>
      </c>
      <c r="AP216" s="39" t="n">
        <v>14300</v>
      </c>
      <c r="AQ216" s="39" t="n">
        <v>14300</v>
      </c>
      <c r="AR216" s="39" t="n">
        <v>0</v>
      </c>
      <c r="AS216" t="n">
        <v>0</v>
      </c>
      <c r="AT216" t="inlineStr">
        <is>
          <t>Crédito Directo</t>
        </is>
      </c>
      <c r="AU216" t="inlineStr">
        <is>
          <t>Scotiabank Perú</t>
        </is>
      </c>
      <c r="AV216" t="inlineStr">
        <is>
          <t>0004071419</t>
        </is>
      </c>
      <c r="AW216" t="inlineStr">
        <is>
          <t>DEPOSITO EN CUENTA</t>
        </is>
      </c>
      <c r="AZ216" t="inlineStr">
        <is>
          <t>Si</t>
        </is>
      </c>
      <c r="BB216" t="n">
        <v>4</v>
      </c>
      <c r="BC216" t="inlineStr">
        <is>
          <t>CANCELADO</t>
        </is>
      </c>
      <c r="BN216" t="inlineStr">
        <is>
          <t>No</t>
        </is>
      </c>
      <c r="BO216" s="76" t="n">
        <v>46178.34305555555</v>
      </c>
      <c r="BP216" t="inlineStr">
        <is>
          <t>Magaly Guevara Perez</t>
        </is>
      </c>
      <c r="BR216" t="n">
        <v>9</v>
      </c>
      <c r="BS216" t="inlineStr">
        <is>
          <t>08/06/2026 11:42</t>
        </is>
      </c>
      <c r="BW216" t="inlineStr">
        <is>
          <t>Cobranzas_2025.csv</t>
        </is>
      </c>
      <c r="BX216" t="n">
        <v>2025</v>
      </c>
      <c r="BY216" t="inlineStr">
        <is>
          <t>01/01/2024</t>
        </is>
      </c>
      <c r="BZ216" t="inlineStr">
        <is>
          <t>30/06/2031</t>
        </is>
      </c>
    </row>
    <row r="217">
      <c r="A217" t="inlineStr">
        <is>
          <t>RESIDENCIAL VENECIA</t>
        </is>
      </c>
      <c r="B217" t="inlineStr">
        <is>
          <t>Etapa 1</t>
        </is>
      </c>
      <c r="C217" t="inlineStr">
        <is>
          <t>Edificio</t>
        </is>
      </c>
      <c r="D217" t="inlineStr">
        <is>
          <t>A</t>
        </is>
      </c>
      <c r="E217" t="inlineStr">
        <is>
          <t>Departamento</t>
        </is>
      </c>
      <c r="F217" t="inlineStr">
        <is>
          <t>405</t>
        </is>
      </c>
      <c r="G217" s="39" t="n">
        <v>392000</v>
      </c>
      <c r="H217" s="39" t="n">
        <v>392000</v>
      </c>
      <c r="I217" t="inlineStr">
        <is>
          <t>Edificio</t>
        </is>
      </c>
      <c r="J217" t="inlineStr">
        <is>
          <t>A</t>
        </is>
      </c>
      <c r="K217" t="inlineStr">
        <is>
          <t>Estacionamiento</t>
        </is>
      </c>
      <c r="L217" t="inlineStr">
        <is>
          <t>E 29 - D 14</t>
        </is>
      </c>
      <c r="M217" s="39" t="n">
        <v>43000</v>
      </c>
      <c r="N217" s="39" t="n">
        <v>43000</v>
      </c>
      <c r="S217" s="39" t="n"/>
      <c r="T217" s="39" t="n"/>
      <c r="Y217" s="39" t="n"/>
      <c r="Z217" s="39" t="n"/>
      <c r="AA217" t="inlineStr">
        <is>
          <t>Petronila Tisnado Meneses</t>
        </is>
      </c>
      <c r="AB217" t="inlineStr">
        <is>
          <t>01207150</t>
        </is>
      </c>
      <c r="AC217" t="inlineStr">
        <is>
          <t>Jr. Jose de La Mar Nº 460 Barrio San Josè</t>
        </is>
      </c>
      <c r="AD217" t="n">
        <v>0</v>
      </c>
      <c r="AE217" t="inlineStr">
        <is>
          <t>989735959</t>
        </is>
      </c>
      <c r="AF217" t="inlineStr">
        <is>
          <t>lupequis60@hotmail.com</t>
        </is>
      </c>
      <c r="AG217" t="inlineStr">
        <is>
          <t>PUNO</t>
        </is>
      </c>
      <c r="AH217" t="inlineStr">
        <is>
          <t>PUNO</t>
        </is>
      </c>
      <c r="AI217" s="75" t="n">
        <v>45991</v>
      </c>
      <c r="AJ217" s="75" t="n">
        <v>45988</v>
      </c>
      <c r="AK217" t="inlineStr">
        <is>
          <t>SALDO FINANCIAR</t>
        </is>
      </c>
      <c r="AL217" t="n">
        <v>2</v>
      </c>
      <c r="AM217" t="n">
        <v>14300</v>
      </c>
      <c r="AN217" t="n">
        <v>0</v>
      </c>
      <c r="AO217" t="n">
        <v>0</v>
      </c>
      <c r="AP217" s="39" t="n">
        <v>14300</v>
      </c>
      <c r="AQ217" s="39" t="n">
        <v>14300</v>
      </c>
      <c r="AR217" s="39" t="n">
        <v>0</v>
      </c>
      <c r="AS217" t="n">
        <v>0</v>
      </c>
      <c r="AT217" t="inlineStr">
        <is>
          <t>Crédito Directo</t>
        </is>
      </c>
      <c r="AU217" t="inlineStr">
        <is>
          <t>Scotiabank Perú</t>
        </is>
      </c>
      <c r="AV217" t="inlineStr">
        <is>
          <t>0004071419</t>
        </is>
      </c>
      <c r="AW217" t="inlineStr">
        <is>
          <t>DEPOSITO EN CUENTA</t>
        </is>
      </c>
      <c r="AY217" t="inlineStr">
        <is>
          <t>U26974</t>
        </is>
      </c>
      <c r="AZ217" t="inlineStr">
        <is>
          <t>Si</t>
        </is>
      </c>
      <c r="BB217" t="n">
        <v>4</v>
      </c>
      <c r="BC217" t="inlineStr">
        <is>
          <t>CANCELADO</t>
        </is>
      </c>
      <c r="BN217" t="inlineStr">
        <is>
          <t>No</t>
        </is>
      </c>
      <c r="BO217" s="76" t="n">
        <v>46178.34305555555</v>
      </c>
      <c r="BP217" t="inlineStr">
        <is>
          <t>Magaly Guevara Perez</t>
        </is>
      </c>
      <c r="BR217" t="n">
        <v>9</v>
      </c>
      <c r="BS217" t="inlineStr">
        <is>
          <t>08/06/2026 11:44</t>
        </is>
      </c>
      <c r="BW217" t="inlineStr">
        <is>
          <t>Cobranzas_2025.csv</t>
        </is>
      </c>
      <c r="BX217" t="n">
        <v>2025</v>
      </c>
      <c r="BY217" t="inlineStr">
        <is>
          <t>01/01/2024</t>
        </is>
      </c>
      <c r="BZ217" t="inlineStr">
        <is>
          <t>30/06/2031</t>
        </is>
      </c>
    </row>
    <row r="218">
      <c r="A218" t="inlineStr">
        <is>
          <t>RESIDENCIAL VENECIA</t>
        </is>
      </c>
      <c r="B218" t="inlineStr">
        <is>
          <t>Etapa 1</t>
        </is>
      </c>
      <c r="C218" t="inlineStr">
        <is>
          <t>Edificio</t>
        </is>
      </c>
      <c r="D218" t="inlineStr">
        <is>
          <t>A</t>
        </is>
      </c>
      <c r="E218" t="inlineStr">
        <is>
          <t>Departamento</t>
        </is>
      </c>
      <c r="F218" t="inlineStr">
        <is>
          <t>405</t>
        </is>
      </c>
      <c r="G218" s="39" t="n">
        <v>392000</v>
      </c>
      <c r="H218" s="39" t="n">
        <v>392000</v>
      </c>
      <c r="I218" t="inlineStr">
        <is>
          <t>Edificio</t>
        </is>
      </c>
      <c r="J218" t="inlineStr">
        <is>
          <t>A</t>
        </is>
      </c>
      <c r="K218" t="inlineStr">
        <is>
          <t>Estacionamiento</t>
        </is>
      </c>
      <c r="L218" t="inlineStr">
        <is>
          <t>E 29 - D 14</t>
        </is>
      </c>
      <c r="M218" s="39" t="n">
        <v>43000</v>
      </c>
      <c r="N218" s="39" t="n">
        <v>43000</v>
      </c>
      <c r="S218" s="39" t="n"/>
      <c r="T218" s="39" t="n"/>
      <c r="Y218" s="39" t="n"/>
      <c r="Z218" s="39" t="n"/>
      <c r="AA218" t="inlineStr">
        <is>
          <t>Petronila Tisnado Meneses</t>
        </is>
      </c>
      <c r="AB218" t="inlineStr">
        <is>
          <t>01207150</t>
        </is>
      </c>
      <c r="AC218" t="inlineStr">
        <is>
          <t>Jr. Jose de La Mar Nº 460 Barrio San Josè</t>
        </is>
      </c>
      <c r="AD218" t="n">
        <v>0</v>
      </c>
      <c r="AE218" t="inlineStr">
        <is>
          <t>989735959</t>
        </is>
      </c>
      <c r="AF218" t="inlineStr">
        <is>
          <t>lupequis60@hotmail.com</t>
        </is>
      </c>
      <c r="AG218" t="inlineStr">
        <is>
          <t>PUNO</t>
        </is>
      </c>
      <c r="AH218" t="inlineStr">
        <is>
          <t>PUNO</t>
        </is>
      </c>
      <c r="AI218" s="75" t="n">
        <v>46022</v>
      </c>
      <c r="AJ218" s="75" t="n">
        <v>45988</v>
      </c>
      <c r="AK218" t="inlineStr">
        <is>
          <t>SALDO FINANCIAR</t>
        </is>
      </c>
      <c r="AL218" t="n">
        <v>3</v>
      </c>
      <c r="AM218" t="n">
        <v>14300</v>
      </c>
      <c r="AN218" t="n">
        <v>0</v>
      </c>
      <c r="AO218" t="n">
        <v>0</v>
      </c>
      <c r="AP218" s="39" t="n">
        <v>14300</v>
      </c>
      <c r="AQ218" s="39" t="n">
        <v>14300</v>
      </c>
      <c r="AR218" s="39" t="n">
        <v>0</v>
      </c>
      <c r="AS218" t="n">
        <v>0</v>
      </c>
      <c r="AT218" t="inlineStr">
        <is>
          <t>Crédito Directo</t>
        </is>
      </c>
      <c r="AU218" t="inlineStr">
        <is>
          <t>Scotiabank Perú</t>
        </is>
      </c>
      <c r="AV218" t="inlineStr">
        <is>
          <t>0004071419</t>
        </is>
      </c>
      <c r="AW218" t="inlineStr">
        <is>
          <t>DEPOSITO EN CUENTA</t>
        </is>
      </c>
      <c r="AY218" t="inlineStr">
        <is>
          <t>U26974</t>
        </is>
      </c>
      <c r="AZ218" t="inlineStr">
        <is>
          <t>Si</t>
        </is>
      </c>
      <c r="BB218" t="n">
        <v>4</v>
      </c>
      <c r="BC218" t="inlineStr">
        <is>
          <t>CANCELADO</t>
        </is>
      </c>
      <c r="BN218" t="inlineStr">
        <is>
          <t>No</t>
        </is>
      </c>
      <c r="BO218" s="76" t="n">
        <v>46178.34305555555</v>
      </c>
      <c r="BP218" t="inlineStr">
        <is>
          <t>Magaly Guevara Perez</t>
        </is>
      </c>
      <c r="BR218" t="n">
        <v>9</v>
      </c>
      <c r="BS218" t="inlineStr">
        <is>
          <t>08/06/2026 11:44</t>
        </is>
      </c>
      <c r="BW218" t="inlineStr">
        <is>
          <t>Cobranzas_2025.csv</t>
        </is>
      </c>
      <c r="BX218" t="n">
        <v>2025</v>
      </c>
      <c r="BY218" t="inlineStr">
        <is>
          <t>01/01/2024</t>
        </is>
      </c>
      <c r="BZ218" t="inlineStr">
        <is>
          <t>30/06/2031</t>
        </is>
      </c>
    </row>
    <row r="219">
      <c r="A219" t="inlineStr">
        <is>
          <t>RESIDENCIAL PRADA</t>
        </is>
      </c>
      <c r="B219" t="inlineStr">
        <is>
          <t>Etapa 1</t>
        </is>
      </c>
      <c r="C219" t="inlineStr">
        <is>
          <t>Edificio</t>
        </is>
      </c>
      <c r="D219" t="inlineStr">
        <is>
          <t>A</t>
        </is>
      </c>
      <c r="E219" t="inlineStr">
        <is>
          <t>Departamento</t>
        </is>
      </c>
      <c r="F219" t="inlineStr">
        <is>
          <t>701</t>
        </is>
      </c>
      <c r="G219" s="39" t="n">
        <v>592500</v>
      </c>
      <c r="H219" s="39" t="n">
        <v>592500</v>
      </c>
      <c r="M219" s="39" t="n"/>
      <c r="N219" s="39" t="n"/>
      <c r="S219" s="39" t="n"/>
      <c r="T219" s="39" t="n"/>
      <c r="Y219" s="39" t="n"/>
      <c r="Z219" s="39" t="n"/>
      <c r="AA219" t="inlineStr">
        <is>
          <t>Richard Humberto Lima Garcia</t>
        </is>
      </c>
      <c r="AB219" t="inlineStr">
        <is>
          <t>10606793</t>
        </is>
      </c>
      <c r="AC219" t="inlineStr">
        <is>
          <t>Mz E2 lote 10 Urb Coovitiomar - Ancón</t>
        </is>
      </c>
      <c r="AE219" t="inlineStr">
        <is>
          <t>940170759</t>
        </is>
      </c>
      <c r="AF219" t="inlineStr">
        <is>
          <t>richard_13_312@hotmail.com</t>
        </is>
      </c>
      <c r="AG219" t="inlineStr">
        <is>
          <t>LIMA</t>
        </is>
      </c>
      <c r="AH219" t="inlineStr">
        <is>
          <t>SANTA ROSA</t>
        </is>
      </c>
      <c r="AI219" s="75" t="n">
        <v>45688</v>
      </c>
      <c r="AJ219" s="75" t="n">
        <v>45747</v>
      </c>
      <c r="AK219" t="inlineStr">
        <is>
          <t>SALDO FINANCIAR</t>
        </is>
      </c>
      <c r="AL219" t="n">
        <v>4</v>
      </c>
      <c r="AM219" t="n">
        <v>533250</v>
      </c>
      <c r="AN219" t="n">
        <v>0</v>
      </c>
      <c r="AO219" t="n">
        <v>0</v>
      </c>
      <c r="AP219" s="39" t="n">
        <v>533250</v>
      </c>
      <c r="AQ219" s="39" t="n">
        <v>533250</v>
      </c>
      <c r="AR219" s="39" t="n">
        <v>0</v>
      </c>
      <c r="AS219" t="n">
        <v>0</v>
      </c>
      <c r="AT219" t="inlineStr">
        <is>
          <t>Crédito Hipotecario</t>
        </is>
      </c>
      <c r="AU219" t="inlineStr">
        <is>
          <t>Scotiabank Perú</t>
        </is>
      </c>
      <c r="AV219" t="inlineStr">
        <is>
          <t>000-2768484</t>
        </is>
      </c>
      <c r="AW219" t="inlineStr">
        <is>
          <t>TRANSFERENCIA BANCARIA</t>
        </is>
      </c>
      <c r="AY219" t="inlineStr">
        <is>
          <t>31032025</t>
        </is>
      </c>
      <c r="AZ219" t="inlineStr">
        <is>
          <t>Si</t>
        </is>
      </c>
      <c r="BB219" t="n">
        <v>4</v>
      </c>
      <c r="BC219" t="inlineStr">
        <is>
          <t>CANCELADO</t>
        </is>
      </c>
      <c r="BN219" t="inlineStr">
        <is>
          <t>Si</t>
        </is>
      </c>
      <c r="BO219" s="76" t="n">
        <v>45638.38819444444</v>
      </c>
      <c r="BP219" t="inlineStr">
        <is>
          <t>Carla Michue M</t>
        </is>
      </c>
      <c r="BR219" t="n">
        <v>3</v>
      </c>
      <c r="BS219" t="inlineStr">
        <is>
          <t>07/07/2026 11:34</t>
        </is>
      </c>
      <c r="BW219" t="inlineStr">
        <is>
          <t>Cobranzas_2025.csv</t>
        </is>
      </c>
      <c r="BX219" t="n">
        <v>2025</v>
      </c>
      <c r="BY219" t="inlineStr">
        <is>
          <t>01/01/2024</t>
        </is>
      </c>
      <c r="BZ219" t="inlineStr">
        <is>
          <t>30/06/2031</t>
        </is>
      </c>
    </row>
    <row r="220">
      <c r="A220" t="inlineStr">
        <is>
          <t>RESIDENCIAL VENECIA</t>
        </is>
      </c>
      <c r="B220" t="inlineStr">
        <is>
          <t>Etapa 1</t>
        </is>
      </c>
      <c r="C220" t="inlineStr">
        <is>
          <t>Edificio</t>
        </is>
      </c>
      <c r="D220" t="inlineStr">
        <is>
          <t>A</t>
        </is>
      </c>
      <c r="E220" t="inlineStr">
        <is>
          <t>Departamento</t>
        </is>
      </c>
      <c r="F220" t="inlineStr">
        <is>
          <t>602</t>
        </is>
      </c>
      <c r="G220" s="39" t="n">
        <v>573000</v>
      </c>
      <c r="H220" s="39" t="n">
        <v>573000</v>
      </c>
      <c r="I220" t="inlineStr">
        <is>
          <t>Edificio</t>
        </is>
      </c>
      <c r="J220" t="inlineStr">
        <is>
          <t>A</t>
        </is>
      </c>
      <c r="K220" t="inlineStr">
        <is>
          <t>Estacionamiento</t>
        </is>
      </c>
      <c r="L220" t="inlineStr">
        <is>
          <t>E 24 - D 5</t>
        </is>
      </c>
      <c r="M220" s="39" t="n">
        <v>51000</v>
      </c>
      <c r="N220" s="39" t="n">
        <v>51000</v>
      </c>
      <c r="S220" s="39" t="n"/>
      <c r="T220" s="39" t="n"/>
      <c r="Y220" s="39" t="n"/>
      <c r="Z220" s="39" t="n"/>
      <c r="AA220" t="inlineStr">
        <is>
          <t>Rocio Chuquimango Valencia</t>
        </is>
      </c>
      <c r="AB220" t="inlineStr">
        <is>
          <t>26707781</t>
        </is>
      </c>
      <c r="AC220" t="inlineStr">
        <is>
          <t xml:space="preserve">AV.ATAHUALPA 337.INT 2 </t>
        </is>
      </c>
      <c r="AD220" t="n">
        <v>0</v>
      </c>
      <c r="AE220" t="inlineStr">
        <is>
          <t>976685767</t>
        </is>
      </c>
      <c r="AF220" t="inlineStr">
        <is>
          <t>rocio-0511@hotmail.com</t>
        </is>
      </c>
      <c r="AG220" t="inlineStr">
        <is>
          <t>CAJAMARCA</t>
        </is>
      </c>
      <c r="AH220" t="inlineStr">
        <is>
          <t>CAJAMARCA</t>
        </is>
      </c>
      <c r="AI220" s="75" t="n">
        <v>45871</v>
      </c>
      <c r="AJ220" s="75" t="n">
        <v>45871</v>
      </c>
      <c r="AK220" t="inlineStr">
        <is>
          <t>SEPARACION</t>
        </is>
      </c>
      <c r="AL220" t="n">
        <v>1</v>
      </c>
      <c r="AM220" t="n">
        <v>3000</v>
      </c>
      <c r="AN220" t="n">
        <v>0</v>
      </c>
      <c r="AO220" t="n">
        <v>0</v>
      </c>
      <c r="AP220" s="39" t="n">
        <v>3000</v>
      </c>
      <c r="AQ220" s="39" t="n">
        <v>3000</v>
      </c>
      <c r="AR220" s="39" t="n">
        <v>0</v>
      </c>
      <c r="AS220" t="n">
        <v>0</v>
      </c>
      <c r="AT220" t="inlineStr">
        <is>
          <t>Crédito Directo</t>
        </is>
      </c>
      <c r="AU220" t="inlineStr">
        <is>
          <t>Scotiabank Perú</t>
        </is>
      </c>
      <c r="AV220" t="inlineStr">
        <is>
          <t>0004071419</t>
        </is>
      </c>
      <c r="AW220" t="inlineStr">
        <is>
          <t>TRANSFERENCIA BANCARIA</t>
        </is>
      </c>
      <c r="AY220" t="inlineStr">
        <is>
          <t>5529054</t>
        </is>
      </c>
      <c r="AZ220" t="inlineStr">
        <is>
          <t>No</t>
        </is>
      </c>
      <c r="BB220" t="n">
        <v>4</v>
      </c>
      <c r="BC220" t="inlineStr">
        <is>
          <t>CANCELADO</t>
        </is>
      </c>
      <c r="BN220" t="inlineStr">
        <is>
          <t>No</t>
        </is>
      </c>
      <c r="BO220" s="76" t="n">
        <v>45898.34652777778</v>
      </c>
      <c r="BP220" t="inlineStr">
        <is>
          <t>Magaly Guevara Perez</t>
        </is>
      </c>
      <c r="BR220" t="n">
        <v>12</v>
      </c>
      <c r="BS220" t="inlineStr">
        <is>
          <t>24/05/2026 20:38</t>
        </is>
      </c>
      <c r="BW220" t="inlineStr">
        <is>
          <t>Cobranzas_2025.csv</t>
        </is>
      </c>
      <c r="BX220" t="n">
        <v>2025</v>
      </c>
      <c r="BY220" t="inlineStr">
        <is>
          <t>01/01/2024</t>
        </is>
      </c>
      <c r="BZ220" t="inlineStr">
        <is>
          <t>30/06/2031</t>
        </is>
      </c>
    </row>
    <row r="221">
      <c r="A221" t="inlineStr">
        <is>
          <t>RESIDENCIAL VENECIA</t>
        </is>
      </c>
      <c r="B221" t="inlineStr">
        <is>
          <t>Etapa 1</t>
        </is>
      </c>
      <c r="C221" t="inlineStr">
        <is>
          <t>Edificio</t>
        </is>
      </c>
      <c r="D221" t="inlineStr">
        <is>
          <t>A</t>
        </is>
      </c>
      <c r="E221" t="inlineStr">
        <is>
          <t>Departamento</t>
        </is>
      </c>
      <c r="F221" t="inlineStr">
        <is>
          <t>602</t>
        </is>
      </c>
      <c r="G221" s="39" t="n">
        <v>573000</v>
      </c>
      <c r="H221" s="39" t="n">
        <v>573000</v>
      </c>
      <c r="I221" t="inlineStr">
        <is>
          <t>Edificio</t>
        </is>
      </c>
      <c r="J221" t="inlineStr">
        <is>
          <t>A</t>
        </is>
      </c>
      <c r="K221" t="inlineStr">
        <is>
          <t>Estacionamiento</t>
        </is>
      </c>
      <c r="L221" t="inlineStr">
        <is>
          <t>E 24 - D 5</t>
        </is>
      </c>
      <c r="M221" s="39" t="n">
        <v>51000</v>
      </c>
      <c r="N221" s="39" t="n">
        <v>51000</v>
      </c>
      <c r="S221" s="39" t="n"/>
      <c r="T221" s="39" t="n"/>
      <c r="Y221" s="39" t="n"/>
      <c r="Z221" s="39" t="n"/>
      <c r="AA221" t="inlineStr">
        <is>
          <t>Rocio Chuquimango Valencia</t>
        </is>
      </c>
      <c r="AB221" t="inlineStr">
        <is>
          <t>26707781</t>
        </is>
      </c>
      <c r="AC221" t="inlineStr">
        <is>
          <t xml:space="preserve">AV.ATAHUALPA 337.INT 2 </t>
        </is>
      </c>
      <c r="AD221" t="n">
        <v>0</v>
      </c>
      <c r="AE221" t="inlineStr">
        <is>
          <t>976685767</t>
        </is>
      </c>
      <c r="AF221" t="inlineStr">
        <is>
          <t>rocio-0511@hotmail.com</t>
        </is>
      </c>
      <c r="AG221" t="inlineStr">
        <is>
          <t>CAJAMARCA</t>
        </is>
      </c>
      <c r="AH221" t="inlineStr">
        <is>
          <t>CAJAMARCA</t>
        </is>
      </c>
      <c r="AI221" s="75" t="n">
        <v>45898</v>
      </c>
      <c r="AJ221" s="75" t="n">
        <v>45898</v>
      </c>
      <c r="AK221" t="inlineStr">
        <is>
          <t>CUOTA INICIAL</t>
        </is>
      </c>
      <c r="AL221" t="n">
        <v>1</v>
      </c>
      <c r="AM221" t="n">
        <v>54300</v>
      </c>
      <c r="AN221" t="n">
        <v>0</v>
      </c>
      <c r="AO221" t="n">
        <v>0</v>
      </c>
      <c r="AP221" s="39" t="n">
        <v>54300</v>
      </c>
      <c r="AQ221" s="39" t="n">
        <v>54300</v>
      </c>
      <c r="AR221" s="39" t="n">
        <v>0</v>
      </c>
      <c r="AS221" t="n">
        <v>0</v>
      </c>
      <c r="AT221" t="inlineStr">
        <is>
          <t>Crédito Directo</t>
        </is>
      </c>
      <c r="AU221" t="inlineStr">
        <is>
          <t>Scotiabank Perú</t>
        </is>
      </c>
      <c r="AV221" t="inlineStr">
        <is>
          <t>0004071419</t>
        </is>
      </c>
      <c r="AW221" t="inlineStr">
        <is>
          <t>TRANSFERENCIA BANCARIA</t>
        </is>
      </c>
      <c r="AY221" t="inlineStr">
        <is>
          <t>29082025</t>
        </is>
      </c>
      <c r="AZ221" t="inlineStr">
        <is>
          <t>No</t>
        </is>
      </c>
      <c r="BB221" t="n">
        <v>4</v>
      </c>
      <c r="BC221" t="inlineStr">
        <is>
          <t>CANCELADO</t>
        </is>
      </c>
      <c r="BN221" t="inlineStr">
        <is>
          <t>No</t>
        </is>
      </c>
      <c r="BO221" s="76" t="n">
        <v>45898.34652777778</v>
      </c>
      <c r="BP221" t="inlineStr">
        <is>
          <t>Magaly Guevara Perez</t>
        </is>
      </c>
      <c r="BR221" t="n">
        <v>12</v>
      </c>
      <c r="BS221" t="inlineStr">
        <is>
          <t>24/05/2026 20:40</t>
        </is>
      </c>
      <c r="BW221" t="inlineStr">
        <is>
          <t>Cobranzas_2025.csv</t>
        </is>
      </c>
      <c r="BX221" t="n">
        <v>2025</v>
      </c>
      <c r="BY221" t="inlineStr">
        <is>
          <t>01/01/2024</t>
        </is>
      </c>
      <c r="BZ221" t="inlineStr">
        <is>
          <t>30/06/2031</t>
        </is>
      </c>
    </row>
    <row r="222">
      <c r="A222" t="inlineStr">
        <is>
          <t>RESIDENCIAL VENECIA</t>
        </is>
      </c>
      <c r="B222" t="inlineStr">
        <is>
          <t>Etapa 1</t>
        </is>
      </c>
      <c r="C222" t="inlineStr">
        <is>
          <t>Edificio</t>
        </is>
      </c>
      <c r="D222" t="inlineStr">
        <is>
          <t>A</t>
        </is>
      </c>
      <c r="E222" t="inlineStr">
        <is>
          <t>Departamento</t>
        </is>
      </c>
      <c r="F222" t="inlineStr">
        <is>
          <t>602</t>
        </is>
      </c>
      <c r="G222" s="39" t="n">
        <v>573000</v>
      </c>
      <c r="H222" s="39" t="n">
        <v>573000</v>
      </c>
      <c r="I222" t="inlineStr">
        <is>
          <t>Edificio</t>
        </is>
      </c>
      <c r="J222" t="inlineStr">
        <is>
          <t>A</t>
        </is>
      </c>
      <c r="K222" t="inlineStr">
        <is>
          <t>Estacionamiento</t>
        </is>
      </c>
      <c r="L222" t="inlineStr">
        <is>
          <t>E 24 - D 5</t>
        </is>
      </c>
      <c r="M222" s="39" t="n">
        <v>51000</v>
      </c>
      <c r="N222" s="39" t="n">
        <v>51000</v>
      </c>
      <c r="S222" s="39" t="n"/>
      <c r="T222" s="39" t="n"/>
      <c r="Y222" s="39" t="n"/>
      <c r="Z222" s="39" t="n"/>
      <c r="AA222" t="inlineStr">
        <is>
          <t>Rocio Chuquimango Valencia</t>
        </is>
      </c>
      <c r="AB222" t="inlineStr">
        <is>
          <t>26707781</t>
        </is>
      </c>
      <c r="AC222" t="inlineStr">
        <is>
          <t xml:space="preserve">AV.ATAHUALPA 337.INT 2 </t>
        </is>
      </c>
      <c r="AD222" t="n">
        <v>0</v>
      </c>
      <c r="AE222" t="inlineStr">
        <is>
          <t>976685767</t>
        </is>
      </c>
      <c r="AF222" t="inlineStr">
        <is>
          <t>rocio-0511@hotmail.com</t>
        </is>
      </c>
      <c r="AG222" t="inlineStr">
        <is>
          <t>CAJAMARCA</t>
        </is>
      </c>
      <c r="AH222" t="inlineStr">
        <is>
          <t>CAJAMARCA</t>
        </is>
      </c>
      <c r="AI222" s="75" t="n">
        <v>45937</v>
      </c>
      <c r="AJ222" s="75" t="n">
        <v>45937</v>
      </c>
      <c r="AK222" t="inlineStr">
        <is>
          <t>CUOTA INICIAL</t>
        </is>
      </c>
      <c r="AL222" t="n">
        <v>2</v>
      </c>
      <c r="AM222" t="n">
        <v>10000</v>
      </c>
      <c r="AN222" t="n">
        <v>0</v>
      </c>
      <c r="AO222" t="n">
        <v>0</v>
      </c>
      <c r="AP222" s="39" t="n">
        <v>10000</v>
      </c>
      <c r="AQ222" s="39" t="n">
        <v>10000</v>
      </c>
      <c r="AR222" s="39" t="n">
        <v>0</v>
      </c>
      <c r="AS222" t="n">
        <v>0</v>
      </c>
      <c r="AT222" t="inlineStr">
        <is>
          <t>Crédito Directo</t>
        </is>
      </c>
      <c r="AU222" t="inlineStr">
        <is>
          <t>Scotiabank Perú</t>
        </is>
      </c>
      <c r="AV222" t="inlineStr">
        <is>
          <t>0004071419</t>
        </is>
      </c>
      <c r="AW222" t="inlineStr">
        <is>
          <t>TRANSFERENCIA BANCARIA</t>
        </is>
      </c>
      <c r="AY222" t="inlineStr">
        <is>
          <t>5521148</t>
        </is>
      </c>
      <c r="AZ222" t="inlineStr">
        <is>
          <t>No</t>
        </is>
      </c>
      <c r="BB222" t="n">
        <v>4</v>
      </c>
      <c r="BC222" t="inlineStr">
        <is>
          <t>CANCELADO</t>
        </is>
      </c>
      <c r="BN222" t="inlineStr">
        <is>
          <t>No</t>
        </is>
      </c>
      <c r="BO222" s="76" t="n">
        <v>45898.34652777778</v>
      </c>
      <c r="BP222" t="inlineStr">
        <is>
          <t>Magaly Guevara Perez</t>
        </is>
      </c>
      <c r="BR222" t="n">
        <v>12</v>
      </c>
      <c r="BS222" t="inlineStr">
        <is>
          <t>24/05/2026 20:40</t>
        </is>
      </c>
      <c r="BW222" t="inlineStr">
        <is>
          <t>Cobranzas_2025.csv</t>
        </is>
      </c>
      <c r="BX222" t="n">
        <v>2025</v>
      </c>
      <c r="BY222" t="inlineStr">
        <is>
          <t>01/01/2024</t>
        </is>
      </c>
      <c r="BZ222" t="inlineStr">
        <is>
          <t>30/06/2031</t>
        </is>
      </c>
    </row>
    <row r="223">
      <c r="A223" t="inlineStr">
        <is>
          <t>RESIDENCIAL BEYOND</t>
        </is>
      </c>
      <c r="B223" t="inlineStr">
        <is>
          <t>Etapa 1</t>
        </is>
      </c>
      <c r="C223" t="inlineStr">
        <is>
          <t>Edificio</t>
        </is>
      </c>
      <c r="D223" t="inlineStr">
        <is>
          <t>A</t>
        </is>
      </c>
      <c r="E223" t="inlineStr">
        <is>
          <t>Departamento</t>
        </is>
      </c>
      <c r="F223" t="inlineStr">
        <is>
          <t>504</t>
        </is>
      </c>
      <c r="G223" s="39" t="n">
        <v>498000</v>
      </c>
      <c r="H223" s="39" t="n">
        <v>464400</v>
      </c>
      <c r="I223" t="inlineStr">
        <is>
          <t>Edificio</t>
        </is>
      </c>
      <c r="J223" t="inlineStr">
        <is>
          <t>A</t>
        </is>
      </c>
      <c r="K223" t="inlineStr">
        <is>
          <t>Estacionamiento</t>
        </is>
      </c>
      <c r="L223" t="inlineStr">
        <is>
          <t>E 07</t>
        </is>
      </c>
      <c r="M223" s="39" t="n">
        <v>45600</v>
      </c>
      <c r="N223" s="39" t="n">
        <v>45600</v>
      </c>
      <c r="S223" s="39" t="n"/>
      <c r="T223" s="39" t="n"/>
      <c r="Y223" s="39" t="n"/>
      <c r="Z223" s="39" t="n"/>
      <c r="AA223" t="inlineStr">
        <is>
          <t>Ronald José Claudio Ramírez</t>
        </is>
      </c>
      <c r="AB223" t="inlineStr">
        <is>
          <t>41129584</t>
        </is>
      </c>
      <c r="AC223" t="inlineStr">
        <is>
          <t>Av. Nicolas Allyon 7550 torre 2 dpto. 302</t>
        </is>
      </c>
      <c r="AD223" t="n">
        <v>0</v>
      </c>
      <c r="AE223" t="inlineStr">
        <is>
          <t>991470542</t>
        </is>
      </c>
      <c r="AF223" t="inlineStr">
        <is>
          <t>ronald.claudio@gmail.com</t>
        </is>
      </c>
      <c r="AG223" t="inlineStr">
        <is>
          <t>LIMA</t>
        </is>
      </c>
      <c r="AH223" t="inlineStr">
        <is>
          <t>ATE</t>
        </is>
      </c>
      <c r="AI223" s="75" t="n">
        <v>45999</v>
      </c>
      <c r="AJ223" s="75" t="n">
        <v>45999</v>
      </c>
      <c r="AK223" t="inlineStr">
        <is>
          <t>SEPARACION</t>
        </is>
      </c>
      <c r="AL223" t="n">
        <v>1</v>
      </c>
      <c r="AM223" t="n">
        <v>3000</v>
      </c>
      <c r="AN223" t="n">
        <v>0</v>
      </c>
      <c r="AO223" t="n">
        <v>0</v>
      </c>
      <c r="AP223" s="39" t="n">
        <v>3000</v>
      </c>
      <c r="AQ223" s="39" t="n">
        <v>3000</v>
      </c>
      <c r="AR223" s="39" t="n">
        <v>0</v>
      </c>
      <c r="AS223" t="n">
        <v>0</v>
      </c>
      <c r="AT223" t="inlineStr">
        <is>
          <t>Ahorro</t>
        </is>
      </c>
      <c r="AU223" t="inlineStr">
        <is>
          <t>Banco de Credito del Perú</t>
        </is>
      </c>
      <c r="AV223" t="inlineStr">
        <is>
          <t>194-7325779-0-65</t>
        </is>
      </c>
      <c r="AW223" t="inlineStr">
        <is>
          <t>TRANSFERENCIA BANCARIA</t>
        </is>
      </c>
      <c r="AY223" t="inlineStr">
        <is>
          <t>04546190</t>
        </is>
      </c>
      <c r="AZ223" t="inlineStr">
        <is>
          <t>No</t>
        </is>
      </c>
      <c r="BB223" t="n">
        <v>4</v>
      </c>
      <c r="BC223" t="inlineStr">
        <is>
          <t>CANCELADO</t>
        </is>
      </c>
      <c r="BN223" t="inlineStr">
        <is>
          <t>No</t>
        </is>
      </c>
      <c r="BO223" s="76" t="n">
        <v>46071.40208333333</v>
      </c>
      <c r="BP223" t="inlineStr">
        <is>
          <t>Magaly Guevara Perez</t>
        </is>
      </c>
      <c r="BR223" t="n">
        <v>32</v>
      </c>
      <c r="BS223" t="inlineStr">
        <is>
          <t>01/05/2026 19:05</t>
        </is>
      </c>
      <c r="BW223" t="inlineStr">
        <is>
          <t>Cobranzas_2025.csv</t>
        </is>
      </c>
      <c r="BX223" t="n">
        <v>2025</v>
      </c>
      <c r="BY223" t="inlineStr">
        <is>
          <t>01/01/2024</t>
        </is>
      </c>
      <c r="BZ223" t="inlineStr">
        <is>
          <t>30/06/2031</t>
        </is>
      </c>
    </row>
    <row r="224">
      <c r="A224" t="inlineStr">
        <is>
          <t>RESIDENCIAL PRADA</t>
        </is>
      </c>
      <c r="B224" t="inlineStr">
        <is>
          <t>Etapa 1</t>
        </is>
      </c>
      <c r="C224" t="inlineStr">
        <is>
          <t>Edificio</t>
        </is>
      </c>
      <c r="D224" t="inlineStr">
        <is>
          <t>A</t>
        </is>
      </c>
      <c r="E224" t="inlineStr">
        <is>
          <t>Departamento</t>
        </is>
      </c>
      <c r="F224" t="inlineStr">
        <is>
          <t>705</t>
        </is>
      </c>
      <c r="G224" s="39" t="n">
        <v>496000</v>
      </c>
      <c r="H224" s="39" t="n">
        <v>496000</v>
      </c>
      <c r="M224" s="39" t="n"/>
      <c r="N224" s="39" t="n"/>
      <c r="S224" s="39" t="n"/>
      <c r="T224" s="39" t="n"/>
      <c r="Y224" s="39" t="n"/>
      <c r="Z224" s="39" t="n"/>
      <c r="AA224" t="inlineStr">
        <is>
          <t>Sthefany Carolina Rodriguez Huamán</t>
        </is>
      </c>
      <c r="AB224" t="inlineStr">
        <is>
          <t>70270427</t>
        </is>
      </c>
      <c r="AC224" t="inlineStr">
        <is>
          <t>-</t>
        </is>
      </c>
      <c r="AE224" t="inlineStr">
        <is>
          <t>989492681</t>
        </is>
      </c>
      <c r="AF224" t="inlineStr">
        <is>
          <t>sthefany.rodriguez2207@gmail.com</t>
        </is>
      </c>
      <c r="AG224" t="inlineStr">
        <is>
          <t>LIMA</t>
        </is>
      </c>
      <c r="AH224" t="inlineStr">
        <is>
          <t>CERCADO DE LIMA</t>
        </is>
      </c>
      <c r="AI224" s="75" t="n">
        <v>45721</v>
      </c>
      <c r="AJ224" s="75" t="n">
        <v>45721</v>
      </c>
      <c r="AK224" t="inlineStr">
        <is>
          <t>CUOTA INICIAL</t>
        </is>
      </c>
      <c r="AL224" t="n">
        <v>3</v>
      </c>
      <c r="AM224" t="n">
        <v>25000</v>
      </c>
      <c r="AN224" t="n">
        <v>0</v>
      </c>
      <c r="AO224" t="n">
        <v>0</v>
      </c>
      <c r="AP224" s="39" t="n">
        <v>25000</v>
      </c>
      <c r="AQ224" s="39" t="n">
        <v>25000</v>
      </c>
      <c r="AR224" s="39" t="n">
        <v>0</v>
      </c>
      <c r="AS224" t="n">
        <v>0</v>
      </c>
      <c r="AT224" t="inlineStr">
        <is>
          <t>Ahorro</t>
        </is>
      </c>
      <c r="AU224" t="inlineStr">
        <is>
          <t>Scotiabank Perú</t>
        </is>
      </c>
      <c r="AV224" t="inlineStr">
        <is>
          <t>000-2768484</t>
        </is>
      </c>
      <c r="AW224" t="inlineStr">
        <is>
          <t>DEPOSITO EN CUENTA</t>
        </is>
      </c>
      <c r="AX224" t="n">
        <v>70270427</v>
      </c>
      <c r="AY224" t="inlineStr">
        <is>
          <t>0500010135</t>
        </is>
      </c>
      <c r="AZ224" t="inlineStr">
        <is>
          <t>No</t>
        </is>
      </c>
      <c r="BA224" t="inlineStr">
        <is>
          <t>NO PRECISA</t>
        </is>
      </c>
      <c r="BB224" t="n">
        <v>1</v>
      </c>
      <c r="BC224" t="inlineStr">
        <is>
          <t>CANCELADO</t>
        </is>
      </c>
      <c r="BN224" t="inlineStr">
        <is>
          <t>Si</t>
        </is>
      </c>
      <c r="BO224" s="76" t="n">
        <v>45829.38958333333</v>
      </c>
      <c r="BP224" t="inlineStr">
        <is>
          <t>Carla Michue M</t>
        </is>
      </c>
      <c r="BR224" t="n">
        <v>2</v>
      </c>
      <c r="BS224" t="inlineStr">
        <is>
          <t>29/05/2026 12:20</t>
        </is>
      </c>
      <c r="BW224" t="inlineStr">
        <is>
          <t>Cobranzas_2025.csv</t>
        </is>
      </c>
      <c r="BX224" t="n">
        <v>2025</v>
      </c>
      <c r="BY224" t="inlineStr">
        <is>
          <t>01/01/2024</t>
        </is>
      </c>
      <c r="BZ224" t="inlineStr">
        <is>
          <t>30/06/2031</t>
        </is>
      </c>
    </row>
    <row r="225">
      <c r="A225" t="inlineStr">
        <is>
          <t>RESIDENCIAL PRADA</t>
        </is>
      </c>
      <c r="B225" t="inlineStr">
        <is>
          <t>Etapa 1</t>
        </is>
      </c>
      <c r="C225" t="inlineStr">
        <is>
          <t>Edificio</t>
        </is>
      </c>
      <c r="D225" t="inlineStr">
        <is>
          <t>A</t>
        </is>
      </c>
      <c r="E225" t="inlineStr">
        <is>
          <t>Departamento</t>
        </is>
      </c>
      <c r="F225" t="inlineStr">
        <is>
          <t>705</t>
        </is>
      </c>
      <c r="G225" s="39" t="n">
        <v>496000</v>
      </c>
      <c r="H225" s="39" t="n">
        <v>496000</v>
      </c>
      <c r="M225" s="39" t="n"/>
      <c r="N225" s="39" t="n"/>
      <c r="S225" s="39" t="n"/>
      <c r="T225" s="39" t="n"/>
      <c r="Y225" s="39" t="n"/>
      <c r="Z225" s="39" t="n"/>
      <c r="AA225" t="inlineStr">
        <is>
          <t>Sthefany Carolina Rodriguez Huamán</t>
        </is>
      </c>
      <c r="AB225" t="inlineStr">
        <is>
          <t>70270427</t>
        </is>
      </c>
      <c r="AC225" t="inlineStr">
        <is>
          <t>-</t>
        </is>
      </c>
      <c r="AE225" t="inlineStr">
        <is>
          <t>989492681</t>
        </is>
      </c>
      <c r="AF225" t="inlineStr">
        <is>
          <t>sthefany.rodriguez2207@gmail.com</t>
        </is>
      </c>
      <c r="AG225" t="inlineStr">
        <is>
          <t>LIMA</t>
        </is>
      </c>
      <c r="AH225" t="inlineStr">
        <is>
          <t>CERCADO DE LIMA</t>
        </is>
      </c>
      <c r="AI225" s="75" t="n">
        <v>45828</v>
      </c>
      <c r="AJ225" s="75" t="n">
        <v>45828</v>
      </c>
      <c r="AK225" t="inlineStr">
        <is>
          <t>CUOTA INICIAL</t>
        </is>
      </c>
      <c r="AL225" t="n">
        <v>4</v>
      </c>
      <c r="AM225" t="n">
        <v>7000</v>
      </c>
      <c r="AN225" t="n">
        <v>0</v>
      </c>
      <c r="AO225" t="n">
        <v>0</v>
      </c>
      <c r="AP225" s="39" t="n">
        <v>7000</v>
      </c>
      <c r="AQ225" s="39" t="n">
        <v>7000</v>
      </c>
      <c r="AR225" s="39" t="n">
        <v>0</v>
      </c>
      <c r="AS225" t="n">
        <v>0</v>
      </c>
      <c r="AT225" t="inlineStr">
        <is>
          <t>Ahorro</t>
        </is>
      </c>
      <c r="AU225" t="inlineStr">
        <is>
          <t>Scotiabank Perú</t>
        </is>
      </c>
      <c r="AV225" t="inlineStr">
        <is>
          <t>000-2768484</t>
        </is>
      </c>
      <c r="AW225" t="inlineStr">
        <is>
          <t>DEPOSITO EN CUENTA</t>
        </is>
      </c>
      <c r="AX225" t="n">
        <v>70270427</v>
      </c>
      <c r="AY225" t="inlineStr">
        <is>
          <t>0500010060</t>
        </is>
      </c>
      <c r="AZ225" t="inlineStr">
        <is>
          <t>No</t>
        </is>
      </c>
      <c r="BA225" t="inlineStr">
        <is>
          <t>NO PRECISA</t>
        </is>
      </c>
      <c r="BB225" t="n">
        <v>1</v>
      </c>
      <c r="BC225" t="inlineStr">
        <is>
          <t>CANCELADO</t>
        </is>
      </c>
      <c r="BN225" t="inlineStr">
        <is>
          <t>Si</t>
        </is>
      </c>
      <c r="BO225" s="76" t="n">
        <v>45829.38958333333</v>
      </c>
      <c r="BP225" t="inlineStr">
        <is>
          <t>Carla Michue M</t>
        </is>
      </c>
      <c r="BR225" t="n">
        <v>2</v>
      </c>
      <c r="BS225" t="inlineStr">
        <is>
          <t>29/05/2026 12:20</t>
        </is>
      </c>
      <c r="BW225" t="inlineStr">
        <is>
          <t>Cobranzas_2025.csv</t>
        </is>
      </c>
      <c r="BX225" t="n">
        <v>2025</v>
      </c>
      <c r="BY225" t="inlineStr">
        <is>
          <t>01/01/2024</t>
        </is>
      </c>
      <c r="BZ225" t="inlineStr">
        <is>
          <t>30/06/2031</t>
        </is>
      </c>
    </row>
    <row r="226">
      <c r="A226" t="inlineStr">
        <is>
          <t>RESIDENCIAL PRADA</t>
        </is>
      </c>
      <c r="B226" t="inlineStr">
        <is>
          <t>Etapa 1</t>
        </is>
      </c>
      <c r="C226" t="inlineStr">
        <is>
          <t>Edificio</t>
        </is>
      </c>
      <c r="D226" t="inlineStr">
        <is>
          <t>A</t>
        </is>
      </c>
      <c r="E226" t="inlineStr">
        <is>
          <t>Departamento</t>
        </is>
      </c>
      <c r="F226" t="inlineStr">
        <is>
          <t>705</t>
        </is>
      </c>
      <c r="G226" s="39" t="n">
        <v>496000</v>
      </c>
      <c r="H226" s="39" t="n">
        <v>496000</v>
      </c>
      <c r="M226" s="39" t="n"/>
      <c r="N226" s="39" t="n"/>
      <c r="S226" s="39" t="n"/>
      <c r="T226" s="39" t="n"/>
      <c r="Y226" s="39" t="n"/>
      <c r="Z226" s="39" t="n"/>
      <c r="AA226" t="inlineStr">
        <is>
          <t>Sthefany Carolina Rodriguez Huamán</t>
        </is>
      </c>
      <c r="AB226" t="inlineStr">
        <is>
          <t>70270427</t>
        </is>
      </c>
      <c r="AC226" t="inlineStr">
        <is>
          <t>-</t>
        </is>
      </c>
      <c r="AE226" t="inlineStr">
        <is>
          <t>989492681</t>
        </is>
      </c>
      <c r="AF226" t="inlineStr">
        <is>
          <t>sthefany.rodriguez2207@gmail.com</t>
        </is>
      </c>
      <c r="AG226" t="inlineStr">
        <is>
          <t>LIMA</t>
        </is>
      </c>
      <c r="AH226" t="inlineStr">
        <is>
          <t>CERCADO DE LIMA</t>
        </is>
      </c>
      <c r="AI226" s="75" t="n">
        <v>45829</v>
      </c>
      <c r="AJ226" s="75" t="n">
        <v>45829</v>
      </c>
      <c r="AK226" t="inlineStr">
        <is>
          <t>CUOTA INICIAL</t>
        </is>
      </c>
      <c r="AL226" t="n">
        <v>5</v>
      </c>
      <c r="AM226" t="n">
        <v>24800</v>
      </c>
      <c r="AN226" t="n">
        <v>0</v>
      </c>
      <c r="AO226" t="n">
        <v>0</v>
      </c>
      <c r="AP226" s="39" t="n">
        <v>24800</v>
      </c>
      <c r="AQ226" s="39" t="n">
        <v>24800</v>
      </c>
      <c r="AR226" s="39" t="n">
        <v>0</v>
      </c>
      <c r="AS226" t="n">
        <v>0</v>
      </c>
      <c r="AT226" t="inlineStr">
        <is>
          <t>Ahorro</t>
        </is>
      </c>
      <c r="AU226" t="inlineStr">
        <is>
          <t>Scotiabank Perú</t>
        </is>
      </c>
      <c r="AV226" t="inlineStr">
        <is>
          <t>000-2768484</t>
        </is>
      </c>
      <c r="AW226" t="inlineStr">
        <is>
          <t>TRANSFERENCIA BANCARIA</t>
        </is>
      </c>
      <c r="AX226" t="n">
        <v>70270427</v>
      </c>
      <c r="AY226" t="inlineStr">
        <is>
          <t>70270427</t>
        </is>
      </c>
      <c r="AZ226" t="inlineStr">
        <is>
          <t>No</t>
        </is>
      </c>
      <c r="BA226" t="inlineStr">
        <is>
          <t>NO PRECISA</t>
        </is>
      </c>
      <c r="BB226" t="n">
        <v>1</v>
      </c>
      <c r="BC226" t="inlineStr">
        <is>
          <t>CANCELADO</t>
        </is>
      </c>
      <c r="BN226" t="inlineStr">
        <is>
          <t>Si</t>
        </is>
      </c>
      <c r="BO226" s="76" t="n">
        <v>45829.38958333333</v>
      </c>
      <c r="BP226" t="inlineStr">
        <is>
          <t>Carla Michue M</t>
        </is>
      </c>
      <c r="BR226" t="n">
        <v>2</v>
      </c>
      <c r="BS226" t="inlineStr">
        <is>
          <t>29/05/2026 12:20</t>
        </is>
      </c>
      <c r="BW226" t="inlineStr">
        <is>
          <t>Cobranzas_2025.csv</t>
        </is>
      </c>
      <c r="BX226" t="n">
        <v>2025</v>
      </c>
      <c r="BY226" t="inlineStr">
        <is>
          <t>01/01/2024</t>
        </is>
      </c>
      <c r="BZ226" t="inlineStr">
        <is>
          <t>30/06/2031</t>
        </is>
      </c>
    </row>
    <row r="227">
      <c r="A227" t="inlineStr">
        <is>
          <t>RESIDENCIAL PRADA</t>
        </is>
      </c>
      <c r="B227" t="inlineStr">
        <is>
          <t>Etapa 1</t>
        </is>
      </c>
      <c r="C227" t="inlineStr">
        <is>
          <t>Edificio</t>
        </is>
      </c>
      <c r="D227" t="inlineStr">
        <is>
          <t>A</t>
        </is>
      </c>
      <c r="E227" t="inlineStr">
        <is>
          <t>Departamento</t>
        </is>
      </c>
      <c r="F227" t="inlineStr">
        <is>
          <t>705</t>
        </is>
      </c>
      <c r="G227" s="39" t="n">
        <v>496000</v>
      </c>
      <c r="H227" s="39" t="n">
        <v>496000</v>
      </c>
      <c r="M227" s="39" t="n"/>
      <c r="N227" s="39" t="n"/>
      <c r="S227" s="39" t="n"/>
      <c r="T227" s="39" t="n"/>
      <c r="Y227" s="39" t="n"/>
      <c r="Z227" s="39" t="n"/>
      <c r="AA227" t="inlineStr">
        <is>
          <t>Sthefany Carolina Rodriguez Huamán</t>
        </is>
      </c>
      <c r="AB227" t="inlineStr">
        <is>
          <t>70270427</t>
        </is>
      </c>
      <c r="AC227" t="inlineStr">
        <is>
          <t>-</t>
        </is>
      </c>
      <c r="AE227" t="inlineStr">
        <is>
          <t>989492681</t>
        </is>
      </c>
      <c r="AF227" t="inlineStr">
        <is>
          <t>sthefany.rodriguez2207@gmail.com</t>
        </is>
      </c>
      <c r="AG227" t="inlineStr">
        <is>
          <t>LIMA</t>
        </is>
      </c>
      <c r="AH227" t="inlineStr">
        <is>
          <t>CERCADO DE LIMA</t>
        </is>
      </c>
      <c r="AI227" s="75" t="n">
        <v>45869</v>
      </c>
      <c r="AJ227" s="75" t="n">
        <v>45854</v>
      </c>
      <c r="AK227" t="inlineStr">
        <is>
          <t>SALDO FINANCIAR</t>
        </is>
      </c>
      <c r="AL227" t="n">
        <v>6</v>
      </c>
      <c r="AM227" t="n">
        <v>436200</v>
      </c>
      <c r="AN227" t="n">
        <v>0</v>
      </c>
      <c r="AO227" t="n">
        <v>0</v>
      </c>
      <c r="AP227" s="39" t="n">
        <v>436200</v>
      </c>
      <c r="AQ227" s="39" t="n">
        <v>436200</v>
      </c>
      <c r="AR227" s="39" t="n">
        <v>0</v>
      </c>
      <c r="AS227" t="n">
        <v>0</v>
      </c>
      <c r="AT227" t="inlineStr">
        <is>
          <t>Ahorro</t>
        </is>
      </c>
      <c r="AU227" t="inlineStr">
        <is>
          <t>Scotiabank Perú</t>
        </is>
      </c>
      <c r="AV227" t="inlineStr">
        <is>
          <t>000-2768484</t>
        </is>
      </c>
      <c r="AW227" t="inlineStr">
        <is>
          <t>TRANSFERENCIA BANCARIA</t>
        </is>
      </c>
      <c r="AY227" t="inlineStr">
        <is>
          <t>0270800001</t>
        </is>
      </c>
      <c r="AZ227" t="inlineStr">
        <is>
          <t>No</t>
        </is>
      </c>
      <c r="BB227" t="n">
        <v>4</v>
      </c>
      <c r="BC227" t="inlineStr">
        <is>
          <t>CANCELADO</t>
        </is>
      </c>
      <c r="BN227" t="inlineStr">
        <is>
          <t>Si</t>
        </is>
      </c>
      <c r="BO227" s="76" t="n">
        <v>45829.38958333333</v>
      </c>
      <c r="BP227" t="inlineStr">
        <is>
          <t>Carla Michue M</t>
        </is>
      </c>
      <c r="BR227" t="n">
        <v>2</v>
      </c>
      <c r="BS227" t="inlineStr">
        <is>
          <t>14/07/2026 09:19</t>
        </is>
      </c>
      <c r="BW227" t="inlineStr">
        <is>
          <t>Cobranzas_2025.csv</t>
        </is>
      </c>
      <c r="BX227" t="n">
        <v>2025</v>
      </c>
      <c r="BY227" t="inlineStr">
        <is>
          <t>01/01/2024</t>
        </is>
      </c>
      <c r="BZ227" t="inlineStr">
        <is>
          <t>30/06/2031</t>
        </is>
      </c>
    </row>
    <row r="228">
      <c r="A228" t="inlineStr">
        <is>
          <t>RESIDENCIAL PRADA</t>
        </is>
      </c>
      <c r="B228" t="inlineStr">
        <is>
          <t>Etapa 1</t>
        </is>
      </c>
      <c r="C228" t="inlineStr">
        <is>
          <t>Edificio</t>
        </is>
      </c>
      <c r="D228" t="inlineStr">
        <is>
          <t>A</t>
        </is>
      </c>
      <c r="E228" t="inlineStr">
        <is>
          <t>Departamento</t>
        </is>
      </c>
      <c r="F228" t="inlineStr">
        <is>
          <t>805</t>
        </is>
      </c>
      <c r="G228" s="39" t="n">
        <v>470500</v>
      </c>
      <c r="H228" s="39" t="n">
        <v>470500</v>
      </c>
      <c r="M228" s="39" t="n"/>
      <c r="N228" s="39" t="n"/>
      <c r="S228" s="39" t="n"/>
      <c r="T228" s="39" t="n"/>
      <c r="Y228" s="39" t="n"/>
      <c r="Z228" s="39" t="n"/>
      <c r="AA228" t="inlineStr">
        <is>
          <t>Sussan Yassmine Rubin Domínguez</t>
        </is>
      </c>
      <c r="AB228" t="inlineStr">
        <is>
          <t>46963168</t>
        </is>
      </c>
      <c r="AC228" t="inlineStr">
        <is>
          <t xml:space="preserve">URB LOS PORTALES MZ E LT 21 </t>
        </is>
      </c>
      <c r="AD228" t="n">
        <v>0</v>
      </c>
      <c r="AE228" t="inlineStr">
        <is>
          <t>962099777</t>
        </is>
      </c>
      <c r="AF228" t="inlineStr">
        <is>
          <t>yassmine.rubin12@gmail.com</t>
        </is>
      </c>
      <c r="AG228" t="inlineStr">
        <is>
          <t>HUANUCO</t>
        </is>
      </c>
      <c r="AH228" t="inlineStr">
        <is>
          <t>AMARILIS</t>
        </is>
      </c>
      <c r="AI228" s="75" t="n">
        <v>45815</v>
      </c>
      <c r="AJ228" s="75" t="n">
        <v>45815</v>
      </c>
      <c r="AK228" t="inlineStr">
        <is>
          <t>SEPARACION</t>
        </is>
      </c>
      <c r="AL228" t="n">
        <v>1</v>
      </c>
      <c r="AM228" t="n">
        <v>3000</v>
      </c>
      <c r="AN228" t="n">
        <v>0</v>
      </c>
      <c r="AO228" t="n">
        <v>0</v>
      </c>
      <c r="AP228" s="39" t="n">
        <v>3000</v>
      </c>
      <c r="AQ228" s="39" t="n">
        <v>3000</v>
      </c>
      <c r="AR228" s="39" t="n">
        <v>0</v>
      </c>
      <c r="AS228" t="n">
        <v>0</v>
      </c>
      <c r="AT228" t="inlineStr">
        <is>
          <t>Ahorro</t>
        </is>
      </c>
      <c r="AU228" t="inlineStr">
        <is>
          <t>Scotiabank Perú</t>
        </is>
      </c>
      <c r="AV228" t="inlineStr">
        <is>
          <t>000-2768484</t>
        </is>
      </c>
      <c r="AW228" t="inlineStr">
        <is>
          <t>TRANSFERENCIA BANCARIA</t>
        </is>
      </c>
      <c r="AY228" t="inlineStr">
        <is>
          <t>000000025900000000260</t>
        </is>
      </c>
      <c r="AZ228" t="inlineStr">
        <is>
          <t>No</t>
        </is>
      </c>
      <c r="BB228" t="n">
        <v>4</v>
      </c>
      <c r="BC228" t="inlineStr">
        <is>
          <t>CANCELADO</t>
        </is>
      </c>
      <c r="BN228" t="inlineStr">
        <is>
          <t>Si</t>
        </is>
      </c>
      <c r="BO228" s="76" t="n">
        <v>45834.63611111111</v>
      </c>
      <c r="BP228" t="inlineStr">
        <is>
          <t>Magaly Guevara Perez</t>
        </is>
      </c>
      <c r="BR228" t="n">
        <v>50</v>
      </c>
      <c r="BS228" t="inlineStr">
        <is>
          <t>07/07/2026 15:13</t>
        </is>
      </c>
      <c r="BW228" t="inlineStr">
        <is>
          <t>Cobranzas_2025.csv</t>
        </is>
      </c>
      <c r="BX228" t="n">
        <v>2025</v>
      </c>
      <c r="BY228" t="inlineStr">
        <is>
          <t>01/01/2024</t>
        </is>
      </c>
      <c r="BZ228" t="inlineStr">
        <is>
          <t>30/06/2031</t>
        </is>
      </c>
    </row>
    <row r="229">
      <c r="A229" t="inlineStr">
        <is>
          <t>RESIDENCIAL PRADA</t>
        </is>
      </c>
      <c r="B229" t="inlineStr">
        <is>
          <t>Etapa 1</t>
        </is>
      </c>
      <c r="C229" t="inlineStr">
        <is>
          <t>Edificio</t>
        </is>
      </c>
      <c r="D229" t="inlineStr">
        <is>
          <t>A</t>
        </is>
      </c>
      <c r="E229" t="inlineStr">
        <is>
          <t>Departamento</t>
        </is>
      </c>
      <c r="F229" t="inlineStr">
        <is>
          <t>805</t>
        </is>
      </c>
      <c r="G229" s="39" t="n">
        <v>470500</v>
      </c>
      <c r="H229" s="39" t="n">
        <v>470500</v>
      </c>
      <c r="M229" s="39" t="n"/>
      <c r="N229" s="39" t="n"/>
      <c r="S229" s="39" t="n"/>
      <c r="T229" s="39" t="n"/>
      <c r="Y229" s="39" t="n"/>
      <c r="Z229" s="39" t="n"/>
      <c r="AA229" t="inlineStr">
        <is>
          <t>Sussan Yassmine Rubin Domínguez</t>
        </is>
      </c>
      <c r="AB229" t="inlineStr">
        <is>
          <t>46963168</t>
        </is>
      </c>
      <c r="AC229" t="inlineStr">
        <is>
          <t xml:space="preserve">URB LOS PORTALES MZ E LT 21 </t>
        </is>
      </c>
      <c r="AD229" t="n">
        <v>0</v>
      </c>
      <c r="AE229" t="inlineStr">
        <is>
          <t>962099777</t>
        </is>
      </c>
      <c r="AF229" t="inlineStr">
        <is>
          <t>yassmine.rubin12@gmail.com</t>
        </is>
      </c>
      <c r="AG229" t="inlineStr">
        <is>
          <t>HUANUCO</t>
        </is>
      </c>
      <c r="AH229" t="inlineStr">
        <is>
          <t>AMARILIS</t>
        </is>
      </c>
      <c r="AI229" s="75" t="n">
        <v>45834</v>
      </c>
      <c r="AJ229" s="75" t="n">
        <v>45834</v>
      </c>
      <c r="AK229" t="inlineStr">
        <is>
          <t>CUOTA INICIAL</t>
        </is>
      </c>
      <c r="AL229" t="n">
        <v>1</v>
      </c>
      <c r="AM229" t="n">
        <v>39000</v>
      </c>
      <c r="AN229" t="n">
        <v>0</v>
      </c>
      <c r="AO229" t="n">
        <v>0</v>
      </c>
      <c r="AP229" s="39" t="n">
        <v>39000</v>
      </c>
      <c r="AQ229" s="39" t="n">
        <v>39000</v>
      </c>
      <c r="AR229" s="39" t="n">
        <v>0</v>
      </c>
      <c r="AS229" t="n">
        <v>0</v>
      </c>
      <c r="AT229" t="inlineStr">
        <is>
          <t>Ahorro</t>
        </is>
      </c>
      <c r="AU229" t="inlineStr">
        <is>
          <t>Scotiabank Perú</t>
        </is>
      </c>
      <c r="AV229" t="inlineStr">
        <is>
          <t>000-2768484</t>
        </is>
      </c>
      <c r="AW229" t="inlineStr">
        <is>
          <t>TRANSFERENCIA BANCARIA</t>
        </is>
      </c>
      <c r="AY229" t="inlineStr">
        <is>
          <t>006211911</t>
        </is>
      </c>
      <c r="AZ229" t="inlineStr">
        <is>
          <t>No</t>
        </is>
      </c>
      <c r="BB229" t="n">
        <v>4</v>
      </c>
      <c r="BC229" t="inlineStr">
        <is>
          <t>CANCELADO</t>
        </is>
      </c>
      <c r="BN229" t="inlineStr">
        <is>
          <t>Si</t>
        </is>
      </c>
      <c r="BO229" s="76" t="n">
        <v>45834.63611111111</v>
      </c>
      <c r="BP229" t="inlineStr">
        <is>
          <t>Magaly Guevara Perez</t>
        </is>
      </c>
      <c r="BR229" t="n">
        <v>50</v>
      </c>
      <c r="BS229" t="inlineStr">
        <is>
          <t>07/07/2026 15:15</t>
        </is>
      </c>
      <c r="BW229" t="inlineStr">
        <is>
          <t>Cobranzas_2025.csv</t>
        </is>
      </c>
      <c r="BX229" t="n">
        <v>2025</v>
      </c>
      <c r="BY229" t="inlineStr">
        <is>
          <t>01/01/2024</t>
        </is>
      </c>
      <c r="BZ229" t="inlineStr">
        <is>
          <t>30/06/2031</t>
        </is>
      </c>
    </row>
    <row r="230">
      <c r="A230" t="inlineStr">
        <is>
          <t>RESIDENCIAL BEYOND</t>
        </is>
      </c>
      <c r="B230" t="inlineStr">
        <is>
          <t>Etapa 1</t>
        </is>
      </c>
      <c r="C230" t="inlineStr">
        <is>
          <t>Edificio</t>
        </is>
      </c>
      <c r="D230" t="inlineStr">
        <is>
          <t>A</t>
        </is>
      </c>
      <c r="E230" t="inlineStr">
        <is>
          <t>Departamento</t>
        </is>
      </c>
      <c r="F230" t="inlineStr">
        <is>
          <t>1001</t>
        </is>
      </c>
      <c r="G230" s="39" t="n">
        <v>531100</v>
      </c>
      <c r="H230" s="39" t="n">
        <v>518500</v>
      </c>
      <c r="M230" s="39" t="n"/>
      <c r="N230" s="39" t="n"/>
      <c r="S230" s="39" t="n"/>
      <c r="T230" s="39" t="n"/>
      <c r="Y230" s="39" t="n"/>
      <c r="Z230" s="39" t="n"/>
      <c r="AA230" t="inlineStr">
        <is>
          <t>Tania Jackeline Valladares Timana</t>
        </is>
      </c>
      <c r="AB230" t="inlineStr">
        <is>
          <t>43216992</t>
        </is>
      </c>
      <c r="AC230" t="inlineStr">
        <is>
          <t>Jr. Maria Antonieta 130 Dpto. 301</t>
        </is>
      </c>
      <c r="AD230" t="n">
        <v>0</v>
      </c>
      <c r="AE230" t="inlineStr">
        <is>
          <t>990000227</t>
        </is>
      </c>
      <c r="AF230" t="inlineStr">
        <is>
          <t>tania.valladarest@gmail.com</t>
        </is>
      </c>
      <c r="AG230" t="inlineStr">
        <is>
          <t>LIMA</t>
        </is>
      </c>
      <c r="AH230" t="inlineStr">
        <is>
          <t>SAN MARTIN DE PORRES</t>
        </is>
      </c>
      <c r="AI230" s="75" t="n">
        <v>45855</v>
      </c>
      <c r="AJ230" s="75" t="n">
        <v>45855</v>
      </c>
      <c r="AK230" t="inlineStr">
        <is>
          <t>SEPARACION</t>
        </is>
      </c>
      <c r="AL230" t="n">
        <v>1</v>
      </c>
      <c r="AM230" t="n">
        <v>3000</v>
      </c>
      <c r="AN230" t="n">
        <v>0</v>
      </c>
      <c r="AO230" t="n">
        <v>0</v>
      </c>
      <c r="AP230" s="39" t="n">
        <v>3000</v>
      </c>
      <c r="AQ230" s="39" t="n">
        <v>3000</v>
      </c>
      <c r="AR230" s="39" t="n">
        <v>0</v>
      </c>
      <c r="AS230" t="n">
        <v>0</v>
      </c>
      <c r="AT230" t="inlineStr">
        <is>
          <t>Ahorro</t>
        </is>
      </c>
      <c r="AU230" t="inlineStr">
        <is>
          <t>Banco de Credito del Perú</t>
        </is>
      </c>
      <c r="AV230" t="inlineStr">
        <is>
          <t>194-7325779-0-65</t>
        </is>
      </c>
      <c r="AW230" t="inlineStr">
        <is>
          <t>TRANSFERENCIA BANCARIA</t>
        </is>
      </c>
      <c r="AY230" t="inlineStr">
        <is>
          <t>02514905</t>
        </is>
      </c>
      <c r="AZ230" t="inlineStr">
        <is>
          <t>No</t>
        </is>
      </c>
      <c r="BB230" t="n">
        <v>4</v>
      </c>
      <c r="BC230" t="inlineStr">
        <is>
          <t>CANCELADO</t>
        </is>
      </c>
      <c r="BN230" t="inlineStr">
        <is>
          <t>No</t>
        </is>
      </c>
      <c r="BO230" s="76" t="n">
        <v>45870.43402777778</v>
      </c>
      <c r="BP230" t="inlineStr">
        <is>
          <t>Magaly Guevara Perez</t>
        </is>
      </c>
      <c r="BR230" t="n">
        <v>16</v>
      </c>
      <c r="BS230" t="inlineStr">
        <is>
          <t>22/05/2026 12:10</t>
        </is>
      </c>
      <c r="BW230" t="inlineStr">
        <is>
          <t>Cobranzas_2025.csv</t>
        </is>
      </c>
      <c r="BX230" t="n">
        <v>2025</v>
      </c>
      <c r="BY230" t="inlineStr">
        <is>
          <t>01/01/2024</t>
        </is>
      </c>
      <c r="BZ230" t="inlineStr">
        <is>
          <t>30/06/2031</t>
        </is>
      </c>
    </row>
    <row r="231">
      <c r="A231" t="inlineStr">
        <is>
          <t>RESIDENCIAL BEYOND</t>
        </is>
      </c>
      <c r="B231" t="inlineStr">
        <is>
          <t>Etapa 1</t>
        </is>
      </c>
      <c r="C231" t="inlineStr">
        <is>
          <t>Edificio</t>
        </is>
      </c>
      <c r="D231" t="inlineStr">
        <is>
          <t>A</t>
        </is>
      </c>
      <c r="E231" t="inlineStr">
        <is>
          <t>Departamento</t>
        </is>
      </c>
      <c r="F231" t="inlineStr">
        <is>
          <t>1001</t>
        </is>
      </c>
      <c r="G231" s="39" t="n">
        <v>531100</v>
      </c>
      <c r="H231" s="39" t="n">
        <v>518500</v>
      </c>
      <c r="M231" s="39" t="n"/>
      <c r="N231" s="39" t="n"/>
      <c r="S231" s="39" t="n"/>
      <c r="T231" s="39" t="n"/>
      <c r="Y231" s="39" t="n"/>
      <c r="Z231" s="39" t="n"/>
      <c r="AA231" t="inlineStr">
        <is>
          <t>Tania Jackeline Valladares Timana</t>
        </is>
      </c>
      <c r="AB231" t="inlineStr">
        <is>
          <t>43216992</t>
        </is>
      </c>
      <c r="AC231" t="inlineStr">
        <is>
          <t>Jr. Maria Antonieta 130 Dpto. 301</t>
        </is>
      </c>
      <c r="AD231" t="n">
        <v>0</v>
      </c>
      <c r="AE231" t="inlineStr">
        <is>
          <t>990000227</t>
        </is>
      </c>
      <c r="AF231" t="inlineStr">
        <is>
          <t>tania.valladarest@gmail.com</t>
        </is>
      </c>
      <c r="AG231" t="inlineStr">
        <is>
          <t>LIMA</t>
        </is>
      </c>
      <c r="AH231" t="inlineStr">
        <is>
          <t>SAN MARTIN DE PORRES</t>
        </is>
      </c>
      <c r="AI231" s="75" t="n">
        <v>45870</v>
      </c>
      <c r="AJ231" s="75" t="n"/>
      <c r="AK231" t="inlineStr">
        <is>
          <t>CUOTA INICIAL</t>
        </is>
      </c>
      <c r="AL231" t="n">
        <v>1</v>
      </c>
      <c r="AM231" t="n">
        <v>22925</v>
      </c>
      <c r="AN231" t="n">
        <v>0</v>
      </c>
      <c r="AO231" t="n">
        <v>0</v>
      </c>
      <c r="AP231" s="39" t="n">
        <v>22925</v>
      </c>
      <c r="AQ231" s="39" t="n">
        <v>0</v>
      </c>
      <c r="AR231" s="39" t="n">
        <v>22925</v>
      </c>
      <c r="AT231" t="inlineStr">
        <is>
          <t>Ahorro</t>
        </is>
      </c>
      <c r="AZ231" t="inlineStr">
        <is>
          <t>No</t>
        </is>
      </c>
      <c r="BC231" t="inlineStr">
        <is>
          <t>VENCIDO</t>
        </is>
      </c>
      <c r="BN231" t="inlineStr">
        <is>
          <t>No</t>
        </is>
      </c>
      <c r="BO231" s="76" t="n">
        <v>45870.43402777778</v>
      </c>
      <c r="BP231" t="inlineStr">
        <is>
          <t>Magaly Guevara Perez</t>
        </is>
      </c>
      <c r="BR231" t="n">
        <v>16</v>
      </c>
      <c r="BW231" t="inlineStr">
        <is>
          <t>Cobranzas_2025.csv</t>
        </is>
      </c>
      <c r="BX231" t="n">
        <v>2025</v>
      </c>
      <c r="BY231" t="inlineStr">
        <is>
          <t>01/01/2024</t>
        </is>
      </c>
      <c r="BZ231" t="inlineStr">
        <is>
          <t>30/06/2031</t>
        </is>
      </c>
    </row>
    <row r="232">
      <c r="A232" t="inlineStr">
        <is>
          <t>RESIDENCIAL BEYOND</t>
        </is>
      </c>
      <c r="B232" t="inlineStr">
        <is>
          <t>Etapa 1</t>
        </is>
      </c>
      <c r="C232" t="inlineStr">
        <is>
          <t>Edificio</t>
        </is>
      </c>
      <c r="D232" t="inlineStr">
        <is>
          <t>A</t>
        </is>
      </c>
      <c r="E232" t="inlineStr">
        <is>
          <t>Departamento</t>
        </is>
      </c>
      <c r="F232" t="inlineStr">
        <is>
          <t>1001</t>
        </is>
      </c>
      <c r="G232" s="39" t="n">
        <v>531100</v>
      </c>
      <c r="H232" s="39" t="n">
        <v>518500</v>
      </c>
      <c r="M232" s="39" t="n"/>
      <c r="N232" s="39" t="n"/>
      <c r="S232" s="39" t="n"/>
      <c r="T232" s="39" t="n"/>
      <c r="Y232" s="39" t="n"/>
      <c r="Z232" s="39" t="n"/>
      <c r="AA232" t="inlineStr">
        <is>
          <t>Tania Jackeline Valladares Timana</t>
        </is>
      </c>
      <c r="AB232" t="inlineStr">
        <is>
          <t>43216992</t>
        </is>
      </c>
      <c r="AC232" t="inlineStr">
        <is>
          <t>Jr. Maria Antonieta 130 Dpto. 301</t>
        </is>
      </c>
      <c r="AD232" t="n">
        <v>0</v>
      </c>
      <c r="AE232" t="inlineStr">
        <is>
          <t>990000227</t>
        </is>
      </c>
      <c r="AF232" t="inlineStr">
        <is>
          <t>tania.valladarest@gmail.com</t>
        </is>
      </c>
      <c r="AG232" t="inlineStr">
        <is>
          <t>LIMA</t>
        </is>
      </c>
      <c r="AH232" t="inlineStr">
        <is>
          <t>SAN MARTIN DE PORRES</t>
        </is>
      </c>
      <c r="AI232" s="75" t="n">
        <v>45991</v>
      </c>
      <c r="AJ232" s="75" t="n"/>
      <c r="AK232" t="inlineStr">
        <is>
          <t>AHORRO CASA</t>
        </is>
      </c>
      <c r="AL232" t="n">
        <v>2</v>
      </c>
      <c r="AM232" t="n">
        <v>13800</v>
      </c>
      <c r="AN232" t="n">
        <v>0</v>
      </c>
      <c r="AO232" t="n">
        <v>0</v>
      </c>
      <c r="AP232" s="39" t="n">
        <v>13800</v>
      </c>
      <c r="AQ232" s="39" t="n">
        <v>0</v>
      </c>
      <c r="AR232" s="39" t="n">
        <v>13800</v>
      </c>
      <c r="AT232" t="inlineStr">
        <is>
          <t>Ahorro</t>
        </is>
      </c>
      <c r="AZ232" t="inlineStr">
        <is>
          <t>No</t>
        </is>
      </c>
      <c r="BC232" t="inlineStr">
        <is>
          <t>VENCIDO</t>
        </is>
      </c>
      <c r="BN232" t="inlineStr">
        <is>
          <t>No</t>
        </is>
      </c>
      <c r="BO232" s="76" t="n">
        <v>45870.43402777778</v>
      </c>
      <c r="BP232" t="inlineStr">
        <is>
          <t>Magaly Guevara Perez</t>
        </is>
      </c>
      <c r="BR232" t="n">
        <v>16</v>
      </c>
      <c r="BW232" t="inlineStr">
        <is>
          <t>Cobranzas_2025.csv</t>
        </is>
      </c>
      <c r="BX232" t="n">
        <v>2025</v>
      </c>
      <c r="BY232" t="inlineStr">
        <is>
          <t>01/01/2024</t>
        </is>
      </c>
      <c r="BZ232" t="inlineStr">
        <is>
          <t>30/06/2031</t>
        </is>
      </c>
    </row>
    <row r="233">
      <c r="A233" t="inlineStr">
        <is>
          <t>RESIDENCIAL BEYOND</t>
        </is>
      </c>
      <c r="B233" t="inlineStr">
        <is>
          <t>Etapa 1</t>
        </is>
      </c>
      <c r="C233" t="inlineStr">
        <is>
          <t>Edificio</t>
        </is>
      </c>
      <c r="D233" t="inlineStr">
        <is>
          <t>A</t>
        </is>
      </c>
      <c r="E233" t="inlineStr">
        <is>
          <t>Departamento</t>
        </is>
      </c>
      <c r="F233" t="inlineStr">
        <is>
          <t>205</t>
        </is>
      </c>
      <c r="G233" s="39" t="n">
        <v>587000</v>
      </c>
      <c r="H233" s="39" t="n">
        <v>577000</v>
      </c>
      <c r="M233" s="39" t="n"/>
      <c r="N233" s="39" t="n"/>
      <c r="S233" s="39" t="n"/>
      <c r="T233" s="39" t="n"/>
      <c r="Y233" s="39" t="n"/>
      <c r="Z233" s="39" t="n"/>
      <c r="AA233" t="inlineStr">
        <is>
          <t>Tania Milagros Cotrina Vara</t>
        </is>
      </c>
      <c r="AB233" t="inlineStr">
        <is>
          <t>10140034</t>
        </is>
      </c>
      <c r="AC233" t="inlineStr">
        <is>
          <t>Av. Arnaldo Marquez 1526 Dpto. 26</t>
        </is>
      </c>
      <c r="AD233" t="n">
        <v>0</v>
      </c>
      <c r="AE233" t="inlineStr">
        <is>
          <t>941461159</t>
        </is>
      </c>
      <c r="AF233" t="inlineStr">
        <is>
          <t>tamicov@hotmail.com</t>
        </is>
      </c>
      <c r="AG233" t="inlineStr">
        <is>
          <t>LIMA</t>
        </is>
      </c>
      <c r="AH233" t="inlineStr">
        <is>
          <t>JESUS MARIA</t>
        </is>
      </c>
      <c r="AI233" s="75" t="n">
        <v>45918</v>
      </c>
      <c r="AJ233" s="75" t="n">
        <v>45918</v>
      </c>
      <c r="AK233" t="inlineStr">
        <is>
          <t>CUOTA INICIAL</t>
        </is>
      </c>
      <c r="AL233" t="n">
        <v>1</v>
      </c>
      <c r="AM233" t="n">
        <v>89400</v>
      </c>
      <c r="AN233" t="n">
        <v>0</v>
      </c>
      <c r="AO233" t="n">
        <v>0</v>
      </c>
      <c r="AP233" s="39" t="n">
        <v>89400</v>
      </c>
      <c r="AQ233" s="39" t="n">
        <v>89400</v>
      </c>
      <c r="AR233" s="39" t="n">
        <v>0</v>
      </c>
      <c r="AS233" t="n">
        <v>0</v>
      </c>
      <c r="AT233" t="inlineStr">
        <is>
          <t>Ahorro</t>
        </is>
      </c>
      <c r="AU233" t="inlineStr">
        <is>
          <t>Banco de Credito del Perú</t>
        </is>
      </c>
      <c r="AV233" t="inlineStr">
        <is>
          <t>194-7325779-0-65</t>
        </is>
      </c>
      <c r="AW233" t="inlineStr">
        <is>
          <t>TRANSFERENCIA BANCARIA</t>
        </is>
      </c>
      <c r="AX233" t="n">
        <v>10140034</v>
      </c>
      <c r="AY233" t="inlineStr">
        <is>
          <t>0999590</t>
        </is>
      </c>
      <c r="AZ233" t="inlineStr">
        <is>
          <t>No</t>
        </is>
      </c>
      <c r="BA233" t="inlineStr">
        <is>
          <t>NO PRECISA</t>
        </is>
      </c>
      <c r="BB233" t="n">
        <v>4</v>
      </c>
      <c r="BC233" t="inlineStr">
        <is>
          <t>CANCELADO</t>
        </is>
      </c>
      <c r="BN233" t="inlineStr">
        <is>
          <t>Si</t>
        </is>
      </c>
      <c r="BO233" s="76" t="n">
        <v>45918.41597222222</v>
      </c>
      <c r="BP233" t="inlineStr">
        <is>
          <t>Magaly Guevara Perez</t>
        </is>
      </c>
      <c r="BR233" t="n">
        <v>4</v>
      </c>
      <c r="BS233" t="inlineStr">
        <is>
          <t>04/06/2026 10:43</t>
        </is>
      </c>
      <c r="BW233" t="inlineStr">
        <is>
          <t>Cobranzas_2025.csv</t>
        </is>
      </c>
      <c r="BX233" t="n">
        <v>2025</v>
      </c>
      <c r="BY233" t="inlineStr">
        <is>
          <t>01/01/2024</t>
        </is>
      </c>
      <c r="BZ233" t="inlineStr">
        <is>
          <t>30/06/2031</t>
        </is>
      </c>
    </row>
    <row r="234">
      <c r="A234" t="inlineStr">
        <is>
          <t>RESIDENCIAL BEYOND</t>
        </is>
      </c>
      <c r="B234" t="inlineStr">
        <is>
          <t>Etapa 1</t>
        </is>
      </c>
      <c r="C234" t="inlineStr">
        <is>
          <t>Edificio</t>
        </is>
      </c>
      <c r="D234" t="inlineStr">
        <is>
          <t>A</t>
        </is>
      </c>
      <c r="E234" t="inlineStr">
        <is>
          <t>Departamento</t>
        </is>
      </c>
      <c r="F234" t="inlineStr">
        <is>
          <t>702</t>
        </is>
      </c>
      <c r="G234" s="39" t="n">
        <v>430000</v>
      </c>
      <c r="H234" s="39" t="n">
        <v>382000</v>
      </c>
      <c r="M234" s="39" t="n"/>
      <c r="N234" s="39" t="n"/>
      <c r="S234" s="39" t="n"/>
      <c r="T234" s="39" t="n"/>
      <c r="Y234" s="39" t="n"/>
      <c r="Z234" s="39" t="n"/>
      <c r="AA234" t="inlineStr">
        <is>
          <t>Víctor Daniel Chuquihuaccha Hernandez</t>
        </is>
      </c>
      <c r="AB234" t="inlineStr">
        <is>
          <t>73229140</t>
        </is>
      </c>
      <c r="AC234" t="inlineStr">
        <is>
          <t>Calle Los Licopodios 468</t>
        </is>
      </c>
      <c r="AD234" t="n">
        <v>999533600</v>
      </c>
      <c r="AE234" t="inlineStr">
        <is>
          <t>999533600</t>
        </is>
      </c>
      <c r="AF234" t="inlineStr">
        <is>
          <t>victor.d.ch.h@gmail.com</t>
        </is>
      </c>
      <c r="AG234" t="inlineStr">
        <is>
          <t>LIMA</t>
        </is>
      </c>
      <c r="AH234" t="inlineStr">
        <is>
          <t>SAN JUAN DE LURIGANCHO</t>
        </is>
      </c>
      <c r="AI234" s="75" t="n">
        <v>46011</v>
      </c>
      <c r="AJ234" s="75" t="n">
        <v>46011</v>
      </c>
      <c r="AK234" t="inlineStr">
        <is>
          <t>SEPARACION</t>
        </is>
      </c>
      <c r="AL234" t="n">
        <v>1</v>
      </c>
      <c r="AM234" t="n">
        <v>3000</v>
      </c>
      <c r="AN234" t="n">
        <v>0</v>
      </c>
      <c r="AO234" t="n">
        <v>0</v>
      </c>
      <c r="AP234" s="39" t="n">
        <v>3000</v>
      </c>
      <c r="AQ234" s="39" t="n">
        <v>3000</v>
      </c>
      <c r="AR234" s="39" t="n">
        <v>0</v>
      </c>
      <c r="AS234" t="n">
        <v>0</v>
      </c>
      <c r="AT234" t="inlineStr">
        <is>
          <t>Crédito Hipotecario</t>
        </is>
      </c>
      <c r="AU234" t="inlineStr">
        <is>
          <t>Banco de Credito del Perú</t>
        </is>
      </c>
      <c r="AV234" t="inlineStr">
        <is>
          <t>194-7325779-0-65</t>
        </is>
      </c>
      <c r="AW234" t="inlineStr">
        <is>
          <t>TRANSFERENCIA BANCARIA</t>
        </is>
      </c>
      <c r="AY234" t="inlineStr">
        <is>
          <t>04023883</t>
        </is>
      </c>
      <c r="AZ234" t="inlineStr">
        <is>
          <t>Si</t>
        </is>
      </c>
      <c r="BB234" t="n">
        <v>4</v>
      </c>
      <c r="BC234" t="inlineStr">
        <is>
          <t>CANCELADO</t>
        </is>
      </c>
      <c r="BN234" t="inlineStr">
        <is>
          <t>No</t>
        </is>
      </c>
      <c r="BO234" s="76" t="n">
        <v>46031.40972222222</v>
      </c>
      <c r="BP234" t="inlineStr">
        <is>
          <t>Magaly Guevara Perez</t>
        </is>
      </c>
      <c r="BR234" t="n">
        <v>20</v>
      </c>
      <c r="BS234" t="inlineStr">
        <is>
          <t>12/05/2026 13:44</t>
        </is>
      </c>
      <c r="BW234" t="inlineStr">
        <is>
          <t>Cobranzas_2025.csv</t>
        </is>
      </c>
      <c r="BX234" t="n">
        <v>2025</v>
      </c>
      <c r="BY234" t="inlineStr">
        <is>
          <t>01/01/2024</t>
        </is>
      </c>
      <c r="BZ234" t="inlineStr">
        <is>
          <t>30/06/2031</t>
        </is>
      </c>
    </row>
    <row r="235">
      <c r="A235" t="inlineStr">
        <is>
          <t>RESIDENCIAL BEYOND</t>
        </is>
      </c>
      <c r="B235" t="inlineStr">
        <is>
          <t>Etapa 1</t>
        </is>
      </c>
      <c r="C235" t="inlineStr">
        <is>
          <t>Edificio</t>
        </is>
      </c>
      <c r="D235" t="inlineStr">
        <is>
          <t>A</t>
        </is>
      </c>
      <c r="E235" t="inlineStr">
        <is>
          <t>Departamento</t>
        </is>
      </c>
      <c r="F235" t="inlineStr">
        <is>
          <t>301</t>
        </is>
      </c>
      <c r="G235" s="39" t="n">
        <v>518500</v>
      </c>
      <c r="H235" s="39" t="n">
        <v>475000</v>
      </c>
      <c r="I235" t="inlineStr">
        <is>
          <t>Edificio</t>
        </is>
      </c>
      <c r="J235" t="inlineStr">
        <is>
          <t>A</t>
        </is>
      </c>
      <c r="K235" t="inlineStr">
        <is>
          <t>Estacionamiento</t>
        </is>
      </c>
      <c r="L235" t="inlineStr">
        <is>
          <t>E 04 - D 02</t>
        </is>
      </c>
      <c r="M235" s="39" t="n">
        <v>52500</v>
      </c>
      <c r="N235" s="39" t="n">
        <v>52500</v>
      </c>
      <c r="S235" s="39" t="n"/>
      <c r="T235" s="39" t="n"/>
      <c r="Y235" s="39" t="n"/>
      <c r="Z235" s="39" t="n"/>
      <c r="AA235" t="inlineStr">
        <is>
          <t>Victor Hugo Quispe Cupe</t>
        </is>
      </c>
      <c r="AB235" t="inlineStr">
        <is>
          <t>09848317</t>
        </is>
      </c>
      <c r="AC235" t="inlineStr">
        <is>
          <t>Jr. Jose Arnaldo Marquez 1152</t>
        </is>
      </c>
      <c r="AD235" t="n">
        <v>0</v>
      </c>
      <c r="AE235" t="inlineStr">
        <is>
          <t>998980237</t>
        </is>
      </c>
      <c r="AF235" t="inlineStr">
        <is>
          <t>vitolosc58@gmail.com</t>
        </is>
      </c>
      <c r="AG235" t="inlineStr">
        <is>
          <t>LIMA</t>
        </is>
      </c>
      <c r="AH235" t="inlineStr">
        <is>
          <t>JESUS MARIA</t>
        </is>
      </c>
      <c r="AI235" s="75" t="n">
        <v>45902</v>
      </c>
      <c r="AJ235" s="75" t="n">
        <v>45902</v>
      </c>
      <c r="AK235" t="inlineStr">
        <is>
          <t>SEPARACION</t>
        </is>
      </c>
      <c r="AL235" t="n">
        <v>1</v>
      </c>
      <c r="AM235" t="n">
        <v>3000</v>
      </c>
      <c r="AN235" t="n">
        <v>0</v>
      </c>
      <c r="AO235" t="n">
        <v>0</v>
      </c>
      <c r="AP235" s="39" t="n">
        <v>3000</v>
      </c>
      <c r="AQ235" s="39" t="n">
        <v>3000</v>
      </c>
      <c r="AR235" s="39" t="n">
        <v>0</v>
      </c>
      <c r="AS235" t="n">
        <v>0</v>
      </c>
      <c r="AT235" t="inlineStr">
        <is>
          <t>Crédito Directo</t>
        </is>
      </c>
      <c r="AU235" t="inlineStr">
        <is>
          <t>Banco de Credito del Perú</t>
        </is>
      </c>
      <c r="AV235" t="inlineStr">
        <is>
          <t>194-7325779-0-65</t>
        </is>
      </c>
      <c r="AW235" t="inlineStr">
        <is>
          <t>TRANSFERENCIA BANCARIA</t>
        </is>
      </c>
      <c r="AX235" t="n">
        <v>9848317</v>
      </c>
      <c r="AY235" t="inlineStr">
        <is>
          <t>02146739</t>
        </is>
      </c>
      <c r="AZ235" t="inlineStr">
        <is>
          <t>No</t>
        </is>
      </c>
      <c r="BA235" t="inlineStr">
        <is>
          <t>NO PRECISA</t>
        </is>
      </c>
      <c r="BB235" t="n">
        <v>4</v>
      </c>
      <c r="BC235" t="inlineStr">
        <is>
          <t>CANCELADO</t>
        </is>
      </c>
      <c r="BN235" t="inlineStr">
        <is>
          <t>Si</t>
        </is>
      </c>
      <c r="BO235" s="76" t="n">
        <v>46136.41736111111</v>
      </c>
      <c r="BP235" t="inlineStr">
        <is>
          <t>Magaly Guevara Perez</t>
        </is>
      </c>
      <c r="BR235" t="n">
        <v>5</v>
      </c>
      <c r="BS235" t="inlineStr">
        <is>
          <t>01/05/2026 11:21</t>
        </is>
      </c>
      <c r="BW235" t="inlineStr">
        <is>
          <t>Cobranzas_2025.csv</t>
        </is>
      </c>
      <c r="BX235" t="n">
        <v>2025</v>
      </c>
      <c r="BY235" t="inlineStr">
        <is>
          <t>01/01/2024</t>
        </is>
      </c>
      <c r="BZ235" t="inlineStr">
        <is>
          <t>30/06/2031</t>
        </is>
      </c>
    </row>
    <row r="236">
      <c r="A236" t="inlineStr">
        <is>
          <t>RESIDENCIAL BEYOND</t>
        </is>
      </c>
      <c r="B236" t="inlineStr">
        <is>
          <t>Etapa 1</t>
        </is>
      </c>
      <c r="C236" t="inlineStr">
        <is>
          <t>Edificio</t>
        </is>
      </c>
      <c r="D236" t="inlineStr">
        <is>
          <t>A</t>
        </is>
      </c>
      <c r="E236" t="inlineStr">
        <is>
          <t>Departamento</t>
        </is>
      </c>
      <c r="F236" t="inlineStr">
        <is>
          <t>301</t>
        </is>
      </c>
      <c r="G236" s="39" t="n">
        <v>518500</v>
      </c>
      <c r="H236" s="39" t="n">
        <v>475000</v>
      </c>
      <c r="I236" t="inlineStr">
        <is>
          <t>Edificio</t>
        </is>
      </c>
      <c r="J236" t="inlineStr">
        <is>
          <t>A</t>
        </is>
      </c>
      <c r="K236" t="inlineStr">
        <is>
          <t>Estacionamiento</t>
        </is>
      </c>
      <c r="L236" t="inlineStr">
        <is>
          <t>E 04 - D 02</t>
        </is>
      </c>
      <c r="M236" s="39" t="n">
        <v>52500</v>
      </c>
      <c r="N236" s="39" t="n">
        <v>52500</v>
      </c>
      <c r="S236" s="39" t="n"/>
      <c r="T236" s="39" t="n"/>
      <c r="Y236" s="39" t="n"/>
      <c r="Z236" s="39" t="n"/>
      <c r="AA236" t="inlineStr">
        <is>
          <t>Victor Hugo Quispe Cupe</t>
        </is>
      </c>
      <c r="AB236" t="inlineStr">
        <is>
          <t>09848317</t>
        </is>
      </c>
      <c r="AC236" t="inlineStr">
        <is>
          <t>Jr. Jose Arnaldo Marquez 1152</t>
        </is>
      </c>
      <c r="AD236" t="n">
        <v>0</v>
      </c>
      <c r="AE236" t="inlineStr">
        <is>
          <t>998980237</t>
        </is>
      </c>
      <c r="AF236" t="inlineStr">
        <is>
          <t>vitolosc58@gmail.com</t>
        </is>
      </c>
      <c r="AG236" t="inlineStr">
        <is>
          <t>LIMA</t>
        </is>
      </c>
      <c r="AH236" t="inlineStr">
        <is>
          <t>JESUS MARIA</t>
        </is>
      </c>
      <c r="AI236" s="75" t="n">
        <v>46021</v>
      </c>
      <c r="AJ236" s="75" t="n"/>
      <c r="AK236" t="inlineStr">
        <is>
          <t>CUOTA INICIAL</t>
        </is>
      </c>
      <c r="AL236" t="n">
        <v>1</v>
      </c>
      <c r="AM236" t="n">
        <v>54500</v>
      </c>
      <c r="AN236" t="n">
        <v>0</v>
      </c>
      <c r="AO236" t="n">
        <v>0</v>
      </c>
      <c r="AP236" s="39" t="n">
        <v>54500</v>
      </c>
      <c r="AQ236" s="39" t="n">
        <v>0</v>
      </c>
      <c r="AR236" s="39" t="n">
        <v>54500</v>
      </c>
      <c r="AT236" t="inlineStr">
        <is>
          <t>Crédito Directo</t>
        </is>
      </c>
      <c r="AZ236" t="inlineStr">
        <is>
          <t>No</t>
        </is>
      </c>
      <c r="BC236" t="inlineStr">
        <is>
          <t>VENCIDO</t>
        </is>
      </c>
      <c r="BN236" t="inlineStr">
        <is>
          <t>No</t>
        </is>
      </c>
      <c r="BO236" s="76" t="n">
        <v>46136.41736111111</v>
      </c>
      <c r="BP236" t="inlineStr">
        <is>
          <t>Magaly Guevara Perez</t>
        </is>
      </c>
      <c r="BR236" t="n">
        <v>5</v>
      </c>
      <c r="BW236" t="inlineStr">
        <is>
          <t>Cobranzas_2025.csv</t>
        </is>
      </c>
      <c r="BX236" t="n">
        <v>2025</v>
      </c>
      <c r="BY236" t="inlineStr">
        <is>
          <t>01/01/2024</t>
        </is>
      </c>
      <c r="BZ236" t="inlineStr">
        <is>
          <t>30/06/2031</t>
        </is>
      </c>
    </row>
    <row r="237">
      <c r="A237" t="inlineStr">
        <is>
          <t>RESIDENCIAL BEYOND</t>
        </is>
      </c>
      <c r="B237" t="inlineStr">
        <is>
          <t>Etapa 1</t>
        </is>
      </c>
      <c r="C237" t="inlineStr">
        <is>
          <t>Edificio</t>
        </is>
      </c>
      <c r="D237" t="inlineStr">
        <is>
          <t>A</t>
        </is>
      </c>
      <c r="E237" t="inlineStr">
        <is>
          <t>Departamento</t>
        </is>
      </c>
      <c r="F237" t="inlineStr">
        <is>
          <t>301</t>
        </is>
      </c>
      <c r="G237" s="39" t="n">
        <v>518500</v>
      </c>
      <c r="H237" s="39" t="n">
        <v>475000</v>
      </c>
      <c r="I237" t="inlineStr">
        <is>
          <t>Edificio</t>
        </is>
      </c>
      <c r="J237" t="inlineStr">
        <is>
          <t>A</t>
        </is>
      </c>
      <c r="K237" t="inlineStr">
        <is>
          <t>Estacionamiento</t>
        </is>
      </c>
      <c r="L237" t="inlineStr">
        <is>
          <t>E 04 - D 02</t>
        </is>
      </c>
      <c r="M237" s="39" t="n">
        <v>52500</v>
      </c>
      <c r="N237" s="39" t="n">
        <v>52500</v>
      </c>
      <c r="S237" s="39" t="n"/>
      <c r="T237" s="39" t="n"/>
      <c r="Y237" s="39" t="n"/>
      <c r="Z237" s="39" t="n"/>
      <c r="AA237" t="inlineStr">
        <is>
          <t>Victor Hugo Quispe Cupe</t>
        </is>
      </c>
      <c r="AB237" t="inlineStr">
        <is>
          <t>09848317</t>
        </is>
      </c>
      <c r="AC237" t="inlineStr">
        <is>
          <t>Jr. Jose Arnaldo Marquez 1152</t>
        </is>
      </c>
      <c r="AD237" t="n">
        <v>0</v>
      </c>
      <c r="AE237" t="inlineStr">
        <is>
          <t>998980237</t>
        </is>
      </c>
      <c r="AF237" t="inlineStr">
        <is>
          <t>vitolosc58@gmail.com</t>
        </is>
      </c>
      <c r="AG237" t="inlineStr">
        <is>
          <t>LIMA</t>
        </is>
      </c>
      <c r="AH237" t="inlineStr">
        <is>
          <t>JESUS MARIA</t>
        </is>
      </c>
      <c r="AI237" s="75" t="n">
        <v>46021</v>
      </c>
      <c r="AJ237" s="75" t="n"/>
      <c r="AK237" t="inlineStr">
        <is>
          <t>SALDO FINANCIAR</t>
        </is>
      </c>
      <c r="AL237" t="n">
        <v>1</v>
      </c>
      <c r="AM237" t="n">
        <v>52222.22</v>
      </c>
      <c r="AN237" t="n">
        <v>0</v>
      </c>
      <c r="AO237" t="n">
        <v>0</v>
      </c>
      <c r="AP237" s="39" t="n">
        <v>52222.22</v>
      </c>
      <c r="AQ237" s="39" t="n">
        <v>0</v>
      </c>
      <c r="AR237" s="39" t="n">
        <v>52222.22</v>
      </c>
      <c r="AT237" t="inlineStr">
        <is>
          <t>Crédito Directo</t>
        </is>
      </c>
      <c r="AZ237" t="inlineStr">
        <is>
          <t>No</t>
        </is>
      </c>
      <c r="BC237" t="inlineStr">
        <is>
          <t>VENCIDO</t>
        </is>
      </c>
      <c r="BN237" t="inlineStr">
        <is>
          <t>No</t>
        </is>
      </c>
      <c r="BO237" s="76" t="n">
        <v>46136.41736111111</v>
      </c>
      <c r="BP237" t="inlineStr">
        <is>
          <t>Magaly Guevara Perez</t>
        </is>
      </c>
      <c r="BR237" t="n">
        <v>5</v>
      </c>
      <c r="BW237" t="inlineStr">
        <is>
          <t>Cobranzas_2025.csv</t>
        </is>
      </c>
      <c r="BX237" t="n">
        <v>2025</v>
      </c>
      <c r="BY237" t="inlineStr">
        <is>
          <t>01/01/2024</t>
        </is>
      </c>
      <c r="BZ237" t="inlineStr">
        <is>
          <t>30/06/2031</t>
        </is>
      </c>
    </row>
    <row r="238">
      <c r="A238" t="inlineStr">
        <is>
          <t>RESIDENCIAL PRADA</t>
        </is>
      </c>
      <c r="B238" t="inlineStr">
        <is>
          <t>Etapa 1</t>
        </is>
      </c>
      <c r="C238" t="inlineStr">
        <is>
          <t>Edificio</t>
        </is>
      </c>
      <c r="D238" t="inlineStr">
        <is>
          <t>A</t>
        </is>
      </c>
      <c r="E238" t="inlineStr">
        <is>
          <t>Departamento</t>
        </is>
      </c>
      <c r="F238" t="inlineStr">
        <is>
          <t>704</t>
        </is>
      </c>
      <c r="G238" s="39" t="n">
        <v>417700</v>
      </c>
      <c r="H238" s="39" t="n">
        <v>417700</v>
      </c>
      <c r="M238" s="39" t="n"/>
      <c r="N238" s="39" t="n"/>
      <c r="S238" s="39" t="n"/>
      <c r="T238" s="39" t="n"/>
      <c r="Y238" s="39" t="n"/>
      <c r="Z238" s="39" t="n"/>
      <c r="AA238" t="inlineStr">
        <is>
          <t>wendy carolina junes Gonzáles Junes Gonzáles</t>
        </is>
      </c>
      <c r="AB238" t="inlineStr">
        <is>
          <t>45871126</t>
        </is>
      </c>
      <c r="AC238" t="inlineStr">
        <is>
          <t>Jr.Huiracocha 1430 Dpto 407</t>
        </is>
      </c>
      <c r="AD238" t="n">
        <v>951990414</v>
      </c>
      <c r="AE238" t="inlineStr">
        <is>
          <t>951990410</t>
        </is>
      </c>
      <c r="AF238" t="inlineStr">
        <is>
          <t>jg_wendy-14@hotmail.com</t>
        </is>
      </c>
      <c r="AG238" t="inlineStr">
        <is>
          <t>LIMA</t>
        </is>
      </c>
      <c r="AH238" t="inlineStr">
        <is>
          <t>JESUS MARIA</t>
        </is>
      </c>
      <c r="AI238" s="75" t="n">
        <v>45861</v>
      </c>
      <c r="AJ238" s="75" t="n">
        <v>45861</v>
      </c>
      <c r="AK238" t="inlineStr">
        <is>
          <t>SEPARACION</t>
        </is>
      </c>
      <c r="AL238" t="n">
        <v>1</v>
      </c>
      <c r="AM238" t="n">
        <v>3000</v>
      </c>
      <c r="AN238" t="n">
        <v>0</v>
      </c>
      <c r="AO238" t="n">
        <v>0</v>
      </c>
      <c r="AP238" s="39" t="n">
        <v>3000</v>
      </c>
      <c r="AQ238" s="39" t="n">
        <v>3000</v>
      </c>
      <c r="AR238" s="39" t="n">
        <v>0</v>
      </c>
      <c r="AS238" t="n">
        <v>0</v>
      </c>
      <c r="AT238" t="inlineStr">
        <is>
          <t>Crédito Hipotecario</t>
        </is>
      </c>
      <c r="AU238" t="inlineStr">
        <is>
          <t>Scotiabank Perú</t>
        </is>
      </c>
      <c r="AV238" t="inlineStr">
        <is>
          <t>000-2768484</t>
        </is>
      </c>
      <c r="AW238" t="inlineStr">
        <is>
          <t>TRANSFERENCIA BANCARIA</t>
        </is>
      </c>
      <c r="AX238" t="n">
        <v>45871126</v>
      </c>
      <c r="AY238" t="inlineStr">
        <is>
          <t>00992597</t>
        </is>
      </c>
      <c r="AZ238" t="inlineStr">
        <is>
          <t>No</t>
        </is>
      </c>
      <c r="BA238" t="inlineStr">
        <is>
          <t>NO PRECISA</t>
        </is>
      </c>
      <c r="BB238" t="n">
        <v>1</v>
      </c>
      <c r="BC238" t="inlineStr">
        <is>
          <t>CANCELADO</t>
        </is>
      </c>
      <c r="BN238" t="inlineStr">
        <is>
          <t>Si</t>
        </is>
      </c>
      <c r="BO238" s="76" t="n">
        <v>45887.70138888889</v>
      </c>
      <c r="BP238" t="inlineStr">
        <is>
          <t>Carla Michue M</t>
        </is>
      </c>
      <c r="BR238" t="n">
        <v>15</v>
      </c>
      <c r="BS238" t="inlineStr">
        <is>
          <t>29/05/2026 12:21</t>
        </is>
      </c>
      <c r="BW238" t="inlineStr">
        <is>
          <t>Cobranzas_2025.csv</t>
        </is>
      </c>
      <c r="BX238" t="n">
        <v>2025</v>
      </c>
      <c r="BY238" t="inlineStr">
        <is>
          <t>01/01/2024</t>
        </is>
      </c>
      <c r="BZ238" t="inlineStr">
        <is>
          <t>30/06/2031</t>
        </is>
      </c>
    </row>
    <row r="239">
      <c r="A239" t="inlineStr">
        <is>
          <t>RESIDENCIAL PRADA</t>
        </is>
      </c>
      <c r="B239" t="inlineStr">
        <is>
          <t>Etapa 1</t>
        </is>
      </c>
      <c r="C239" t="inlineStr">
        <is>
          <t>Edificio</t>
        </is>
      </c>
      <c r="D239" t="inlineStr">
        <is>
          <t>A</t>
        </is>
      </c>
      <c r="E239" t="inlineStr">
        <is>
          <t>Departamento</t>
        </is>
      </c>
      <c r="F239" t="inlineStr">
        <is>
          <t>704</t>
        </is>
      </c>
      <c r="G239" s="39" t="n">
        <v>417700</v>
      </c>
      <c r="H239" s="39" t="n">
        <v>417700</v>
      </c>
      <c r="M239" s="39" t="n"/>
      <c r="N239" s="39" t="n"/>
      <c r="S239" s="39" t="n"/>
      <c r="T239" s="39" t="n"/>
      <c r="Y239" s="39" t="n"/>
      <c r="Z239" s="39" t="n"/>
      <c r="AA239" t="inlineStr">
        <is>
          <t>wendy carolina junes Gonzáles Junes Gonzáles</t>
        </is>
      </c>
      <c r="AB239" t="inlineStr">
        <is>
          <t>45871126</t>
        </is>
      </c>
      <c r="AC239" t="inlineStr">
        <is>
          <t>Jr.Huiracocha 1430 Dpto 407</t>
        </is>
      </c>
      <c r="AD239" t="n">
        <v>951990414</v>
      </c>
      <c r="AE239" t="inlineStr">
        <is>
          <t>951990410</t>
        </is>
      </c>
      <c r="AF239" t="inlineStr">
        <is>
          <t>jg_wendy-14@hotmail.com</t>
        </is>
      </c>
      <c r="AG239" t="inlineStr">
        <is>
          <t>LIMA</t>
        </is>
      </c>
      <c r="AH239" t="inlineStr">
        <is>
          <t>JESUS MARIA</t>
        </is>
      </c>
      <c r="AI239" s="75" t="n">
        <v>45887</v>
      </c>
      <c r="AJ239" s="75" t="n">
        <v>45887</v>
      </c>
      <c r="AK239" t="inlineStr">
        <is>
          <t>CUOTA INICIAL</t>
        </is>
      </c>
      <c r="AL239" t="n">
        <v>1</v>
      </c>
      <c r="AM239" t="n">
        <v>47000</v>
      </c>
      <c r="AN239" t="n">
        <v>0</v>
      </c>
      <c r="AO239" t="n">
        <v>0</v>
      </c>
      <c r="AP239" s="39" t="n">
        <v>47000</v>
      </c>
      <c r="AQ239" s="39" t="n">
        <v>47000</v>
      </c>
      <c r="AR239" s="39" t="n">
        <v>0</v>
      </c>
      <c r="AS239" t="n">
        <v>0</v>
      </c>
      <c r="AT239" t="inlineStr">
        <is>
          <t>Crédito Hipotecario</t>
        </is>
      </c>
      <c r="AU239" t="inlineStr">
        <is>
          <t>Scotiabank Perú</t>
        </is>
      </c>
      <c r="AV239" t="inlineStr">
        <is>
          <t>000-2768484</t>
        </is>
      </c>
      <c r="AW239" t="inlineStr">
        <is>
          <t>TRANSFERENCIA BANCARIA</t>
        </is>
      </c>
      <c r="AY239" t="inlineStr">
        <is>
          <t>007626769</t>
        </is>
      </c>
      <c r="AZ239" t="inlineStr">
        <is>
          <t>No</t>
        </is>
      </c>
      <c r="BB239" t="n">
        <v>4</v>
      </c>
      <c r="BC239" t="inlineStr">
        <is>
          <t>CANCELADO</t>
        </is>
      </c>
      <c r="BN239" t="inlineStr">
        <is>
          <t>Si</t>
        </is>
      </c>
      <c r="BO239" s="76" t="n">
        <v>45887.70138888889</v>
      </c>
      <c r="BP239" t="inlineStr">
        <is>
          <t>Carla Michue M</t>
        </is>
      </c>
      <c r="BR239" t="n">
        <v>15</v>
      </c>
      <c r="BS239" t="inlineStr">
        <is>
          <t>07/07/2026 12:06</t>
        </is>
      </c>
      <c r="BW239" t="inlineStr">
        <is>
          <t>Cobranzas_2025.csv</t>
        </is>
      </c>
      <c r="BX239" t="n">
        <v>2025</v>
      </c>
      <c r="BY239" t="inlineStr">
        <is>
          <t>01/01/2024</t>
        </is>
      </c>
      <c r="BZ239" t="inlineStr">
        <is>
          <t>30/06/2031</t>
        </is>
      </c>
    </row>
    <row r="240">
      <c r="A240" t="inlineStr">
        <is>
          <t>RESIDENCIAL PRADA</t>
        </is>
      </c>
      <c r="B240" t="inlineStr">
        <is>
          <t>Etapa 1</t>
        </is>
      </c>
      <c r="C240" t="inlineStr">
        <is>
          <t>Edificio</t>
        </is>
      </c>
      <c r="D240" t="inlineStr">
        <is>
          <t>A</t>
        </is>
      </c>
      <c r="E240" t="inlineStr">
        <is>
          <t>Departamento</t>
        </is>
      </c>
      <c r="F240" t="inlineStr">
        <is>
          <t>704</t>
        </is>
      </c>
      <c r="G240" s="39" t="n">
        <v>417700</v>
      </c>
      <c r="H240" s="39" t="n">
        <v>417700</v>
      </c>
      <c r="M240" s="39" t="n"/>
      <c r="N240" s="39" t="n"/>
      <c r="S240" s="39" t="n"/>
      <c r="T240" s="39" t="n"/>
      <c r="Y240" s="39" t="n"/>
      <c r="Z240" s="39" t="n"/>
      <c r="AA240" t="inlineStr">
        <is>
          <t>wendy carolina junes Gonzáles Junes Gonzáles</t>
        </is>
      </c>
      <c r="AB240" t="inlineStr">
        <is>
          <t>45871126</t>
        </is>
      </c>
      <c r="AC240" t="inlineStr">
        <is>
          <t>Jr.Huiracocha 1430 Dpto 407</t>
        </is>
      </c>
      <c r="AD240" t="n">
        <v>951990414</v>
      </c>
      <c r="AE240" t="inlineStr">
        <is>
          <t>951990410</t>
        </is>
      </c>
      <c r="AF240" t="inlineStr">
        <is>
          <t>jg_wendy-14@hotmail.com</t>
        </is>
      </c>
      <c r="AG240" t="inlineStr">
        <is>
          <t>LIMA</t>
        </is>
      </c>
      <c r="AH240" t="inlineStr">
        <is>
          <t>JESUS MARIA</t>
        </is>
      </c>
      <c r="AI240" s="75" t="n">
        <v>45930</v>
      </c>
      <c r="AJ240" s="75" t="n">
        <v>45929</v>
      </c>
      <c r="AK240" t="inlineStr">
        <is>
          <t>SALDO FINANCIAR</t>
        </is>
      </c>
      <c r="AL240" t="n">
        <v>1</v>
      </c>
      <c r="AM240" t="n">
        <v>367700</v>
      </c>
      <c r="AN240" t="n">
        <v>0</v>
      </c>
      <c r="AO240" t="n">
        <v>0</v>
      </c>
      <c r="AP240" s="39" t="n">
        <v>367700</v>
      </c>
      <c r="AQ240" s="39" t="n">
        <v>367700</v>
      </c>
      <c r="AR240" s="39" t="n">
        <v>0</v>
      </c>
      <c r="AS240" t="n">
        <v>0</v>
      </c>
      <c r="AT240" t="inlineStr">
        <is>
          <t>Crédito Hipotecario</t>
        </is>
      </c>
      <c r="AU240" t="inlineStr">
        <is>
          <t>Scotiabank Perú</t>
        </is>
      </c>
      <c r="AV240" t="inlineStr">
        <is>
          <t>000-2768484</t>
        </is>
      </c>
      <c r="AW240" t="inlineStr">
        <is>
          <t>TRANSFERENCIA BANCARIA</t>
        </is>
      </c>
      <c r="AY240" t="inlineStr">
        <is>
          <t>02708000001</t>
        </is>
      </c>
      <c r="AZ240" t="inlineStr">
        <is>
          <t>No</t>
        </is>
      </c>
      <c r="BB240" t="n">
        <v>4</v>
      </c>
      <c r="BC240" t="inlineStr">
        <is>
          <t>CANCELADO</t>
        </is>
      </c>
      <c r="BN240" t="inlineStr">
        <is>
          <t>Si</t>
        </is>
      </c>
      <c r="BO240" s="76" t="n">
        <v>45887.70138888889</v>
      </c>
      <c r="BP240" t="inlineStr">
        <is>
          <t>Carla Michue M</t>
        </is>
      </c>
      <c r="BR240" t="n">
        <v>15</v>
      </c>
      <c r="BS240" t="inlineStr">
        <is>
          <t>07/07/2026 12:07</t>
        </is>
      </c>
      <c r="BW240" t="inlineStr">
        <is>
          <t>Cobranzas_2025.csv</t>
        </is>
      </c>
      <c r="BX240" t="n">
        <v>2025</v>
      </c>
      <c r="BY240" t="inlineStr">
        <is>
          <t>01/01/2024</t>
        </is>
      </c>
      <c r="BZ240" t="inlineStr">
        <is>
          <t>30/06/2031</t>
        </is>
      </c>
    </row>
    <row r="241">
      <c r="A241" t="inlineStr">
        <is>
          <t>RESIDENCIAL BEYOND</t>
        </is>
      </c>
      <c r="B241" t="inlineStr">
        <is>
          <t>Etapa 1</t>
        </is>
      </c>
      <c r="C241" t="inlineStr">
        <is>
          <t>Edificio</t>
        </is>
      </c>
      <c r="D241" t="inlineStr">
        <is>
          <t>A</t>
        </is>
      </c>
      <c r="E241" t="inlineStr">
        <is>
          <t>Departamento</t>
        </is>
      </c>
      <c r="F241" t="inlineStr">
        <is>
          <t>1306</t>
        </is>
      </c>
      <c r="G241" s="39" t="n">
        <v>312500</v>
      </c>
      <c r="H241" s="39" t="n">
        <v>265000</v>
      </c>
      <c r="M241" s="39" t="n"/>
      <c r="N241" s="39" t="n"/>
      <c r="S241" s="39" t="n"/>
      <c r="T241" s="39" t="n"/>
      <c r="Y241" s="39" t="n"/>
      <c r="Z241" s="39" t="n"/>
      <c r="AA241" t="inlineStr">
        <is>
          <t>Alejandra Leslye Solorio Peña</t>
        </is>
      </c>
      <c r="AB241" t="inlineStr">
        <is>
          <t>75021688</t>
        </is>
      </c>
      <c r="AC241" t="inlineStr">
        <is>
          <t>Jr. Santiago Wagner 2264</t>
        </is>
      </c>
      <c r="AD241" t="n">
        <v>0</v>
      </c>
      <c r="AE241" t="inlineStr">
        <is>
          <t>984934286</t>
        </is>
      </c>
      <c r="AF241" t="inlineStr">
        <is>
          <t>aleslye3@gamil.com</t>
        </is>
      </c>
      <c r="AG241" t="inlineStr">
        <is>
          <t>LIMA</t>
        </is>
      </c>
      <c r="AH241" t="inlineStr">
        <is>
          <t>CERCADO DE LIMA</t>
        </is>
      </c>
      <c r="AI241" s="75" t="n">
        <v>46053</v>
      </c>
      <c r="AJ241" s="75" t="n"/>
      <c r="AK241" t="inlineStr">
        <is>
          <t>AHORRO CASA</t>
        </is>
      </c>
      <c r="AL241" t="n">
        <v>2</v>
      </c>
      <c r="AM241" t="n">
        <v>11400</v>
      </c>
      <c r="AN241" t="n">
        <v>0</v>
      </c>
      <c r="AO241" t="n">
        <v>0</v>
      </c>
      <c r="AP241" s="39" t="n">
        <v>11400</v>
      </c>
      <c r="AQ241" s="39" t="n">
        <v>0</v>
      </c>
      <c r="AR241" s="39" t="n">
        <v>11400</v>
      </c>
      <c r="AT241" t="inlineStr">
        <is>
          <t>Ahorro</t>
        </is>
      </c>
      <c r="AZ241" t="inlineStr">
        <is>
          <t>No</t>
        </is>
      </c>
      <c r="BC241" t="inlineStr">
        <is>
          <t>VENCIDO</t>
        </is>
      </c>
      <c r="BN241" t="inlineStr">
        <is>
          <t>No</t>
        </is>
      </c>
      <c r="BO241" s="76" t="n">
        <v>45904.80555555555</v>
      </c>
      <c r="BP241" t="inlineStr">
        <is>
          <t>Carla Michue M</t>
        </is>
      </c>
      <c r="BR241" t="n">
        <v>11</v>
      </c>
      <c r="BW241" t="inlineStr">
        <is>
          <t>Cobranzas_2026.csv</t>
        </is>
      </c>
      <c r="BX241" t="n">
        <v>2026</v>
      </c>
      <c r="BY241" t="inlineStr">
        <is>
          <t>01/01/2024</t>
        </is>
      </c>
      <c r="BZ241" t="inlineStr">
        <is>
          <t>30/06/2031</t>
        </is>
      </c>
    </row>
    <row r="242">
      <c r="A242" t="inlineStr">
        <is>
          <t>RESIDENCIAL BEYOND</t>
        </is>
      </c>
      <c r="B242" t="inlineStr">
        <is>
          <t>Etapa 1</t>
        </is>
      </c>
      <c r="C242" t="inlineStr">
        <is>
          <t>Edificio</t>
        </is>
      </c>
      <c r="D242" t="inlineStr">
        <is>
          <t>A</t>
        </is>
      </c>
      <c r="E242" t="inlineStr">
        <is>
          <t>Departamento</t>
        </is>
      </c>
      <c r="F242" t="inlineStr">
        <is>
          <t>1306</t>
        </is>
      </c>
      <c r="G242" s="39" t="n">
        <v>312500</v>
      </c>
      <c r="H242" s="39" t="n">
        <v>265000</v>
      </c>
      <c r="M242" s="39" t="n"/>
      <c r="N242" s="39" t="n"/>
      <c r="S242" s="39" t="n"/>
      <c r="T242" s="39" t="n"/>
      <c r="Y242" s="39" t="n"/>
      <c r="Z242" s="39" t="n"/>
      <c r="AA242" t="inlineStr">
        <is>
          <t>Alejandra Leslye Solorio Peña</t>
        </is>
      </c>
      <c r="AB242" t="inlineStr">
        <is>
          <t>75021688</t>
        </is>
      </c>
      <c r="AC242" t="inlineStr">
        <is>
          <t>Jr. Santiago Wagner 2264</t>
        </is>
      </c>
      <c r="AD242" t="n">
        <v>0</v>
      </c>
      <c r="AE242" t="inlineStr">
        <is>
          <t>984934286</t>
        </is>
      </c>
      <c r="AF242" t="inlineStr">
        <is>
          <t>aleslye3@gamil.com</t>
        </is>
      </c>
      <c r="AG242" t="inlineStr">
        <is>
          <t>LIMA</t>
        </is>
      </c>
      <c r="AH242" t="inlineStr">
        <is>
          <t>CERCADO DE LIMA</t>
        </is>
      </c>
      <c r="AI242" s="75" t="n">
        <v>46234</v>
      </c>
      <c r="AJ242" s="75" t="n"/>
      <c r="AK242" t="inlineStr">
        <is>
          <t>SALDO FINANCIAR</t>
        </is>
      </c>
      <c r="AL242" t="n">
        <v>1</v>
      </c>
      <c r="AM242" t="n">
        <v>185000</v>
      </c>
      <c r="AN242" t="n">
        <v>0</v>
      </c>
      <c r="AO242" t="n">
        <v>0</v>
      </c>
      <c r="AP242" s="39" t="n">
        <v>185000</v>
      </c>
      <c r="AQ242" s="39" t="n">
        <v>0</v>
      </c>
      <c r="AR242" s="39" t="n">
        <v>185000</v>
      </c>
      <c r="AT242" t="inlineStr">
        <is>
          <t>Ahorro</t>
        </is>
      </c>
      <c r="AZ242" t="inlineStr">
        <is>
          <t>No</t>
        </is>
      </c>
      <c r="BC242" t="inlineStr">
        <is>
          <t>PENDIENTE</t>
        </is>
      </c>
      <c r="BN242" t="inlineStr">
        <is>
          <t>No</t>
        </is>
      </c>
      <c r="BO242" s="76" t="n">
        <v>45904.80555555555</v>
      </c>
      <c r="BP242" t="inlineStr">
        <is>
          <t>Carla Michue M</t>
        </is>
      </c>
      <c r="BR242" t="n">
        <v>11</v>
      </c>
      <c r="BW242" t="inlineStr">
        <is>
          <t>Cobranzas_2026.csv</t>
        </is>
      </c>
      <c r="BX242" t="n">
        <v>2026</v>
      </c>
      <c r="BY242" t="inlineStr">
        <is>
          <t>01/01/2024</t>
        </is>
      </c>
      <c r="BZ242" t="inlineStr">
        <is>
          <t>30/06/2031</t>
        </is>
      </c>
    </row>
    <row r="243">
      <c r="A243" t="inlineStr">
        <is>
          <t>RESIDENCIAL BEYOND</t>
        </is>
      </c>
      <c r="B243" t="inlineStr">
        <is>
          <t>Etapa 1</t>
        </is>
      </c>
      <c r="C243" t="inlineStr">
        <is>
          <t>Edificio</t>
        </is>
      </c>
      <c r="D243" t="inlineStr">
        <is>
          <t>A</t>
        </is>
      </c>
      <c r="E243" t="inlineStr">
        <is>
          <t>Departamento</t>
        </is>
      </c>
      <c r="F243" t="inlineStr">
        <is>
          <t>1705</t>
        </is>
      </c>
      <c r="G243" s="39" t="n">
        <v>482100</v>
      </c>
      <c r="H243" s="39" t="n">
        <v>482100</v>
      </c>
      <c r="I243" t="inlineStr">
        <is>
          <t>Edificio</t>
        </is>
      </c>
      <c r="J243" t="inlineStr">
        <is>
          <t>A</t>
        </is>
      </c>
      <c r="K243" t="inlineStr">
        <is>
          <t>Estacionamiento</t>
        </is>
      </c>
      <c r="L243" t="inlineStr">
        <is>
          <t>E 13 - D 11</t>
        </is>
      </c>
      <c r="M243" s="39" t="n">
        <v>54000</v>
      </c>
      <c r="N243" s="39" t="n">
        <v>54000</v>
      </c>
      <c r="S243" s="39" t="n"/>
      <c r="T243" s="39" t="n"/>
      <c r="Y243" s="39" t="n"/>
      <c r="Z243" s="39" t="n"/>
      <c r="AA243" t="inlineStr">
        <is>
          <t>Alejandro David Dianderas Leyzaquia</t>
        </is>
      </c>
      <c r="AB243" t="inlineStr">
        <is>
          <t>71802853</t>
        </is>
      </c>
      <c r="AC243" t="inlineStr">
        <is>
          <t>Av. Revolucion 530 - Urb. Collique Etapa 1</t>
        </is>
      </c>
      <c r="AD243" t="n">
        <v>0</v>
      </c>
      <c r="AE243" t="inlineStr">
        <is>
          <t>926428673</t>
        </is>
      </c>
      <c r="AF243" t="inlineStr">
        <is>
          <t>926428673@gmail.com</t>
        </is>
      </c>
      <c r="AG243" t="inlineStr">
        <is>
          <t>LIMA</t>
        </is>
      </c>
      <c r="AH243" t="inlineStr">
        <is>
          <t>COMAS</t>
        </is>
      </c>
      <c r="AI243" s="75" t="n">
        <v>46169</v>
      </c>
      <c r="AJ243" s="75" t="n">
        <v>46169</v>
      </c>
      <c r="AK243" t="inlineStr">
        <is>
          <t>SEPARACION</t>
        </is>
      </c>
      <c r="AL243" t="n">
        <v>1</v>
      </c>
      <c r="AM243" t="n">
        <v>3000</v>
      </c>
      <c r="AN243" t="n">
        <v>0</v>
      </c>
      <c r="AO243" t="n">
        <v>0</v>
      </c>
      <c r="AP243" s="39" t="n">
        <v>3000</v>
      </c>
      <c r="AQ243" s="39" t="n">
        <v>3000</v>
      </c>
      <c r="AR243" s="39" t="n">
        <v>0</v>
      </c>
      <c r="AS243" t="n">
        <v>0</v>
      </c>
      <c r="AT243" t="inlineStr">
        <is>
          <t>Ahorro</t>
        </is>
      </c>
      <c r="AU243" t="inlineStr">
        <is>
          <t>Banco de Credito del Perú</t>
        </is>
      </c>
      <c r="AV243" t="inlineStr">
        <is>
          <t>194-7325779-0-65</t>
        </is>
      </c>
      <c r="AW243" t="inlineStr">
        <is>
          <t>TRANSFERENCIA BANCARIA</t>
        </is>
      </c>
      <c r="AY243" t="inlineStr">
        <is>
          <t>03334230</t>
        </is>
      </c>
      <c r="AZ243" t="inlineStr">
        <is>
          <t>No</t>
        </is>
      </c>
      <c r="BB243" t="n">
        <v>4</v>
      </c>
      <c r="BC243" t="inlineStr">
        <is>
          <t>CANCELADO</t>
        </is>
      </c>
      <c r="BN243" t="inlineStr">
        <is>
          <t>No</t>
        </is>
      </c>
      <c r="BO243" s="76" t="n">
        <v>46172.7375</v>
      </c>
      <c r="BP243" t="inlineStr">
        <is>
          <t>Magaly Guevara Perez</t>
        </is>
      </c>
      <c r="BR243" t="n">
        <v>41</v>
      </c>
      <c r="BS243" t="inlineStr">
        <is>
          <t>09/06/2026 17:38</t>
        </is>
      </c>
      <c r="BW243" t="inlineStr">
        <is>
          <t>Cobranzas_2026.csv</t>
        </is>
      </c>
      <c r="BX243" t="n">
        <v>2026</v>
      </c>
      <c r="BY243" t="inlineStr">
        <is>
          <t>01/01/2024</t>
        </is>
      </c>
      <c r="BZ243" t="inlineStr">
        <is>
          <t>30/06/2031</t>
        </is>
      </c>
    </row>
    <row r="244">
      <c r="A244" t="inlineStr">
        <is>
          <t>RESIDENCIAL BEYOND</t>
        </is>
      </c>
      <c r="B244" t="inlineStr">
        <is>
          <t>Etapa 1</t>
        </is>
      </c>
      <c r="C244" t="inlineStr">
        <is>
          <t>Edificio</t>
        </is>
      </c>
      <c r="D244" t="inlineStr">
        <is>
          <t>A</t>
        </is>
      </c>
      <c r="E244" t="inlineStr">
        <is>
          <t>Departamento</t>
        </is>
      </c>
      <c r="F244" t="inlineStr">
        <is>
          <t>1705</t>
        </is>
      </c>
      <c r="G244" s="39" t="n">
        <v>482100</v>
      </c>
      <c r="H244" s="39" t="n">
        <v>482100</v>
      </c>
      <c r="I244" t="inlineStr">
        <is>
          <t>Edificio</t>
        </is>
      </c>
      <c r="J244" t="inlineStr">
        <is>
          <t>A</t>
        </is>
      </c>
      <c r="K244" t="inlineStr">
        <is>
          <t>Estacionamiento</t>
        </is>
      </c>
      <c r="L244" t="inlineStr">
        <is>
          <t>E 13 - D 11</t>
        </is>
      </c>
      <c r="M244" s="39" t="n">
        <v>54000</v>
      </c>
      <c r="N244" s="39" t="n">
        <v>54000</v>
      </c>
      <c r="S244" s="39" t="n"/>
      <c r="T244" s="39" t="n"/>
      <c r="Y244" s="39" t="n"/>
      <c r="Z244" s="39" t="n"/>
      <c r="AA244" t="inlineStr">
        <is>
          <t>Alejandro David Dianderas Leyzaquia</t>
        </is>
      </c>
      <c r="AB244" t="inlineStr">
        <is>
          <t>71802853</t>
        </is>
      </c>
      <c r="AC244" t="inlineStr">
        <is>
          <t>Av. Revolucion 530 - Urb. Collique Etapa 1</t>
        </is>
      </c>
      <c r="AD244" t="n">
        <v>0</v>
      </c>
      <c r="AE244" t="inlineStr">
        <is>
          <t>926428673</t>
        </is>
      </c>
      <c r="AF244" t="inlineStr">
        <is>
          <t>926428673@gmail.com</t>
        </is>
      </c>
      <c r="AG244" t="inlineStr">
        <is>
          <t>LIMA</t>
        </is>
      </c>
      <c r="AH244" t="inlineStr">
        <is>
          <t>COMAS</t>
        </is>
      </c>
      <c r="AI244" s="75" t="n">
        <v>46172</v>
      </c>
      <c r="AJ244" s="75" t="n">
        <v>46172</v>
      </c>
      <c r="AK244" t="inlineStr">
        <is>
          <t>CUOTA INICIAL</t>
        </is>
      </c>
      <c r="AL244" t="n">
        <v>1</v>
      </c>
      <c r="AM244" t="n">
        <v>7000</v>
      </c>
      <c r="AN244" t="n">
        <v>0</v>
      </c>
      <c r="AO244" t="n">
        <v>0</v>
      </c>
      <c r="AP244" s="39" t="n">
        <v>7000</v>
      </c>
      <c r="AQ244" s="39" t="n">
        <v>7000</v>
      </c>
      <c r="AR244" s="39" t="n">
        <v>0</v>
      </c>
      <c r="AS244" t="n">
        <v>0</v>
      </c>
      <c r="AT244" t="inlineStr">
        <is>
          <t>Ahorro</t>
        </is>
      </c>
      <c r="AU244" t="inlineStr">
        <is>
          <t>Banco de Credito del Perú</t>
        </is>
      </c>
      <c r="AV244" t="inlineStr">
        <is>
          <t>194-7325779-0-65</t>
        </is>
      </c>
      <c r="AW244" t="inlineStr">
        <is>
          <t>TRANSFERENCIA BANCARIA</t>
        </is>
      </c>
      <c r="AY244" t="inlineStr">
        <is>
          <t>03947119</t>
        </is>
      </c>
      <c r="AZ244" t="inlineStr">
        <is>
          <t>No</t>
        </is>
      </c>
      <c r="BB244" t="n">
        <v>4</v>
      </c>
      <c r="BC244" t="inlineStr">
        <is>
          <t>CANCELADO</t>
        </is>
      </c>
      <c r="BN244" t="inlineStr">
        <is>
          <t>No</t>
        </is>
      </c>
      <c r="BO244" s="76" t="n">
        <v>46172.7375</v>
      </c>
      <c r="BP244" t="inlineStr">
        <is>
          <t>Magaly Guevara Perez</t>
        </is>
      </c>
      <c r="BR244" t="n">
        <v>41</v>
      </c>
      <c r="BS244" t="inlineStr">
        <is>
          <t>09/06/2026 17:40</t>
        </is>
      </c>
      <c r="BW244" t="inlineStr">
        <is>
          <t>Cobranzas_2026.csv</t>
        </is>
      </c>
      <c r="BX244" t="n">
        <v>2026</v>
      </c>
      <c r="BY244" t="inlineStr">
        <is>
          <t>01/01/2024</t>
        </is>
      </c>
      <c r="BZ244" t="inlineStr">
        <is>
          <t>30/06/2031</t>
        </is>
      </c>
    </row>
    <row r="245">
      <c r="A245" t="inlineStr">
        <is>
          <t>RESIDENCIAL BEYOND</t>
        </is>
      </c>
      <c r="B245" t="inlineStr">
        <is>
          <t>Etapa 1</t>
        </is>
      </c>
      <c r="C245" t="inlineStr">
        <is>
          <t>Edificio</t>
        </is>
      </c>
      <c r="D245" t="inlineStr">
        <is>
          <t>A</t>
        </is>
      </c>
      <c r="E245" t="inlineStr">
        <is>
          <t>Departamento</t>
        </is>
      </c>
      <c r="F245" t="inlineStr">
        <is>
          <t>1705</t>
        </is>
      </c>
      <c r="G245" s="39" t="n">
        <v>482100</v>
      </c>
      <c r="H245" s="39" t="n">
        <v>482100</v>
      </c>
      <c r="I245" t="inlineStr">
        <is>
          <t>Edificio</t>
        </is>
      </c>
      <c r="J245" t="inlineStr">
        <is>
          <t>A</t>
        </is>
      </c>
      <c r="K245" t="inlineStr">
        <is>
          <t>Estacionamiento</t>
        </is>
      </c>
      <c r="L245" t="inlineStr">
        <is>
          <t>E 13 - D 11</t>
        </is>
      </c>
      <c r="M245" s="39" t="n">
        <v>54000</v>
      </c>
      <c r="N245" s="39" t="n">
        <v>54000</v>
      </c>
      <c r="S245" s="39" t="n"/>
      <c r="T245" s="39" t="n"/>
      <c r="Y245" s="39" t="n"/>
      <c r="Z245" s="39" t="n"/>
      <c r="AA245" t="inlineStr">
        <is>
          <t>Alejandro David Dianderas Leyzaquia</t>
        </is>
      </c>
      <c r="AB245" t="inlineStr">
        <is>
          <t>71802853</t>
        </is>
      </c>
      <c r="AC245" t="inlineStr">
        <is>
          <t>Av. Revolucion 530 - Urb. Collique Etapa 1</t>
        </is>
      </c>
      <c r="AD245" t="n">
        <v>0</v>
      </c>
      <c r="AE245" t="inlineStr">
        <is>
          <t>926428673</t>
        </is>
      </c>
      <c r="AF245" t="inlineStr">
        <is>
          <t>926428673@gmail.com</t>
        </is>
      </c>
      <c r="AG245" t="inlineStr">
        <is>
          <t>LIMA</t>
        </is>
      </c>
      <c r="AH245" t="inlineStr">
        <is>
          <t>COMAS</t>
        </is>
      </c>
      <c r="AI245" s="75" t="n">
        <v>46174</v>
      </c>
      <c r="AJ245" s="75" t="n">
        <v>46174</v>
      </c>
      <c r="AK245" t="inlineStr">
        <is>
          <t>CUOTA INICIAL</t>
        </is>
      </c>
      <c r="AL245" t="n">
        <v>2</v>
      </c>
      <c r="AM245" t="n">
        <v>70415</v>
      </c>
      <c r="AN245" t="n">
        <v>0</v>
      </c>
      <c r="AO245" t="n">
        <v>0</v>
      </c>
      <c r="AP245" s="39" t="n">
        <v>70415</v>
      </c>
      <c r="AQ245" s="39" t="n">
        <v>70415</v>
      </c>
      <c r="AR245" s="39" t="n">
        <v>0</v>
      </c>
      <c r="AS245" t="n">
        <v>0</v>
      </c>
      <c r="AT245" t="inlineStr">
        <is>
          <t>Ahorro</t>
        </is>
      </c>
      <c r="AU245" t="inlineStr">
        <is>
          <t>Banco de Credito del Perú</t>
        </is>
      </c>
      <c r="AV245" t="inlineStr">
        <is>
          <t>194-7325779-0-65</t>
        </is>
      </c>
      <c r="AW245" t="inlineStr">
        <is>
          <t>TRANSFERENCIA BANCARIA</t>
        </is>
      </c>
      <c r="AY245" t="inlineStr">
        <is>
          <t>0624782</t>
        </is>
      </c>
      <c r="AZ245" t="inlineStr">
        <is>
          <t>No</t>
        </is>
      </c>
      <c r="BB245" t="n">
        <v>4</v>
      </c>
      <c r="BC245" t="inlineStr">
        <is>
          <t>CANCELADO</t>
        </is>
      </c>
      <c r="BN245" t="inlineStr">
        <is>
          <t>No</t>
        </is>
      </c>
      <c r="BO245" s="76" t="n">
        <v>46172.7375</v>
      </c>
      <c r="BP245" t="inlineStr">
        <is>
          <t>Magaly Guevara Perez</t>
        </is>
      </c>
      <c r="BR245" t="n">
        <v>41</v>
      </c>
      <c r="BS245" t="inlineStr">
        <is>
          <t>09/06/2026 17:40</t>
        </is>
      </c>
      <c r="BW245" t="inlineStr">
        <is>
          <t>Cobranzas_2026.csv</t>
        </is>
      </c>
      <c r="BX245" t="n">
        <v>2026</v>
      </c>
      <c r="BY245" t="inlineStr">
        <is>
          <t>01/01/2024</t>
        </is>
      </c>
      <c r="BZ245" t="inlineStr">
        <is>
          <t>30/06/2031</t>
        </is>
      </c>
    </row>
    <row r="246">
      <c r="A246" t="inlineStr">
        <is>
          <t>RESIDENCIAL BEYOND</t>
        </is>
      </c>
      <c r="B246" t="inlineStr">
        <is>
          <t>Etapa 1</t>
        </is>
      </c>
      <c r="C246" t="inlineStr">
        <is>
          <t>Edificio</t>
        </is>
      </c>
      <c r="D246" t="inlineStr">
        <is>
          <t>A</t>
        </is>
      </c>
      <c r="E246" t="inlineStr">
        <is>
          <t>Departamento</t>
        </is>
      </c>
      <c r="F246" t="inlineStr">
        <is>
          <t>1705</t>
        </is>
      </c>
      <c r="G246" s="39" t="n">
        <v>482100</v>
      </c>
      <c r="H246" s="39" t="n">
        <v>482100</v>
      </c>
      <c r="I246" t="inlineStr">
        <is>
          <t>Edificio</t>
        </is>
      </c>
      <c r="J246" t="inlineStr">
        <is>
          <t>A</t>
        </is>
      </c>
      <c r="K246" t="inlineStr">
        <is>
          <t>Estacionamiento</t>
        </is>
      </c>
      <c r="L246" t="inlineStr">
        <is>
          <t>E 13 - D 11</t>
        </is>
      </c>
      <c r="M246" s="39" t="n">
        <v>54000</v>
      </c>
      <c r="N246" s="39" t="n">
        <v>54000</v>
      </c>
      <c r="S246" s="39" t="n"/>
      <c r="T246" s="39" t="n"/>
      <c r="Y246" s="39" t="n"/>
      <c r="Z246" s="39" t="n"/>
      <c r="AA246" t="inlineStr">
        <is>
          <t>Alejandro David Dianderas Leyzaquia</t>
        </is>
      </c>
      <c r="AB246" t="inlineStr">
        <is>
          <t>71802853</t>
        </is>
      </c>
      <c r="AC246" t="inlineStr">
        <is>
          <t>Av. Revolucion 530 - Urb. Collique Etapa 1</t>
        </is>
      </c>
      <c r="AD246" t="n">
        <v>0</v>
      </c>
      <c r="AE246" t="inlineStr">
        <is>
          <t>926428673</t>
        </is>
      </c>
      <c r="AF246" t="inlineStr">
        <is>
          <t>926428673@gmail.com</t>
        </is>
      </c>
      <c r="AG246" t="inlineStr">
        <is>
          <t>LIMA</t>
        </is>
      </c>
      <c r="AH246" t="inlineStr">
        <is>
          <t>COMAS</t>
        </is>
      </c>
      <c r="AI246" s="75" t="n">
        <v>46386</v>
      </c>
      <c r="AJ246" s="75" t="n"/>
      <c r="AK246" t="inlineStr">
        <is>
          <t>AHORRO CASA</t>
        </is>
      </c>
      <c r="AL246" t="n">
        <v>3</v>
      </c>
      <c r="AM246" t="n">
        <v>26805</v>
      </c>
      <c r="AN246" t="n">
        <v>0</v>
      </c>
      <c r="AO246" t="n">
        <v>0</v>
      </c>
      <c r="AP246" s="39" t="n">
        <v>26805</v>
      </c>
      <c r="AQ246" s="39" t="n">
        <v>0</v>
      </c>
      <c r="AR246" s="39" t="n">
        <v>26805</v>
      </c>
      <c r="AT246" t="inlineStr">
        <is>
          <t>Ahorro</t>
        </is>
      </c>
      <c r="AZ246" t="inlineStr">
        <is>
          <t>No</t>
        </is>
      </c>
      <c r="BC246" t="inlineStr">
        <is>
          <t>PENDIENTE</t>
        </is>
      </c>
      <c r="BN246" t="inlineStr">
        <is>
          <t>No</t>
        </is>
      </c>
      <c r="BO246" s="76" t="n">
        <v>46172.7375</v>
      </c>
      <c r="BP246" t="inlineStr">
        <is>
          <t>Magaly Guevara Perez</t>
        </is>
      </c>
      <c r="BR246" t="n">
        <v>41</v>
      </c>
      <c r="BW246" t="inlineStr">
        <is>
          <t>Cobranzas_2026.csv</t>
        </is>
      </c>
      <c r="BX246" t="n">
        <v>2026</v>
      </c>
      <c r="BY246" t="inlineStr">
        <is>
          <t>01/01/2024</t>
        </is>
      </c>
      <c r="BZ246" t="inlineStr">
        <is>
          <t>30/06/2031</t>
        </is>
      </c>
    </row>
    <row r="247">
      <c r="A247" t="inlineStr">
        <is>
          <t>RESIDENCIAL PRADA</t>
        </is>
      </c>
      <c r="B247" t="inlineStr">
        <is>
          <t>Etapa 1</t>
        </is>
      </c>
      <c r="C247" t="inlineStr">
        <is>
          <t>Edificio</t>
        </is>
      </c>
      <c r="D247" t="inlineStr">
        <is>
          <t>A</t>
        </is>
      </c>
      <c r="E247" t="inlineStr">
        <is>
          <t>Estacionamiento</t>
        </is>
      </c>
      <c r="F247" t="inlineStr">
        <is>
          <t>E 23 - D 17</t>
        </is>
      </c>
      <c r="G247" s="39" t="n">
        <v>52000</v>
      </c>
      <c r="H247" s="39" t="n">
        <v>52000</v>
      </c>
      <c r="M247" s="39" t="n"/>
      <c r="N247" s="39" t="n"/>
      <c r="S247" s="39" t="n"/>
      <c r="T247" s="39" t="n"/>
      <c r="Y247" s="39" t="n"/>
      <c r="Z247" s="39" t="n"/>
      <c r="AA247" t="inlineStr">
        <is>
          <t>Alejandro Jose Navarrete Maldonado</t>
        </is>
      </c>
      <c r="AB247" t="inlineStr">
        <is>
          <t>46304395</t>
        </is>
      </c>
      <c r="AC247" t="inlineStr">
        <is>
          <t xml:space="preserve">Calle Jose Mariano Arce 139 – Dpto. 202 </t>
        </is>
      </c>
      <c r="AD247" t="n">
        <v>0</v>
      </c>
      <c r="AE247" t="inlineStr">
        <is>
          <t>956466496</t>
        </is>
      </c>
      <c r="AF247" t="inlineStr">
        <is>
          <t>anavarrete@nmabogados.com.pe</t>
        </is>
      </c>
      <c r="AG247" t="inlineStr">
        <is>
          <t>LIMA</t>
        </is>
      </c>
      <c r="AH247" t="inlineStr">
        <is>
          <t>PUEBLO LIBRE</t>
        </is>
      </c>
      <c r="AI247" s="75" t="n">
        <v>46112</v>
      </c>
      <c r="AJ247" s="75" t="n">
        <v>46112</v>
      </c>
      <c r="AK247" t="inlineStr">
        <is>
          <t>SALDO FINANCIAR</t>
        </is>
      </c>
      <c r="AL247" t="n">
        <v>3</v>
      </c>
      <c r="AM247" t="n">
        <v>14000</v>
      </c>
      <c r="AN247" t="n">
        <v>0</v>
      </c>
      <c r="AO247" t="n">
        <v>0</v>
      </c>
      <c r="AP247" s="39" t="n">
        <v>14000</v>
      </c>
      <c r="AQ247" s="39" t="n">
        <v>14000</v>
      </c>
      <c r="AR247" s="39" t="n">
        <v>0</v>
      </c>
      <c r="AS247" t="n">
        <v>0</v>
      </c>
      <c r="AT247" t="inlineStr">
        <is>
          <t>Crédito Directo</t>
        </is>
      </c>
      <c r="AU247" t="inlineStr">
        <is>
          <t>Scotiabank Perú</t>
        </is>
      </c>
      <c r="AV247" t="inlineStr">
        <is>
          <t>000-2768484</t>
        </is>
      </c>
      <c r="AW247" t="inlineStr">
        <is>
          <t>TRANSFERENCIA BANCARIA</t>
        </is>
      </c>
      <c r="AY247" t="inlineStr">
        <is>
          <t>00000404300004045</t>
        </is>
      </c>
      <c r="AZ247" t="inlineStr">
        <is>
          <t>No</t>
        </is>
      </c>
      <c r="BB247" t="n">
        <v>4</v>
      </c>
      <c r="BC247" t="inlineStr">
        <is>
          <t>CANCELADO</t>
        </is>
      </c>
      <c r="BN247" t="inlineStr">
        <is>
          <t>Si</t>
        </is>
      </c>
      <c r="BO247" s="76" t="n">
        <v>45961.43263888889</v>
      </c>
      <c r="BP247" t="inlineStr">
        <is>
          <t>Magaly Guevara Perez</t>
        </is>
      </c>
      <c r="BR247" t="n">
        <v>54</v>
      </c>
      <c r="BS247" t="inlineStr">
        <is>
          <t>03/07/2026 11:19</t>
        </is>
      </c>
      <c r="BW247" t="inlineStr">
        <is>
          <t>Cobranzas_2026.csv</t>
        </is>
      </c>
      <c r="BX247" t="n">
        <v>2026</v>
      </c>
      <c r="BY247" t="inlineStr">
        <is>
          <t>01/01/2024</t>
        </is>
      </c>
      <c r="BZ247" t="inlineStr">
        <is>
          <t>30/06/2031</t>
        </is>
      </c>
    </row>
    <row r="248">
      <c r="A248" t="inlineStr">
        <is>
          <t>RESIDENCIAL PRADA</t>
        </is>
      </c>
      <c r="B248" t="inlineStr">
        <is>
          <t>Etapa 1</t>
        </is>
      </c>
      <c r="C248" t="inlineStr">
        <is>
          <t>Edificio</t>
        </is>
      </c>
      <c r="D248" t="inlineStr">
        <is>
          <t>A</t>
        </is>
      </c>
      <c r="E248" t="inlineStr">
        <is>
          <t>Departamento</t>
        </is>
      </c>
      <c r="F248" t="inlineStr">
        <is>
          <t>504</t>
        </is>
      </c>
      <c r="G248" s="39" t="n">
        <v>417700</v>
      </c>
      <c r="H248" s="39" t="n">
        <v>417700</v>
      </c>
      <c r="M248" s="39" t="n"/>
      <c r="N248" s="39" t="n"/>
      <c r="S248" s="39" t="n"/>
      <c r="T248" s="39" t="n"/>
      <c r="Y248" s="39" t="n"/>
      <c r="Z248" s="39" t="n"/>
      <c r="AA248" t="inlineStr">
        <is>
          <t>Alvaro Geanfranco Mendoza Jump</t>
        </is>
      </c>
      <c r="AB248" t="inlineStr">
        <is>
          <t>72112648</t>
        </is>
      </c>
      <c r="AC248" t="inlineStr">
        <is>
          <t>Urb. San Francisco Mz. B Lt. 11 Departamento de Huanuco, Provincia de Huanuco, Dsitrito Amarilis</t>
        </is>
      </c>
      <c r="AD248" t="n">
        <v>938217737</v>
      </c>
      <c r="AE248" t="inlineStr">
        <is>
          <t>938217737</t>
        </is>
      </c>
      <c r="AF248" t="inlineStr">
        <is>
          <t>alvaromej17@gmail.com</t>
        </is>
      </c>
      <c r="AG248" t="inlineStr">
        <is>
          <t>HUANUCO</t>
        </is>
      </c>
      <c r="AH248" t="inlineStr">
        <is>
          <t>AMARILIS</t>
        </is>
      </c>
      <c r="AI248" s="75" t="n">
        <v>46142</v>
      </c>
      <c r="AJ248" s="75" t="n">
        <v>46146</v>
      </c>
      <c r="AK248" t="inlineStr">
        <is>
          <t>CUOTA INICIAL</t>
        </is>
      </c>
      <c r="AL248" t="n">
        <v>2</v>
      </c>
      <c r="AM248" t="n">
        <v>0</v>
      </c>
      <c r="AN248" t="n">
        <v>0</v>
      </c>
      <c r="AO248" t="n">
        <v>0</v>
      </c>
      <c r="AP248" s="39" t="n">
        <v>31000</v>
      </c>
      <c r="AQ248" s="39" t="n">
        <v>12000</v>
      </c>
      <c r="AR248" s="39" t="n">
        <v>0</v>
      </c>
      <c r="AS248" t="n">
        <v>0</v>
      </c>
      <c r="AT248" t="inlineStr">
        <is>
          <t>Ahorro</t>
        </is>
      </c>
      <c r="AU248" t="inlineStr">
        <is>
          <t>Scotiabank Perú</t>
        </is>
      </c>
      <c r="AV248" t="inlineStr">
        <is>
          <t>000-2768484</t>
        </is>
      </c>
      <c r="AW248" t="inlineStr">
        <is>
          <t>TRANSFERENCIA BANCARIA</t>
        </is>
      </c>
      <c r="AY248" t="inlineStr">
        <is>
          <t>02222650</t>
        </is>
      </c>
      <c r="AZ248" t="inlineStr">
        <is>
          <t>No</t>
        </is>
      </c>
      <c r="BB248" t="n">
        <v>4</v>
      </c>
      <c r="BC248" t="inlineStr">
        <is>
          <t>CANCELADO</t>
        </is>
      </c>
      <c r="BN248" t="inlineStr">
        <is>
          <t>Si</t>
        </is>
      </c>
      <c r="BO248" s="76" t="n">
        <v>45919.61597222222</v>
      </c>
      <c r="BP248" t="inlineStr">
        <is>
          <t>Kenny Salazar S</t>
        </is>
      </c>
      <c r="BR248" t="n">
        <v>36</v>
      </c>
      <c r="BS248" t="inlineStr">
        <is>
          <t>23/06/2026 16:01</t>
        </is>
      </c>
      <c r="BW248" t="inlineStr">
        <is>
          <t>Cobranzas_2026.csv</t>
        </is>
      </c>
      <c r="BX248" t="n">
        <v>2026</v>
      </c>
      <c r="BY248" t="inlineStr">
        <is>
          <t>01/01/2024</t>
        </is>
      </c>
      <c r="BZ248" t="inlineStr">
        <is>
          <t>30/06/2031</t>
        </is>
      </c>
    </row>
    <row r="249">
      <c r="A249" t="inlineStr">
        <is>
          <t>RESIDENCIAL PRADA</t>
        </is>
      </c>
      <c r="B249" t="inlineStr">
        <is>
          <t>Etapa 1</t>
        </is>
      </c>
      <c r="C249" t="inlineStr">
        <is>
          <t>Edificio</t>
        </is>
      </c>
      <c r="D249" t="inlineStr">
        <is>
          <t>A</t>
        </is>
      </c>
      <c r="E249" t="inlineStr">
        <is>
          <t>Departamento</t>
        </is>
      </c>
      <c r="F249" t="inlineStr">
        <is>
          <t>504</t>
        </is>
      </c>
      <c r="G249" s="39" t="n">
        <v>417700</v>
      </c>
      <c r="H249" s="39" t="n">
        <v>417700</v>
      </c>
      <c r="M249" s="39" t="n"/>
      <c r="N249" s="39" t="n"/>
      <c r="S249" s="39" t="n"/>
      <c r="T249" s="39" t="n"/>
      <c r="Y249" s="39" t="n"/>
      <c r="Z249" s="39" t="n"/>
      <c r="AA249" t="inlineStr">
        <is>
          <t>Alvaro Geanfranco Mendoza Jump</t>
        </is>
      </c>
      <c r="AB249" t="inlineStr">
        <is>
          <t>72112648</t>
        </is>
      </c>
      <c r="AC249" t="inlineStr">
        <is>
          <t>Urb. San Francisco Mz. B Lt. 11 Departamento de Huanuco, Provincia de Huanuco, Dsitrito Amarilis</t>
        </is>
      </c>
      <c r="AD249" t="n">
        <v>938217737</v>
      </c>
      <c r="AE249" t="inlineStr">
        <is>
          <t>938217737</t>
        </is>
      </c>
      <c r="AF249" t="inlineStr">
        <is>
          <t>alvaromej17@gmail.com</t>
        </is>
      </c>
      <c r="AG249" t="inlineStr">
        <is>
          <t>HUANUCO</t>
        </is>
      </c>
      <c r="AH249" t="inlineStr">
        <is>
          <t>AMARILIS</t>
        </is>
      </c>
      <c r="AI249" s="75" t="n">
        <v>46142</v>
      </c>
      <c r="AJ249" s="75" t="n">
        <v>46144</v>
      </c>
      <c r="AK249" t="inlineStr">
        <is>
          <t>CUOTA INICIAL</t>
        </is>
      </c>
      <c r="AL249" t="n">
        <v>2</v>
      </c>
      <c r="AM249" t="n">
        <v>0</v>
      </c>
      <c r="AN249" t="n">
        <v>0</v>
      </c>
      <c r="AO249" t="n">
        <v>0</v>
      </c>
      <c r="AP249" s="39" t="n">
        <v>0</v>
      </c>
      <c r="AQ249" s="39" t="n">
        <v>12000</v>
      </c>
      <c r="AR249" s="39" t="n">
        <v>0</v>
      </c>
      <c r="AS249" t="n">
        <v>0</v>
      </c>
      <c r="AT249" t="inlineStr">
        <is>
          <t>Ahorro</t>
        </is>
      </c>
      <c r="AU249" t="inlineStr">
        <is>
          <t>Scotiabank Perú</t>
        </is>
      </c>
      <c r="AV249" t="inlineStr">
        <is>
          <t>000-2768484</t>
        </is>
      </c>
      <c r="AW249" t="inlineStr">
        <is>
          <t>TRANSFERENCIA BANCARIA</t>
        </is>
      </c>
      <c r="AY249" t="inlineStr">
        <is>
          <t>5561540</t>
        </is>
      </c>
      <c r="AZ249" t="inlineStr">
        <is>
          <t>No</t>
        </is>
      </c>
      <c r="BB249" t="n">
        <v>4</v>
      </c>
      <c r="BC249" t="inlineStr">
        <is>
          <t>CANCELADO</t>
        </is>
      </c>
      <c r="BN249" t="inlineStr">
        <is>
          <t>Si</t>
        </is>
      </c>
      <c r="BO249" s="76" t="n">
        <v>45919.61597222222</v>
      </c>
      <c r="BP249" t="inlineStr">
        <is>
          <t>Kenny Salazar S</t>
        </is>
      </c>
      <c r="BR249" t="n">
        <v>36</v>
      </c>
      <c r="BS249" t="inlineStr">
        <is>
          <t>23/06/2026 16:02</t>
        </is>
      </c>
      <c r="BW249" t="inlineStr">
        <is>
          <t>Cobranzas_2026.csv</t>
        </is>
      </c>
      <c r="BX249" t="n">
        <v>2026</v>
      </c>
      <c r="BY249" t="inlineStr">
        <is>
          <t>01/01/2024</t>
        </is>
      </c>
      <c r="BZ249" t="inlineStr">
        <is>
          <t>30/06/2031</t>
        </is>
      </c>
    </row>
    <row r="250">
      <c r="A250" t="inlineStr">
        <is>
          <t>RESIDENCIAL PRADA</t>
        </is>
      </c>
      <c r="B250" t="inlineStr">
        <is>
          <t>Etapa 1</t>
        </is>
      </c>
      <c r="C250" t="inlineStr">
        <is>
          <t>Edificio</t>
        </is>
      </c>
      <c r="D250" t="inlineStr">
        <is>
          <t>A</t>
        </is>
      </c>
      <c r="E250" t="inlineStr">
        <is>
          <t>Departamento</t>
        </is>
      </c>
      <c r="F250" t="inlineStr">
        <is>
          <t>504</t>
        </is>
      </c>
      <c r="G250" s="39" t="n">
        <v>417700</v>
      </c>
      <c r="H250" s="39" t="n">
        <v>417700</v>
      </c>
      <c r="M250" s="39" t="n"/>
      <c r="N250" s="39" t="n"/>
      <c r="S250" s="39" t="n"/>
      <c r="T250" s="39" t="n"/>
      <c r="Y250" s="39" t="n"/>
      <c r="Z250" s="39" t="n"/>
      <c r="AA250" t="inlineStr">
        <is>
          <t>Alvaro Geanfranco Mendoza Jump</t>
        </is>
      </c>
      <c r="AB250" t="inlineStr">
        <is>
          <t>72112648</t>
        </is>
      </c>
      <c r="AC250" t="inlineStr">
        <is>
          <t>Urb. San Francisco Mz. B Lt. 11 Departamento de Huanuco, Provincia de Huanuco, Dsitrito Amarilis</t>
        </is>
      </c>
      <c r="AD250" t="n">
        <v>938217737</v>
      </c>
      <c r="AE250" t="inlineStr">
        <is>
          <t>938217737</t>
        </is>
      </c>
      <c r="AF250" t="inlineStr">
        <is>
          <t>alvaromej17@gmail.com</t>
        </is>
      </c>
      <c r="AG250" t="inlineStr">
        <is>
          <t>HUANUCO</t>
        </is>
      </c>
      <c r="AH250" t="inlineStr">
        <is>
          <t>AMARILIS</t>
        </is>
      </c>
      <c r="AI250" s="75" t="n">
        <v>46142</v>
      </c>
      <c r="AJ250" s="75" t="n">
        <v>46144</v>
      </c>
      <c r="AK250" t="inlineStr">
        <is>
          <t>CUOTA INICIAL</t>
        </is>
      </c>
      <c r="AL250" t="n">
        <v>2</v>
      </c>
      <c r="AM250" t="n">
        <v>31000</v>
      </c>
      <c r="AN250" t="n">
        <v>0</v>
      </c>
      <c r="AO250" t="n">
        <v>0</v>
      </c>
      <c r="AP250" s="39" t="n">
        <v>0</v>
      </c>
      <c r="AQ250" s="39" t="n">
        <v>7000</v>
      </c>
      <c r="AR250" s="39" t="n">
        <v>0</v>
      </c>
      <c r="AS250" t="n">
        <v>0</v>
      </c>
      <c r="AT250" t="inlineStr">
        <is>
          <t>Ahorro</t>
        </is>
      </c>
      <c r="AU250" t="inlineStr">
        <is>
          <t>Scotiabank Perú</t>
        </is>
      </c>
      <c r="AV250" t="inlineStr">
        <is>
          <t>000-2768484</t>
        </is>
      </c>
      <c r="AW250" t="inlineStr">
        <is>
          <t>TRANSFERENCIA BANCARIA</t>
        </is>
      </c>
      <c r="AY250" t="inlineStr">
        <is>
          <t>U100751</t>
        </is>
      </c>
      <c r="AZ250" t="inlineStr">
        <is>
          <t>No</t>
        </is>
      </c>
      <c r="BB250" t="n">
        <v>4</v>
      </c>
      <c r="BC250" t="inlineStr">
        <is>
          <t>CANCELADO</t>
        </is>
      </c>
      <c r="BN250" t="inlineStr">
        <is>
          <t>Si</t>
        </is>
      </c>
      <c r="BO250" s="76" t="n">
        <v>45919.61597222222</v>
      </c>
      <c r="BP250" t="inlineStr">
        <is>
          <t>Kenny Salazar S</t>
        </is>
      </c>
      <c r="BR250" t="n">
        <v>36</v>
      </c>
      <c r="BS250" t="inlineStr">
        <is>
          <t>23/06/2026 16:06</t>
        </is>
      </c>
      <c r="BW250" t="inlineStr">
        <is>
          <t>Cobranzas_2026.csv</t>
        </is>
      </c>
      <c r="BX250" t="n">
        <v>2026</v>
      </c>
      <c r="BY250" t="inlineStr">
        <is>
          <t>01/01/2024</t>
        </is>
      </c>
      <c r="BZ250" t="inlineStr">
        <is>
          <t>30/06/2031</t>
        </is>
      </c>
    </row>
    <row r="251">
      <c r="A251" t="inlineStr">
        <is>
          <t>RESIDENCIAL PRADA</t>
        </is>
      </c>
      <c r="B251" t="inlineStr">
        <is>
          <t>Etapa 1</t>
        </is>
      </c>
      <c r="C251" t="inlineStr">
        <is>
          <t>Edificio</t>
        </is>
      </c>
      <c r="D251" t="inlineStr">
        <is>
          <t>A</t>
        </is>
      </c>
      <c r="E251" t="inlineStr">
        <is>
          <t>Departamento</t>
        </is>
      </c>
      <c r="F251" t="inlineStr">
        <is>
          <t>504</t>
        </is>
      </c>
      <c r="G251" s="39" t="n">
        <v>417700</v>
      </c>
      <c r="H251" s="39" t="n">
        <v>417700</v>
      </c>
      <c r="M251" s="39" t="n"/>
      <c r="N251" s="39" t="n"/>
      <c r="S251" s="39" t="n"/>
      <c r="T251" s="39" t="n"/>
      <c r="Y251" s="39" t="n"/>
      <c r="Z251" s="39" t="n"/>
      <c r="AA251" t="inlineStr">
        <is>
          <t>Alvaro Geanfranco Mendoza Jump</t>
        </is>
      </c>
      <c r="AB251" t="inlineStr">
        <is>
          <t>72112648</t>
        </is>
      </c>
      <c r="AC251" t="inlineStr">
        <is>
          <t>Urb. San Francisco Mz. B Lt. 11 Departamento de Huanuco, Provincia de Huanuco, Dsitrito Amarilis</t>
        </is>
      </c>
      <c r="AD251" t="n">
        <v>938217737</v>
      </c>
      <c r="AE251" t="inlineStr">
        <is>
          <t>938217737</t>
        </is>
      </c>
      <c r="AF251" t="inlineStr">
        <is>
          <t>alvaromej17@gmail.com</t>
        </is>
      </c>
      <c r="AG251" t="inlineStr">
        <is>
          <t>HUANUCO</t>
        </is>
      </c>
      <c r="AH251" t="inlineStr">
        <is>
          <t>AMARILIS</t>
        </is>
      </c>
      <c r="AI251" s="75" t="n">
        <v>46081</v>
      </c>
      <c r="AJ251" s="75" t="n">
        <v>46144</v>
      </c>
      <c r="AK251" t="inlineStr">
        <is>
          <t>CUOTA INICIAL</t>
        </is>
      </c>
      <c r="AL251" t="n">
        <v>3</v>
      </c>
      <c r="AM251" t="n">
        <v>21000</v>
      </c>
      <c r="AN251" t="n">
        <v>0</v>
      </c>
      <c r="AO251" t="n">
        <v>0</v>
      </c>
      <c r="AP251" s="39" t="n">
        <v>21000</v>
      </c>
      <c r="AQ251" s="39" t="n">
        <v>21000</v>
      </c>
      <c r="AR251" s="39" t="n">
        <v>0</v>
      </c>
      <c r="AS251" t="n">
        <v>0</v>
      </c>
      <c r="AT251" t="inlineStr">
        <is>
          <t>Ahorro</t>
        </is>
      </c>
      <c r="AU251" t="inlineStr">
        <is>
          <t>Scotiabank Perú</t>
        </is>
      </c>
      <c r="AV251" t="inlineStr">
        <is>
          <t>000-2768484</t>
        </is>
      </c>
      <c r="AW251" t="inlineStr">
        <is>
          <t>TRANSFERENCIA BANCARIA</t>
        </is>
      </c>
      <c r="AY251" t="inlineStr">
        <is>
          <t>U100751</t>
        </is>
      </c>
      <c r="AZ251" t="inlineStr">
        <is>
          <t>No</t>
        </is>
      </c>
      <c r="BB251" t="n">
        <v>4</v>
      </c>
      <c r="BC251" t="inlineStr">
        <is>
          <t>CANCELADO</t>
        </is>
      </c>
      <c r="BN251" t="inlineStr">
        <is>
          <t>Si</t>
        </is>
      </c>
      <c r="BO251" s="76" t="n">
        <v>45919.61597222222</v>
      </c>
      <c r="BP251" t="inlineStr">
        <is>
          <t>Kenny Salazar S</t>
        </is>
      </c>
      <c r="BR251" t="n">
        <v>36</v>
      </c>
      <c r="BS251" t="inlineStr">
        <is>
          <t>23/06/2026 16:06</t>
        </is>
      </c>
      <c r="BW251" t="inlineStr">
        <is>
          <t>Cobranzas_2026.csv</t>
        </is>
      </c>
      <c r="BX251" t="n">
        <v>2026</v>
      </c>
      <c r="BY251" t="inlineStr">
        <is>
          <t>01/01/2024</t>
        </is>
      </c>
      <c r="BZ251" t="inlineStr">
        <is>
          <t>30/06/2031</t>
        </is>
      </c>
    </row>
    <row r="252">
      <c r="A252" t="inlineStr">
        <is>
          <t>RESIDENCIAL PRADA</t>
        </is>
      </c>
      <c r="B252" t="inlineStr">
        <is>
          <t>Etapa 1</t>
        </is>
      </c>
      <c r="C252" t="inlineStr">
        <is>
          <t>Edificio</t>
        </is>
      </c>
      <c r="D252" t="inlineStr">
        <is>
          <t>A</t>
        </is>
      </c>
      <c r="E252" t="inlineStr">
        <is>
          <t>Departamento</t>
        </is>
      </c>
      <c r="F252" t="inlineStr">
        <is>
          <t>504</t>
        </is>
      </c>
      <c r="G252" s="39" t="n">
        <v>417700</v>
      </c>
      <c r="H252" s="39" t="n">
        <v>417700</v>
      </c>
      <c r="M252" s="39" t="n"/>
      <c r="N252" s="39" t="n"/>
      <c r="S252" s="39" t="n"/>
      <c r="T252" s="39" t="n"/>
      <c r="Y252" s="39" t="n"/>
      <c r="Z252" s="39" t="n"/>
      <c r="AA252" t="inlineStr">
        <is>
          <t>Alvaro Geanfranco Mendoza Jump</t>
        </is>
      </c>
      <c r="AB252" t="inlineStr">
        <is>
          <t>72112648</t>
        </is>
      </c>
      <c r="AC252" t="inlineStr">
        <is>
          <t>Urb. San Francisco Mz. B Lt. 11 Departamento de Huanuco, Provincia de Huanuco, Dsitrito Amarilis</t>
        </is>
      </c>
      <c r="AD252" t="n">
        <v>938217737</v>
      </c>
      <c r="AE252" t="inlineStr">
        <is>
          <t>938217737</t>
        </is>
      </c>
      <c r="AF252" t="inlineStr">
        <is>
          <t>alvaromej17@gmail.com</t>
        </is>
      </c>
      <c r="AG252" t="inlineStr">
        <is>
          <t>HUANUCO</t>
        </is>
      </c>
      <c r="AH252" t="inlineStr">
        <is>
          <t>AMARILIS</t>
        </is>
      </c>
      <c r="AI252" s="75" t="n">
        <v>46203</v>
      </c>
      <c r="AJ252" s="75" t="n">
        <v>46172</v>
      </c>
      <c r="AK252" t="inlineStr">
        <is>
          <t>SALDO FINANCIAR</t>
        </is>
      </c>
      <c r="AL252" t="n">
        <v>1</v>
      </c>
      <c r="AM252" t="n">
        <v>352700</v>
      </c>
      <c r="AN252" t="n">
        <v>0</v>
      </c>
      <c r="AO252" t="n">
        <v>0</v>
      </c>
      <c r="AP252" s="39" t="n">
        <v>352700</v>
      </c>
      <c r="AQ252" s="39" t="n">
        <v>352700</v>
      </c>
      <c r="AR252" s="39" t="n">
        <v>0</v>
      </c>
      <c r="AS252" t="n">
        <v>0</v>
      </c>
      <c r="AT252" t="inlineStr">
        <is>
          <t>Ahorro</t>
        </is>
      </c>
      <c r="AU252" t="inlineStr">
        <is>
          <t>Scotiabank Perú</t>
        </is>
      </c>
      <c r="AV252" t="inlineStr">
        <is>
          <t>000-2768484</t>
        </is>
      </c>
      <c r="AW252" t="inlineStr">
        <is>
          <t>TRANSFERENCIA BANCARIA</t>
        </is>
      </c>
      <c r="AY252" t="inlineStr">
        <is>
          <t>02700800069</t>
        </is>
      </c>
      <c r="AZ252" t="inlineStr">
        <is>
          <t>No</t>
        </is>
      </c>
      <c r="BB252" t="n">
        <v>4</v>
      </c>
      <c r="BC252" t="inlineStr">
        <is>
          <t>CANCELADO</t>
        </is>
      </c>
      <c r="BN252" t="inlineStr">
        <is>
          <t>Si</t>
        </is>
      </c>
      <c r="BO252" s="76" t="n">
        <v>45919.61597222222</v>
      </c>
      <c r="BP252" t="inlineStr">
        <is>
          <t>Kenny Salazar S</t>
        </is>
      </c>
      <c r="BR252" t="n">
        <v>36</v>
      </c>
      <c r="BS252" t="inlineStr">
        <is>
          <t>23/06/2026 16:08</t>
        </is>
      </c>
      <c r="BW252" t="inlineStr">
        <is>
          <t>Cobranzas_2026.csv</t>
        </is>
      </c>
      <c r="BX252" t="n">
        <v>2026</v>
      </c>
      <c r="BY252" t="inlineStr">
        <is>
          <t>01/01/2024</t>
        </is>
      </c>
      <c r="BZ252" t="inlineStr">
        <is>
          <t>30/06/2031</t>
        </is>
      </c>
    </row>
    <row r="253">
      <c r="A253" t="inlineStr">
        <is>
          <t>RESIDENCIAL PRADA</t>
        </is>
      </c>
      <c r="B253" t="inlineStr">
        <is>
          <t>Etapa 1</t>
        </is>
      </c>
      <c r="C253" t="inlineStr">
        <is>
          <t>Edificio</t>
        </is>
      </c>
      <c r="D253" t="inlineStr">
        <is>
          <t>A</t>
        </is>
      </c>
      <c r="E253" t="inlineStr">
        <is>
          <t>Departamento</t>
        </is>
      </c>
      <c r="F253" t="inlineStr">
        <is>
          <t>1104</t>
        </is>
      </c>
      <c r="G253" s="39" t="n">
        <v>397000</v>
      </c>
      <c r="H253" s="39" t="n">
        <v>397000</v>
      </c>
      <c r="M253" s="39" t="n"/>
      <c r="N253" s="39" t="n"/>
      <c r="S253" s="39" t="n"/>
      <c r="T253" s="39" t="n"/>
      <c r="Y253" s="39" t="n"/>
      <c r="Z253" s="39" t="n"/>
      <c r="AA253" t="inlineStr">
        <is>
          <t>Ana Fabiola Alvarez Elias</t>
        </is>
      </c>
      <c r="AB253" t="inlineStr">
        <is>
          <t>06789211</t>
        </is>
      </c>
      <c r="AC253" t="inlineStr">
        <is>
          <t>Jr. Caraveli 968 Interior 103</t>
        </is>
      </c>
      <c r="AD253" t="n">
        <v>991502978</v>
      </c>
      <c r="AE253" t="inlineStr">
        <is>
          <t>986642025</t>
        </is>
      </c>
      <c r="AF253" t="inlineStr">
        <is>
          <t>anafabiola1@hotmail.com</t>
        </is>
      </c>
      <c r="AG253" t="inlineStr">
        <is>
          <t>LIMA</t>
        </is>
      </c>
      <c r="AH253" t="inlineStr">
        <is>
          <t>BREÑA</t>
        </is>
      </c>
      <c r="AI253" s="75" t="n">
        <v>46272.59791666667</v>
      </c>
      <c r="AJ253" s="75" t="n">
        <v>45747</v>
      </c>
      <c r="AK253" t="inlineStr">
        <is>
          <t>SALDO FINANCIAR</t>
        </is>
      </c>
      <c r="AL253" t="n">
        <v>1</v>
      </c>
      <c r="AM253" t="n">
        <v>292550</v>
      </c>
      <c r="AN253" t="n">
        <v>0</v>
      </c>
      <c r="AO253" t="n">
        <v>0</v>
      </c>
      <c r="AP253" s="39" t="n">
        <v>292550</v>
      </c>
      <c r="AQ253" s="39" t="n">
        <v>34500</v>
      </c>
      <c r="AR253" s="39" t="n">
        <v>0</v>
      </c>
      <c r="AS253" t="n">
        <v>0</v>
      </c>
      <c r="AT253" t="inlineStr">
        <is>
          <t>Crédito Hipotecario</t>
        </is>
      </c>
      <c r="AU253" t="inlineStr">
        <is>
          <t>Scotiabank Perú</t>
        </is>
      </c>
      <c r="AV253" t="inlineStr">
        <is>
          <t>000-2768484</t>
        </is>
      </c>
      <c r="AW253" t="inlineStr">
        <is>
          <t>DEPOSITO EN CUENTA</t>
        </is>
      </c>
      <c r="AY253" t="inlineStr">
        <is>
          <t>23022025</t>
        </is>
      </c>
      <c r="AZ253" t="inlineStr">
        <is>
          <t>No</t>
        </is>
      </c>
      <c r="BB253" t="n">
        <v>4</v>
      </c>
      <c r="BC253" t="inlineStr">
        <is>
          <t>CANCELADO</t>
        </is>
      </c>
      <c r="BN253" t="inlineStr">
        <is>
          <t>Si</t>
        </is>
      </c>
      <c r="BO253" s="76" t="n">
        <v>45730.74097222222</v>
      </c>
      <c r="BP253" t="inlineStr">
        <is>
          <t>Carla Michue M</t>
        </is>
      </c>
      <c r="BR253" t="n">
        <v>9</v>
      </c>
      <c r="BS253" t="inlineStr">
        <is>
          <t>07/07/2026 14:22</t>
        </is>
      </c>
      <c r="BW253" t="inlineStr">
        <is>
          <t>Cobranzas_2026.csv</t>
        </is>
      </c>
      <c r="BX253" t="n">
        <v>2026</v>
      </c>
      <c r="BY253" t="inlineStr">
        <is>
          <t>01/01/2024</t>
        </is>
      </c>
      <c r="BZ253" t="inlineStr">
        <is>
          <t>30/06/2031</t>
        </is>
      </c>
    </row>
    <row r="254">
      <c r="A254" t="inlineStr">
        <is>
          <t>RESIDENCIAL PRADA</t>
        </is>
      </c>
      <c r="B254" t="inlineStr">
        <is>
          <t>Etapa 1</t>
        </is>
      </c>
      <c r="C254" t="inlineStr">
        <is>
          <t>Edificio</t>
        </is>
      </c>
      <c r="D254" t="inlineStr">
        <is>
          <t>A</t>
        </is>
      </c>
      <c r="E254" t="inlineStr">
        <is>
          <t>Departamento</t>
        </is>
      </c>
      <c r="F254" t="inlineStr">
        <is>
          <t>1104</t>
        </is>
      </c>
      <c r="G254" s="39" t="n">
        <v>397000</v>
      </c>
      <c r="H254" s="39" t="n">
        <v>397000</v>
      </c>
      <c r="M254" s="39" t="n"/>
      <c r="N254" s="39" t="n"/>
      <c r="S254" s="39" t="n"/>
      <c r="T254" s="39" t="n"/>
      <c r="Y254" s="39" t="n"/>
      <c r="Z254" s="39" t="n"/>
      <c r="AA254" t="inlineStr">
        <is>
          <t>Ana Fabiola Alvarez Elias</t>
        </is>
      </c>
      <c r="AB254" t="inlineStr">
        <is>
          <t>06789211</t>
        </is>
      </c>
      <c r="AC254" t="inlineStr">
        <is>
          <t>Jr. Caraveli 968 Interior 103</t>
        </is>
      </c>
      <c r="AD254" t="n">
        <v>991502978</v>
      </c>
      <c r="AE254" t="inlineStr">
        <is>
          <t>986642025</t>
        </is>
      </c>
      <c r="AF254" t="inlineStr">
        <is>
          <t>anafabiola1@hotmail.com</t>
        </is>
      </c>
      <c r="AG254" t="inlineStr">
        <is>
          <t>LIMA</t>
        </is>
      </c>
      <c r="AH254" t="inlineStr">
        <is>
          <t>BREÑA</t>
        </is>
      </c>
      <c r="AI254" s="75" t="n">
        <v>46272.59791666667</v>
      </c>
      <c r="AJ254" s="75" t="n">
        <v>45747</v>
      </c>
      <c r="AK254" t="inlineStr">
        <is>
          <t>SALDO FINANCIAR</t>
        </is>
      </c>
      <c r="AL254" t="n">
        <v>1</v>
      </c>
      <c r="AM254" t="n">
        <v>0</v>
      </c>
      <c r="AN254" t="n">
        <v>0</v>
      </c>
      <c r="AO254" t="n">
        <v>0</v>
      </c>
      <c r="AP254" s="39" t="n">
        <v>0</v>
      </c>
      <c r="AQ254" s="39" t="n">
        <v>258050</v>
      </c>
      <c r="AR254" s="39" t="n">
        <v>0</v>
      </c>
      <c r="AS254" t="n">
        <v>0</v>
      </c>
      <c r="AT254" t="inlineStr">
        <is>
          <t>Crédito Hipotecario</t>
        </is>
      </c>
      <c r="AU254" t="inlineStr">
        <is>
          <t>Scotiabank Perú</t>
        </is>
      </c>
      <c r="AV254" t="inlineStr">
        <is>
          <t>000-2768484</t>
        </is>
      </c>
      <c r="AW254" t="inlineStr">
        <is>
          <t>TRANSFERENCIA BANCARIA</t>
        </is>
      </c>
      <c r="AY254" t="inlineStr">
        <is>
          <t>30032025</t>
        </is>
      </c>
      <c r="AZ254" t="inlineStr">
        <is>
          <t>No</t>
        </is>
      </c>
      <c r="BB254" t="n">
        <v>4</v>
      </c>
      <c r="BC254" t="inlineStr">
        <is>
          <t>CANCELADO</t>
        </is>
      </c>
      <c r="BN254" t="inlineStr">
        <is>
          <t>Si</t>
        </is>
      </c>
      <c r="BO254" s="76" t="n">
        <v>45730.74097222222</v>
      </c>
      <c r="BP254" t="inlineStr">
        <is>
          <t>Carla Michue M</t>
        </is>
      </c>
      <c r="BR254" t="n">
        <v>9</v>
      </c>
      <c r="BS254" t="inlineStr">
        <is>
          <t>07/07/2026 14:23</t>
        </is>
      </c>
      <c r="BW254" t="inlineStr">
        <is>
          <t>Cobranzas_2026.csv</t>
        </is>
      </c>
      <c r="BX254" t="n">
        <v>2026</v>
      </c>
      <c r="BY254" t="inlineStr">
        <is>
          <t>01/01/2024</t>
        </is>
      </c>
      <c r="BZ254" t="inlineStr">
        <is>
          <t>30/06/2031</t>
        </is>
      </c>
    </row>
    <row r="255">
      <c r="A255" t="inlineStr">
        <is>
          <t>RESIDENCIAL VENECIA</t>
        </is>
      </c>
      <c r="B255" t="inlineStr">
        <is>
          <t>Etapa 1</t>
        </is>
      </c>
      <c r="C255" t="inlineStr">
        <is>
          <t>Edificio</t>
        </is>
      </c>
      <c r="D255" t="inlineStr">
        <is>
          <t>A</t>
        </is>
      </c>
      <c r="E255" t="inlineStr">
        <is>
          <t>Departamento</t>
        </is>
      </c>
      <c r="F255" t="inlineStr">
        <is>
          <t>704</t>
        </is>
      </c>
      <c r="G255" s="39" t="n">
        <v>438000</v>
      </c>
      <c r="H255" s="39" t="n">
        <v>438000</v>
      </c>
      <c r="M255" s="39" t="n"/>
      <c r="N255" s="39" t="n"/>
      <c r="S255" s="39" t="n"/>
      <c r="T255" s="39" t="n"/>
      <c r="Y255" s="39" t="n"/>
      <c r="Z255" s="39" t="n"/>
      <c r="AA255" t="inlineStr">
        <is>
          <t>ANAMELVA JULIETA AQUISE TIZNADO</t>
        </is>
      </c>
      <c r="AB255" t="inlineStr">
        <is>
          <t>40917666</t>
        </is>
      </c>
      <c r="AC255" t="inlineStr">
        <is>
          <t>Urb. Aziruni Ciudad Jardin Mz. G2 Lt 04</t>
        </is>
      </c>
      <c r="AD255" t="n">
        <v>0</v>
      </c>
      <c r="AE255" t="inlineStr">
        <is>
          <t>987249596</t>
        </is>
      </c>
      <c r="AF255" t="inlineStr">
        <is>
          <t>anamelvaaquise@gmail.com</t>
        </is>
      </c>
      <c r="AG255" t="inlineStr">
        <is>
          <t>PUNO</t>
        </is>
      </c>
      <c r="AH255" t="inlineStr">
        <is>
          <t>PUNO</t>
        </is>
      </c>
      <c r="AI255" s="75" t="n">
        <v>46112</v>
      </c>
      <c r="AJ255" s="75" t="n">
        <v>46112</v>
      </c>
      <c r="AK255" t="inlineStr">
        <is>
          <t>CUOTA INICIAL</t>
        </is>
      </c>
      <c r="AL255" t="n">
        <v>2</v>
      </c>
      <c r="AM255" t="n">
        <v>20800</v>
      </c>
      <c r="AN255" t="n">
        <v>0</v>
      </c>
      <c r="AO255" t="n">
        <v>0</v>
      </c>
      <c r="AP255" s="39" t="n">
        <v>20800</v>
      </c>
      <c r="AQ255" s="39" t="n">
        <v>20800</v>
      </c>
      <c r="AR255" s="39" t="n">
        <v>0</v>
      </c>
      <c r="AS255" t="n">
        <v>0</v>
      </c>
      <c r="AT255" t="inlineStr">
        <is>
          <t>Crédito Hipotecario</t>
        </is>
      </c>
      <c r="AU255" t="inlineStr">
        <is>
          <t>Scotiabank Perú</t>
        </is>
      </c>
      <c r="AV255" t="inlineStr">
        <is>
          <t>0004071419</t>
        </is>
      </c>
      <c r="AW255" t="inlineStr">
        <is>
          <t>CHEQUE DE GERENCIA</t>
        </is>
      </c>
      <c r="AX255" t="n">
        <v>40917666</v>
      </c>
      <c r="AY255" t="inlineStr">
        <is>
          <t>16944610</t>
        </is>
      </c>
      <c r="AZ255" t="inlineStr">
        <is>
          <t>No</t>
        </is>
      </c>
      <c r="BA255" t="inlineStr">
        <is>
          <t>NO PRECISA</t>
        </is>
      </c>
      <c r="BB255" t="n">
        <v>4</v>
      </c>
      <c r="BC255" t="inlineStr">
        <is>
          <t>CANCELADO</t>
        </is>
      </c>
      <c r="BN255" t="inlineStr">
        <is>
          <t>Si</t>
        </is>
      </c>
      <c r="BO255" s="76" t="n">
        <v>46178.35069444445</v>
      </c>
      <c r="BP255" t="inlineStr">
        <is>
          <t>Magaly Guevara Perez</t>
        </is>
      </c>
      <c r="BR255" t="n">
        <v>14</v>
      </c>
      <c r="BS255" t="inlineStr">
        <is>
          <t>04/06/2026 09:50</t>
        </is>
      </c>
      <c r="BW255" t="inlineStr">
        <is>
          <t>Cobranzas_2026.csv</t>
        </is>
      </c>
      <c r="BX255" t="n">
        <v>2026</v>
      </c>
      <c r="BY255" t="inlineStr">
        <is>
          <t>01/01/2024</t>
        </is>
      </c>
      <c r="BZ255" t="inlineStr">
        <is>
          <t>30/06/2031</t>
        </is>
      </c>
    </row>
    <row r="256">
      <c r="A256" t="inlineStr">
        <is>
          <t>RESIDENCIAL VENECIA</t>
        </is>
      </c>
      <c r="B256" t="inlineStr">
        <is>
          <t>Etapa 1</t>
        </is>
      </c>
      <c r="C256" t="inlineStr">
        <is>
          <t>Edificio</t>
        </is>
      </c>
      <c r="D256" t="inlineStr">
        <is>
          <t>A</t>
        </is>
      </c>
      <c r="E256" t="inlineStr">
        <is>
          <t>Departamento</t>
        </is>
      </c>
      <c r="F256" t="inlineStr">
        <is>
          <t>704</t>
        </is>
      </c>
      <c r="G256" s="39" t="n">
        <v>438000</v>
      </c>
      <c r="H256" s="39" t="n">
        <v>438000</v>
      </c>
      <c r="M256" s="39" t="n"/>
      <c r="N256" s="39" t="n"/>
      <c r="S256" s="39" t="n"/>
      <c r="T256" s="39" t="n"/>
      <c r="Y256" s="39" t="n"/>
      <c r="Z256" s="39" t="n"/>
      <c r="AA256" t="inlineStr">
        <is>
          <t>ANAMELVA JULIETA AQUISE TIZNADO</t>
        </is>
      </c>
      <c r="AB256" t="inlineStr">
        <is>
          <t>40917666</t>
        </is>
      </c>
      <c r="AC256" t="inlineStr">
        <is>
          <t>Urb. Aziruni Ciudad Jardin Mz. G2 Lt 04</t>
        </is>
      </c>
      <c r="AD256" t="n">
        <v>0</v>
      </c>
      <c r="AE256" t="inlineStr">
        <is>
          <t>987249596</t>
        </is>
      </c>
      <c r="AF256" t="inlineStr">
        <is>
          <t>anamelvaaquise@gmail.com</t>
        </is>
      </c>
      <c r="AG256" t="inlineStr">
        <is>
          <t>PUNO</t>
        </is>
      </c>
      <c r="AH256" t="inlineStr">
        <is>
          <t>PUNO</t>
        </is>
      </c>
      <c r="AI256" s="75" t="n">
        <v>46203</v>
      </c>
      <c r="AJ256" s="75" t="n"/>
      <c r="AK256" t="inlineStr">
        <is>
          <t>SALDO FINANCIAR</t>
        </is>
      </c>
      <c r="AL256" t="n">
        <v>1</v>
      </c>
      <c r="AM256" t="n">
        <v>394200</v>
      </c>
      <c r="AN256" t="n">
        <v>0</v>
      </c>
      <c r="AO256" t="n">
        <v>0</v>
      </c>
      <c r="AP256" s="39" t="n">
        <v>394200</v>
      </c>
      <c r="AQ256" s="39" t="n">
        <v>0</v>
      </c>
      <c r="AR256" s="39" t="n">
        <v>394200</v>
      </c>
      <c r="AT256" t="inlineStr">
        <is>
          <t>Crédito Hipotecario</t>
        </is>
      </c>
      <c r="AZ256" t="inlineStr">
        <is>
          <t>No</t>
        </is>
      </c>
      <c r="BC256" t="inlineStr">
        <is>
          <t>VENCIDO</t>
        </is>
      </c>
      <c r="BN256" t="inlineStr">
        <is>
          <t>No</t>
        </is>
      </c>
      <c r="BO256" s="76" t="n">
        <v>46178.35069444445</v>
      </c>
      <c r="BP256" t="inlineStr">
        <is>
          <t>Magaly Guevara Perez</t>
        </is>
      </c>
      <c r="BR256" t="n">
        <v>14</v>
      </c>
      <c r="BW256" t="inlineStr">
        <is>
          <t>Cobranzas_2026.csv</t>
        </is>
      </c>
      <c r="BX256" t="n">
        <v>2026</v>
      </c>
      <c r="BY256" t="inlineStr">
        <is>
          <t>01/01/2024</t>
        </is>
      </c>
      <c r="BZ256" t="inlineStr">
        <is>
          <t>30/06/2031</t>
        </is>
      </c>
    </row>
    <row r="257">
      <c r="A257" t="inlineStr">
        <is>
          <t>RESIDENCIAL PRADA</t>
        </is>
      </c>
      <c r="B257" t="inlineStr">
        <is>
          <t>Etapa 1</t>
        </is>
      </c>
      <c r="C257" t="inlineStr">
        <is>
          <t>Edificio</t>
        </is>
      </c>
      <c r="D257" t="inlineStr">
        <is>
          <t>A</t>
        </is>
      </c>
      <c r="E257" t="inlineStr">
        <is>
          <t>Departamento</t>
        </is>
      </c>
      <c r="F257" t="inlineStr">
        <is>
          <t>1003</t>
        </is>
      </c>
      <c r="G257" s="39" t="n">
        <v>675000</v>
      </c>
      <c r="H257" s="39" t="n">
        <v>675000</v>
      </c>
      <c r="I257" t="inlineStr">
        <is>
          <t>Edificio</t>
        </is>
      </c>
      <c r="J257" t="inlineStr">
        <is>
          <t>A</t>
        </is>
      </c>
      <c r="K257" t="inlineStr">
        <is>
          <t>Estacionamiento</t>
        </is>
      </c>
      <c r="L257" t="inlineStr">
        <is>
          <t>E 11 - D 08</t>
        </is>
      </c>
      <c r="M257" s="39" t="n">
        <v>60400</v>
      </c>
      <c r="N257" s="39" t="n">
        <v>60400</v>
      </c>
      <c r="S257" s="39" t="n"/>
      <c r="T257" s="39" t="n"/>
      <c r="Y257" s="39" t="n"/>
      <c r="Z257" s="39" t="n"/>
      <c r="AA257" t="inlineStr">
        <is>
          <t>ANDEAN AYNI TRAVEL AGENCIA DE VIAJES Y TRANSPORTE EIRL</t>
        </is>
      </c>
      <c r="AB257" t="inlineStr">
        <is>
          <t>20610697403</t>
        </is>
      </c>
      <c r="AC257" t="inlineStr">
        <is>
          <t>JR. DANTE NAVA NRO. 310 BAR. NUEVA UNVERSIDAD</t>
        </is>
      </c>
      <c r="AD257" t="n">
        <v>0</v>
      </c>
      <c r="AE257" t="inlineStr">
        <is>
          <t>951923088</t>
        </is>
      </c>
      <c r="AF257" t="inlineStr">
        <is>
          <t>operacionesjudith@gmail.com</t>
        </is>
      </c>
      <c r="AG257" t="inlineStr">
        <is>
          <t>PUNO</t>
        </is>
      </c>
      <c r="AH257" t="inlineStr">
        <is>
          <t>PUNO</t>
        </is>
      </c>
      <c r="AI257" s="75" t="n">
        <v>46039</v>
      </c>
      <c r="AJ257" s="75" t="n">
        <v>46010</v>
      </c>
      <c r="AK257" t="inlineStr">
        <is>
          <t>SALDO FINANCIAR</t>
        </is>
      </c>
      <c r="AL257" t="n">
        <v>2</v>
      </c>
      <c r="AM257" t="n">
        <v>66057.14</v>
      </c>
      <c r="AN257" t="n">
        <v>0</v>
      </c>
      <c r="AO257" t="n">
        <v>0</v>
      </c>
      <c r="AP257" s="39" t="n">
        <v>66057.14</v>
      </c>
      <c r="AQ257" s="39" t="n">
        <v>66057.14</v>
      </c>
      <c r="AR257" s="39" t="n">
        <v>0</v>
      </c>
      <c r="AS257" t="n">
        <v>0</v>
      </c>
      <c r="AT257" t="inlineStr">
        <is>
          <t>Crédito Directo</t>
        </is>
      </c>
      <c r="AU257" t="inlineStr">
        <is>
          <t>Scotiabank Perú</t>
        </is>
      </c>
      <c r="AV257" t="inlineStr">
        <is>
          <t>000-2768484</t>
        </is>
      </c>
      <c r="AW257" t="inlineStr">
        <is>
          <t>TRANSFERENCIA BANCARIA</t>
        </is>
      </c>
      <c r="AY257" t="inlineStr">
        <is>
          <t>0780435</t>
        </is>
      </c>
      <c r="AZ257" t="inlineStr">
        <is>
          <t>Si</t>
        </is>
      </c>
      <c r="BB257" t="n">
        <v>3.38</v>
      </c>
      <c r="BC257" t="inlineStr">
        <is>
          <t>CANCELADO</t>
        </is>
      </c>
      <c r="BN257" t="inlineStr">
        <is>
          <t>No</t>
        </is>
      </c>
      <c r="BO257" s="76" t="n">
        <v>45985.73819444444</v>
      </c>
      <c r="BP257" t="inlineStr">
        <is>
          <t>Magaly Guevara Perez</t>
        </is>
      </c>
      <c r="BR257" t="n">
        <v>28</v>
      </c>
      <c r="BS257" t="inlineStr">
        <is>
          <t>09/06/2026 09:47</t>
        </is>
      </c>
      <c r="BW257" t="inlineStr">
        <is>
          <t>Cobranzas_2026.csv</t>
        </is>
      </c>
      <c r="BX257" t="n">
        <v>2026</v>
      </c>
      <c r="BY257" t="inlineStr">
        <is>
          <t>01/01/2024</t>
        </is>
      </c>
      <c r="BZ257" t="inlineStr">
        <is>
          <t>30/06/2031</t>
        </is>
      </c>
    </row>
    <row r="258">
      <c r="A258" t="inlineStr">
        <is>
          <t>RESIDENCIAL PRADA</t>
        </is>
      </c>
      <c r="B258" t="inlineStr">
        <is>
          <t>Etapa 1</t>
        </is>
      </c>
      <c r="C258" t="inlineStr">
        <is>
          <t>Edificio</t>
        </is>
      </c>
      <c r="D258" t="inlineStr">
        <is>
          <t>A</t>
        </is>
      </c>
      <c r="E258" t="inlineStr">
        <is>
          <t>Departamento</t>
        </is>
      </c>
      <c r="F258" t="inlineStr">
        <is>
          <t>1003</t>
        </is>
      </c>
      <c r="G258" s="39" t="n">
        <v>675000</v>
      </c>
      <c r="H258" s="39" t="n">
        <v>675000</v>
      </c>
      <c r="I258" t="inlineStr">
        <is>
          <t>Edificio</t>
        </is>
      </c>
      <c r="J258" t="inlineStr">
        <is>
          <t>A</t>
        </is>
      </c>
      <c r="K258" t="inlineStr">
        <is>
          <t>Estacionamiento</t>
        </is>
      </c>
      <c r="L258" t="inlineStr">
        <is>
          <t>E 11 - D 08</t>
        </is>
      </c>
      <c r="M258" s="39" t="n">
        <v>60400</v>
      </c>
      <c r="N258" s="39" t="n">
        <v>60400</v>
      </c>
      <c r="S258" s="39" t="n"/>
      <c r="T258" s="39" t="n"/>
      <c r="Y258" s="39" t="n"/>
      <c r="Z258" s="39" t="n"/>
      <c r="AA258" t="inlineStr">
        <is>
          <t>ANDEAN AYNI TRAVEL AGENCIA DE VIAJES Y TRANSPORTE EIRL</t>
        </is>
      </c>
      <c r="AB258" t="inlineStr">
        <is>
          <t>20610697403</t>
        </is>
      </c>
      <c r="AC258" t="inlineStr">
        <is>
          <t>JR. DANTE NAVA NRO. 310 BAR. NUEVA UNVERSIDAD</t>
        </is>
      </c>
      <c r="AD258" t="n">
        <v>0</v>
      </c>
      <c r="AE258" t="inlineStr">
        <is>
          <t>951923088</t>
        </is>
      </c>
      <c r="AF258" t="inlineStr">
        <is>
          <t>operacionesjudith@gmail.com</t>
        </is>
      </c>
      <c r="AG258" t="inlineStr">
        <is>
          <t>PUNO</t>
        </is>
      </c>
      <c r="AH258" t="inlineStr">
        <is>
          <t>PUNO</t>
        </is>
      </c>
      <c r="AI258" s="75" t="n">
        <v>46070</v>
      </c>
      <c r="AJ258" s="75" t="n">
        <v>46065</v>
      </c>
      <c r="AK258" t="inlineStr">
        <is>
          <t>SALDO FINANCIAR</t>
        </is>
      </c>
      <c r="AL258" t="n">
        <v>3</v>
      </c>
      <c r="AM258" t="n">
        <v>66057.14</v>
      </c>
      <c r="AN258" t="n">
        <v>0</v>
      </c>
      <c r="AO258" t="n">
        <v>0</v>
      </c>
      <c r="AP258" s="39" t="n">
        <v>66057.14</v>
      </c>
      <c r="AQ258" s="39" t="n">
        <v>66057.14</v>
      </c>
      <c r="AR258" s="39" t="n">
        <v>0</v>
      </c>
      <c r="AS258" t="n">
        <v>0</v>
      </c>
      <c r="AT258" t="inlineStr">
        <is>
          <t>Crédito Directo</t>
        </is>
      </c>
      <c r="AU258" t="inlineStr">
        <is>
          <t>Scotiabank Perú</t>
        </is>
      </c>
      <c r="AV258" t="inlineStr">
        <is>
          <t>000-2768484</t>
        </is>
      </c>
      <c r="AW258" t="inlineStr">
        <is>
          <t>TRANSFERENCIA BANCARIA</t>
        </is>
      </c>
      <c r="AY258" t="inlineStr">
        <is>
          <t>0623921</t>
        </is>
      </c>
      <c r="AZ258" t="inlineStr">
        <is>
          <t>Si</t>
        </is>
      </c>
      <c r="BB258" t="n">
        <v>3.38</v>
      </c>
      <c r="BC258" t="inlineStr">
        <is>
          <t>CANCELADO</t>
        </is>
      </c>
      <c r="BN258" t="inlineStr">
        <is>
          <t>No</t>
        </is>
      </c>
      <c r="BO258" s="76" t="n">
        <v>45985.73819444444</v>
      </c>
      <c r="BP258" t="inlineStr">
        <is>
          <t>Magaly Guevara Perez</t>
        </is>
      </c>
      <c r="BR258" t="n">
        <v>28</v>
      </c>
      <c r="BS258" t="inlineStr">
        <is>
          <t>09/06/2026 09:48</t>
        </is>
      </c>
      <c r="BW258" t="inlineStr">
        <is>
          <t>Cobranzas_2026.csv</t>
        </is>
      </c>
      <c r="BX258" t="n">
        <v>2026</v>
      </c>
      <c r="BY258" t="inlineStr">
        <is>
          <t>01/01/2024</t>
        </is>
      </c>
      <c r="BZ258" t="inlineStr">
        <is>
          <t>30/06/2031</t>
        </is>
      </c>
    </row>
    <row r="259">
      <c r="A259" t="inlineStr">
        <is>
          <t>RESIDENCIAL PRADA</t>
        </is>
      </c>
      <c r="B259" t="inlineStr">
        <is>
          <t>Etapa 1</t>
        </is>
      </c>
      <c r="C259" t="inlineStr">
        <is>
          <t>Edificio</t>
        </is>
      </c>
      <c r="D259" t="inlineStr">
        <is>
          <t>A</t>
        </is>
      </c>
      <c r="E259" t="inlineStr">
        <is>
          <t>Departamento</t>
        </is>
      </c>
      <c r="F259" t="inlineStr">
        <is>
          <t>1003</t>
        </is>
      </c>
      <c r="G259" s="39" t="n">
        <v>675000</v>
      </c>
      <c r="H259" s="39" t="n">
        <v>675000</v>
      </c>
      <c r="I259" t="inlineStr">
        <is>
          <t>Edificio</t>
        </is>
      </c>
      <c r="J259" t="inlineStr">
        <is>
          <t>A</t>
        </is>
      </c>
      <c r="K259" t="inlineStr">
        <is>
          <t>Estacionamiento</t>
        </is>
      </c>
      <c r="L259" t="inlineStr">
        <is>
          <t>E 11 - D 08</t>
        </is>
      </c>
      <c r="M259" s="39" t="n">
        <v>60400</v>
      </c>
      <c r="N259" s="39" t="n">
        <v>60400</v>
      </c>
      <c r="S259" s="39" t="n"/>
      <c r="T259" s="39" t="n"/>
      <c r="Y259" s="39" t="n"/>
      <c r="Z259" s="39" t="n"/>
      <c r="AA259" t="inlineStr">
        <is>
          <t>ANDEAN AYNI TRAVEL AGENCIA DE VIAJES Y TRANSPORTE EIRL</t>
        </is>
      </c>
      <c r="AB259" t="inlineStr">
        <is>
          <t>20610697403</t>
        </is>
      </c>
      <c r="AC259" t="inlineStr">
        <is>
          <t>JR. DANTE NAVA NRO. 310 BAR. NUEVA UNVERSIDAD</t>
        </is>
      </c>
      <c r="AD259" t="n">
        <v>0</v>
      </c>
      <c r="AE259" t="inlineStr">
        <is>
          <t>951923088</t>
        </is>
      </c>
      <c r="AF259" t="inlineStr">
        <is>
          <t>operacionesjudith@gmail.com</t>
        </is>
      </c>
      <c r="AG259" t="inlineStr">
        <is>
          <t>PUNO</t>
        </is>
      </c>
      <c r="AH259" t="inlineStr">
        <is>
          <t>PUNO</t>
        </is>
      </c>
      <c r="AI259" s="75" t="n">
        <v>46098</v>
      </c>
      <c r="AJ259" s="75" t="n">
        <v>46065</v>
      </c>
      <c r="AK259" t="inlineStr">
        <is>
          <t>SALDO FINANCIAR</t>
        </is>
      </c>
      <c r="AL259" t="n">
        <v>4</v>
      </c>
      <c r="AM259" t="n">
        <v>66057.14</v>
      </c>
      <c r="AN259" t="n">
        <v>0</v>
      </c>
      <c r="AO259" t="n">
        <v>0</v>
      </c>
      <c r="AP259" s="39" t="n">
        <v>66057.14</v>
      </c>
      <c r="AQ259" s="39" t="n">
        <v>66057.14</v>
      </c>
      <c r="AR259" s="39" t="n">
        <v>0</v>
      </c>
      <c r="AS259" t="n">
        <v>0</v>
      </c>
      <c r="AT259" t="inlineStr">
        <is>
          <t>Crédito Directo</t>
        </is>
      </c>
      <c r="AU259" t="inlineStr">
        <is>
          <t>Scotiabank Perú</t>
        </is>
      </c>
      <c r="AV259" t="inlineStr">
        <is>
          <t>000-2768484</t>
        </is>
      </c>
      <c r="AW259" t="inlineStr">
        <is>
          <t>TRANSFERENCIA BANCARIA</t>
        </is>
      </c>
      <c r="AY259" t="inlineStr">
        <is>
          <t>0623921</t>
        </is>
      </c>
      <c r="AZ259" t="inlineStr">
        <is>
          <t>Si</t>
        </is>
      </c>
      <c r="BB259" t="n">
        <v>3.38</v>
      </c>
      <c r="BC259" t="inlineStr">
        <is>
          <t>CANCELADO</t>
        </is>
      </c>
      <c r="BN259" t="inlineStr">
        <is>
          <t>No</t>
        </is>
      </c>
      <c r="BO259" s="76" t="n">
        <v>45985.73819444444</v>
      </c>
      <c r="BP259" t="inlineStr">
        <is>
          <t>Magaly Guevara Perez</t>
        </is>
      </c>
      <c r="BR259" t="n">
        <v>28</v>
      </c>
      <c r="BS259" t="inlineStr">
        <is>
          <t>09/06/2026 09:48</t>
        </is>
      </c>
      <c r="BW259" t="inlineStr">
        <is>
          <t>Cobranzas_2026.csv</t>
        </is>
      </c>
      <c r="BX259" t="n">
        <v>2026</v>
      </c>
      <c r="BY259" t="inlineStr">
        <is>
          <t>01/01/2024</t>
        </is>
      </c>
      <c r="BZ259" t="inlineStr">
        <is>
          <t>30/06/2031</t>
        </is>
      </c>
    </row>
    <row r="260">
      <c r="A260" t="inlineStr">
        <is>
          <t>RESIDENCIAL PRADA</t>
        </is>
      </c>
      <c r="B260" t="inlineStr">
        <is>
          <t>Etapa 1</t>
        </is>
      </c>
      <c r="C260" t="inlineStr">
        <is>
          <t>Edificio</t>
        </is>
      </c>
      <c r="D260" t="inlineStr">
        <is>
          <t>A</t>
        </is>
      </c>
      <c r="E260" t="inlineStr">
        <is>
          <t>Departamento</t>
        </is>
      </c>
      <c r="F260" t="inlineStr">
        <is>
          <t>1003</t>
        </is>
      </c>
      <c r="G260" s="39" t="n">
        <v>675000</v>
      </c>
      <c r="H260" s="39" t="n">
        <v>675000</v>
      </c>
      <c r="I260" t="inlineStr">
        <is>
          <t>Edificio</t>
        </is>
      </c>
      <c r="J260" t="inlineStr">
        <is>
          <t>A</t>
        </is>
      </c>
      <c r="K260" t="inlineStr">
        <is>
          <t>Estacionamiento</t>
        </is>
      </c>
      <c r="L260" t="inlineStr">
        <is>
          <t>E 11 - D 08</t>
        </is>
      </c>
      <c r="M260" s="39" t="n">
        <v>60400</v>
      </c>
      <c r="N260" s="39" t="n">
        <v>60400</v>
      </c>
      <c r="S260" s="39" t="n"/>
      <c r="T260" s="39" t="n"/>
      <c r="Y260" s="39" t="n"/>
      <c r="Z260" s="39" t="n"/>
      <c r="AA260" t="inlineStr">
        <is>
          <t>ANDEAN AYNI TRAVEL AGENCIA DE VIAJES Y TRANSPORTE EIRL</t>
        </is>
      </c>
      <c r="AB260" t="inlineStr">
        <is>
          <t>20610697403</t>
        </is>
      </c>
      <c r="AC260" t="inlineStr">
        <is>
          <t>JR. DANTE NAVA NRO. 310 BAR. NUEVA UNVERSIDAD</t>
        </is>
      </c>
      <c r="AD260" t="n">
        <v>0</v>
      </c>
      <c r="AE260" t="inlineStr">
        <is>
          <t>951923088</t>
        </is>
      </c>
      <c r="AF260" t="inlineStr">
        <is>
          <t>operacionesjudith@gmail.com</t>
        </is>
      </c>
      <c r="AG260" t="inlineStr">
        <is>
          <t>PUNO</t>
        </is>
      </c>
      <c r="AH260" t="inlineStr">
        <is>
          <t>PUNO</t>
        </is>
      </c>
      <c r="AI260" s="75" t="n">
        <v>46129</v>
      </c>
      <c r="AJ260" s="75" t="n">
        <v>46171</v>
      </c>
      <c r="AK260" t="inlineStr">
        <is>
          <t>SALDO FINANCIAR</t>
        </is>
      </c>
      <c r="AL260" t="n">
        <v>5</v>
      </c>
      <c r="AM260" t="n">
        <v>66057.14</v>
      </c>
      <c r="AN260" t="n">
        <v>0</v>
      </c>
      <c r="AO260" t="n">
        <v>0</v>
      </c>
      <c r="AP260" s="39" t="n">
        <v>66057.14</v>
      </c>
      <c r="AQ260" s="39" t="n">
        <v>66057.14</v>
      </c>
      <c r="AR260" s="39" t="n">
        <v>0</v>
      </c>
      <c r="AS260" t="n">
        <v>0</v>
      </c>
      <c r="AT260" t="inlineStr">
        <is>
          <t>Crédito Directo</t>
        </is>
      </c>
      <c r="AU260" t="inlineStr">
        <is>
          <t>Scotiabank Perú</t>
        </is>
      </c>
      <c r="AV260" t="inlineStr">
        <is>
          <t>000-2768484</t>
        </is>
      </c>
      <c r="AW260" t="inlineStr">
        <is>
          <t>TRANSFERENCIA BANCARIA</t>
        </is>
      </c>
      <c r="AY260" t="inlineStr">
        <is>
          <t>0756802</t>
        </is>
      </c>
      <c r="AZ260" t="inlineStr">
        <is>
          <t>Si</t>
        </is>
      </c>
      <c r="BB260" t="n">
        <v>3.38</v>
      </c>
      <c r="BC260" t="inlineStr">
        <is>
          <t>CANCELADO</t>
        </is>
      </c>
      <c r="BN260" t="inlineStr">
        <is>
          <t>No</t>
        </is>
      </c>
      <c r="BO260" s="76" t="n">
        <v>45985.73819444444</v>
      </c>
      <c r="BP260" t="inlineStr">
        <is>
          <t>Magaly Guevara Perez</t>
        </is>
      </c>
      <c r="BR260" t="n">
        <v>28</v>
      </c>
      <c r="BS260" t="inlineStr">
        <is>
          <t>09/06/2026 09:51</t>
        </is>
      </c>
      <c r="BW260" t="inlineStr">
        <is>
          <t>Cobranzas_2026.csv</t>
        </is>
      </c>
      <c r="BX260" t="n">
        <v>2026</v>
      </c>
      <c r="BY260" t="inlineStr">
        <is>
          <t>01/01/2024</t>
        </is>
      </c>
      <c r="BZ260" t="inlineStr">
        <is>
          <t>30/06/2031</t>
        </is>
      </c>
    </row>
    <row r="261">
      <c r="A261" t="inlineStr">
        <is>
          <t>RESIDENCIAL PRADA</t>
        </is>
      </c>
      <c r="B261" t="inlineStr">
        <is>
          <t>Etapa 1</t>
        </is>
      </c>
      <c r="C261" t="inlineStr">
        <is>
          <t>Edificio</t>
        </is>
      </c>
      <c r="D261" t="inlineStr">
        <is>
          <t>A</t>
        </is>
      </c>
      <c r="E261" t="inlineStr">
        <is>
          <t>Departamento</t>
        </is>
      </c>
      <c r="F261" t="inlineStr">
        <is>
          <t>1003</t>
        </is>
      </c>
      <c r="G261" s="39" t="n">
        <v>675000</v>
      </c>
      <c r="H261" s="39" t="n">
        <v>675000</v>
      </c>
      <c r="I261" t="inlineStr">
        <is>
          <t>Edificio</t>
        </is>
      </c>
      <c r="J261" t="inlineStr">
        <is>
          <t>A</t>
        </is>
      </c>
      <c r="K261" t="inlineStr">
        <is>
          <t>Estacionamiento</t>
        </is>
      </c>
      <c r="L261" t="inlineStr">
        <is>
          <t>E 11 - D 08</t>
        </is>
      </c>
      <c r="M261" s="39" t="n">
        <v>60400</v>
      </c>
      <c r="N261" s="39" t="n">
        <v>60400</v>
      </c>
      <c r="S261" s="39" t="n"/>
      <c r="T261" s="39" t="n"/>
      <c r="Y261" s="39" t="n"/>
      <c r="Z261" s="39" t="n"/>
      <c r="AA261" t="inlineStr">
        <is>
          <t>ANDEAN AYNI TRAVEL AGENCIA DE VIAJES Y TRANSPORTE EIRL</t>
        </is>
      </c>
      <c r="AB261" t="inlineStr">
        <is>
          <t>20610697403</t>
        </is>
      </c>
      <c r="AC261" t="inlineStr">
        <is>
          <t>JR. DANTE NAVA NRO. 310 BAR. NUEVA UNVERSIDAD</t>
        </is>
      </c>
      <c r="AD261" t="n">
        <v>0</v>
      </c>
      <c r="AE261" t="inlineStr">
        <is>
          <t>951923088</t>
        </is>
      </c>
      <c r="AF261" t="inlineStr">
        <is>
          <t>operacionesjudith@gmail.com</t>
        </is>
      </c>
      <c r="AG261" t="inlineStr">
        <is>
          <t>PUNO</t>
        </is>
      </c>
      <c r="AH261" t="inlineStr">
        <is>
          <t>PUNO</t>
        </is>
      </c>
      <c r="AI261" s="75" t="n">
        <v>46159</v>
      </c>
      <c r="AJ261" s="75" t="n">
        <v>46171</v>
      </c>
      <c r="AK261" t="inlineStr">
        <is>
          <t>SALDO FINANCIAR</t>
        </is>
      </c>
      <c r="AL261" t="n">
        <v>6</v>
      </c>
      <c r="AM261" t="n">
        <v>66057.14</v>
      </c>
      <c r="AN261" t="n">
        <v>0</v>
      </c>
      <c r="AO261" t="n">
        <v>0</v>
      </c>
      <c r="AP261" s="39" t="n">
        <v>66057.14</v>
      </c>
      <c r="AQ261" s="39" t="n">
        <v>66057.14</v>
      </c>
      <c r="AR261" s="39" t="n">
        <v>0</v>
      </c>
      <c r="AS261" t="n">
        <v>0</v>
      </c>
      <c r="AT261" t="inlineStr">
        <is>
          <t>Crédito Directo</t>
        </is>
      </c>
      <c r="AU261" t="inlineStr">
        <is>
          <t>Scotiabank Perú</t>
        </is>
      </c>
      <c r="AV261" t="inlineStr">
        <is>
          <t>000-2768484</t>
        </is>
      </c>
      <c r="AW261" t="inlineStr">
        <is>
          <t>TRANSFERENCIA BANCARIA</t>
        </is>
      </c>
      <c r="AY261" t="inlineStr">
        <is>
          <t>0756802</t>
        </is>
      </c>
      <c r="AZ261" t="inlineStr">
        <is>
          <t>Si</t>
        </is>
      </c>
      <c r="BB261" t="n">
        <v>3.38</v>
      </c>
      <c r="BC261" t="inlineStr">
        <is>
          <t>CANCELADO</t>
        </is>
      </c>
      <c r="BN261" t="inlineStr">
        <is>
          <t>No</t>
        </is>
      </c>
      <c r="BO261" s="76" t="n">
        <v>45985.73819444444</v>
      </c>
      <c r="BP261" t="inlineStr">
        <is>
          <t>Magaly Guevara Perez</t>
        </is>
      </c>
      <c r="BR261" t="n">
        <v>28</v>
      </c>
      <c r="BS261" t="inlineStr">
        <is>
          <t>09/06/2026 09:51</t>
        </is>
      </c>
      <c r="BW261" t="inlineStr">
        <is>
          <t>Cobranzas_2026.csv</t>
        </is>
      </c>
      <c r="BX261" t="n">
        <v>2026</v>
      </c>
      <c r="BY261" t="inlineStr">
        <is>
          <t>01/01/2024</t>
        </is>
      </c>
      <c r="BZ261" t="inlineStr">
        <is>
          <t>30/06/2031</t>
        </is>
      </c>
    </row>
    <row r="262">
      <c r="A262" t="inlineStr">
        <is>
          <t>RESIDENCIAL PRADA</t>
        </is>
      </c>
      <c r="B262" t="inlineStr">
        <is>
          <t>Etapa 1</t>
        </is>
      </c>
      <c r="C262" t="inlineStr">
        <is>
          <t>Edificio</t>
        </is>
      </c>
      <c r="D262" t="inlineStr">
        <is>
          <t>A</t>
        </is>
      </c>
      <c r="E262" t="inlineStr">
        <is>
          <t>Departamento</t>
        </is>
      </c>
      <c r="F262" t="inlineStr">
        <is>
          <t>1003</t>
        </is>
      </c>
      <c r="G262" s="39" t="n">
        <v>675000</v>
      </c>
      <c r="H262" s="39" t="n">
        <v>675000</v>
      </c>
      <c r="I262" t="inlineStr">
        <is>
          <t>Edificio</t>
        </is>
      </c>
      <c r="J262" t="inlineStr">
        <is>
          <t>A</t>
        </is>
      </c>
      <c r="K262" t="inlineStr">
        <is>
          <t>Estacionamiento</t>
        </is>
      </c>
      <c r="L262" t="inlineStr">
        <is>
          <t>E 11 - D 08</t>
        </is>
      </c>
      <c r="M262" s="39" t="n">
        <v>60400</v>
      </c>
      <c r="N262" s="39" t="n">
        <v>60400</v>
      </c>
      <c r="S262" s="39" t="n"/>
      <c r="T262" s="39" t="n"/>
      <c r="Y262" s="39" t="n"/>
      <c r="Z262" s="39" t="n"/>
      <c r="AA262" t="inlineStr">
        <is>
          <t>ANDEAN AYNI TRAVEL AGENCIA DE VIAJES Y TRANSPORTE EIRL</t>
        </is>
      </c>
      <c r="AB262" t="inlineStr">
        <is>
          <t>20610697403</t>
        </is>
      </c>
      <c r="AC262" t="inlineStr">
        <is>
          <t>JR. DANTE NAVA NRO. 310 BAR. NUEVA UNVERSIDAD</t>
        </is>
      </c>
      <c r="AD262" t="n">
        <v>0</v>
      </c>
      <c r="AE262" t="inlineStr">
        <is>
          <t>951923088</t>
        </is>
      </c>
      <c r="AF262" t="inlineStr">
        <is>
          <t>operacionesjudith@gmail.com</t>
        </is>
      </c>
      <c r="AG262" t="inlineStr">
        <is>
          <t>PUNO</t>
        </is>
      </c>
      <c r="AH262" t="inlineStr">
        <is>
          <t>PUNO</t>
        </is>
      </c>
      <c r="AI262" s="75" t="n">
        <v>46190</v>
      </c>
      <c r="AJ262" s="75" t="n">
        <v>46171</v>
      </c>
      <c r="AK262" t="inlineStr">
        <is>
          <t>SALDO FINANCIAR</t>
        </is>
      </c>
      <c r="AL262" t="n">
        <v>7</v>
      </c>
      <c r="AM262" t="n">
        <v>66057.16</v>
      </c>
      <c r="AN262" t="n">
        <v>0</v>
      </c>
      <c r="AO262" t="n">
        <v>0</v>
      </c>
      <c r="AP262" s="39" t="n">
        <v>66057.16</v>
      </c>
      <c r="AQ262" s="39" t="n">
        <v>66057.14</v>
      </c>
      <c r="AR262" s="39" t="n">
        <v>0</v>
      </c>
      <c r="AS262" t="n">
        <v>0</v>
      </c>
      <c r="AT262" t="inlineStr">
        <is>
          <t>Crédito Directo</t>
        </is>
      </c>
      <c r="AU262" t="inlineStr">
        <is>
          <t>Scotiabank Perú</t>
        </is>
      </c>
      <c r="AV262" t="inlineStr">
        <is>
          <t>000-2768484</t>
        </is>
      </c>
      <c r="AW262" t="inlineStr">
        <is>
          <t>TRANSFERENCIA BANCARIA</t>
        </is>
      </c>
      <c r="AY262" t="inlineStr">
        <is>
          <t>0756802</t>
        </is>
      </c>
      <c r="AZ262" t="inlineStr">
        <is>
          <t>Si</t>
        </is>
      </c>
      <c r="BB262" t="n">
        <v>3.38</v>
      </c>
      <c r="BC262" t="inlineStr">
        <is>
          <t>CANCELADO</t>
        </is>
      </c>
      <c r="BN262" t="inlineStr">
        <is>
          <t>No</t>
        </is>
      </c>
      <c r="BO262" s="76" t="n">
        <v>45985.73819444444</v>
      </c>
      <c r="BP262" t="inlineStr">
        <is>
          <t>Magaly Guevara Perez</t>
        </is>
      </c>
      <c r="BR262" t="n">
        <v>28</v>
      </c>
      <c r="BS262" t="inlineStr">
        <is>
          <t>09/06/2026 09:51</t>
        </is>
      </c>
      <c r="BW262" t="inlineStr">
        <is>
          <t>Cobranzas_2026.csv</t>
        </is>
      </c>
      <c r="BX262" t="n">
        <v>2026</v>
      </c>
      <c r="BY262" t="inlineStr">
        <is>
          <t>01/01/2024</t>
        </is>
      </c>
      <c r="BZ262" t="inlineStr">
        <is>
          <t>30/06/2031</t>
        </is>
      </c>
    </row>
    <row r="263">
      <c r="A263" t="inlineStr">
        <is>
          <t>RESIDENCIAL PRADA</t>
        </is>
      </c>
      <c r="B263" t="inlineStr">
        <is>
          <t>Etapa 1</t>
        </is>
      </c>
      <c r="C263" t="inlineStr">
        <is>
          <t>Edificio</t>
        </is>
      </c>
      <c r="D263" t="inlineStr">
        <is>
          <t>A</t>
        </is>
      </c>
      <c r="E263" t="inlineStr">
        <is>
          <t>Departamento</t>
        </is>
      </c>
      <c r="F263" t="inlineStr">
        <is>
          <t>1105</t>
        </is>
      </c>
      <c r="G263" s="39" t="n">
        <v>429000</v>
      </c>
      <c r="H263" s="39" t="n">
        <v>429000</v>
      </c>
      <c r="M263" s="39" t="n"/>
      <c r="N263" s="39" t="n"/>
      <c r="S263" s="39" t="n"/>
      <c r="T263" s="39" t="n"/>
      <c r="Y263" s="39" t="n"/>
      <c r="Z263" s="39" t="n"/>
      <c r="AA263" t="inlineStr">
        <is>
          <t xml:space="preserve">CARLOS ENRIQUE MORANTE ARROYO </t>
        </is>
      </c>
      <c r="AB263" t="inlineStr">
        <is>
          <t>74307522</t>
        </is>
      </c>
      <c r="AC263" t="inlineStr">
        <is>
          <t xml:space="preserve">JR. DANIEL ALCIDES CARRION 570, INT. 15 – MAGDALENA DEL MAR </t>
        </is>
      </c>
      <c r="AD263" t="n">
        <v>921881457</v>
      </c>
      <c r="AE263" t="inlineStr">
        <is>
          <t>921881457</t>
        </is>
      </c>
      <c r="AF263" t="inlineStr">
        <is>
          <t>cmorantea@uni.pe</t>
        </is>
      </c>
      <c r="AG263" t="inlineStr">
        <is>
          <t>LIMA</t>
        </is>
      </c>
      <c r="AH263" t="inlineStr">
        <is>
          <t>MAGDALENA DEL MAR</t>
        </is>
      </c>
      <c r="AI263" s="75" t="n">
        <v>46103</v>
      </c>
      <c r="AJ263" s="75" t="n">
        <v>46103</v>
      </c>
      <c r="AK263" t="inlineStr">
        <is>
          <t>SEPARACION</t>
        </is>
      </c>
      <c r="AL263" t="n">
        <v>1</v>
      </c>
      <c r="AM263" t="n">
        <v>3000</v>
      </c>
      <c r="AN263" t="n">
        <v>0</v>
      </c>
      <c r="AO263" t="n">
        <v>0</v>
      </c>
      <c r="AP263" s="39" t="n">
        <v>3000</v>
      </c>
      <c r="AQ263" s="39" t="n">
        <v>3000</v>
      </c>
      <c r="AR263" s="39" t="n">
        <v>0</v>
      </c>
      <c r="AS263" t="n">
        <v>0</v>
      </c>
      <c r="AT263" t="inlineStr">
        <is>
          <t>Crédito Hipotecario</t>
        </is>
      </c>
      <c r="AU263" t="inlineStr">
        <is>
          <t>Scotiabank Perú</t>
        </is>
      </c>
      <c r="AV263" t="inlineStr">
        <is>
          <t>000-2768484</t>
        </is>
      </c>
      <c r="AW263" t="inlineStr">
        <is>
          <t>TRANSFERENCIA BANCARIA</t>
        </is>
      </c>
      <c r="AY263" t="inlineStr">
        <is>
          <t>00000089000000091</t>
        </is>
      </c>
      <c r="AZ263" t="inlineStr">
        <is>
          <t>No</t>
        </is>
      </c>
      <c r="BB263" t="n">
        <v>4</v>
      </c>
      <c r="BC263" t="inlineStr">
        <is>
          <t>CANCELADO</t>
        </is>
      </c>
      <c r="BN263" t="inlineStr">
        <is>
          <t>Si</t>
        </is>
      </c>
      <c r="BO263" s="76" t="n">
        <v>46122.60069444445</v>
      </c>
      <c r="BP263" t="inlineStr">
        <is>
          <t>Kenny Salazar S</t>
        </is>
      </c>
      <c r="BR263" t="n">
        <v>49</v>
      </c>
      <c r="BS263" t="inlineStr">
        <is>
          <t>03/06/2026 15:51</t>
        </is>
      </c>
      <c r="BW263" t="inlineStr">
        <is>
          <t>Cobranzas_2026.csv</t>
        </is>
      </c>
      <c r="BX263" t="n">
        <v>2026</v>
      </c>
      <c r="BY263" t="inlineStr">
        <is>
          <t>01/01/2024</t>
        </is>
      </c>
      <c r="BZ263" t="inlineStr">
        <is>
          <t>30/06/2031</t>
        </is>
      </c>
    </row>
    <row r="264">
      <c r="A264" t="inlineStr">
        <is>
          <t>RESIDENCIAL PRADA</t>
        </is>
      </c>
      <c r="B264" t="inlineStr">
        <is>
          <t>Etapa 1</t>
        </is>
      </c>
      <c r="C264" t="inlineStr">
        <is>
          <t>Edificio</t>
        </is>
      </c>
      <c r="D264" t="inlineStr">
        <is>
          <t>A</t>
        </is>
      </c>
      <c r="E264" t="inlineStr">
        <is>
          <t>Departamento</t>
        </is>
      </c>
      <c r="F264" t="inlineStr">
        <is>
          <t>1105</t>
        </is>
      </c>
      <c r="G264" s="39" t="n">
        <v>429000</v>
      </c>
      <c r="H264" s="39" t="n">
        <v>429000</v>
      </c>
      <c r="M264" s="39" t="n"/>
      <c r="N264" s="39" t="n"/>
      <c r="S264" s="39" t="n"/>
      <c r="T264" s="39" t="n"/>
      <c r="Y264" s="39" t="n"/>
      <c r="Z264" s="39" t="n"/>
      <c r="AA264" t="inlineStr">
        <is>
          <t xml:space="preserve">CARLOS ENRIQUE MORANTE ARROYO </t>
        </is>
      </c>
      <c r="AB264" t="inlineStr">
        <is>
          <t>74307522</t>
        </is>
      </c>
      <c r="AC264" t="inlineStr">
        <is>
          <t xml:space="preserve">JR. DANIEL ALCIDES CARRION 570, INT. 15 – MAGDALENA DEL MAR </t>
        </is>
      </c>
      <c r="AD264" t="n">
        <v>921881457</v>
      </c>
      <c r="AE264" t="inlineStr">
        <is>
          <t>921881457</t>
        </is>
      </c>
      <c r="AF264" t="inlineStr">
        <is>
          <t>cmorantea@uni.pe</t>
        </is>
      </c>
      <c r="AG264" t="inlineStr">
        <is>
          <t>LIMA</t>
        </is>
      </c>
      <c r="AH264" t="inlineStr">
        <is>
          <t>MAGDALENA DEL MAR</t>
        </is>
      </c>
      <c r="AI264" s="75" t="n">
        <v>46122</v>
      </c>
      <c r="AJ264" s="75" t="n">
        <v>46122</v>
      </c>
      <c r="AK264" t="inlineStr">
        <is>
          <t>CUOTA INICIAL</t>
        </is>
      </c>
      <c r="AL264" t="n">
        <v>1</v>
      </c>
      <c r="AM264" t="n">
        <v>0</v>
      </c>
      <c r="AN264" t="n">
        <v>0</v>
      </c>
      <c r="AO264" t="n">
        <v>0</v>
      </c>
      <c r="AP264" s="39" t="n">
        <v>39900</v>
      </c>
      <c r="AQ264" s="39" t="n">
        <v>30000</v>
      </c>
      <c r="AR264" s="39" t="n">
        <v>0</v>
      </c>
      <c r="AS264" t="n">
        <v>0</v>
      </c>
      <c r="AT264" t="inlineStr">
        <is>
          <t>Crédito Hipotecario</t>
        </is>
      </c>
      <c r="AU264" t="inlineStr">
        <is>
          <t>Scotiabank Perú</t>
        </is>
      </c>
      <c r="AV264" t="inlineStr">
        <is>
          <t>000-2768484</t>
        </is>
      </c>
      <c r="AW264" t="inlineStr">
        <is>
          <t>TRANSFERENCIA BANCARIA</t>
        </is>
      </c>
      <c r="AX264" t="n">
        <v>74307522</v>
      </c>
      <c r="AY264" t="inlineStr">
        <is>
          <t>023801</t>
        </is>
      </c>
      <c r="AZ264" t="inlineStr">
        <is>
          <t>No</t>
        </is>
      </c>
      <c r="BA264" t="inlineStr">
        <is>
          <t>NO PRECISA</t>
        </is>
      </c>
      <c r="BB264" t="n">
        <v>4</v>
      </c>
      <c r="BC264" t="inlineStr">
        <is>
          <t>CANCELADO</t>
        </is>
      </c>
      <c r="BN264" t="inlineStr">
        <is>
          <t>Si</t>
        </is>
      </c>
      <c r="BO264" s="76" t="n">
        <v>46122.60069444445</v>
      </c>
      <c r="BP264" t="inlineStr">
        <is>
          <t>Kenny Salazar S</t>
        </is>
      </c>
      <c r="BR264" t="n">
        <v>49</v>
      </c>
      <c r="BS264" t="inlineStr">
        <is>
          <t>05/06/2026 15:32</t>
        </is>
      </c>
      <c r="BW264" t="inlineStr">
        <is>
          <t>Cobranzas_2026.csv</t>
        </is>
      </c>
      <c r="BX264" t="n">
        <v>2026</v>
      </c>
      <c r="BY264" t="inlineStr">
        <is>
          <t>01/01/2024</t>
        </is>
      </c>
      <c r="BZ264" t="inlineStr">
        <is>
          <t>30/06/2031</t>
        </is>
      </c>
    </row>
    <row r="265">
      <c r="A265" t="inlineStr">
        <is>
          <t>RESIDENCIAL PRADA</t>
        </is>
      </c>
      <c r="B265" t="inlineStr">
        <is>
          <t>Etapa 1</t>
        </is>
      </c>
      <c r="C265" t="inlineStr">
        <is>
          <t>Edificio</t>
        </is>
      </c>
      <c r="D265" t="inlineStr">
        <is>
          <t>A</t>
        </is>
      </c>
      <c r="E265" t="inlineStr">
        <is>
          <t>Departamento</t>
        </is>
      </c>
      <c r="F265" t="inlineStr">
        <is>
          <t>1105</t>
        </is>
      </c>
      <c r="G265" s="39" t="n">
        <v>429000</v>
      </c>
      <c r="H265" s="39" t="n">
        <v>429000</v>
      </c>
      <c r="M265" s="39" t="n"/>
      <c r="N265" s="39" t="n"/>
      <c r="S265" s="39" t="n"/>
      <c r="T265" s="39" t="n"/>
      <c r="Y265" s="39" t="n"/>
      <c r="Z265" s="39" t="n"/>
      <c r="AA265" t="inlineStr">
        <is>
          <t xml:space="preserve">CARLOS ENRIQUE MORANTE ARROYO </t>
        </is>
      </c>
      <c r="AB265" t="inlineStr">
        <is>
          <t>74307522</t>
        </is>
      </c>
      <c r="AC265" t="inlineStr">
        <is>
          <t xml:space="preserve">JR. DANIEL ALCIDES CARRION 570, INT. 15 – MAGDALENA DEL MAR </t>
        </is>
      </c>
      <c r="AD265" t="n">
        <v>921881457</v>
      </c>
      <c r="AE265" t="inlineStr">
        <is>
          <t>921881457</t>
        </is>
      </c>
      <c r="AF265" t="inlineStr">
        <is>
          <t>cmorantea@uni.pe</t>
        </is>
      </c>
      <c r="AG265" t="inlineStr">
        <is>
          <t>LIMA</t>
        </is>
      </c>
      <c r="AH265" t="inlineStr">
        <is>
          <t>MAGDALENA DEL MAR</t>
        </is>
      </c>
      <c r="AI265" s="75" t="n">
        <v>46122</v>
      </c>
      <c r="AJ265" s="75" t="n">
        <v>46122</v>
      </c>
      <c r="AK265" t="inlineStr">
        <is>
          <t>CUOTA INICIAL</t>
        </is>
      </c>
      <c r="AL265" t="n">
        <v>1</v>
      </c>
      <c r="AM265" t="n">
        <v>39900</v>
      </c>
      <c r="AN265" t="n">
        <v>0</v>
      </c>
      <c r="AO265" t="n">
        <v>0</v>
      </c>
      <c r="AP265" s="39" t="n">
        <v>0</v>
      </c>
      <c r="AQ265" s="39" t="n">
        <v>9900</v>
      </c>
      <c r="AR265" s="39" t="n">
        <v>0</v>
      </c>
      <c r="AS265" t="n">
        <v>0</v>
      </c>
      <c r="AT265" t="inlineStr">
        <is>
          <t>Crédito Hipotecario</t>
        </is>
      </c>
      <c r="AU265" t="inlineStr">
        <is>
          <t>Scotiabank Perú</t>
        </is>
      </c>
      <c r="AV265" t="inlineStr">
        <is>
          <t>000-2768484</t>
        </is>
      </c>
      <c r="AW265" t="inlineStr">
        <is>
          <t>TRANSFERENCIA BANCARIA</t>
        </is>
      </c>
      <c r="AX265" t="n">
        <v>74307522</v>
      </c>
      <c r="AY265" t="inlineStr">
        <is>
          <t>00005827000000000</t>
        </is>
      </c>
      <c r="AZ265" t="inlineStr">
        <is>
          <t>No</t>
        </is>
      </c>
      <c r="BA265" t="inlineStr">
        <is>
          <t>NO PRECISA</t>
        </is>
      </c>
      <c r="BB265" t="n">
        <v>4</v>
      </c>
      <c r="BC265" t="inlineStr">
        <is>
          <t>CANCELADO</t>
        </is>
      </c>
      <c r="BN265" t="inlineStr">
        <is>
          <t>Si</t>
        </is>
      </c>
      <c r="BO265" s="76" t="n">
        <v>46122.60069444445</v>
      </c>
      <c r="BP265" t="inlineStr">
        <is>
          <t>Kenny Salazar S</t>
        </is>
      </c>
      <c r="BR265" t="n">
        <v>49</v>
      </c>
      <c r="BS265" t="inlineStr">
        <is>
          <t>05/06/2026 15:34</t>
        </is>
      </c>
      <c r="BW265" t="inlineStr">
        <is>
          <t>Cobranzas_2026.csv</t>
        </is>
      </c>
      <c r="BX265" t="n">
        <v>2026</v>
      </c>
      <c r="BY265" t="inlineStr">
        <is>
          <t>01/01/2024</t>
        </is>
      </c>
      <c r="BZ265" t="inlineStr">
        <is>
          <t>30/06/2031</t>
        </is>
      </c>
    </row>
    <row r="266">
      <c r="A266" t="inlineStr">
        <is>
          <t>RESIDENCIAL PRADA</t>
        </is>
      </c>
      <c r="B266" t="inlineStr">
        <is>
          <t>Etapa 1</t>
        </is>
      </c>
      <c r="C266" t="inlineStr">
        <is>
          <t>Edificio</t>
        </is>
      </c>
      <c r="D266" t="inlineStr">
        <is>
          <t>A</t>
        </is>
      </c>
      <c r="E266" t="inlineStr">
        <is>
          <t>Departamento</t>
        </is>
      </c>
      <c r="F266" t="inlineStr">
        <is>
          <t>1105</t>
        </is>
      </c>
      <c r="G266" s="39" t="n">
        <v>429000</v>
      </c>
      <c r="H266" s="39" t="n">
        <v>429000</v>
      </c>
      <c r="M266" s="39" t="n"/>
      <c r="N266" s="39" t="n"/>
      <c r="S266" s="39" t="n"/>
      <c r="T266" s="39" t="n"/>
      <c r="Y266" s="39" t="n"/>
      <c r="Z266" s="39" t="n"/>
      <c r="AA266" t="inlineStr">
        <is>
          <t xml:space="preserve">CARLOS ENRIQUE MORANTE ARROYO </t>
        </is>
      </c>
      <c r="AB266" t="inlineStr">
        <is>
          <t>74307522</t>
        </is>
      </c>
      <c r="AC266" t="inlineStr">
        <is>
          <t xml:space="preserve">JR. DANIEL ALCIDES CARRION 570, INT. 15 – MAGDALENA DEL MAR </t>
        </is>
      </c>
      <c r="AD266" t="n">
        <v>921881457</v>
      </c>
      <c r="AE266" t="inlineStr">
        <is>
          <t>921881457</t>
        </is>
      </c>
      <c r="AF266" t="inlineStr">
        <is>
          <t>cmorantea@uni.pe</t>
        </is>
      </c>
      <c r="AG266" t="inlineStr">
        <is>
          <t>LIMA</t>
        </is>
      </c>
      <c r="AH266" t="inlineStr">
        <is>
          <t>MAGDALENA DEL MAR</t>
        </is>
      </c>
      <c r="AI266" s="75" t="n">
        <v>46203</v>
      </c>
      <c r="AJ266" s="75" t="n">
        <v>46172</v>
      </c>
      <c r="AK266" t="inlineStr">
        <is>
          <t>SALDO FINANCIAR</t>
        </is>
      </c>
      <c r="AL266" t="n">
        <v>1</v>
      </c>
      <c r="AM266" t="n">
        <v>386100</v>
      </c>
      <c r="AN266" t="n">
        <v>0</v>
      </c>
      <c r="AO266" t="n">
        <v>0</v>
      </c>
      <c r="AP266" s="39" t="n">
        <v>386100</v>
      </c>
      <c r="AQ266" s="39" t="n">
        <v>386100</v>
      </c>
      <c r="AR266" s="39" t="n">
        <v>0</v>
      </c>
      <c r="AS266" t="n">
        <v>0</v>
      </c>
      <c r="AT266" t="inlineStr">
        <is>
          <t>Crédito Hipotecario</t>
        </is>
      </c>
      <c r="AU266" t="inlineStr">
        <is>
          <t>Scotiabank Perú</t>
        </is>
      </c>
      <c r="AV266" t="inlineStr">
        <is>
          <t>000-2768484</t>
        </is>
      </c>
      <c r="AW266" t="inlineStr">
        <is>
          <t>TRANSFERENCIA BANCARIA</t>
        </is>
      </c>
      <c r="AX266" t="n">
        <v>74307522</v>
      </c>
      <c r="AY266" t="inlineStr">
        <is>
          <t>0270800070</t>
        </is>
      </c>
      <c r="AZ266" t="inlineStr">
        <is>
          <t>No</t>
        </is>
      </c>
      <c r="BA266" t="inlineStr">
        <is>
          <t>NO PRECISA</t>
        </is>
      </c>
      <c r="BB266" t="n">
        <v>4</v>
      </c>
      <c r="BC266" t="inlineStr">
        <is>
          <t>CANCELADO</t>
        </is>
      </c>
      <c r="BN266" t="inlineStr">
        <is>
          <t>Si</t>
        </is>
      </c>
      <c r="BO266" s="76" t="n">
        <v>46122.60069444445</v>
      </c>
      <c r="BP266" t="inlineStr">
        <is>
          <t>Kenny Salazar S</t>
        </is>
      </c>
      <c r="BR266" t="n">
        <v>49</v>
      </c>
      <c r="BS266" t="inlineStr">
        <is>
          <t>05/06/2026 15:37</t>
        </is>
      </c>
      <c r="BW266" t="inlineStr">
        <is>
          <t>Cobranzas_2026.csv</t>
        </is>
      </c>
      <c r="BX266" t="n">
        <v>2026</v>
      </c>
      <c r="BY266" t="inlineStr">
        <is>
          <t>01/01/2024</t>
        </is>
      </c>
      <c r="BZ266" t="inlineStr">
        <is>
          <t>30/06/2031</t>
        </is>
      </c>
    </row>
    <row r="267">
      <c r="A267" t="inlineStr">
        <is>
          <t>RESIDENCIAL VENECIA</t>
        </is>
      </c>
      <c r="B267" t="inlineStr">
        <is>
          <t>Etapa 1</t>
        </is>
      </c>
      <c r="C267" t="inlineStr">
        <is>
          <t>Edificio</t>
        </is>
      </c>
      <c r="D267" t="inlineStr">
        <is>
          <t>A</t>
        </is>
      </c>
      <c r="E267" t="inlineStr">
        <is>
          <t>Departamento</t>
        </is>
      </c>
      <c r="F267" t="inlineStr">
        <is>
          <t>204</t>
        </is>
      </c>
      <c r="G267" s="39" t="n">
        <v>483000</v>
      </c>
      <c r="H267" s="39" t="n">
        <v>443000</v>
      </c>
      <c r="I267" t="inlineStr">
        <is>
          <t>Edificio</t>
        </is>
      </c>
      <c r="J267" t="inlineStr">
        <is>
          <t>A</t>
        </is>
      </c>
      <c r="K267" t="inlineStr">
        <is>
          <t>Estacionamiento</t>
        </is>
      </c>
      <c r="L267" t="inlineStr">
        <is>
          <t>E 14 - D 4</t>
        </is>
      </c>
      <c r="M267" s="39" t="n">
        <v>42800</v>
      </c>
      <c r="N267" s="39" t="n">
        <v>42800</v>
      </c>
      <c r="S267" s="39" t="n"/>
      <c r="T267" s="39" t="n"/>
      <c r="Y267" s="39" t="n"/>
      <c r="Z267" s="39" t="n"/>
      <c r="AA267" t="inlineStr">
        <is>
          <t>Carlos La Cruz Crespo</t>
        </is>
      </c>
      <c r="AB267" t="inlineStr">
        <is>
          <t>09022488</t>
        </is>
      </c>
      <c r="AC267" t="inlineStr">
        <is>
          <t>comas</t>
        </is>
      </c>
      <c r="AD267" t="n">
        <v>0</v>
      </c>
      <c r="AE267" t="inlineStr">
        <is>
          <t>997009340</t>
        </is>
      </c>
      <c r="AF267" t="inlineStr">
        <is>
          <t>carlos.14lacruz@gmail.com</t>
        </is>
      </c>
      <c r="AG267" t="inlineStr">
        <is>
          <t>LIMA</t>
        </is>
      </c>
      <c r="AH267" t="inlineStr">
        <is>
          <t>COMAS</t>
        </is>
      </c>
      <c r="AI267" s="75" t="n">
        <v>46024</v>
      </c>
      <c r="AJ267" s="75" t="n">
        <v>46027</v>
      </c>
      <c r="AK267" t="inlineStr">
        <is>
          <t>SALDO FINANCIAR</t>
        </is>
      </c>
      <c r="AL267" t="n">
        <v>1</v>
      </c>
      <c r="AM267" t="n">
        <v>70000</v>
      </c>
      <c r="AN267" t="n">
        <v>0</v>
      </c>
      <c r="AO267" t="n">
        <v>0</v>
      </c>
      <c r="AP267" s="39" t="n">
        <v>70000</v>
      </c>
      <c r="AQ267" s="39" t="n">
        <v>70000</v>
      </c>
      <c r="AR267" s="39" t="n">
        <v>0</v>
      </c>
      <c r="AS267" t="n">
        <v>0</v>
      </c>
      <c r="AT267" t="inlineStr">
        <is>
          <t>Crédito Directo</t>
        </is>
      </c>
      <c r="AU267" t="inlineStr">
        <is>
          <t>Scotiabank Perú</t>
        </is>
      </c>
      <c r="AV267" t="inlineStr">
        <is>
          <t>0004071419</t>
        </is>
      </c>
      <c r="AW267" t="inlineStr">
        <is>
          <t>TRANSFERENCIA BANCARIA</t>
        </is>
      </c>
      <c r="AY267" t="inlineStr">
        <is>
          <t>001368634</t>
        </is>
      </c>
      <c r="AZ267" t="inlineStr">
        <is>
          <t>No</t>
        </is>
      </c>
      <c r="BB267" t="n">
        <v>4</v>
      </c>
      <c r="BC267" t="inlineStr">
        <is>
          <t>CANCELADO</t>
        </is>
      </c>
      <c r="BN267" t="inlineStr">
        <is>
          <t>No</t>
        </is>
      </c>
      <c r="BO267" s="76" t="n">
        <v>45839.33541666667</v>
      </c>
      <c r="BP267" t="inlineStr">
        <is>
          <t>Magaly Guevara Perez</t>
        </is>
      </c>
      <c r="BR267" t="n">
        <v>2</v>
      </c>
      <c r="BS267" t="inlineStr">
        <is>
          <t>24/05/2026 15:10</t>
        </is>
      </c>
      <c r="BW267" t="inlineStr">
        <is>
          <t>Cobranzas_2026.csv</t>
        </is>
      </c>
      <c r="BX267" t="n">
        <v>2026</v>
      </c>
      <c r="BY267" t="inlineStr">
        <is>
          <t>01/01/2024</t>
        </is>
      </c>
      <c r="BZ267" t="inlineStr">
        <is>
          <t>30/06/2031</t>
        </is>
      </c>
    </row>
    <row r="268">
      <c r="A268" t="inlineStr">
        <is>
          <t>RESIDENCIAL VENECIA</t>
        </is>
      </c>
      <c r="B268" t="inlineStr">
        <is>
          <t>Etapa 1</t>
        </is>
      </c>
      <c r="C268" t="inlineStr">
        <is>
          <t>Edificio</t>
        </is>
      </c>
      <c r="D268" t="inlineStr">
        <is>
          <t>A</t>
        </is>
      </c>
      <c r="E268" t="inlineStr">
        <is>
          <t>Departamento</t>
        </is>
      </c>
      <c r="F268" t="inlineStr">
        <is>
          <t>204</t>
        </is>
      </c>
      <c r="G268" s="39" t="n">
        <v>483000</v>
      </c>
      <c r="H268" s="39" t="n">
        <v>443000</v>
      </c>
      <c r="I268" t="inlineStr">
        <is>
          <t>Edificio</t>
        </is>
      </c>
      <c r="J268" t="inlineStr">
        <is>
          <t>A</t>
        </is>
      </c>
      <c r="K268" t="inlineStr">
        <is>
          <t>Estacionamiento</t>
        </is>
      </c>
      <c r="L268" t="inlineStr">
        <is>
          <t>E 14 - D 4</t>
        </is>
      </c>
      <c r="M268" s="39" t="n">
        <v>42800</v>
      </c>
      <c r="N268" s="39" t="n">
        <v>42800</v>
      </c>
      <c r="S268" s="39" t="n"/>
      <c r="T268" s="39" t="n"/>
      <c r="Y268" s="39" t="n"/>
      <c r="Z268" s="39" t="n"/>
      <c r="AA268" t="inlineStr">
        <is>
          <t>Carlos La Cruz Crespo</t>
        </is>
      </c>
      <c r="AB268" t="inlineStr">
        <is>
          <t>09022488</t>
        </is>
      </c>
      <c r="AC268" t="inlineStr">
        <is>
          <t>comas</t>
        </is>
      </c>
      <c r="AD268" t="n">
        <v>0</v>
      </c>
      <c r="AE268" t="inlineStr">
        <is>
          <t>997009340</t>
        </is>
      </c>
      <c r="AF268" t="inlineStr">
        <is>
          <t>carlos.14lacruz@gmail.com</t>
        </is>
      </c>
      <c r="AG268" t="inlineStr">
        <is>
          <t>LIMA</t>
        </is>
      </c>
      <c r="AH268" t="inlineStr">
        <is>
          <t>COMAS</t>
        </is>
      </c>
      <c r="AI268" s="75" t="n">
        <v>46063</v>
      </c>
      <c r="AJ268" s="75" t="n">
        <v>46063</v>
      </c>
      <c r="AK268" t="inlineStr">
        <is>
          <t>SALDO FINANCIAR</t>
        </is>
      </c>
      <c r="AL268" t="n">
        <v>2</v>
      </c>
      <c r="AM268" t="n">
        <v>0</v>
      </c>
      <c r="AN268" t="n">
        <v>0</v>
      </c>
      <c r="AO268" t="n">
        <v>0</v>
      </c>
      <c r="AP268" s="39" t="n">
        <v>110740</v>
      </c>
      <c r="AQ268" s="39" t="n">
        <v>83000</v>
      </c>
      <c r="AR268" s="39" t="n">
        <v>0</v>
      </c>
      <c r="AS268" t="n">
        <v>0</v>
      </c>
      <c r="AT268" t="inlineStr">
        <is>
          <t>Crédito Directo</t>
        </is>
      </c>
      <c r="AU268" t="inlineStr">
        <is>
          <t>Scotiabank Perú</t>
        </is>
      </c>
      <c r="AV268" t="inlineStr">
        <is>
          <t>0004071419</t>
        </is>
      </c>
      <c r="AW268" t="inlineStr">
        <is>
          <t>TRANSFERENCIA BANCARIA</t>
        </is>
      </c>
      <c r="AY268" t="inlineStr">
        <is>
          <t>043339</t>
        </is>
      </c>
      <c r="AZ268" t="inlineStr">
        <is>
          <t>No</t>
        </is>
      </c>
      <c r="BB268" t="n">
        <v>4</v>
      </c>
      <c r="BC268" t="inlineStr">
        <is>
          <t>CANCELADO</t>
        </is>
      </c>
      <c r="BN268" t="inlineStr">
        <is>
          <t>No</t>
        </is>
      </c>
      <c r="BO268" s="76" t="n">
        <v>45839.33541666667</v>
      </c>
      <c r="BP268" t="inlineStr">
        <is>
          <t>Magaly Guevara Perez</t>
        </is>
      </c>
      <c r="BR268" t="n">
        <v>2</v>
      </c>
      <c r="BS268" t="inlineStr">
        <is>
          <t>11/06/2026 16:34</t>
        </is>
      </c>
      <c r="BW268" t="inlineStr">
        <is>
          <t>Cobranzas_2026.csv</t>
        </is>
      </c>
      <c r="BX268" t="n">
        <v>2026</v>
      </c>
      <c r="BY268" t="inlineStr">
        <is>
          <t>01/01/2024</t>
        </is>
      </c>
      <c r="BZ268" t="inlineStr">
        <is>
          <t>30/06/2031</t>
        </is>
      </c>
    </row>
    <row r="269">
      <c r="A269" t="inlineStr">
        <is>
          <t>RESIDENCIAL VENECIA</t>
        </is>
      </c>
      <c r="B269" t="inlineStr">
        <is>
          <t>Etapa 1</t>
        </is>
      </c>
      <c r="C269" t="inlineStr">
        <is>
          <t>Edificio</t>
        </is>
      </c>
      <c r="D269" t="inlineStr">
        <is>
          <t>A</t>
        </is>
      </c>
      <c r="E269" t="inlineStr">
        <is>
          <t>Departamento</t>
        </is>
      </c>
      <c r="F269" t="inlineStr">
        <is>
          <t>204</t>
        </is>
      </c>
      <c r="G269" s="39" t="n">
        <v>483000</v>
      </c>
      <c r="H269" s="39" t="n">
        <v>443000</v>
      </c>
      <c r="I269" t="inlineStr">
        <is>
          <t>Edificio</t>
        </is>
      </c>
      <c r="J269" t="inlineStr">
        <is>
          <t>A</t>
        </is>
      </c>
      <c r="K269" t="inlineStr">
        <is>
          <t>Estacionamiento</t>
        </is>
      </c>
      <c r="L269" t="inlineStr">
        <is>
          <t>E 14 - D 4</t>
        </is>
      </c>
      <c r="M269" s="39" t="n">
        <v>42800</v>
      </c>
      <c r="N269" s="39" t="n">
        <v>42800</v>
      </c>
      <c r="S269" s="39" t="n"/>
      <c r="T269" s="39" t="n"/>
      <c r="Y269" s="39" t="n"/>
      <c r="Z269" s="39" t="n"/>
      <c r="AA269" t="inlineStr">
        <is>
          <t>Carlos La Cruz Crespo</t>
        </is>
      </c>
      <c r="AB269" t="inlineStr">
        <is>
          <t>09022488</t>
        </is>
      </c>
      <c r="AC269" t="inlineStr">
        <is>
          <t>comas</t>
        </is>
      </c>
      <c r="AD269" t="n">
        <v>0</v>
      </c>
      <c r="AE269" t="inlineStr">
        <is>
          <t>997009340</t>
        </is>
      </c>
      <c r="AF269" t="inlineStr">
        <is>
          <t>carlos.14lacruz@gmail.com</t>
        </is>
      </c>
      <c r="AG269" t="inlineStr">
        <is>
          <t>LIMA</t>
        </is>
      </c>
      <c r="AH269" t="inlineStr">
        <is>
          <t>COMAS</t>
        </is>
      </c>
      <c r="AI269" s="75" t="n">
        <v>46063</v>
      </c>
      <c r="AJ269" s="75" t="n">
        <v>46167</v>
      </c>
      <c r="AK269" t="inlineStr">
        <is>
          <t>SALDO FINANCIAR</t>
        </is>
      </c>
      <c r="AL269" t="n">
        <v>2</v>
      </c>
      <c r="AM269" t="n">
        <v>110740</v>
      </c>
      <c r="AN269" t="n">
        <v>0</v>
      </c>
      <c r="AO269" t="n">
        <v>0</v>
      </c>
      <c r="AP269" s="39" t="n">
        <v>0</v>
      </c>
      <c r="AQ269" s="39" t="n">
        <v>27740</v>
      </c>
      <c r="AR269" s="39" t="n">
        <v>0</v>
      </c>
      <c r="AS269" t="n">
        <v>0</v>
      </c>
      <c r="AT269" t="inlineStr">
        <is>
          <t>Crédito Directo</t>
        </is>
      </c>
      <c r="AU269" t="inlineStr">
        <is>
          <t>Scotiabank Perú</t>
        </is>
      </c>
      <c r="AV269" t="inlineStr">
        <is>
          <t>0004071419</t>
        </is>
      </c>
      <c r="AW269" t="inlineStr">
        <is>
          <t>TRANSFERENCIA BANCARIA</t>
        </is>
      </c>
      <c r="AY269" t="inlineStr">
        <is>
          <t>034064</t>
        </is>
      </c>
      <c r="AZ269" t="inlineStr">
        <is>
          <t>Si</t>
        </is>
      </c>
      <c r="BB269" t="n">
        <v>4</v>
      </c>
      <c r="BC269" t="inlineStr">
        <is>
          <t>CANCELADO</t>
        </is>
      </c>
      <c r="BN269" t="inlineStr">
        <is>
          <t>No</t>
        </is>
      </c>
      <c r="BO269" s="76" t="n">
        <v>45839.33541666667</v>
      </c>
      <c r="BP269" t="inlineStr">
        <is>
          <t>Magaly Guevara Perez</t>
        </is>
      </c>
      <c r="BR269" t="n">
        <v>2</v>
      </c>
      <c r="BS269" t="inlineStr">
        <is>
          <t>12/06/2026 08:18</t>
        </is>
      </c>
      <c r="BW269" t="inlineStr">
        <is>
          <t>Cobranzas_2026.csv</t>
        </is>
      </c>
      <c r="BX269" t="n">
        <v>2026</v>
      </c>
      <c r="BY269" t="inlineStr">
        <is>
          <t>01/01/2024</t>
        </is>
      </c>
      <c r="BZ269" t="inlineStr">
        <is>
          <t>30/06/2031</t>
        </is>
      </c>
    </row>
    <row r="270">
      <c r="A270" t="inlineStr">
        <is>
          <t>RESIDENCIAL VENECIA</t>
        </is>
      </c>
      <c r="B270" t="inlineStr">
        <is>
          <t>Etapa 1</t>
        </is>
      </c>
      <c r="C270" t="inlineStr">
        <is>
          <t>Edificio</t>
        </is>
      </c>
      <c r="D270" t="inlineStr">
        <is>
          <t>A</t>
        </is>
      </c>
      <c r="E270" t="inlineStr">
        <is>
          <t>Departamento</t>
        </is>
      </c>
      <c r="F270" t="inlineStr">
        <is>
          <t>204</t>
        </is>
      </c>
      <c r="G270" s="39" t="n">
        <v>483000</v>
      </c>
      <c r="H270" s="39" t="n">
        <v>443000</v>
      </c>
      <c r="I270" t="inlineStr">
        <is>
          <t>Edificio</t>
        </is>
      </c>
      <c r="J270" t="inlineStr">
        <is>
          <t>A</t>
        </is>
      </c>
      <c r="K270" t="inlineStr">
        <is>
          <t>Estacionamiento</t>
        </is>
      </c>
      <c r="L270" t="inlineStr">
        <is>
          <t>E 14 - D 4</t>
        </is>
      </c>
      <c r="M270" s="39" t="n">
        <v>42800</v>
      </c>
      <c r="N270" s="39" t="n">
        <v>42800</v>
      </c>
      <c r="S270" s="39" t="n"/>
      <c r="T270" s="39" t="n"/>
      <c r="Y270" s="39" t="n"/>
      <c r="Z270" s="39" t="n"/>
      <c r="AA270" t="inlineStr">
        <is>
          <t>Carlos La Cruz Crespo</t>
        </is>
      </c>
      <c r="AB270" t="inlineStr">
        <is>
          <t>09022488</t>
        </is>
      </c>
      <c r="AC270" t="inlineStr">
        <is>
          <t>comas</t>
        </is>
      </c>
      <c r="AD270" t="n">
        <v>0</v>
      </c>
      <c r="AE270" t="inlineStr">
        <is>
          <t>997009340</t>
        </is>
      </c>
      <c r="AF270" t="inlineStr">
        <is>
          <t>carlos.14lacruz@gmail.com</t>
        </is>
      </c>
      <c r="AG270" t="inlineStr">
        <is>
          <t>LIMA</t>
        </is>
      </c>
      <c r="AH270" t="inlineStr">
        <is>
          <t>COMAS</t>
        </is>
      </c>
      <c r="AI270" s="75" t="n">
        <v>46214</v>
      </c>
      <c r="AJ270" s="75" t="n">
        <v>46167</v>
      </c>
      <c r="AK270" t="inlineStr">
        <is>
          <t>SALDO FINANCIAR</t>
        </is>
      </c>
      <c r="AL270" t="n">
        <v>3</v>
      </c>
      <c r="AM270" t="n">
        <v>110740</v>
      </c>
      <c r="AN270" t="n">
        <v>0</v>
      </c>
      <c r="AO270" t="n">
        <v>0</v>
      </c>
      <c r="AP270" s="39" t="n">
        <v>110740</v>
      </c>
      <c r="AQ270" s="39" t="n">
        <v>12260</v>
      </c>
      <c r="AR270" s="39" t="n">
        <v>98480</v>
      </c>
      <c r="AS270" t="n">
        <v>0</v>
      </c>
      <c r="AT270" t="inlineStr">
        <is>
          <t>Crédito Directo</t>
        </is>
      </c>
      <c r="AU270" t="inlineStr">
        <is>
          <t>Scotiabank Perú</t>
        </is>
      </c>
      <c r="AV270" t="inlineStr">
        <is>
          <t>0004071419</t>
        </is>
      </c>
      <c r="AW270" t="inlineStr">
        <is>
          <t>TRANSFERENCIA BANCARIA</t>
        </is>
      </c>
      <c r="AY270" t="inlineStr">
        <is>
          <t>034064</t>
        </is>
      </c>
      <c r="AZ270" t="inlineStr">
        <is>
          <t>Si</t>
        </is>
      </c>
      <c r="BB270" t="n">
        <v>4</v>
      </c>
      <c r="BC270" t="inlineStr">
        <is>
          <t>PENDIENTE - PARC. CANCELADO</t>
        </is>
      </c>
      <c r="BN270" t="inlineStr">
        <is>
          <t>No</t>
        </is>
      </c>
      <c r="BO270" s="76" t="n">
        <v>45839.33541666667</v>
      </c>
      <c r="BP270" t="inlineStr">
        <is>
          <t>Magaly Guevara Perez</t>
        </is>
      </c>
      <c r="BR270" t="n">
        <v>2</v>
      </c>
      <c r="BS270" t="inlineStr">
        <is>
          <t>12/06/2026 08:18</t>
        </is>
      </c>
      <c r="BW270" t="inlineStr">
        <is>
          <t>Cobranzas_2026.csv</t>
        </is>
      </c>
      <c r="BX270" t="n">
        <v>2026</v>
      </c>
      <c r="BY270" t="inlineStr">
        <is>
          <t>01/01/2024</t>
        </is>
      </c>
      <c r="BZ270" t="inlineStr">
        <is>
          <t>30/06/2031</t>
        </is>
      </c>
    </row>
    <row r="271">
      <c r="A271" t="inlineStr">
        <is>
          <t>RESIDENCIAL BEYOND</t>
        </is>
      </c>
      <c r="B271" t="inlineStr">
        <is>
          <t>Etapa 1</t>
        </is>
      </c>
      <c r="C271" t="inlineStr">
        <is>
          <t>Edificio</t>
        </is>
      </c>
      <c r="D271" t="inlineStr">
        <is>
          <t>A</t>
        </is>
      </c>
      <c r="E271" t="inlineStr">
        <is>
          <t>Departamento</t>
        </is>
      </c>
      <c r="F271" t="inlineStr">
        <is>
          <t>1503</t>
        </is>
      </c>
      <c r="G271" s="39" t="n">
        <v>504700</v>
      </c>
      <c r="H271" s="39" t="n">
        <v>455000</v>
      </c>
      <c r="I271" t="inlineStr">
        <is>
          <t>Edificio</t>
        </is>
      </c>
      <c r="J271" t="inlineStr">
        <is>
          <t>A</t>
        </is>
      </c>
      <c r="K271" t="inlineStr">
        <is>
          <t>Estacionamiento</t>
        </is>
      </c>
      <c r="L271" t="inlineStr">
        <is>
          <t>E 01</t>
        </is>
      </c>
      <c r="M271" s="39" t="n">
        <v>47500</v>
      </c>
      <c r="N271" s="39" t="n">
        <v>47500</v>
      </c>
      <c r="S271" s="39" t="n"/>
      <c r="T271" s="39" t="n"/>
      <c r="Y271" s="39" t="n"/>
      <c r="Z271" s="39" t="n"/>
      <c r="AA271" t="inlineStr">
        <is>
          <t>CHRISTELL XIMENA ROMAINVILLE MONGE</t>
        </is>
      </c>
      <c r="AB271" t="inlineStr">
        <is>
          <t>70213991</t>
        </is>
      </c>
      <c r="AC271" t="inlineStr">
        <is>
          <t>Av. Gregorio Escobedo 570, Dpto N°1602 - Jesus Maria – Lima</t>
        </is>
      </c>
      <c r="AD271" t="n">
        <v>0</v>
      </c>
      <c r="AE271" t="inlineStr">
        <is>
          <t>966489295</t>
        </is>
      </c>
      <c r="AF271" t="inlineStr">
        <is>
          <t>ximenaromainville@gmail.com</t>
        </is>
      </c>
      <c r="AG271" t="inlineStr">
        <is>
          <t>LIMA</t>
        </is>
      </c>
      <c r="AH271" t="inlineStr">
        <is>
          <t>JESUS MARIA</t>
        </is>
      </c>
      <c r="AI271" s="75" t="n">
        <v>46167</v>
      </c>
      <c r="AJ271" s="75" t="n">
        <v>46167</v>
      </c>
      <c r="AK271" t="inlineStr">
        <is>
          <t>SEPARACION</t>
        </is>
      </c>
      <c r="AL271" t="n">
        <v>1</v>
      </c>
      <c r="AM271" t="n">
        <v>3000</v>
      </c>
      <c r="AN271" t="n">
        <v>0</v>
      </c>
      <c r="AO271" t="n">
        <v>0</v>
      </c>
      <c r="AP271" s="39" t="n">
        <v>3000</v>
      </c>
      <c r="AQ271" s="39" t="n">
        <v>3000</v>
      </c>
      <c r="AR271" s="39" t="n">
        <v>0</v>
      </c>
      <c r="AS271" t="n">
        <v>0</v>
      </c>
      <c r="AT271" t="inlineStr">
        <is>
          <t>Crédito Hipotecario</t>
        </is>
      </c>
      <c r="AU271" t="inlineStr">
        <is>
          <t>Banco de Credito del Perú</t>
        </is>
      </c>
      <c r="AV271" t="inlineStr">
        <is>
          <t>194-7325779-0-65</t>
        </is>
      </c>
      <c r="AW271" t="inlineStr">
        <is>
          <t>TRANSFERENCIA BANCARIA</t>
        </is>
      </c>
      <c r="AY271" t="inlineStr">
        <is>
          <t>03078443</t>
        </is>
      </c>
      <c r="AZ271" t="inlineStr">
        <is>
          <t>No</t>
        </is>
      </c>
      <c r="BB271" t="n">
        <v>4</v>
      </c>
      <c r="BC271" t="inlineStr">
        <is>
          <t>VENCIDO</t>
        </is>
      </c>
      <c r="BN271" t="inlineStr">
        <is>
          <t>Si</t>
        </is>
      </c>
      <c r="BO271" s="76" t="n">
        <v>46165.40555555555</v>
      </c>
      <c r="BP271" t="inlineStr">
        <is>
          <t>Kenny Salazar S</t>
        </is>
      </c>
      <c r="BR271" t="n">
        <v>47</v>
      </c>
      <c r="BS271" t="inlineStr">
        <is>
          <t>11/07/2026 09:42</t>
        </is>
      </c>
      <c r="BW271" t="inlineStr">
        <is>
          <t>Cobranzas_2026.csv</t>
        </is>
      </c>
      <c r="BX271" t="n">
        <v>2026</v>
      </c>
      <c r="BY271" t="inlineStr">
        <is>
          <t>01/01/2024</t>
        </is>
      </c>
      <c r="BZ271" t="inlineStr">
        <is>
          <t>30/06/2031</t>
        </is>
      </c>
    </row>
    <row r="272">
      <c r="A272" t="inlineStr">
        <is>
          <t>RESIDENCIAL BEYOND</t>
        </is>
      </c>
      <c r="B272" t="inlineStr">
        <is>
          <t>Etapa 1</t>
        </is>
      </c>
      <c r="C272" t="inlineStr">
        <is>
          <t>Edificio</t>
        </is>
      </c>
      <c r="D272" t="inlineStr">
        <is>
          <t>A</t>
        </is>
      </c>
      <c r="E272" t="inlineStr">
        <is>
          <t>Departamento</t>
        </is>
      </c>
      <c r="F272" t="inlineStr">
        <is>
          <t>1503</t>
        </is>
      </c>
      <c r="G272" s="39" t="n">
        <v>504700</v>
      </c>
      <c r="H272" s="39" t="n">
        <v>455000</v>
      </c>
      <c r="I272" t="inlineStr">
        <is>
          <t>Edificio</t>
        </is>
      </c>
      <c r="J272" t="inlineStr">
        <is>
          <t>A</t>
        </is>
      </c>
      <c r="K272" t="inlineStr">
        <is>
          <t>Estacionamiento</t>
        </is>
      </c>
      <c r="L272" t="inlineStr">
        <is>
          <t>E 01</t>
        </is>
      </c>
      <c r="M272" s="39" t="n">
        <v>47500</v>
      </c>
      <c r="N272" s="39" t="n">
        <v>47500</v>
      </c>
      <c r="S272" s="39" t="n"/>
      <c r="T272" s="39" t="n"/>
      <c r="Y272" s="39" t="n"/>
      <c r="Z272" s="39" t="n"/>
      <c r="AA272" t="inlineStr">
        <is>
          <t>CHRISTELL XIMENA ROMAINVILLE MONGE</t>
        </is>
      </c>
      <c r="AB272" t="inlineStr">
        <is>
          <t>70213991</t>
        </is>
      </c>
      <c r="AC272" t="inlineStr">
        <is>
          <t>Av. Gregorio Escobedo 570, Dpto N°1602 - Jesus Maria – Lima</t>
        </is>
      </c>
      <c r="AD272" t="n">
        <v>0</v>
      </c>
      <c r="AE272" t="inlineStr">
        <is>
          <t>966489295</t>
        </is>
      </c>
      <c r="AF272" t="inlineStr">
        <is>
          <t>ximenaromainville@gmail.com</t>
        </is>
      </c>
      <c r="AG272" t="inlineStr">
        <is>
          <t>LIMA</t>
        </is>
      </c>
      <c r="AH272" t="inlineStr">
        <is>
          <t>JESUS MARIA</t>
        </is>
      </c>
      <c r="AI272" s="75" t="n">
        <v>46167</v>
      </c>
      <c r="AJ272" s="75" t="n">
        <v>46167</v>
      </c>
      <c r="AK272" t="inlineStr">
        <is>
          <t>SEPARACION</t>
        </is>
      </c>
      <c r="AL272" t="n">
        <v>1</v>
      </c>
      <c r="AM272" t="n">
        <v>0</v>
      </c>
      <c r="AN272" t="n">
        <v>0</v>
      </c>
      <c r="AO272" t="n">
        <v>0</v>
      </c>
      <c r="AP272" s="39" t="n">
        <v>0</v>
      </c>
      <c r="AQ272" s="39" t="n">
        <v>3000</v>
      </c>
      <c r="AR272" s="39" t="n">
        <v>0</v>
      </c>
      <c r="AS272" t="n">
        <v>0</v>
      </c>
      <c r="AT272" t="inlineStr">
        <is>
          <t>Crédito Hipotecario</t>
        </is>
      </c>
      <c r="AU272" t="inlineStr">
        <is>
          <t>Banco de Credito del Perú</t>
        </is>
      </c>
      <c r="AV272" t="inlineStr">
        <is>
          <t>194-7325779-0-65</t>
        </is>
      </c>
      <c r="AW272" t="inlineStr">
        <is>
          <t>TRANSFERENCIA BANCARIA</t>
        </is>
      </c>
      <c r="AY272" t="inlineStr">
        <is>
          <t>03078443</t>
        </is>
      </c>
      <c r="AZ272" t="inlineStr">
        <is>
          <t>No</t>
        </is>
      </c>
      <c r="BB272" t="n">
        <v>4</v>
      </c>
      <c r="BC272" t="inlineStr">
        <is>
          <t>VENCIDO</t>
        </is>
      </c>
      <c r="BN272" t="inlineStr">
        <is>
          <t>No</t>
        </is>
      </c>
      <c r="BO272" s="76" t="n">
        <v>46165.40555555555</v>
      </c>
      <c r="BP272" t="inlineStr">
        <is>
          <t>Kenny Salazar S</t>
        </is>
      </c>
      <c r="BR272" t="n">
        <v>47</v>
      </c>
      <c r="BS272" t="inlineStr">
        <is>
          <t>11/07/2026 09:42</t>
        </is>
      </c>
      <c r="BW272" t="inlineStr">
        <is>
          <t>Cobranzas_2026.csv</t>
        </is>
      </c>
      <c r="BX272" t="n">
        <v>2026</v>
      </c>
      <c r="BY272" t="inlineStr">
        <is>
          <t>01/01/2024</t>
        </is>
      </c>
      <c r="BZ272" t="inlineStr">
        <is>
          <t>30/06/2031</t>
        </is>
      </c>
    </row>
    <row r="273">
      <c r="A273" t="inlineStr">
        <is>
          <t>RESIDENCIAL BEYOND</t>
        </is>
      </c>
      <c r="B273" t="inlineStr">
        <is>
          <t>Etapa 1</t>
        </is>
      </c>
      <c r="C273" t="inlineStr">
        <is>
          <t>Edificio</t>
        </is>
      </c>
      <c r="D273" t="inlineStr">
        <is>
          <t>A</t>
        </is>
      </c>
      <c r="E273" t="inlineStr">
        <is>
          <t>Departamento</t>
        </is>
      </c>
      <c r="F273" t="inlineStr">
        <is>
          <t>1503</t>
        </is>
      </c>
      <c r="G273" s="39" t="n">
        <v>504700</v>
      </c>
      <c r="H273" s="39" t="n">
        <v>455000</v>
      </c>
      <c r="I273" t="inlineStr">
        <is>
          <t>Edificio</t>
        </is>
      </c>
      <c r="J273" t="inlineStr">
        <is>
          <t>A</t>
        </is>
      </c>
      <c r="K273" t="inlineStr">
        <is>
          <t>Estacionamiento</t>
        </is>
      </c>
      <c r="L273" t="inlineStr">
        <is>
          <t>E 01</t>
        </is>
      </c>
      <c r="M273" s="39" t="n">
        <v>47500</v>
      </c>
      <c r="N273" s="39" t="n">
        <v>47500</v>
      </c>
      <c r="S273" s="39" t="n"/>
      <c r="T273" s="39" t="n"/>
      <c r="Y273" s="39" t="n"/>
      <c r="Z273" s="39" t="n"/>
      <c r="AA273" t="inlineStr">
        <is>
          <t>CHRISTELL XIMENA ROMAINVILLE MONGE</t>
        </is>
      </c>
      <c r="AB273" t="inlineStr">
        <is>
          <t>70213991</t>
        </is>
      </c>
      <c r="AC273" t="inlineStr">
        <is>
          <t>Av. Gregorio Escobedo 570, Dpto N°1602 - Jesus Maria – Lima</t>
        </is>
      </c>
      <c r="AD273" t="n">
        <v>0</v>
      </c>
      <c r="AE273" t="inlineStr">
        <is>
          <t>966489295</t>
        </is>
      </c>
      <c r="AF273" t="inlineStr">
        <is>
          <t>ximenaromainville@gmail.com</t>
        </is>
      </c>
      <c r="AG273" t="inlineStr">
        <is>
          <t>LIMA</t>
        </is>
      </c>
      <c r="AH273" t="inlineStr">
        <is>
          <t>JESUS MARIA</t>
        </is>
      </c>
      <c r="AI273" s="75" t="n">
        <v>46167</v>
      </c>
      <c r="AJ273" s="75" t="n">
        <v>46167</v>
      </c>
      <c r="AK273" t="inlineStr">
        <is>
          <t>CUOTA INICIAL</t>
        </is>
      </c>
      <c r="AL273" t="n">
        <v>1</v>
      </c>
      <c r="AM273" t="n">
        <v>22000</v>
      </c>
      <c r="AN273" t="n">
        <v>0</v>
      </c>
      <c r="AO273" t="n">
        <v>0</v>
      </c>
      <c r="AP273" s="39" t="n">
        <v>22000</v>
      </c>
      <c r="AQ273" s="39" t="n">
        <v>22000</v>
      </c>
      <c r="AR273" s="39" t="n">
        <v>0</v>
      </c>
      <c r="AS273" t="n">
        <v>0</v>
      </c>
      <c r="AT273" t="inlineStr">
        <is>
          <t>Crédito Hipotecario</t>
        </is>
      </c>
      <c r="AU273" t="inlineStr">
        <is>
          <t>Banco de Credito del Perú</t>
        </is>
      </c>
      <c r="AV273" t="inlineStr">
        <is>
          <t>194-7325779-0-65</t>
        </is>
      </c>
      <c r="AW273" t="inlineStr">
        <is>
          <t>TRANSFERENCIA BANCARIA</t>
        </is>
      </c>
      <c r="AY273" t="inlineStr">
        <is>
          <t>03078443</t>
        </is>
      </c>
      <c r="AZ273" t="inlineStr">
        <is>
          <t>No</t>
        </is>
      </c>
      <c r="BB273" t="n">
        <v>4</v>
      </c>
      <c r="BC273" t="inlineStr">
        <is>
          <t>VENCIDO</t>
        </is>
      </c>
      <c r="BN273" t="inlineStr">
        <is>
          <t>Si</t>
        </is>
      </c>
      <c r="BO273" s="76" t="n">
        <v>46165.40555555555</v>
      </c>
      <c r="BP273" t="inlineStr">
        <is>
          <t>Kenny Salazar S</t>
        </is>
      </c>
      <c r="BR273" t="n">
        <v>47</v>
      </c>
      <c r="BS273" t="inlineStr">
        <is>
          <t>11/07/2026 09:42</t>
        </is>
      </c>
      <c r="BW273" t="inlineStr">
        <is>
          <t>Cobranzas_2026.csv</t>
        </is>
      </c>
      <c r="BX273" t="n">
        <v>2026</v>
      </c>
      <c r="BY273" t="inlineStr">
        <is>
          <t>01/01/2024</t>
        </is>
      </c>
      <c r="BZ273" t="inlineStr">
        <is>
          <t>30/06/2031</t>
        </is>
      </c>
    </row>
    <row r="274">
      <c r="A274" t="inlineStr">
        <is>
          <t>RESIDENCIAL BEYOND</t>
        </is>
      </c>
      <c r="B274" t="inlineStr">
        <is>
          <t>Etapa 1</t>
        </is>
      </c>
      <c r="C274" t="inlineStr">
        <is>
          <t>Edificio</t>
        </is>
      </c>
      <c r="D274" t="inlineStr">
        <is>
          <t>A</t>
        </is>
      </c>
      <c r="E274" t="inlineStr">
        <is>
          <t>Departamento</t>
        </is>
      </c>
      <c r="F274" t="inlineStr">
        <is>
          <t>1503</t>
        </is>
      </c>
      <c r="G274" s="39" t="n">
        <v>504700</v>
      </c>
      <c r="H274" s="39" t="n">
        <v>455000</v>
      </c>
      <c r="I274" t="inlineStr">
        <is>
          <t>Edificio</t>
        </is>
      </c>
      <c r="J274" t="inlineStr">
        <is>
          <t>A</t>
        </is>
      </c>
      <c r="K274" t="inlineStr">
        <is>
          <t>Estacionamiento</t>
        </is>
      </c>
      <c r="L274" t="inlineStr">
        <is>
          <t>E 01</t>
        </is>
      </c>
      <c r="M274" s="39" t="n">
        <v>47500</v>
      </c>
      <c r="N274" s="39" t="n">
        <v>47500</v>
      </c>
      <c r="S274" s="39" t="n"/>
      <c r="T274" s="39" t="n"/>
      <c r="Y274" s="39" t="n"/>
      <c r="Z274" s="39" t="n"/>
      <c r="AA274" t="inlineStr">
        <is>
          <t>CHRISTELL XIMENA ROMAINVILLE MONGE</t>
        </is>
      </c>
      <c r="AB274" t="inlineStr">
        <is>
          <t>70213991</t>
        </is>
      </c>
      <c r="AC274" t="inlineStr">
        <is>
          <t>Av. Gregorio Escobedo 570, Dpto N°1602 - Jesus Maria – Lima</t>
        </is>
      </c>
      <c r="AD274" t="n">
        <v>0</v>
      </c>
      <c r="AE274" t="inlineStr">
        <is>
          <t>966489295</t>
        </is>
      </c>
      <c r="AF274" t="inlineStr">
        <is>
          <t>ximenaromainville@gmail.com</t>
        </is>
      </c>
      <c r="AG274" t="inlineStr">
        <is>
          <t>LIMA</t>
        </is>
      </c>
      <c r="AH274" t="inlineStr">
        <is>
          <t>JESUS MARIA</t>
        </is>
      </c>
      <c r="AI274" s="75" t="n">
        <v>46167</v>
      </c>
      <c r="AJ274" s="75" t="n">
        <v>46167</v>
      </c>
      <c r="AK274" t="inlineStr">
        <is>
          <t>CUOTA INICIAL</t>
        </is>
      </c>
      <c r="AL274" t="n">
        <v>1</v>
      </c>
      <c r="AM274" t="n">
        <v>0</v>
      </c>
      <c r="AN274" t="n">
        <v>0</v>
      </c>
      <c r="AO274" t="n">
        <v>0</v>
      </c>
      <c r="AP274" s="39" t="n">
        <v>0</v>
      </c>
      <c r="AQ274" s="39" t="n">
        <v>22000</v>
      </c>
      <c r="AR274" s="39" t="n">
        <v>0</v>
      </c>
      <c r="AS274" t="n">
        <v>0</v>
      </c>
      <c r="AT274" t="inlineStr">
        <is>
          <t>Crédito Hipotecario</t>
        </is>
      </c>
      <c r="AU274" t="inlineStr">
        <is>
          <t>Banco de Credito del Perú</t>
        </is>
      </c>
      <c r="AV274" t="inlineStr">
        <is>
          <t>194-7325779-0-65</t>
        </is>
      </c>
      <c r="AW274" t="inlineStr">
        <is>
          <t>TRANSFERENCIA BANCARIA</t>
        </is>
      </c>
      <c r="AY274" t="inlineStr">
        <is>
          <t>03078443</t>
        </is>
      </c>
      <c r="AZ274" t="inlineStr">
        <is>
          <t>No</t>
        </is>
      </c>
      <c r="BB274" t="n">
        <v>4</v>
      </c>
      <c r="BC274" t="inlineStr">
        <is>
          <t>VENCIDO</t>
        </is>
      </c>
      <c r="BN274" t="inlineStr">
        <is>
          <t>No</t>
        </is>
      </c>
      <c r="BO274" s="76" t="n">
        <v>46165.40555555555</v>
      </c>
      <c r="BP274" t="inlineStr">
        <is>
          <t>Kenny Salazar S</t>
        </is>
      </c>
      <c r="BR274" t="n">
        <v>47</v>
      </c>
      <c r="BS274" t="inlineStr">
        <is>
          <t>11/07/2026 09:42</t>
        </is>
      </c>
      <c r="BW274" t="inlineStr">
        <is>
          <t>Cobranzas_2026.csv</t>
        </is>
      </c>
      <c r="BX274" t="n">
        <v>2026</v>
      </c>
      <c r="BY274" t="inlineStr">
        <is>
          <t>01/01/2024</t>
        </is>
      </c>
      <c r="BZ274" t="inlineStr">
        <is>
          <t>30/06/2031</t>
        </is>
      </c>
    </row>
    <row r="275">
      <c r="A275" t="inlineStr">
        <is>
          <t>RESIDENCIAL BEYOND</t>
        </is>
      </c>
      <c r="B275" t="inlineStr">
        <is>
          <t>Etapa 1</t>
        </is>
      </c>
      <c r="C275" t="inlineStr">
        <is>
          <t>Edificio</t>
        </is>
      </c>
      <c r="D275" t="inlineStr">
        <is>
          <t>A</t>
        </is>
      </c>
      <c r="E275" t="inlineStr">
        <is>
          <t>Departamento</t>
        </is>
      </c>
      <c r="F275" t="inlineStr">
        <is>
          <t>1503</t>
        </is>
      </c>
      <c r="G275" s="39" t="n">
        <v>504700</v>
      </c>
      <c r="H275" s="39" t="n">
        <v>455000</v>
      </c>
      <c r="I275" t="inlineStr">
        <is>
          <t>Edificio</t>
        </is>
      </c>
      <c r="J275" t="inlineStr">
        <is>
          <t>A</t>
        </is>
      </c>
      <c r="K275" t="inlineStr">
        <is>
          <t>Estacionamiento</t>
        </is>
      </c>
      <c r="L275" t="inlineStr">
        <is>
          <t>E 01</t>
        </is>
      </c>
      <c r="M275" s="39" t="n">
        <v>47500</v>
      </c>
      <c r="N275" s="39" t="n">
        <v>47500</v>
      </c>
      <c r="S275" s="39" t="n"/>
      <c r="T275" s="39" t="n"/>
      <c r="Y275" s="39" t="n"/>
      <c r="Z275" s="39" t="n"/>
      <c r="AA275" t="inlineStr">
        <is>
          <t>CHRISTELL XIMENA ROMAINVILLE MONGE</t>
        </is>
      </c>
      <c r="AB275" t="inlineStr">
        <is>
          <t>70213991</t>
        </is>
      </c>
      <c r="AC275" t="inlineStr">
        <is>
          <t>Av. Gregorio Escobedo 570, Dpto N°1602 - Jesus Maria – Lima</t>
        </is>
      </c>
      <c r="AD275" t="n">
        <v>0</v>
      </c>
      <c r="AE275" t="inlineStr">
        <is>
          <t>966489295</t>
        </is>
      </c>
      <c r="AF275" t="inlineStr">
        <is>
          <t>ximenaromainville@gmail.com</t>
        </is>
      </c>
      <c r="AG275" t="inlineStr">
        <is>
          <t>LIMA</t>
        </is>
      </c>
      <c r="AH275" t="inlineStr">
        <is>
          <t>JESUS MARIA</t>
        </is>
      </c>
      <c r="AI275" s="75" t="n">
        <v>46188</v>
      </c>
      <c r="AJ275" s="75" t="n">
        <v>46174</v>
      </c>
      <c r="AK275" t="inlineStr">
        <is>
          <t>CUOTA INICIAL</t>
        </is>
      </c>
      <c r="AL275" t="n">
        <v>2</v>
      </c>
      <c r="AM275" t="n">
        <v>25250</v>
      </c>
      <c r="AN275" t="n">
        <v>0</v>
      </c>
      <c r="AO275" t="n">
        <v>0</v>
      </c>
      <c r="AP275" s="39" t="n">
        <v>25250</v>
      </c>
      <c r="AQ275" s="39" t="n">
        <v>25250</v>
      </c>
      <c r="AR275" s="39" t="n">
        <v>0</v>
      </c>
      <c r="AS275" t="n">
        <v>0</v>
      </c>
      <c r="AT275" t="inlineStr">
        <is>
          <t>Crédito Hipotecario</t>
        </is>
      </c>
      <c r="AU275" t="inlineStr">
        <is>
          <t>Banco de Credito del Perú</t>
        </is>
      </c>
      <c r="AV275" t="inlineStr">
        <is>
          <t>194-7325779-0-65</t>
        </is>
      </c>
      <c r="AW275" t="inlineStr">
        <is>
          <t>TRANSFERENCIA BANCARIA</t>
        </is>
      </c>
      <c r="AY275" t="inlineStr">
        <is>
          <t>04176966</t>
        </is>
      </c>
      <c r="AZ275" t="inlineStr">
        <is>
          <t>No</t>
        </is>
      </c>
      <c r="BB275" t="n">
        <v>4</v>
      </c>
      <c r="BC275" t="inlineStr">
        <is>
          <t>CANCELADO</t>
        </is>
      </c>
      <c r="BN275" t="inlineStr">
        <is>
          <t>Si</t>
        </is>
      </c>
      <c r="BO275" s="76" t="n">
        <v>46165.40555555555</v>
      </c>
      <c r="BP275" t="inlineStr">
        <is>
          <t>Kenny Salazar S</t>
        </is>
      </c>
      <c r="BR275" t="n">
        <v>47</v>
      </c>
      <c r="BS275" t="inlineStr">
        <is>
          <t>11/07/2026 09:43</t>
        </is>
      </c>
      <c r="BW275" t="inlineStr">
        <is>
          <t>Cobranzas_2026.csv</t>
        </is>
      </c>
      <c r="BX275" t="n">
        <v>2026</v>
      </c>
      <c r="BY275" t="inlineStr">
        <is>
          <t>01/01/2024</t>
        </is>
      </c>
      <c r="BZ275" t="inlineStr">
        <is>
          <t>30/06/2031</t>
        </is>
      </c>
    </row>
    <row r="276">
      <c r="A276" t="inlineStr">
        <is>
          <t>RESIDENCIAL BEYOND</t>
        </is>
      </c>
      <c r="B276" t="inlineStr">
        <is>
          <t>Etapa 1</t>
        </is>
      </c>
      <c r="C276" t="inlineStr">
        <is>
          <t>Edificio</t>
        </is>
      </c>
      <c r="D276" t="inlineStr">
        <is>
          <t>A</t>
        </is>
      </c>
      <c r="E276" t="inlineStr">
        <is>
          <t>Departamento</t>
        </is>
      </c>
      <c r="F276" t="inlineStr">
        <is>
          <t>1503</t>
        </is>
      </c>
      <c r="G276" s="39" t="n">
        <v>504700</v>
      </c>
      <c r="H276" s="39" t="n">
        <v>455000</v>
      </c>
      <c r="I276" t="inlineStr">
        <is>
          <t>Edificio</t>
        </is>
      </c>
      <c r="J276" t="inlineStr">
        <is>
          <t>A</t>
        </is>
      </c>
      <c r="K276" t="inlineStr">
        <is>
          <t>Estacionamiento</t>
        </is>
      </c>
      <c r="L276" t="inlineStr">
        <is>
          <t>E 01</t>
        </is>
      </c>
      <c r="M276" s="39" t="n">
        <v>47500</v>
      </c>
      <c r="N276" s="39" t="n">
        <v>47500</v>
      </c>
      <c r="S276" s="39" t="n"/>
      <c r="T276" s="39" t="n"/>
      <c r="Y276" s="39" t="n"/>
      <c r="Z276" s="39" t="n"/>
      <c r="AA276" t="inlineStr">
        <is>
          <t>CHRISTELL XIMENA ROMAINVILLE MONGE</t>
        </is>
      </c>
      <c r="AB276" t="inlineStr">
        <is>
          <t>70213991</t>
        </is>
      </c>
      <c r="AC276" t="inlineStr">
        <is>
          <t>Av. Gregorio Escobedo 570, Dpto N°1602 - Jesus Maria – Lima</t>
        </is>
      </c>
      <c r="AD276" t="n">
        <v>0</v>
      </c>
      <c r="AE276" t="inlineStr">
        <is>
          <t>966489295</t>
        </is>
      </c>
      <c r="AF276" t="inlineStr">
        <is>
          <t>ximenaromainville@gmail.com</t>
        </is>
      </c>
      <c r="AG276" t="inlineStr">
        <is>
          <t>LIMA</t>
        </is>
      </c>
      <c r="AH276" t="inlineStr">
        <is>
          <t>JESUS MARIA</t>
        </is>
      </c>
      <c r="AI276" s="75" t="n">
        <v>46386</v>
      </c>
      <c r="AJ276" s="75" t="n"/>
      <c r="AK276" t="inlineStr">
        <is>
          <t>CUOTA INICIAL</t>
        </is>
      </c>
      <c r="AL276" t="n">
        <v>3</v>
      </c>
      <c r="AM276" t="n">
        <v>50000</v>
      </c>
      <c r="AN276" t="n">
        <v>0</v>
      </c>
      <c r="AO276" t="n">
        <v>0</v>
      </c>
      <c r="AP276" s="39" t="n">
        <v>50000</v>
      </c>
      <c r="AQ276" s="39" t="n">
        <v>0</v>
      </c>
      <c r="AR276" s="39" t="n">
        <v>25000</v>
      </c>
      <c r="AT276" t="inlineStr">
        <is>
          <t>Crédito Hipotecario</t>
        </is>
      </c>
      <c r="AZ276" t="inlineStr">
        <is>
          <t>No</t>
        </is>
      </c>
      <c r="BC276" t="inlineStr">
        <is>
          <t>PENDIENTE</t>
        </is>
      </c>
      <c r="BN276" t="inlineStr">
        <is>
          <t>No</t>
        </is>
      </c>
      <c r="BO276" s="76" t="n">
        <v>46165.40555555555</v>
      </c>
      <c r="BP276" t="inlineStr">
        <is>
          <t>Kenny Salazar S</t>
        </is>
      </c>
      <c r="BR276" t="n">
        <v>47</v>
      </c>
      <c r="BW276" t="inlineStr">
        <is>
          <t>Cobranzas_2026.csv</t>
        </is>
      </c>
      <c r="BX276" t="n">
        <v>2026</v>
      </c>
      <c r="BY276" t="inlineStr">
        <is>
          <t>01/01/2024</t>
        </is>
      </c>
      <c r="BZ276" t="inlineStr">
        <is>
          <t>30/06/2031</t>
        </is>
      </c>
    </row>
    <row r="277">
      <c r="A277" t="inlineStr">
        <is>
          <t>RESIDENCIAL PRADA</t>
        </is>
      </c>
      <c r="B277" t="inlineStr">
        <is>
          <t>Etapa 1</t>
        </is>
      </c>
      <c r="C277" t="inlineStr">
        <is>
          <t>Edificio</t>
        </is>
      </c>
      <c r="D277" t="inlineStr">
        <is>
          <t>A</t>
        </is>
      </c>
      <c r="E277" t="inlineStr">
        <is>
          <t>Departamento</t>
        </is>
      </c>
      <c r="F277" t="inlineStr">
        <is>
          <t>902</t>
        </is>
      </c>
      <c r="G277" s="39" t="n">
        <v>433500</v>
      </c>
      <c r="H277" s="39" t="n">
        <v>433500</v>
      </c>
      <c r="I277" t="inlineStr">
        <is>
          <t>Edificio</t>
        </is>
      </c>
      <c r="J277" t="inlineStr">
        <is>
          <t>A</t>
        </is>
      </c>
      <c r="K277" t="inlineStr">
        <is>
          <t>Estacionamiento</t>
        </is>
      </c>
      <c r="L277" t="inlineStr">
        <is>
          <t>E 43</t>
        </is>
      </c>
      <c r="M277" s="39" t="n">
        <v>50500</v>
      </c>
      <c r="N277" s="39" t="n">
        <v>50500</v>
      </c>
      <c r="S277" s="39" t="n"/>
      <c r="T277" s="39" t="n"/>
      <c r="Y277" s="39" t="n"/>
      <c r="Z277" s="39" t="n"/>
      <c r="AA277" t="inlineStr">
        <is>
          <t>Daniel Alejandro Aguayo Vera</t>
        </is>
      </c>
      <c r="AB277" t="inlineStr">
        <is>
          <t>76121899</t>
        </is>
      </c>
      <c r="AC277" t="inlineStr">
        <is>
          <t>Calle los Rosales 743 Lima- Chaclacayo.</t>
        </is>
      </c>
      <c r="AD277" t="n">
        <v>943151339</v>
      </c>
      <c r="AE277" t="inlineStr">
        <is>
          <t>943151339</t>
        </is>
      </c>
      <c r="AF277" t="inlineStr">
        <is>
          <t>daniel_aguayo25@hotmail.com</t>
        </is>
      </c>
      <c r="AG277" t="inlineStr">
        <is>
          <t>LIMA</t>
        </is>
      </c>
      <c r="AH277" t="inlineStr">
        <is>
          <t>SAN ISIDRO</t>
        </is>
      </c>
      <c r="AI277" s="75" t="n">
        <v>46176</v>
      </c>
      <c r="AJ277" s="75" t="n">
        <v>46176</v>
      </c>
      <c r="AK277" t="inlineStr">
        <is>
          <t>SEPARACION</t>
        </is>
      </c>
      <c r="AL277" t="n">
        <v>1</v>
      </c>
      <c r="AM277" t="n">
        <v>3000</v>
      </c>
      <c r="AN277" t="n">
        <v>0</v>
      </c>
      <c r="AO277" t="n">
        <v>0</v>
      </c>
      <c r="AP277" s="39" t="n">
        <v>3000</v>
      </c>
      <c r="AQ277" s="39" t="n">
        <v>3000</v>
      </c>
      <c r="AR277" s="39" t="n">
        <v>0</v>
      </c>
      <c r="AS277" t="n">
        <v>0</v>
      </c>
      <c r="AT277" t="inlineStr">
        <is>
          <t>Crédito Hipotecario</t>
        </is>
      </c>
      <c r="AU277" t="inlineStr">
        <is>
          <t>Scotiabank Perú</t>
        </is>
      </c>
      <c r="AV277" t="inlineStr">
        <is>
          <t>000-2768484</t>
        </is>
      </c>
      <c r="AW277" t="inlineStr">
        <is>
          <t>TRANSFERENCIA BANCARIA</t>
        </is>
      </c>
      <c r="AY277" t="inlineStr">
        <is>
          <t>05149943</t>
        </is>
      </c>
      <c r="AZ277" t="inlineStr">
        <is>
          <t>No</t>
        </is>
      </c>
      <c r="BB277" t="n">
        <v>4</v>
      </c>
      <c r="BC277" t="inlineStr">
        <is>
          <t>CANCELADO</t>
        </is>
      </c>
      <c r="BN277" t="inlineStr">
        <is>
          <t>Si</t>
        </is>
      </c>
      <c r="BO277" s="76" t="n">
        <v>46008.74444444444</v>
      </c>
      <c r="BP277" t="inlineStr">
        <is>
          <t>Kenny Salazar S</t>
        </is>
      </c>
      <c r="BR277" t="n">
        <v>41</v>
      </c>
      <c r="BS277" t="inlineStr">
        <is>
          <t>03/06/2026 09:48</t>
        </is>
      </c>
      <c r="BW277" t="inlineStr">
        <is>
          <t>Cobranzas_2026.csv</t>
        </is>
      </c>
      <c r="BX277" t="n">
        <v>2026</v>
      </c>
      <c r="BY277" t="inlineStr">
        <is>
          <t>01/01/2024</t>
        </is>
      </c>
      <c r="BZ277" t="inlineStr">
        <is>
          <t>30/06/2031</t>
        </is>
      </c>
    </row>
    <row r="278">
      <c r="A278" t="inlineStr">
        <is>
          <t>RESIDENCIAL PRADA</t>
        </is>
      </c>
      <c r="B278" t="inlineStr">
        <is>
          <t>Etapa 1</t>
        </is>
      </c>
      <c r="C278" t="inlineStr">
        <is>
          <t>Edificio</t>
        </is>
      </c>
      <c r="D278" t="inlineStr">
        <is>
          <t>A</t>
        </is>
      </c>
      <c r="E278" t="inlineStr">
        <is>
          <t>Departamento</t>
        </is>
      </c>
      <c r="F278" t="inlineStr">
        <is>
          <t>902</t>
        </is>
      </c>
      <c r="G278" s="39" t="n">
        <v>433500</v>
      </c>
      <c r="H278" s="39" t="n">
        <v>433500</v>
      </c>
      <c r="I278" t="inlineStr">
        <is>
          <t>Edificio</t>
        </is>
      </c>
      <c r="J278" t="inlineStr">
        <is>
          <t>A</t>
        </is>
      </c>
      <c r="K278" t="inlineStr">
        <is>
          <t>Estacionamiento</t>
        </is>
      </c>
      <c r="L278" t="inlineStr">
        <is>
          <t>E 43</t>
        </is>
      </c>
      <c r="M278" s="39" t="n">
        <v>50500</v>
      </c>
      <c r="N278" s="39" t="n">
        <v>50500</v>
      </c>
      <c r="S278" s="39" t="n"/>
      <c r="T278" s="39" t="n"/>
      <c r="Y278" s="39" t="n"/>
      <c r="Z278" s="39" t="n"/>
      <c r="AA278" t="inlineStr">
        <is>
          <t>Daniel Alejandro Aguayo Vera</t>
        </is>
      </c>
      <c r="AB278" t="inlineStr">
        <is>
          <t>76121899</t>
        </is>
      </c>
      <c r="AC278" t="inlineStr">
        <is>
          <t>Calle los Rosales 743 Lima- Chaclacayo.</t>
        </is>
      </c>
      <c r="AD278" t="n">
        <v>943151339</v>
      </c>
      <c r="AE278" t="inlineStr">
        <is>
          <t>943151339</t>
        </is>
      </c>
      <c r="AF278" t="inlineStr">
        <is>
          <t>daniel_aguayo25@hotmail.com</t>
        </is>
      </c>
      <c r="AG278" t="inlineStr">
        <is>
          <t>LIMA</t>
        </is>
      </c>
      <c r="AH278" t="inlineStr">
        <is>
          <t>SAN ISIDRO</t>
        </is>
      </c>
      <c r="AI278" s="75" t="n">
        <v>46081</v>
      </c>
      <c r="AJ278" s="75" t="n">
        <v>46178</v>
      </c>
      <c r="AK278" t="inlineStr">
        <is>
          <t>SALDO FINANCIAR</t>
        </is>
      </c>
      <c r="AL278" t="n">
        <v>1</v>
      </c>
      <c r="AM278" t="n">
        <v>435600</v>
      </c>
      <c r="AN278" t="n">
        <v>0</v>
      </c>
      <c r="AO278" t="n">
        <v>0</v>
      </c>
      <c r="AP278" s="39" t="n">
        <v>435600</v>
      </c>
      <c r="AQ278" s="39" t="n">
        <v>435600</v>
      </c>
      <c r="AR278" s="39" t="n">
        <v>0</v>
      </c>
      <c r="AS278" t="n">
        <v>0</v>
      </c>
      <c r="AT278" t="inlineStr">
        <is>
          <t>Crédito Hipotecario</t>
        </is>
      </c>
      <c r="AU278" t="inlineStr">
        <is>
          <t>Scotiabank Perú</t>
        </is>
      </c>
      <c r="AV278" t="inlineStr">
        <is>
          <t>000-2768484</t>
        </is>
      </c>
      <c r="AW278" t="inlineStr">
        <is>
          <t>TRANSFERENCIA BANCARIA</t>
        </is>
      </c>
      <c r="AX278" t="n">
        <v>76121899</v>
      </c>
      <c r="AY278" t="inlineStr">
        <is>
          <t>0270800012</t>
        </is>
      </c>
      <c r="AZ278" t="inlineStr">
        <is>
          <t>No</t>
        </is>
      </c>
      <c r="BA278" t="inlineStr">
        <is>
          <t>NO PRECISA</t>
        </is>
      </c>
      <c r="BB278" t="n">
        <v>4</v>
      </c>
      <c r="BC278" t="inlineStr">
        <is>
          <t>CANCELADO</t>
        </is>
      </c>
      <c r="BN278" t="inlineStr">
        <is>
          <t>Si</t>
        </is>
      </c>
      <c r="BO278" s="76" t="n">
        <v>46008.74444444444</v>
      </c>
      <c r="BP278" t="inlineStr">
        <is>
          <t>Kenny Salazar S</t>
        </is>
      </c>
      <c r="BR278" t="n">
        <v>41</v>
      </c>
      <c r="BS278" t="inlineStr">
        <is>
          <t>05/06/2026 13:43</t>
        </is>
      </c>
      <c r="BW278" t="inlineStr">
        <is>
          <t>Cobranzas_2026.csv</t>
        </is>
      </c>
      <c r="BX278" t="n">
        <v>2026</v>
      </c>
      <c r="BY278" t="inlineStr">
        <is>
          <t>01/01/2024</t>
        </is>
      </c>
      <c r="BZ278" t="inlineStr">
        <is>
          <t>30/06/2031</t>
        </is>
      </c>
    </row>
    <row r="279">
      <c r="A279" t="inlineStr">
        <is>
          <t>RESIDENCIAL BEYOND</t>
        </is>
      </c>
      <c r="B279" t="inlineStr">
        <is>
          <t>Etapa 1</t>
        </is>
      </c>
      <c r="C279" t="inlineStr">
        <is>
          <t>Edificio</t>
        </is>
      </c>
      <c r="D279" t="inlineStr">
        <is>
          <t>A</t>
        </is>
      </c>
      <c r="E279" t="inlineStr">
        <is>
          <t>Departamento</t>
        </is>
      </c>
      <c r="F279" t="inlineStr">
        <is>
          <t>302</t>
        </is>
      </c>
      <c r="G279" s="39" t="n">
        <v>430000</v>
      </c>
      <c r="H279" s="39" t="n">
        <v>381000</v>
      </c>
      <c r="M279" s="39" t="n"/>
      <c r="N279" s="39" t="n"/>
      <c r="S279" s="39" t="n"/>
      <c r="T279" s="39" t="n"/>
      <c r="Y279" s="39" t="n"/>
      <c r="Z279" s="39" t="n"/>
      <c r="AA279" t="inlineStr">
        <is>
          <t>Danixa Thalia Manosalva Ameri</t>
        </is>
      </c>
      <c r="AB279" t="inlineStr">
        <is>
          <t>48569476</t>
        </is>
      </c>
      <c r="AC279" t="inlineStr">
        <is>
          <t>Jr. Huáscar 1825 dpto.101</t>
        </is>
      </c>
      <c r="AD279" t="n">
        <v>0</v>
      </c>
      <c r="AE279" t="inlineStr">
        <is>
          <t>992382005</t>
        </is>
      </c>
      <c r="AF279" t="inlineStr">
        <is>
          <t>danixamanosalva94@gmail.com</t>
        </is>
      </c>
      <c r="AG279" t="inlineStr">
        <is>
          <t>LIMA</t>
        </is>
      </c>
      <c r="AH279" t="inlineStr">
        <is>
          <t>JESUS MARIA</t>
        </is>
      </c>
      <c r="AI279" s="75" t="n">
        <v>46172</v>
      </c>
      <c r="AJ279" s="75" t="n"/>
      <c r="AK279" t="inlineStr">
        <is>
          <t>CUOTA INICIAL</t>
        </is>
      </c>
      <c r="AL279" t="n">
        <v>3</v>
      </c>
      <c r="AM279" t="n">
        <v>21000</v>
      </c>
      <c r="AN279" t="n">
        <v>0</v>
      </c>
      <c r="AO279" t="n">
        <v>0</v>
      </c>
      <c r="AP279" s="39" t="n">
        <v>21000</v>
      </c>
      <c r="AQ279" s="39" t="n">
        <v>0</v>
      </c>
      <c r="AR279" s="39" t="n">
        <v>21000</v>
      </c>
      <c r="AT279" t="inlineStr">
        <is>
          <t>Ahorro</t>
        </is>
      </c>
      <c r="AZ279" t="inlineStr">
        <is>
          <t>No</t>
        </is>
      </c>
      <c r="BC279" t="inlineStr">
        <is>
          <t>VENCIDO</t>
        </is>
      </c>
      <c r="BN279" t="inlineStr">
        <is>
          <t>No</t>
        </is>
      </c>
      <c r="BO279" s="76" t="n">
        <v>45940.41875</v>
      </c>
      <c r="BP279" t="inlineStr">
        <is>
          <t>Magaly Guevara Perez</t>
        </is>
      </c>
      <c r="BR279" t="n">
        <v>6</v>
      </c>
      <c r="BW279" t="inlineStr">
        <is>
          <t>Cobranzas_2026.csv</t>
        </is>
      </c>
      <c r="BX279" t="n">
        <v>2026</v>
      </c>
      <c r="BY279" t="inlineStr">
        <is>
          <t>01/01/2024</t>
        </is>
      </c>
      <c r="BZ279" t="inlineStr">
        <is>
          <t>30/06/2031</t>
        </is>
      </c>
    </row>
    <row r="280">
      <c r="A280" t="inlineStr">
        <is>
          <t>RESIDENCIAL BEYOND</t>
        </is>
      </c>
      <c r="B280" t="inlineStr">
        <is>
          <t>Etapa 1</t>
        </is>
      </c>
      <c r="C280" t="inlineStr">
        <is>
          <t>Edificio</t>
        </is>
      </c>
      <c r="D280" t="inlineStr">
        <is>
          <t>A</t>
        </is>
      </c>
      <c r="E280" t="inlineStr">
        <is>
          <t>Departamento</t>
        </is>
      </c>
      <c r="F280" t="inlineStr">
        <is>
          <t>302</t>
        </is>
      </c>
      <c r="G280" s="39" t="n">
        <v>430000</v>
      </c>
      <c r="H280" s="39" t="n">
        <v>381000</v>
      </c>
      <c r="M280" s="39" t="n"/>
      <c r="N280" s="39" t="n"/>
      <c r="S280" s="39" t="n"/>
      <c r="T280" s="39" t="n"/>
      <c r="Y280" s="39" t="n"/>
      <c r="Z280" s="39" t="n"/>
      <c r="AA280" t="inlineStr">
        <is>
          <t>Danixa Thalia Manosalva Ameri</t>
        </is>
      </c>
      <c r="AB280" t="inlineStr">
        <is>
          <t>48569476</t>
        </is>
      </c>
      <c r="AC280" t="inlineStr">
        <is>
          <t>Jr. Huáscar 1825 dpto.101</t>
        </is>
      </c>
      <c r="AD280" t="n">
        <v>0</v>
      </c>
      <c r="AE280" t="inlineStr">
        <is>
          <t>992382005</t>
        </is>
      </c>
      <c r="AF280" t="inlineStr">
        <is>
          <t>danixamanosalva94@gmail.com</t>
        </is>
      </c>
      <c r="AG280" t="inlineStr">
        <is>
          <t>LIMA</t>
        </is>
      </c>
      <c r="AH280" t="inlineStr">
        <is>
          <t>JESUS MARIA</t>
        </is>
      </c>
      <c r="AI280" s="75" t="n">
        <v>46234</v>
      </c>
      <c r="AJ280" s="75" t="n"/>
      <c r="AK280" t="inlineStr">
        <is>
          <t>SALDO FINANCIAR</t>
        </is>
      </c>
      <c r="AL280" t="n">
        <v>1</v>
      </c>
      <c r="AM280" t="n">
        <v>296000</v>
      </c>
      <c r="AN280" t="n">
        <v>0</v>
      </c>
      <c r="AO280" t="n">
        <v>0</v>
      </c>
      <c r="AP280" s="39" t="n">
        <v>296000</v>
      </c>
      <c r="AQ280" s="39" t="n">
        <v>0</v>
      </c>
      <c r="AR280" s="39" t="n">
        <v>296000</v>
      </c>
      <c r="AT280" t="inlineStr">
        <is>
          <t>Ahorro</t>
        </is>
      </c>
      <c r="AZ280" t="inlineStr">
        <is>
          <t>No</t>
        </is>
      </c>
      <c r="BC280" t="inlineStr">
        <is>
          <t>PENDIENTE</t>
        </is>
      </c>
      <c r="BN280" t="inlineStr">
        <is>
          <t>No</t>
        </is>
      </c>
      <c r="BO280" s="76" t="n">
        <v>45940.41875</v>
      </c>
      <c r="BP280" t="inlineStr">
        <is>
          <t>Magaly Guevara Perez</t>
        </is>
      </c>
      <c r="BR280" t="n">
        <v>6</v>
      </c>
      <c r="BW280" t="inlineStr">
        <is>
          <t>Cobranzas_2026.csv</t>
        </is>
      </c>
      <c r="BX280" t="n">
        <v>2026</v>
      </c>
      <c r="BY280" t="inlineStr">
        <is>
          <t>01/01/2024</t>
        </is>
      </c>
      <c r="BZ280" t="inlineStr">
        <is>
          <t>30/06/2031</t>
        </is>
      </c>
    </row>
    <row r="281">
      <c r="A281" t="inlineStr">
        <is>
          <t>RESIDENCIAL PRADA</t>
        </is>
      </c>
      <c r="B281" t="inlineStr">
        <is>
          <t>Etapa 1</t>
        </is>
      </c>
      <c r="C281" t="inlineStr">
        <is>
          <t>Edificio</t>
        </is>
      </c>
      <c r="D281" t="inlineStr">
        <is>
          <t>A</t>
        </is>
      </c>
      <c r="E281" t="inlineStr">
        <is>
          <t>Departamento</t>
        </is>
      </c>
      <c r="F281" t="inlineStr">
        <is>
          <t>1001</t>
        </is>
      </c>
      <c r="G281" s="39" t="n">
        <v>615000</v>
      </c>
      <c r="H281" s="39" t="n">
        <v>615000</v>
      </c>
      <c r="M281" s="39" t="n"/>
      <c r="N281" s="39" t="n"/>
      <c r="S281" s="39" t="n"/>
      <c r="T281" s="39" t="n"/>
      <c r="Y281" s="39" t="n"/>
      <c r="Z281" s="39" t="n"/>
      <c r="AA281" t="inlineStr">
        <is>
          <t>Danny Romel Ore Guerreros</t>
        </is>
      </c>
      <c r="AB281" t="inlineStr">
        <is>
          <t>47474967</t>
        </is>
      </c>
      <c r="AC281" t="inlineStr">
        <is>
          <t>Psj. Ollantay 7 Barrio Vista Alegre</t>
        </is>
      </c>
      <c r="AD281" t="n">
        <v>966327809</v>
      </c>
      <c r="AE281" t="inlineStr">
        <is>
          <t>966327809</t>
        </is>
      </c>
      <c r="AF281" t="inlineStr">
        <is>
          <t>romelore67@gmail.com</t>
        </is>
      </c>
      <c r="AG281" t="inlineStr">
        <is>
          <t>HUAMANGA</t>
        </is>
      </c>
      <c r="AH281" t="inlineStr">
        <is>
          <t>CARMEN ALTO</t>
        </is>
      </c>
      <c r="AI281" s="75" t="n">
        <v>46073</v>
      </c>
      <c r="AJ281" s="75" t="n">
        <v>46073</v>
      </c>
      <c r="AK281" t="inlineStr">
        <is>
          <t>CUOTA INICIAL</t>
        </is>
      </c>
      <c r="AL281" t="n">
        <v>4</v>
      </c>
      <c r="AM281" t="n">
        <v>10000</v>
      </c>
      <c r="AN281" t="n">
        <v>0</v>
      </c>
      <c r="AO281" t="n">
        <v>0</v>
      </c>
      <c r="AP281" s="39" t="n">
        <v>10000</v>
      </c>
      <c r="AQ281" s="39" t="n">
        <v>10000</v>
      </c>
      <c r="AR281" s="39" t="n">
        <v>0</v>
      </c>
      <c r="AS281" t="n">
        <v>0</v>
      </c>
      <c r="AT281" t="inlineStr">
        <is>
          <t>Crédito Hipotecario</t>
        </is>
      </c>
      <c r="AU281" t="inlineStr">
        <is>
          <t>Scotiabank Perú</t>
        </is>
      </c>
      <c r="AV281" t="inlineStr">
        <is>
          <t>000-2768484</t>
        </is>
      </c>
      <c r="AW281" t="inlineStr">
        <is>
          <t>TRANSFERENCIA BANCARIA</t>
        </is>
      </c>
      <c r="AX281" t="n">
        <v>47474967</v>
      </c>
      <c r="AY281" t="inlineStr">
        <is>
          <t>068000000001139</t>
        </is>
      </c>
      <c r="AZ281" t="inlineStr">
        <is>
          <t>No</t>
        </is>
      </c>
      <c r="BA281" t="inlineStr">
        <is>
          <t>NO PRECISA</t>
        </is>
      </c>
      <c r="BB281" t="n">
        <v>4</v>
      </c>
      <c r="BC281" t="inlineStr">
        <is>
          <t>CANCELADO</t>
        </is>
      </c>
      <c r="BN281" t="inlineStr">
        <is>
          <t>Si</t>
        </is>
      </c>
      <c r="BO281" s="76" t="n">
        <v>45885.58680555555</v>
      </c>
      <c r="BP281" t="inlineStr">
        <is>
          <t>Kenny Salazar S</t>
        </is>
      </c>
      <c r="BR281" t="n">
        <v>47</v>
      </c>
      <c r="BS281" t="inlineStr">
        <is>
          <t>05/06/2026 14:30</t>
        </is>
      </c>
      <c r="BW281" t="inlineStr">
        <is>
          <t>Cobranzas_2026.csv</t>
        </is>
      </c>
      <c r="BX281" t="n">
        <v>2026</v>
      </c>
      <c r="BY281" t="inlineStr">
        <is>
          <t>01/01/2024</t>
        </is>
      </c>
      <c r="BZ281" t="inlineStr">
        <is>
          <t>30/06/2031</t>
        </is>
      </c>
    </row>
    <row r="282">
      <c r="A282" t="inlineStr">
        <is>
          <t>RESIDENCIAL PRADA</t>
        </is>
      </c>
      <c r="B282" t="inlineStr">
        <is>
          <t>Etapa 1</t>
        </is>
      </c>
      <c r="C282" t="inlineStr">
        <is>
          <t>Edificio</t>
        </is>
      </c>
      <c r="D282" t="inlineStr">
        <is>
          <t>A</t>
        </is>
      </c>
      <c r="E282" t="inlineStr">
        <is>
          <t>Departamento</t>
        </is>
      </c>
      <c r="F282" t="inlineStr">
        <is>
          <t>1001</t>
        </is>
      </c>
      <c r="G282" s="39" t="n">
        <v>615000</v>
      </c>
      <c r="H282" s="39" t="n">
        <v>615000</v>
      </c>
      <c r="M282" s="39" t="n"/>
      <c r="N282" s="39" t="n"/>
      <c r="S282" s="39" t="n"/>
      <c r="T282" s="39" t="n"/>
      <c r="Y282" s="39" t="n"/>
      <c r="Z282" s="39" t="n"/>
      <c r="AA282" t="inlineStr">
        <is>
          <t>Danny Romel Ore Guerreros</t>
        </is>
      </c>
      <c r="AB282" t="inlineStr">
        <is>
          <t>47474967</t>
        </is>
      </c>
      <c r="AC282" t="inlineStr">
        <is>
          <t>Psj. Ollantay 7 Barrio Vista Alegre</t>
        </is>
      </c>
      <c r="AD282" t="n">
        <v>966327809</v>
      </c>
      <c r="AE282" t="inlineStr">
        <is>
          <t>966327809</t>
        </is>
      </c>
      <c r="AF282" t="inlineStr">
        <is>
          <t>romelore67@gmail.com</t>
        </is>
      </c>
      <c r="AG282" t="inlineStr">
        <is>
          <t>HUAMANGA</t>
        </is>
      </c>
      <c r="AH282" t="inlineStr">
        <is>
          <t>CARMEN ALTO</t>
        </is>
      </c>
      <c r="AI282" s="75" t="n">
        <v>46081</v>
      </c>
      <c r="AJ282" s="75" t="n">
        <v>46112</v>
      </c>
      <c r="AK282" t="inlineStr">
        <is>
          <t>SALDO FINANCIAR</t>
        </is>
      </c>
      <c r="AL282" t="n">
        <v>1</v>
      </c>
      <c r="AM282" t="n">
        <v>508000</v>
      </c>
      <c r="AN282" t="n">
        <v>0</v>
      </c>
      <c r="AO282" t="n">
        <v>0</v>
      </c>
      <c r="AP282" s="39" t="n">
        <v>508000</v>
      </c>
      <c r="AQ282" s="39" t="n">
        <v>508000</v>
      </c>
      <c r="AR282" s="39" t="n">
        <v>0</v>
      </c>
      <c r="AS282" t="n">
        <v>0</v>
      </c>
      <c r="AT282" t="inlineStr">
        <is>
          <t>Crédito Hipotecario</t>
        </is>
      </c>
      <c r="AU282" t="inlineStr">
        <is>
          <t>Scotiabank Perú</t>
        </is>
      </c>
      <c r="AV282" t="inlineStr">
        <is>
          <t>000-2768484</t>
        </is>
      </c>
      <c r="AW282" t="inlineStr">
        <is>
          <t>TRANSFERENCIA BANCARIA</t>
        </is>
      </c>
      <c r="AY282" t="inlineStr">
        <is>
          <t>30032026</t>
        </is>
      </c>
      <c r="AZ282" t="inlineStr">
        <is>
          <t>No</t>
        </is>
      </c>
      <c r="BB282" t="n">
        <v>4</v>
      </c>
      <c r="BC282" t="inlineStr">
        <is>
          <t>CANCELADO</t>
        </is>
      </c>
      <c r="BN282" t="inlineStr">
        <is>
          <t>Si</t>
        </is>
      </c>
      <c r="BO282" s="76" t="n">
        <v>45885.58680555555</v>
      </c>
      <c r="BP282" t="inlineStr">
        <is>
          <t>Kenny Salazar S</t>
        </is>
      </c>
      <c r="BR282" t="n">
        <v>47</v>
      </c>
      <c r="BS282" t="inlineStr">
        <is>
          <t>07/07/2026 14:04</t>
        </is>
      </c>
      <c r="BW282" t="inlineStr">
        <is>
          <t>Cobranzas_2026.csv</t>
        </is>
      </c>
      <c r="BX282" t="n">
        <v>2026</v>
      </c>
      <c r="BY282" t="inlineStr">
        <is>
          <t>01/01/2024</t>
        </is>
      </c>
      <c r="BZ282" t="inlineStr">
        <is>
          <t>30/06/2031</t>
        </is>
      </c>
    </row>
    <row r="283">
      <c r="A283" t="inlineStr">
        <is>
          <t>RESIDENCIAL BEYOND</t>
        </is>
      </c>
      <c r="B283" t="inlineStr">
        <is>
          <t>Etapa 1</t>
        </is>
      </c>
      <c r="C283" t="inlineStr">
        <is>
          <t>Edificio</t>
        </is>
      </c>
      <c r="D283" t="inlineStr">
        <is>
          <t>A</t>
        </is>
      </c>
      <c r="E283" t="inlineStr">
        <is>
          <t>Departamento</t>
        </is>
      </c>
      <c r="F283" t="inlineStr">
        <is>
          <t>505</t>
        </is>
      </c>
      <c r="G283" s="39" t="n">
        <v>532100</v>
      </c>
      <c r="H283" s="39" t="n">
        <v>500000</v>
      </c>
      <c r="M283" s="39" t="n"/>
      <c r="N283" s="39" t="n"/>
      <c r="S283" s="39" t="n"/>
      <c r="T283" s="39" t="n"/>
      <c r="Y283" s="39" t="n"/>
      <c r="Z283" s="39" t="n"/>
      <c r="AA283" t="inlineStr">
        <is>
          <t>Dante Enrique Segura Florian</t>
        </is>
      </c>
      <c r="AB283" t="inlineStr">
        <is>
          <t xml:space="preserve">45587286		</t>
        </is>
      </c>
      <c r="AC283" t="inlineStr">
        <is>
          <t>1845 San Andres Dr Pitsburg CA 94565</t>
        </is>
      </c>
      <c r="AD283" t="n">
        <v>15103330517</v>
      </c>
      <c r="AE283" t="inlineStr">
        <is>
          <t>+15103330517</t>
        </is>
      </c>
      <c r="AF283" t="inlineStr">
        <is>
          <t xml:space="preserve">d.segura@uaa.edu		</t>
        </is>
      </c>
      <c r="AG283" t="inlineStr">
        <is>
          <t>LIMA</t>
        </is>
      </c>
      <c r="AH283" t="inlineStr">
        <is>
          <t>CERCADO DE LIMA</t>
        </is>
      </c>
      <c r="AI283" s="75" t="n">
        <v>46182</v>
      </c>
      <c r="AJ283" s="75" t="n"/>
      <c r="AK283" t="inlineStr">
        <is>
          <t>CUOTA INICIAL</t>
        </is>
      </c>
      <c r="AL283" t="n">
        <v>1</v>
      </c>
      <c r="AM283" t="n">
        <v>217040</v>
      </c>
      <c r="AN283" t="n">
        <v>0</v>
      </c>
      <c r="AO283" t="n">
        <v>0</v>
      </c>
      <c r="AP283" s="39" t="n">
        <v>217040</v>
      </c>
      <c r="AQ283" s="39" t="n">
        <v>0</v>
      </c>
      <c r="AR283" s="39" t="n">
        <v>217040</v>
      </c>
      <c r="AT283" t="inlineStr">
        <is>
          <t>Crédito Directo</t>
        </is>
      </c>
      <c r="AZ283" t="inlineStr">
        <is>
          <t>No</t>
        </is>
      </c>
      <c r="BC283" t="inlineStr">
        <is>
          <t>VENCIDO</t>
        </is>
      </c>
      <c r="BN283" t="inlineStr">
        <is>
          <t>No</t>
        </is>
      </c>
      <c r="BO283" s="76" t="n">
        <v>45386.40347222222</v>
      </c>
      <c r="BP283" t="inlineStr">
        <is>
          <t>Carla Michue M</t>
        </is>
      </c>
      <c r="BR283" t="n">
        <v>35</v>
      </c>
      <c r="BW283" t="inlineStr">
        <is>
          <t>Cobranzas_2026.csv</t>
        </is>
      </c>
      <c r="BX283" t="n">
        <v>2026</v>
      </c>
      <c r="BY283" t="inlineStr">
        <is>
          <t>01/01/2024</t>
        </is>
      </c>
      <c r="BZ283" t="inlineStr">
        <is>
          <t>30/06/2031</t>
        </is>
      </c>
    </row>
    <row r="284">
      <c r="A284" t="inlineStr">
        <is>
          <t>RESIDENCIAL BEYOND</t>
        </is>
      </c>
      <c r="B284" t="inlineStr">
        <is>
          <t>Etapa 1</t>
        </is>
      </c>
      <c r="C284" t="inlineStr">
        <is>
          <t>Edificio</t>
        </is>
      </c>
      <c r="D284" t="inlineStr">
        <is>
          <t>A</t>
        </is>
      </c>
      <c r="E284" t="inlineStr">
        <is>
          <t>Departamento</t>
        </is>
      </c>
      <c r="F284" t="inlineStr">
        <is>
          <t>505</t>
        </is>
      </c>
      <c r="G284" s="39" t="n">
        <v>532100</v>
      </c>
      <c r="H284" s="39" t="n">
        <v>500000</v>
      </c>
      <c r="M284" s="39" t="n"/>
      <c r="N284" s="39" t="n"/>
      <c r="S284" s="39" t="n"/>
      <c r="T284" s="39" t="n"/>
      <c r="Y284" s="39" t="n"/>
      <c r="Z284" s="39" t="n"/>
      <c r="AA284" t="inlineStr">
        <is>
          <t>Dante Enrique Segura Florian</t>
        </is>
      </c>
      <c r="AB284" t="inlineStr">
        <is>
          <t xml:space="preserve">45587286		</t>
        </is>
      </c>
      <c r="AC284" t="inlineStr">
        <is>
          <t>1845 San Andres Dr Pitsburg CA 94565</t>
        </is>
      </c>
      <c r="AD284" t="n">
        <v>15103330517</v>
      </c>
      <c r="AE284" t="inlineStr">
        <is>
          <t>+15103330517</t>
        </is>
      </c>
      <c r="AF284" t="inlineStr">
        <is>
          <t xml:space="preserve">d.segura@uaa.edu		</t>
        </is>
      </c>
      <c r="AG284" t="inlineStr">
        <is>
          <t>LIMA</t>
        </is>
      </c>
      <c r="AH284" t="inlineStr">
        <is>
          <t>CERCADO DE LIMA</t>
        </is>
      </c>
      <c r="AI284" s="75" t="n">
        <v>46212</v>
      </c>
      <c r="AJ284" s="75" t="n"/>
      <c r="AK284" t="inlineStr">
        <is>
          <t>SALDO FINANCIAR</t>
        </is>
      </c>
      <c r="AL284" t="n">
        <v>1</v>
      </c>
      <c r="AM284" t="n">
        <v>55992</v>
      </c>
      <c r="AN284" t="n">
        <v>0</v>
      </c>
      <c r="AO284" t="n">
        <v>0</v>
      </c>
      <c r="AP284" s="39" t="n">
        <v>55992</v>
      </c>
      <c r="AQ284" s="39" t="n">
        <v>0</v>
      </c>
      <c r="AR284" s="39" t="n">
        <v>55992</v>
      </c>
      <c r="AT284" t="inlineStr">
        <is>
          <t>Crédito Directo</t>
        </is>
      </c>
      <c r="AZ284" t="inlineStr">
        <is>
          <t>No</t>
        </is>
      </c>
      <c r="BC284" t="inlineStr">
        <is>
          <t>PENDIENTE</t>
        </is>
      </c>
      <c r="BN284" t="inlineStr">
        <is>
          <t>No</t>
        </is>
      </c>
      <c r="BO284" s="76" t="n">
        <v>45386.40347222222</v>
      </c>
      <c r="BP284" t="inlineStr">
        <is>
          <t>Carla Michue M</t>
        </is>
      </c>
      <c r="BR284" t="n">
        <v>35</v>
      </c>
      <c r="BW284" t="inlineStr">
        <is>
          <t>Cobranzas_2026.csv</t>
        </is>
      </c>
      <c r="BX284" t="n">
        <v>2026</v>
      </c>
      <c r="BY284" t="inlineStr">
        <is>
          <t>01/01/2024</t>
        </is>
      </c>
      <c r="BZ284" t="inlineStr">
        <is>
          <t>30/06/2031</t>
        </is>
      </c>
    </row>
    <row r="285">
      <c r="A285" t="inlineStr">
        <is>
          <t>RESIDENCIAL BEYOND</t>
        </is>
      </c>
      <c r="B285" t="inlineStr">
        <is>
          <t>Etapa 1</t>
        </is>
      </c>
      <c r="C285" t="inlineStr">
        <is>
          <t>Edificio</t>
        </is>
      </c>
      <c r="D285" t="inlineStr">
        <is>
          <t>A</t>
        </is>
      </c>
      <c r="E285" t="inlineStr">
        <is>
          <t>Departamento</t>
        </is>
      </c>
      <c r="F285" t="inlineStr">
        <is>
          <t>505</t>
        </is>
      </c>
      <c r="G285" s="39" t="n">
        <v>532100</v>
      </c>
      <c r="H285" s="39" t="n">
        <v>500000</v>
      </c>
      <c r="M285" s="39" t="n"/>
      <c r="N285" s="39" t="n"/>
      <c r="S285" s="39" t="n"/>
      <c r="T285" s="39" t="n"/>
      <c r="Y285" s="39" t="n"/>
      <c r="Z285" s="39" t="n"/>
      <c r="AA285" t="inlineStr">
        <is>
          <t>Dante Enrique Segura Florian</t>
        </is>
      </c>
      <c r="AB285" t="inlineStr">
        <is>
          <t xml:space="preserve">45587286		</t>
        </is>
      </c>
      <c r="AC285" t="inlineStr">
        <is>
          <t>1845 San Andres Dr Pitsburg CA 94565</t>
        </is>
      </c>
      <c r="AD285" t="n">
        <v>15103330517</v>
      </c>
      <c r="AE285" t="inlineStr">
        <is>
          <t>+15103330517</t>
        </is>
      </c>
      <c r="AF285" t="inlineStr">
        <is>
          <t xml:space="preserve">d.segura@uaa.edu		</t>
        </is>
      </c>
      <c r="AG285" t="inlineStr">
        <is>
          <t>LIMA</t>
        </is>
      </c>
      <c r="AH285" t="inlineStr">
        <is>
          <t>CERCADO DE LIMA</t>
        </is>
      </c>
      <c r="AI285" s="75" t="n">
        <v>46243</v>
      </c>
      <c r="AJ285" s="75" t="n"/>
      <c r="AK285" t="inlineStr">
        <is>
          <t>SALDO FINANCIAR</t>
        </is>
      </c>
      <c r="AL285" t="n">
        <v>2</v>
      </c>
      <c r="AM285" t="n">
        <v>55992</v>
      </c>
      <c r="AN285" t="n">
        <v>0</v>
      </c>
      <c r="AO285" t="n">
        <v>0</v>
      </c>
      <c r="AP285" s="39" t="n">
        <v>55992</v>
      </c>
      <c r="AQ285" s="39" t="n">
        <v>0</v>
      </c>
      <c r="AR285" s="39" t="n">
        <v>55992</v>
      </c>
      <c r="AT285" t="inlineStr">
        <is>
          <t>Crédito Directo</t>
        </is>
      </c>
      <c r="AZ285" t="inlineStr">
        <is>
          <t>No</t>
        </is>
      </c>
      <c r="BC285" t="inlineStr">
        <is>
          <t>PENDIENTE</t>
        </is>
      </c>
      <c r="BN285" t="inlineStr">
        <is>
          <t>No</t>
        </is>
      </c>
      <c r="BO285" s="76" t="n">
        <v>45386.40347222222</v>
      </c>
      <c r="BP285" t="inlineStr">
        <is>
          <t>Carla Michue M</t>
        </is>
      </c>
      <c r="BR285" t="n">
        <v>35</v>
      </c>
      <c r="BW285" t="inlineStr">
        <is>
          <t>Cobranzas_2026.csv</t>
        </is>
      </c>
      <c r="BX285" t="n">
        <v>2026</v>
      </c>
      <c r="BY285" t="inlineStr">
        <is>
          <t>01/01/2024</t>
        </is>
      </c>
      <c r="BZ285" t="inlineStr">
        <is>
          <t>30/06/2031</t>
        </is>
      </c>
    </row>
    <row r="286">
      <c r="A286" t="inlineStr">
        <is>
          <t>RESIDENCIAL BEYOND</t>
        </is>
      </c>
      <c r="B286" t="inlineStr">
        <is>
          <t>Etapa 1</t>
        </is>
      </c>
      <c r="C286" t="inlineStr">
        <is>
          <t>Edificio</t>
        </is>
      </c>
      <c r="D286" t="inlineStr">
        <is>
          <t>A</t>
        </is>
      </c>
      <c r="E286" t="inlineStr">
        <is>
          <t>Departamento</t>
        </is>
      </c>
      <c r="F286" t="inlineStr">
        <is>
          <t>505</t>
        </is>
      </c>
      <c r="G286" s="39" t="n">
        <v>532100</v>
      </c>
      <c r="H286" s="39" t="n">
        <v>500000</v>
      </c>
      <c r="M286" s="39" t="n"/>
      <c r="N286" s="39" t="n"/>
      <c r="S286" s="39" t="n"/>
      <c r="T286" s="39" t="n"/>
      <c r="Y286" s="39" t="n"/>
      <c r="Z286" s="39" t="n"/>
      <c r="AA286" t="inlineStr">
        <is>
          <t>Dante Enrique Segura Florian</t>
        </is>
      </c>
      <c r="AB286" t="inlineStr">
        <is>
          <t xml:space="preserve">45587286		</t>
        </is>
      </c>
      <c r="AC286" t="inlineStr">
        <is>
          <t>1845 San Andres Dr Pitsburg CA 94565</t>
        </is>
      </c>
      <c r="AD286" t="n">
        <v>15103330517</v>
      </c>
      <c r="AE286" t="inlineStr">
        <is>
          <t>+15103330517</t>
        </is>
      </c>
      <c r="AF286" t="inlineStr">
        <is>
          <t xml:space="preserve">d.segura@uaa.edu		</t>
        </is>
      </c>
      <c r="AG286" t="inlineStr">
        <is>
          <t>LIMA</t>
        </is>
      </c>
      <c r="AH286" t="inlineStr">
        <is>
          <t>CERCADO DE LIMA</t>
        </is>
      </c>
      <c r="AI286" s="75" t="n">
        <v>46274</v>
      </c>
      <c r="AJ286" s="75" t="n"/>
      <c r="AK286" t="inlineStr">
        <is>
          <t>SALDO FINANCIAR</t>
        </is>
      </c>
      <c r="AL286" t="n">
        <v>3</v>
      </c>
      <c r="AM286" t="n">
        <v>55992</v>
      </c>
      <c r="AN286" t="n">
        <v>0</v>
      </c>
      <c r="AO286" t="n">
        <v>0</v>
      </c>
      <c r="AP286" s="39" t="n">
        <v>55992</v>
      </c>
      <c r="AQ286" s="39" t="n">
        <v>0</v>
      </c>
      <c r="AR286" s="39" t="n">
        <v>55992</v>
      </c>
      <c r="AT286" t="inlineStr">
        <is>
          <t>Crédito Directo</t>
        </is>
      </c>
      <c r="AZ286" t="inlineStr">
        <is>
          <t>No</t>
        </is>
      </c>
      <c r="BC286" t="inlineStr">
        <is>
          <t>PENDIENTE</t>
        </is>
      </c>
      <c r="BN286" t="inlineStr">
        <is>
          <t>No</t>
        </is>
      </c>
      <c r="BO286" s="76" t="n">
        <v>45386.40347222222</v>
      </c>
      <c r="BP286" t="inlineStr">
        <is>
          <t>Carla Michue M</t>
        </is>
      </c>
      <c r="BR286" t="n">
        <v>35</v>
      </c>
      <c r="BW286" t="inlineStr">
        <is>
          <t>Cobranzas_2026.csv</t>
        </is>
      </c>
      <c r="BX286" t="n">
        <v>2026</v>
      </c>
      <c r="BY286" t="inlineStr">
        <is>
          <t>01/01/2024</t>
        </is>
      </c>
      <c r="BZ286" t="inlineStr">
        <is>
          <t>30/06/2031</t>
        </is>
      </c>
    </row>
    <row r="287">
      <c r="A287" t="inlineStr">
        <is>
          <t>RESIDENCIAL BEYOND</t>
        </is>
      </c>
      <c r="B287" t="inlineStr">
        <is>
          <t>Etapa 1</t>
        </is>
      </c>
      <c r="C287" t="inlineStr">
        <is>
          <t>Edificio</t>
        </is>
      </c>
      <c r="D287" t="inlineStr">
        <is>
          <t>A</t>
        </is>
      </c>
      <c r="E287" t="inlineStr">
        <is>
          <t>Departamento</t>
        </is>
      </c>
      <c r="F287" t="inlineStr">
        <is>
          <t>505</t>
        </is>
      </c>
      <c r="G287" s="39" t="n">
        <v>532100</v>
      </c>
      <c r="H287" s="39" t="n">
        <v>500000</v>
      </c>
      <c r="M287" s="39" t="n"/>
      <c r="N287" s="39" t="n"/>
      <c r="S287" s="39" t="n"/>
      <c r="T287" s="39" t="n"/>
      <c r="Y287" s="39" t="n"/>
      <c r="Z287" s="39" t="n"/>
      <c r="AA287" t="inlineStr">
        <is>
          <t>Dante Enrique Segura Florian</t>
        </is>
      </c>
      <c r="AB287" t="inlineStr">
        <is>
          <t xml:space="preserve">45587286		</t>
        </is>
      </c>
      <c r="AC287" t="inlineStr">
        <is>
          <t>1845 San Andres Dr Pitsburg CA 94565</t>
        </is>
      </c>
      <c r="AD287" t="n">
        <v>15103330517</v>
      </c>
      <c r="AE287" t="inlineStr">
        <is>
          <t>+15103330517</t>
        </is>
      </c>
      <c r="AF287" t="inlineStr">
        <is>
          <t xml:space="preserve">d.segura@uaa.edu		</t>
        </is>
      </c>
      <c r="AG287" t="inlineStr">
        <is>
          <t>LIMA</t>
        </is>
      </c>
      <c r="AH287" t="inlineStr">
        <is>
          <t>CERCADO DE LIMA</t>
        </is>
      </c>
      <c r="AI287" s="75" t="n">
        <v>46304</v>
      </c>
      <c r="AJ287" s="75" t="n"/>
      <c r="AK287" t="inlineStr">
        <is>
          <t>SALDO FINANCIAR</t>
        </is>
      </c>
      <c r="AL287" t="n">
        <v>4</v>
      </c>
      <c r="AM287" t="n">
        <v>55992</v>
      </c>
      <c r="AN287" t="n">
        <v>0</v>
      </c>
      <c r="AO287" t="n">
        <v>0</v>
      </c>
      <c r="AP287" s="39" t="n">
        <v>55992</v>
      </c>
      <c r="AQ287" s="39" t="n">
        <v>0</v>
      </c>
      <c r="AR287" s="39" t="n">
        <v>55992</v>
      </c>
      <c r="AT287" t="inlineStr">
        <is>
          <t>Crédito Directo</t>
        </is>
      </c>
      <c r="AZ287" t="inlineStr">
        <is>
          <t>No</t>
        </is>
      </c>
      <c r="BC287" t="inlineStr">
        <is>
          <t>PENDIENTE</t>
        </is>
      </c>
      <c r="BN287" t="inlineStr">
        <is>
          <t>No</t>
        </is>
      </c>
      <c r="BO287" s="76" t="n">
        <v>45386.40347222222</v>
      </c>
      <c r="BP287" t="inlineStr">
        <is>
          <t>Carla Michue M</t>
        </is>
      </c>
      <c r="BR287" t="n">
        <v>35</v>
      </c>
      <c r="BW287" t="inlineStr">
        <is>
          <t>Cobranzas_2026.csv</t>
        </is>
      </c>
      <c r="BX287" t="n">
        <v>2026</v>
      </c>
      <c r="BY287" t="inlineStr">
        <is>
          <t>01/01/2024</t>
        </is>
      </c>
      <c r="BZ287" t="inlineStr">
        <is>
          <t>30/06/2031</t>
        </is>
      </c>
    </row>
    <row r="288">
      <c r="A288" t="inlineStr">
        <is>
          <t>RESIDENCIAL BEYOND</t>
        </is>
      </c>
      <c r="B288" t="inlineStr">
        <is>
          <t>Etapa 1</t>
        </is>
      </c>
      <c r="C288" t="inlineStr">
        <is>
          <t>Edificio</t>
        </is>
      </c>
      <c r="D288" t="inlineStr">
        <is>
          <t>A</t>
        </is>
      </c>
      <c r="E288" t="inlineStr">
        <is>
          <t>Departamento</t>
        </is>
      </c>
      <c r="F288" t="inlineStr">
        <is>
          <t>505</t>
        </is>
      </c>
      <c r="G288" s="39" t="n">
        <v>532100</v>
      </c>
      <c r="H288" s="39" t="n">
        <v>500000</v>
      </c>
      <c r="M288" s="39" t="n"/>
      <c r="N288" s="39" t="n"/>
      <c r="S288" s="39" t="n"/>
      <c r="T288" s="39" t="n"/>
      <c r="Y288" s="39" t="n"/>
      <c r="Z288" s="39" t="n"/>
      <c r="AA288" t="inlineStr">
        <is>
          <t>Dante Enrique Segura Florian</t>
        </is>
      </c>
      <c r="AB288" t="inlineStr">
        <is>
          <t xml:space="preserve">45587286		</t>
        </is>
      </c>
      <c r="AC288" t="inlineStr">
        <is>
          <t>1845 San Andres Dr Pitsburg CA 94565</t>
        </is>
      </c>
      <c r="AD288" t="n">
        <v>15103330517</v>
      </c>
      <c r="AE288" t="inlineStr">
        <is>
          <t>+15103330517</t>
        </is>
      </c>
      <c r="AF288" t="inlineStr">
        <is>
          <t xml:space="preserve">d.segura@uaa.edu		</t>
        </is>
      </c>
      <c r="AG288" t="inlineStr">
        <is>
          <t>LIMA</t>
        </is>
      </c>
      <c r="AH288" t="inlineStr">
        <is>
          <t>CERCADO DE LIMA</t>
        </is>
      </c>
      <c r="AI288" s="75" t="n">
        <v>46335</v>
      </c>
      <c r="AJ288" s="75" t="n"/>
      <c r="AK288" t="inlineStr">
        <is>
          <t>SALDO FINANCIAR</t>
        </is>
      </c>
      <c r="AL288" t="n">
        <v>5</v>
      </c>
      <c r="AM288" t="n">
        <v>55992</v>
      </c>
      <c r="AN288" t="n">
        <v>0</v>
      </c>
      <c r="AO288" t="n">
        <v>0</v>
      </c>
      <c r="AP288" s="39" t="n">
        <v>55992</v>
      </c>
      <c r="AQ288" s="39" t="n">
        <v>0</v>
      </c>
      <c r="AR288" s="39" t="n">
        <v>55992</v>
      </c>
      <c r="AT288" t="inlineStr">
        <is>
          <t>Crédito Directo</t>
        </is>
      </c>
      <c r="AZ288" t="inlineStr">
        <is>
          <t>No</t>
        </is>
      </c>
      <c r="BC288" t="inlineStr">
        <is>
          <t>PENDIENTE</t>
        </is>
      </c>
      <c r="BN288" t="inlineStr">
        <is>
          <t>No</t>
        </is>
      </c>
      <c r="BO288" s="76" t="n">
        <v>45386.40347222222</v>
      </c>
      <c r="BP288" t="inlineStr">
        <is>
          <t>Carla Michue M</t>
        </is>
      </c>
      <c r="BR288" t="n">
        <v>35</v>
      </c>
      <c r="BW288" t="inlineStr">
        <is>
          <t>Cobranzas_2026.csv</t>
        </is>
      </c>
      <c r="BX288" t="n">
        <v>2026</v>
      </c>
      <c r="BY288" t="inlineStr">
        <is>
          <t>01/01/2024</t>
        </is>
      </c>
      <c r="BZ288" t="inlineStr">
        <is>
          <t>30/06/2031</t>
        </is>
      </c>
    </row>
    <row r="289">
      <c r="A289" t="inlineStr">
        <is>
          <t>RESIDENCIAL PRADA</t>
        </is>
      </c>
      <c r="B289" t="inlineStr">
        <is>
          <t>Etapa 1</t>
        </is>
      </c>
      <c r="C289" t="inlineStr">
        <is>
          <t>Edificio</t>
        </is>
      </c>
      <c r="D289" t="inlineStr">
        <is>
          <t>A</t>
        </is>
      </c>
      <c r="E289" t="inlineStr">
        <is>
          <t>Departamento</t>
        </is>
      </c>
      <c r="F289" t="inlineStr">
        <is>
          <t>703</t>
        </is>
      </c>
      <c r="G289" s="39" t="n">
        <v>654000</v>
      </c>
      <c r="H289" s="39" t="n">
        <v>654000</v>
      </c>
      <c r="I289" t="inlineStr">
        <is>
          <t>Edificio</t>
        </is>
      </c>
      <c r="J289" t="inlineStr">
        <is>
          <t>A</t>
        </is>
      </c>
      <c r="K289" t="inlineStr">
        <is>
          <t>Estacionamiento</t>
        </is>
      </c>
      <c r="L289" t="inlineStr">
        <is>
          <t>E 06 - D 04</t>
        </is>
      </c>
      <c r="M289" s="39" t="n">
        <v>57500</v>
      </c>
      <c r="N289" s="39" t="n">
        <v>57500</v>
      </c>
      <c r="S289" s="39" t="n"/>
      <c r="T289" s="39" t="n"/>
      <c r="Y289" s="39" t="n"/>
      <c r="Z289" s="39" t="n"/>
      <c r="AA289" t="inlineStr">
        <is>
          <t xml:space="preserve">David Edgar Valencia Cordova </t>
        </is>
      </c>
      <c r="AB289" t="inlineStr">
        <is>
          <t>41844906</t>
        </is>
      </c>
      <c r="AC289" t="inlineStr">
        <is>
          <t>P. Joven Año Nuevo Jr. Montero Rosas 860</t>
        </is>
      </c>
      <c r="AD289" t="n">
        <v>991846561</v>
      </c>
      <c r="AE289" t="inlineStr">
        <is>
          <t>991846561</t>
        </is>
      </c>
      <c r="AF289" t="inlineStr">
        <is>
          <t>davico29@gmail.com</t>
        </is>
      </c>
      <c r="AG289" t="inlineStr">
        <is>
          <t>LIMA</t>
        </is>
      </c>
      <c r="AH289" t="inlineStr">
        <is>
          <t>COMAS</t>
        </is>
      </c>
      <c r="AI289" s="75" t="n">
        <v>46052</v>
      </c>
      <c r="AJ289" s="75" t="n">
        <v>46043</v>
      </c>
      <c r="AK289" t="inlineStr">
        <is>
          <t>SALDO FINANCIAR</t>
        </is>
      </c>
      <c r="AL289" t="n">
        <v>12</v>
      </c>
      <c r="AM289" t="n">
        <v>34750</v>
      </c>
      <c r="AN289" t="n">
        <v>0</v>
      </c>
      <c r="AO289" t="n">
        <v>0</v>
      </c>
      <c r="AP289" s="39" t="n">
        <v>34750</v>
      </c>
      <c r="AQ289" s="39" t="n">
        <v>34750</v>
      </c>
      <c r="AR289" s="39" t="n">
        <v>0</v>
      </c>
      <c r="AS289" t="n">
        <v>0</v>
      </c>
      <c r="AT289" t="inlineStr">
        <is>
          <t>Crédito Hipotecario</t>
        </is>
      </c>
      <c r="AU289" t="inlineStr">
        <is>
          <t>Scotiabank Perú</t>
        </is>
      </c>
      <c r="AV289" t="inlineStr">
        <is>
          <t>000-2768484</t>
        </is>
      </c>
      <c r="AW289" t="inlineStr">
        <is>
          <t>TRANSFERENCIA BANCARIA</t>
        </is>
      </c>
      <c r="AX289" t="n">
        <v>41844906</v>
      </c>
      <c r="AY289" t="inlineStr">
        <is>
          <t>503251</t>
        </is>
      </c>
      <c r="AZ289" t="inlineStr">
        <is>
          <t>No</t>
        </is>
      </c>
      <c r="BA289" t="inlineStr">
        <is>
          <t>NO PRECISA</t>
        </is>
      </c>
      <c r="BB289" t="n">
        <v>4</v>
      </c>
      <c r="BC289" t="inlineStr">
        <is>
          <t>CANCELADO</t>
        </is>
      </c>
      <c r="BN289" t="inlineStr">
        <is>
          <t>Si</t>
        </is>
      </c>
      <c r="BO289" s="76" t="n">
        <v>45687.61736111111</v>
      </c>
      <c r="BP289" t="inlineStr">
        <is>
          <t>Kenny Salazar S</t>
        </is>
      </c>
      <c r="BR289" t="n">
        <v>38</v>
      </c>
      <c r="BS289" t="inlineStr">
        <is>
          <t>05/06/2026 11:16</t>
        </is>
      </c>
      <c r="BW289" t="inlineStr">
        <is>
          <t>Cobranzas_2026.csv</t>
        </is>
      </c>
      <c r="BX289" t="n">
        <v>2026</v>
      </c>
      <c r="BY289" t="inlineStr">
        <is>
          <t>01/01/2024</t>
        </is>
      </c>
      <c r="BZ289" t="inlineStr">
        <is>
          <t>30/06/2031</t>
        </is>
      </c>
    </row>
    <row r="290">
      <c r="A290" t="inlineStr">
        <is>
          <t>RESIDENCIAL PRADA</t>
        </is>
      </c>
      <c r="B290" t="inlineStr">
        <is>
          <t>Etapa 1</t>
        </is>
      </c>
      <c r="C290" t="inlineStr">
        <is>
          <t>Edificio</t>
        </is>
      </c>
      <c r="D290" t="inlineStr">
        <is>
          <t>A</t>
        </is>
      </c>
      <c r="E290" t="inlineStr">
        <is>
          <t>Departamento</t>
        </is>
      </c>
      <c r="F290" t="inlineStr">
        <is>
          <t>801</t>
        </is>
      </c>
      <c r="G290" s="39" t="n">
        <v>630000</v>
      </c>
      <c r="H290" s="39" t="n">
        <v>630000</v>
      </c>
      <c r="M290" s="39" t="n"/>
      <c r="N290" s="39" t="n"/>
      <c r="S290" s="39" t="n"/>
      <c r="T290" s="39" t="n"/>
      <c r="Y290" s="39" t="n"/>
      <c r="Z290" s="39" t="n"/>
      <c r="AA290" t="inlineStr">
        <is>
          <t>Denisse Estela Linares Suarez</t>
        </is>
      </c>
      <c r="AB290" t="inlineStr">
        <is>
          <t>44457800</t>
        </is>
      </c>
      <c r="AC290" t="inlineStr">
        <is>
          <t>Jr. Zorritos 1399 – Block 37 Dpto. 201 - Cercado Lima</t>
        </is>
      </c>
      <c r="AD290" t="n">
        <v>991810339</v>
      </c>
      <c r="AE290" t="inlineStr">
        <is>
          <t>991810339</t>
        </is>
      </c>
      <c r="AF290" t="inlineStr">
        <is>
          <t>dlinaressuarez@gmail.com</t>
        </is>
      </c>
      <c r="AG290" t="inlineStr">
        <is>
          <t>LIMA</t>
        </is>
      </c>
      <c r="AH290" t="inlineStr">
        <is>
          <t>CERCADO DE LIMA</t>
        </is>
      </c>
      <c r="AI290" s="75" t="n">
        <v>46081</v>
      </c>
      <c r="AJ290" s="75" t="n">
        <v>46053</v>
      </c>
      <c r="AK290" t="inlineStr">
        <is>
          <t>SALDO FINANCIAR</t>
        </is>
      </c>
      <c r="AL290" t="n">
        <v>1</v>
      </c>
      <c r="AM290" t="n">
        <v>504000</v>
      </c>
      <c r="AN290" t="n">
        <v>0</v>
      </c>
      <c r="AO290" t="n">
        <v>0</v>
      </c>
      <c r="AP290" s="39" t="n">
        <v>504000</v>
      </c>
      <c r="AQ290" s="39" t="n">
        <v>504000</v>
      </c>
      <c r="AR290" s="39" t="n">
        <v>0</v>
      </c>
      <c r="AS290" t="n">
        <v>0</v>
      </c>
      <c r="AT290" t="inlineStr">
        <is>
          <t>Ahorro</t>
        </is>
      </c>
      <c r="AU290" t="inlineStr">
        <is>
          <t>Scotiabank Perú</t>
        </is>
      </c>
      <c r="AV290" t="inlineStr">
        <is>
          <t>000-2768484</t>
        </is>
      </c>
      <c r="AW290" t="inlineStr">
        <is>
          <t>TRANSFERENCIA BANCARIA</t>
        </is>
      </c>
      <c r="AY290" t="inlineStr">
        <is>
          <t>02708000033</t>
        </is>
      </c>
      <c r="AZ290" t="inlineStr">
        <is>
          <t>No</t>
        </is>
      </c>
      <c r="BB290" t="n">
        <v>4</v>
      </c>
      <c r="BC290" t="inlineStr">
        <is>
          <t>CANCELADO</t>
        </is>
      </c>
      <c r="BN290" t="inlineStr">
        <is>
          <t>Si</t>
        </is>
      </c>
      <c r="BO290" s="76" t="n">
        <v>45880.51319444444</v>
      </c>
      <c r="BP290" t="inlineStr">
        <is>
          <t>Kenny Salazar S</t>
        </is>
      </c>
      <c r="BR290" t="n">
        <v>44</v>
      </c>
      <c r="BS290" t="inlineStr">
        <is>
          <t>07/07/2026 12:18</t>
        </is>
      </c>
      <c r="BW290" t="inlineStr">
        <is>
          <t>Cobranzas_2026.csv</t>
        </is>
      </c>
      <c r="BX290" t="n">
        <v>2026</v>
      </c>
      <c r="BY290" t="inlineStr">
        <is>
          <t>01/01/2024</t>
        </is>
      </c>
      <c r="BZ290" t="inlineStr">
        <is>
          <t>30/06/2031</t>
        </is>
      </c>
    </row>
    <row r="291">
      <c r="A291" t="inlineStr">
        <is>
          <t>RESIDENCIAL BEYOND</t>
        </is>
      </c>
      <c r="B291" t="inlineStr">
        <is>
          <t>Etapa 1</t>
        </is>
      </c>
      <c r="C291" t="inlineStr">
        <is>
          <t>Edificio</t>
        </is>
      </c>
      <c r="D291" t="inlineStr">
        <is>
          <t>A</t>
        </is>
      </c>
      <c r="E291" t="inlineStr">
        <is>
          <t>Departamento</t>
        </is>
      </c>
      <c r="F291" t="inlineStr">
        <is>
          <t>1202</t>
        </is>
      </c>
      <c r="G291" s="39" t="n">
        <v>422000</v>
      </c>
      <c r="H291" s="39" t="n">
        <v>370000</v>
      </c>
      <c r="M291" s="39" t="n"/>
      <c r="N291" s="39" t="n"/>
      <c r="S291" s="39" t="n"/>
      <c r="T291" s="39" t="n"/>
      <c r="Y291" s="39" t="n"/>
      <c r="Z291" s="39" t="n"/>
      <c r="AA291" t="inlineStr">
        <is>
          <t>Diana Carolina Asmat Cuno</t>
        </is>
      </c>
      <c r="AB291" t="inlineStr">
        <is>
          <t>47198881</t>
        </is>
      </c>
      <c r="AC291" t="inlineStr">
        <is>
          <t>Jr. Las Cidras 684 Coop Las Flores</t>
        </is>
      </c>
      <c r="AD291" t="n">
        <v>0</v>
      </c>
      <c r="AE291" t="inlineStr">
        <is>
          <t>+61451852811</t>
        </is>
      </c>
      <c r="AF291" t="inlineStr">
        <is>
          <t>ianikro@outlook.com</t>
        </is>
      </c>
      <c r="AG291" t="inlineStr">
        <is>
          <t>LIMA</t>
        </is>
      </c>
      <c r="AH291" t="inlineStr">
        <is>
          <t>SAN JUAN DE LURIGANCHO</t>
        </is>
      </c>
      <c r="AI291" s="75" t="n">
        <v>46027</v>
      </c>
      <c r="AJ291" s="75" t="n">
        <v>46027</v>
      </c>
      <c r="AK291" t="inlineStr">
        <is>
          <t>SEPARACION</t>
        </is>
      </c>
      <c r="AL291" t="n">
        <v>1</v>
      </c>
      <c r="AM291" t="n">
        <v>5000</v>
      </c>
      <c r="AN291" t="n">
        <v>0</v>
      </c>
      <c r="AO291" t="n">
        <v>0</v>
      </c>
      <c r="AP291" s="39" t="n">
        <v>5000</v>
      </c>
      <c r="AQ291" s="39" t="n">
        <v>5000</v>
      </c>
      <c r="AR291" s="39" t="n">
        <v>0</v>
      </c>
      <c r="AS291" t="n">
        <v>0</v>
      </c>
      <c r="AT291" t="inlineStr">
        <is>
          <t>Crédito Directo</t>
        </is>
      </c>
      <c r="AU291" t="inlineStr">
        <is>
          <t>Banco de Credito del Perú</t>
        </is>
      </c>
      <c r="AV291" t="inlineStr">
        <is>
          <t>194-7325779-0-65</t>
        </is>
      </c>
      <c r="AW291" t="inlineStr">
        <is>
          <t>TRANSFERENCIA BANCARIA</t>
        </is>
      </c>
      <c r="AY291" t="inlineStr">
        <is>
          <t>03758507</t>
        </is>
      </c>
      <c r="AZ291" t="inlineStr">
        <is>
          <t>No</t>
        </is>
      </c>
      <c r="BB291" t="n">
        <v>4</v>
      </c>
      <c r="BC291" t="inlineStr">
        <is>
          <t>CANCELADO</t>
        </is>
      </c>
      <c r="BN291" t="inlineStr">
        <is>
          <t>No</t>
        </is>
      </c>
      <c r="BO291" s="76" t="n">
        <v>46079.4375</v>
      </c>
      <c r="BP291" t="inlineStr">
        <is>
          <t>Magaly Guevara Perez</t>
        </is>
      </c>
      <c r="BR291" t="n">
        <v>15</v>
      </c>
      <c r="BS291" t="inlineStr">
        <is>
          <t>23/05/2026 21:55</t>
        </is>
      </c>
      <c r="BW291" t="inlineStr">
        <is>
          <t>Cobranzas_2026.csv</t>
        </is>
      </c>
      <c r="BX291" t="n">
        <v>2026</v>
      </c>
      <c r="BY291" t="inlineStr">
        <is>
          <t>01/01/2024</t>
        </is>
      </c>
      <c r="BZ291" t="inlineStr">
        <is>
          <t>30/06/2031</t>
        </is>
      </c>
    </row>
    <row r="292">
      <c r="A292" t="inlineStr">
        <is>
          <t>RESIDENCIAL BEYOND</t>
        </is>
      </c>
      <c r="B292" t="inlineStr">
        <is>
          <t>Etapa 1</t>
        </is>
      </c>
      <c r="C292" t="inlineStr">
        <is>
          <t>Edificio</t>
        </is>
      </c>
      <c r="D292" t="inlineStr">
        <is>
          <t>A</t>
        </is>
      </c>
      <c r="E292" t="inlineStr">
        <is>
          <t>Departamento</t>
        </is>
      </c>
      <c r="F292" t="inlineStr">
        <is>
          <t>1202</t>
        </is>
      </c>
      <c r="G292" s="39" t="n">
        <v>422000</v>
      </c>
      <c r="H292" s="39" t="n">
        <v>370000</v>
      </c>
      <c r="M292" s="39" t="n"/>
      <c r="N292" s="39" t="n"/>
      <c r="S292" s="39" t="n"/>
      <c r="T292" s="39" t="n"/>
      <c r="Y292" s="39" t="n"/>
      <c r="Z292" s="39" t="n"/>
      <c r="AA292" t="inlineStr">
        <is>
          <t>Diana Carolina Asmat Cuno</t>
        </is>
      </c>
      <c r="AB292" t="inlineStr">
        <is>
          <t>47198881</t>
        </is>
      </c>
      <c r="AC292" t="inlineStr">
        <is>
          <t>Jr. Las Cidras 684 Coop Las Flores</t>
        </is>
      </c>
      <c r="AD292" t="n">
        <v>0</v>
      </c>
      <c r="AE292" t="inlineStr">
        <is>
          <t>+61451852811</t>
        </is>
      </c>
      <c r="AF292" t="inlineStr">
        <is>
          <t>ianikro@outlook.com</t>
        </is>
      </c>
      <c r="AG292" t="inlineStr">
        <is>
          <t>LIMA</t>
        </is>
      </c>
      <c r="AH292" t="inlineStr">
        <is>
          <t>SAN JUAN DE LURIGANCHO</t>
        </is>
      </c>
      <c r="AI292" s="75" t="n">
        <v>46079</v>
      </c>
      <c r="AJ292" s="75" t="n">
        <v>46079</v>
      </c>
      <c r="AK292" t="inlineStr">
        <is>
          <t>CUOTA INICIAL</t>
        </is>
      </c>
      <c r="AL292" t="n">
        <v>1</v>
      </c>
      <c r="AM292" t="n">
        <v>5000</v>
      </c>
      <c r="AN292" t="n">
        <v>0</v>
      </c>
      <c r="AO292" t="n">
        <v>0</v>
      </c>
      <c r="AP292" s="39" t="n">
        <v>5000</v>
      </c>
      <c r="AQ292" s="39" t="n">
        <v>5000</v>
      </c>
      <c r="AR292" s="39" t="n">
        <v>0</v>
      </c>
      <c r="AS292" t="n">
        <v>0</v>
      </c>
      <c r="AT292" t="inlineStr">
        <is>
          <t>Crédito Directo</t>
        </is>
      </c>
      <c r="AU292" t="inlineStr">
        <is>
          <t>Banco de Credito del Perú</t>
        </is>
      </c>
      <c r="AV292" t="inlineStr">
        <is>
          <t>194-7325779-0-65</t>
        </is>
      </c>
      <c r="AW292" t="inlineStr">
        <is>
          <t>TRANSFERENCIA BANCARIA</t>
        </is>
      </c>
      <c r="AY292" t="inlineStr">
        <is>
          <t>05503990</t>
        </is>
      </c>
      <c r="AZ292" t="inlineStr">
        <is>
          <t>No</t>
        </is>
      </c>
      <c r="BB292" t="n">
        <v>4</v>
      </c>
      <c r="BC292" t="inlineStr">
        <is>
          <t>CANCELADO</t>
        </is>
      </c>
      <c r="BN292" t="inlineStr">
        <is>
          <t>No</t>
        </is>
      </c>
      <c r="BO292" s="76" t="n">
        <v>46079.4375</v>
      </c>
      <c r="BP292" t="inlineStr">
        <is>
          <t>Magaly Guevara Perez</t>
        </is>
      </c>
      <c r="BR292" t="n">
        <v>15</v>
      </c>
      <c r="BS292" t="inlineStr">
        <is>
          <t>23/05/2026 22:02</t>
        </is>
      </c>
      <c r="BW292" t="inlineStr">
        <is>
          <t>Cobranzas_2026.csv</t>
        </is>
      </c>
      <c r="BX292" t="n">
        <v>2026</v>
      </c>
      <c r="BY292" t="inlineStr">
        <is>
          <t>01/01/2024</t>
        </is>
      </c>
      <c r="BZ292" t="inlineStr">
        <is>
          <t>30/06/2031</t>
        </is>
      </c>
    </row>
    <row r="293">
      <c r="A293" t="inlineStr">
        <is>
          <t>RESIDENCIAL BEYOND</t>
        </is>
      </c>
      <c r="B293" t="inlineStr">
        <is>
          <t>Etapa 1</t>
        </is>
      </c>
      <c r="C293" t="inlineStr">
        <is>
          <t>Edificio</t>
        </is>
      </c>
      <c r="D293" t="inlineStr">
        <is>
          <t>A</t>
        </is>
      </c>
      <c r="E293" t="inlineStr">
        <is>
          <t>Departamento</t>
        </is>
      </c>
      <c r="F293" t="inlineStr">
        <is>
          <t>1202</t>
        </is>
      </c>
      <c r="G293" s="39" t="n">
        <v>422000</v>
      </c>
      <c r="H293" s="39" t="n">
        <v>370000</v>
      </c>
      <c r="M293" s="39" t="n"/>
      <c r="N293" s="39" t="n"/>
      <c r="S293" s="39" t="n"/>
      <c r="T293" s="39" t="n"/>
      <c r="Y293" s="39" t="n"/>
      <c r="Z293" s="39" t="n"/>
      <c r="AA293" t="inlineStr">
        <is>
          <t>Diana Carolina Asmat Cuno</t>
        </is>
      </c>
      <c r="AB293" t="inlineStr">
        <is>
          <t>47198881</t>
        </is>
      </c>
      <c r="AC293" t="inlineStr">
        <is>
          <t>Jr. Las Cidras 684 Coop Las Flores</t>
        </is>
      </c>
      <c r="AD293" t="n">
        <v>0</v>
      </c>
      <c r="AE293" t="inlineStr">
        <is>
          <t>+61451852811</t>
        </is>
      </c>
      <c r="AF293" t="inlineStr">
        <is>
          <t>ianikro@outlook.com</t>
        </is>
      </c>
      <c r="AG293" t="inlineStr">
        <is>
          <t>LIMA</t>
        </is>
      </c>
      <c r="AH293" t="inlineStr">
        <is>
          <t>SAN JUAN DE LURIGANCHO</t>
        </is>
      </c>
      <c r="AI293" s="75" t="n">
        <v>46132</v>
      </c>
      <c r="AJ293" s="75" t="n">
        <v>46132</v>
      </c>
      <c r="AK293" t="inlineStr">
        <is>
          <t>CUOTA INICIAL</t>
        </is>
      </c>
      <c r="AL293" t="n">
        <v>2</v>
      </c>
      <c r="AM293" t="n">
        <v>20000</v>
      </c>
      <c r="AN293" t="n">
        <v>0</v>
      </c>
      <c r="AO293" t="n">
        <v>0</v>
      </c>
      <c r="AP293" s="39" t="n">
        <v>20000</v>
      </c>
      <c r="AQ293" s="39" t="n">
        <v>20000</v>
      </c>
      <c r="AR293" s="39" t="n">
        <v>0</v>
      </c>
      <c r="AS293" t="n">
        <v>0</v>
      </c>
      <c r="AT293" t="inlineStr">
        <is>
          <t>Crédito Directo</t>
        </is>
      </c>
      <c r="AU293" t="inlineStr">
        <is>
          <t>Banco de Credito del Perú</t>
        </is>
      </c>
      <c r="AV293" t="inlineStr">
        <is>
          <t>194-7325779-0-65</t>
        </is>
      </c>
      <c r="AW293" t="inlineStr">
        <is>
          <t>TRANSFERENCIA BANCARIA</t>
        </is>
      </c>
      <c r="AY293" t="inlineStr">
        <is>
          <t>06610290</t>
        </is>
      </c>
      <c r="AZ293" t="inlineStr">
        <is>
          <t>No</t>
        </is>
      </c>
      <c r="BB293" t="n">
        <v>4</v>
      </c>
      <c r="BC293" t="inlineStr">
        <is>
          <t>CANCELADO</t>
        </is>
      </c>
      <c r="BN293" t="inlineStr">
        <is>
          <t>No</t>
        </is>
      </c>
      <c r="BO293" s="76" t="n">
        <v>46079.4375</v>
      </c>
      <c r="BP293" t="inlineStr">
        <is>
          <t>Magaly Guevara Perez</t>
        </is>
      </c>
      <c r="BR293" t="n">
        <v>15</v>
      </c>
      <c r="BS293" t="inlineStr">
        <is>
          <t>23/05/2026 22:03</t>
        </is>
      </c>
      <c r="BW293" t="inlineStr">
        <is>
          <t>Cobranzas_2026.csv</t>
        </is>
      </c>
      <c r="BX293" t="n">
        <v>2026</v>
      </c>
      <c r="BY293" t="inlineStr">
        <is>
          <t>01/01/2024</t>
        </is>
      </c>
      <c r="BZ293" t="inlineStr">
        <is>
          <t>30/06/2031</t>
        </is>
      </c>
    </row>
    <row r="294">
      <c r="A294" t="inlineStr">
        <is>
          <t>RESIDENCIAL BEYOND</t>
        </is>
      </c>
      <c r="B294" t="inlineStr">
        <is>
          <t>Etapa 1</t>
        </is>
      </c>
      <c r="C294" t="inlineStr">
        <is>
          <t>Edificio</t>
        </is>
      </c>
      <c r="D294" t="inlineStr">
        <is>
          <t>A</t>
        </is>
      </c>
      <c r="E294" t="inlineStr">
        <is>
          <t>Departamento</t>
        </is>
      </c>
      <c r="F294" t="inlineStr">
        <is>
          <t>1202</t>
        </is>
      </c>
      <c r="G294" s="39" t="n">
        <v>422000</v>
      </c>
      <c r="H294" s="39" t="n">
        <v>370000</v>
      </c>
      <c r="M294" s="39" t="n"/>
      <c r="N294" s="39" t="n"/>
      <c r="S294" s="39" t="n"/>
      <c r="T294" s="39" t="n"/>
      <c r="Y294" s="39" t="n"/>
      <c r="Z294" s="39" t="n"/>
      <c r="AA294" t="inlineStr">
        <is>
          <t>Diana Carolina Asmat Cuno</t>
        </is>
      </c>
      <c r="AB294" t="inlineStr">
        <is>
          <t>47198881</t>
        </is>
      </c>
      <c r="AC294" t="inlineStr">
        <is>
          <t>Jr. Las Cidras 684 Coop Las Flores</t>
        </is>
      </c>
      <c r="AD294" t="n">
        <v>0</v>
      </c>
      <c r="AE294" t="inlineStr">
        <is>
          <t>+61451852811</t>
        </is>
      </c>
      <c r="AF294" t="inlineStr">
        <is>
          <t>ianikro@outlook.com</t>
        </is>
      </c>
      <c r="AG294" t="inlineStr">
        <is>
          <t>LIMA</t>
        </is>
      </c>
      <c r="AH294" t="inlineStr">
        <is>
          <t>SAN JUAN DE LURIGANCHO</t>
        </is>
      </c>
      <c r="AI294" s="75" t="n">
        <v>46234</v>
      </c>
      <c r="AJ294" s="75" t="n"/>
      <c r="AK294" t="inlineStr">
        <is>
          <t>SALDO FINANCIAR</t>
        </is>
      </c>
      <c r="AL294" t="n">
        <v>1</v>
      </c>
      <c r="AM294" t="n">
        <v>99500</v>
      </c>
      <c r="AN294" t="n">
        <v>0</v>
      </c>
      <c r="AO294" t="n">
        <v>0</v>
      </c>
      <c r="AP294" s="39" t="n">
        <v>99500</v>
      </c>
      <c r="AQ294" s="39" t="n">
        <v>0</v>
      </c>
      <c r="AR294" s="39" t="n">
        <v>99500</v>
      </c>
      <c r="AT294" t="inlineStr">
        <is>
          <t>Crédito Directo</t>
        </is>
      </c>
      <c r="AZ294" t="inlineStr">
        <is>
          <t>No</t>
        </is>
      </c>
      <c r="BC294" t="inlineStr">
        <is>
          <t>PENDIENTE</t>
        </is>
      </c>
      <c r="BN294" t="inlineStr">
        <is>
          <t>No</t>
        </is>
      </c>
      <c r="BO294" s="76" t="n">
        <v>46079.4375</v>
      </c>
      <c r="BP294" t="inlineStr">
        <is>
          <t>Magaly Guevara Perez</t>
        </is>
      </c>
      <c r="BR294" t="n">
        <v>15</v>
      </c>
      <c r="BW294" t="inlineStr">
        <is>
          <t>Cobranzas_2026.csv</t>
        </is>
      </c>
      <c r="BX294" t="n">
        <v>2026</v>
      </c>
      <c r="BY294" t="inlineStr">
        <is>
          <t>01/01/2024</t>
        </is>
      </c>
      <c r="BZ294" t="inlineStr">
        <is>
          <t>30/06/2031</t>
        </is>
      </c>
    </row>
    <row r="295">
      <c r="A295" t="inlineStr">
        <is>
          <t>RESIDENCIAL BEYOND</t>
        </is>
      </c>
      <c r="B295" t="inlineStr">
        <is>
          <t>Etapa 1</t>
        </is>
      </c>
      <c r="C295" t="inlineStr">
        <is>
          <t>Edificio</t>
        </is>
      </c>
      <c r="D295" t="inlineStr">
        <is>
          <t>A</t>
        </is>
      </c>
      <c r="E295" t="inlineStr">
        <is>
          <t>Departamento</t>
        </is>
      </c>
      <c r="F295" t="inlineStr">
        <is>
          <t>701</t>
        </is>
      </c>
      <c r="G295" s="39" t="n">
        <v>475000</v>
      </c>
      <c r="H295" s="39" t="n">
        <v>475000</v>
      </c>
      <c r="I295" t="inlineStr">
        <is>
          <t>Edificio</t>
        </is>
      </c>
      <c r="J295" t="inlineStr">
        <is>
          <t>A</t>
        </is>
      </c>
      <c r="K295" t="inlineStr">
        <is>
          <t>Estacionamiento</t>
        </is>
      </c>
      <c r="L295" t="inlineStr">
        <is>
          <t>E 17</t>
        </is>
      </c>
      <c r="M295" s="39" t="n">
        <v>46800</v>
      </c>
      <c r="N295" s="39" t="n">
        <v>46800</v>
      </c>
      <c r="S295" s="39" t="n"/>
      <c r="T295" s="39" t="n"/>
      <c r="Y295" s="39" t="n"/>
      <c r="Z295" s="39" t="n"/>
      <c r="AA295" t="inlineStr">
        <is>
          <t>Dolores Lissett Castillo Diaz</t>
        </is>
      </c>
      <c r="AB295" t="inlineStr">
        <is>
          <t>43780263</t>
        </is>
      </c>
      <c r="AC295" t="inlineStr">
        <is>
          <t xml:space="preserve"> Sargento Lores 950      </t>
        </is>
      </c>
      <c r="AD295" t="n">
        <v>0</v>
      </c>
      <c r="AE295" t="inlineStr">
        <is>
          <t>920487874</t>
        </is>
      </c>
      <c r="AF295" t="inlineStr">
        <is>
          <t>licady2486@gmail.com</t>
        </is>
      </c>
      <c r="AG295" t="inlineStr">
        <is>
          <t>MAYNAS</t>
        </is>
      </c>
      <c r="AH295" t="inlineStr">
        <is>
          <t>IQUITOS</t>
        </is>
      </c>
      <c r="AI295" s="75" t="n">
        <v>46197.0125</v>
      </c>
      <c r="AJ295" s="75" t="n">
        <v>46003</v>
      </c>
      <c r="AK295" t="inlineStr">
        <is>
          <t>CUOTA INICIAL</t>
        </is>
      </c>
      <c r="AL295" t="n">
        <v>1</v>
      </c>
      <c r="AM295" t="n">
        <v>101360</v>
      </c>
      <c r="AN295" t="n">
        <v>0</v>
      </c>
      <c r="AO295" t="n">
        <v>0</v>
      </c>
      <c r="AP295" s="39" t="n">
        <v>101360</v>
      </c>
      <c r="AQ295" s="39" t="n">
        <v>86440</v>
      </c>
      <c r="AR295" s="39" t="n">
        <v>14920</v>
      </c>
      <c r="AS295" t="n">
        <v>0</v>
      </c>
      <c r="AT295" t="inlineStr">
        <is>
          <t>Ahorro</t>
        </is>
      </c>
      <c r="AU295" t="inlineStr">
        <is>
          <t>Banco de Credito del Perú</t>
        </is>
      </c>
      <c r="AV295" t="inlineStr">
        <is>
          <t>194-7325779-0-65</t>
        </is>
      </c>
      <c r="AW295" t="inlineStr">
        <is>
          <t>TRANSFERENCIA BANCARIA</t>
        </is>
      </c>
      <c r="AY295" t="inlineStr">
        <is>
          <t>0152562</t>
        </is>
      </c>
      <c r="AZ295" t="inlineStr">
        <is>
          <t>No</t>
        </is>
      </c>
      <c r="BB295" t="n">
        <v>4</v>
      </c>
      <c r="BC295" t="inlineStr">
        <is>
          <t>VENCIDO - PARC. CANCELADO</t>
        </is>
      </c>
      <c r="BN295" t="inlineStr">
        <is>
          <t>No</t>
        </is>
      </c>
      <c r="BO295" s="76" t="n">
        <v>46003.40833333333</v>
      </c>
      <c r="BP295" t="inlineStr">
        <is>
          <t>Magaly Guevara Perez</t>
        </is>
      </c>
      <c r="BR295" t="n">
        <v>21</v>
      </c>
      <c r="BS295" t="inlineStr">
        <is>
          <t>24/05/2026 00:22</t>
        </is>
      </c>
      <c r="BW295" t="inlineStr">
        <is>
          <t>Cobranzas_2026.csv</t>
        </is>
      </c>
      <c r="BX295" t="n">
        <v>2026</v>
      </c>
      <c r="BY295" t="inlineStr">
        <is>
          <t>01/01/2024</t>
        </is>
      </c>
      <c r="BZ295" t="inlineStr">
        <is>
          <t>30/06/2031</t>
        </is>
      </c>
    </row>
    <row r="296">
      <c r="A296" t="inlineStr">
        <is>
          <t>RESIDENCIAL BEYOND</t>
        </is>
      </c>
      <c r="B296" t="inlineStr">
        <is>
          <t>Etapa 1</t>
        </is>
      </c>
      <c r="C296" t="inlineStr">
        <is>
          <t>Edificio</t>
        </is>
      </c>
      <c r="D296" t="inlineStr">
        <is>
          <t>A</t>
        </is>
      </c>
      <c r="E296" t="inlineStr">
        <is>
          <t>Departamento</t>
        </is>
      </c>
      <c r="F296" t="inlineStr">
        <is>
          <t>701</t>
        </is>
      </c>
      <c r="G296" s="39" t="n">
        <v>475000</v>
      </c>
      <c r="H296" s="39" t="n">
        <v>475000</v>
      </c>
      <c r="I296" t="inlineStr">
        <is>
          <t>Edificio</t>
        </is>
      </c>
      <c r="J296" t="inlineStr">
        <is>
          <t>A</t>
        </is>
      </c>
      <c r="K296" t="inlineStr">
        <is>
          <t>Estacionamiento</t>
        </is>
      </c>
      <c r="L296" t="inlineStr">
        <is>
          <t>E 17</t>
        </is>
      </c>
      <c r="M296" s="39" t="n">
        <v>46800</v>
      </c>
      <c r="N296" s="39" t="n">
        <v>46800</v>
      </c>
      <c r="S296" s="39" t="n"/>
      <c r="T296" s="39" t="n"/>
      <c r="Y296" s="39" t="n"/>
      <c r="Z296" s="39" t="n"/>
      <c r="AA296" t="inlineStr">
        <is>
          <t>Dolores Lissett Castillo Diaz</t>
        </is>
      </c>
      <c r="AB296" t="inlineStr">
        <is>
          <t>43780263</t>
        </is>
      </c>
      <c r="AC296" t="inlineStr">
        <is>
          <t xml:space="preserve"> Sargento Lores 950      </t>
        </is>
      </c>
      <c r="AD296" t="n">
        <v>0</v>
      </c>
      <c r="AE296" t="inlineStr">
        <is>
          <t>920487874</t>
        </is>
      </c>
      <c r="AF296" t="inlineStr">
        <is>
          <t>licady2486@gmail.com</t>
        </is>
      </c>
      <c r="AG296" t="inlineStr">
        <is>
          <t>MAYNAS</t>
        </is>
      </c>
      <c r="AH296" t="inlineStr">
        <is>
          <t>IQUITOS</t>
        </is>
      </c>
      <c r="AI296" s="75" t="n">
        <v>46227.0125</v>
      </c>
      <c r="AJ296" s="75" t="n"/>
      <c r="AK296" t="inlineStr">
        <is>
          <t>SALDO FINANCIAR</t>
        </is>
      </c>
      <c r="AL296" t="n">
        <v>1</v>
      </c>
      <c r="AM296" t="n">
        <v>417440</v>
      </c>
      <c r="AN296" t="n">
        <v>0</v>
      </c>
      <c r="AO296" t="n">
        <v>0</v>
      </c>
      <c r="AP296" s="39" t="n">
        <v>417440</v>
      </c>
      <c r="AQ296" s="39" t="n">
        <v>0</v>
      </c>
      <c r="AR296" s="39" t="n">
        <v>417440</v>
      </c>
      <c r="AT296" t="inlineStr">
        <is>
          <t>Ahorro</t>
        </is>
      </c>
      <c r="AZ296" t="inlineStr">
        <is>
          <t>No</t>
        </is>
      </c>
      <c r="BC296" t="inlineStr">
        <is>
          <t>PENDIENTE</t>
        </is>
      </c>
      <c r="BN296" t="inlineStr">
        <is>
          <t>No</t>
        </is>
      </c>
      <c r="BO296" s="76" t="n">
        <v>46003.40833333333</v>
      </c>
      <c r="BP296" t="inlineStr">
        <is>
          <t>Magaly Guevara Perez</t>
        </is>
      </c>
      <c r="BR296" t="n">
        <v>21</v>
      </c>
      <c r="BW296" t="inlineStr">
        <is>
          <t>Cobranzas_2026.csv</t>
        </is>
      </c>
      <c r="BX296" t="n">
        <v>2026</v>
      </c>
      <c r="BY296" t="inlineStr">
        <is>
          <t>01/01/2024</t>
        </is>
      </c>
      <c r="BZ296" t="inlineStr">
        <is>
          <t>30/06/2031</t>
        </is>
      </c>
    </row>
    <row r="297">
      <c r="A297" t="inlineStr">
        <is>
          <t>RESIDENCIAL PRADA</t>
        </is>
      </c>
      <c r="B297" t="inlineStr">
        <is>
          <t>Etapa 1</t>
        </is>
      </c>
      <c r="C297" t="inlineStr">
        <is>
          <t>Edificio</t>
        </is>
      </c>
      <c r="D297" t="inlineStr">
        <is>
          <t>A</t>
        </is>
      </c>
      <c r="E297" t="inlineStr">
        <is>
          <t>Departamento</t>
        </is>
      </c>
      <c r="F297" t="inlineStr">
        <is>
          <t>602</t>
        </is>
      </c>
      <c r="G297" s="39" t="n">
        <v>475000</v>
      </c>
      <c r="H297" s="39" t="n">
        <v>475000</v>
      </c>
      <c r="M297" s="39" t="n"/>
      <c r="N297" s="39" t="n"/>
      <c r="S297" s="39" t="n"/>
      <c r="T297" s="39" t="n"/>
      <c r="Y297" s="39" t="n"/>
      <c r="Z297" s="39" t="n"/>
      <c r="AA297" t="inlineStr">
        <is>
          <t>EDWIN VICTOR ASHTU ACOSTA</t>
        </is>
      </c>
      <c r="AB297" t="inlineStr">
        <is>
          <t>40910651</t>
        </is>
      </c>
      <c r="AC297" t="inlineStr">
        <is>
          <t>Psj. Ramon Castilla 146 , San Felipe</t>
        </is>
      </c>
      <c r="AD297" t="n">
        <v>943011992</v>
      </c>
      <c r="AE297" t="inlineStr">
        <is>
          <t>943011992</t>
        </is>
      </c>
      <c r="AF297" t="inlineStr">
        <is>
          <t>edwin.ashtu@gmail.com</t>
        </is>
      </c>
      <c r="AG297" t="inlineStr">
        <is>
          <t>LIMA</t>
        </is>
      </c>
      <c r="AH297" t="inlineStr">
        <is>
          <t>COMAS</t>
        </is>
      </c>
      <c r="AI297" s="75" t="n">
        <v>46096</v>
      </c>
      <c r="AJ297" s="75" t="n">
        <v>46096</v>
      </c>
      <c r="AK297" t="inlineStr">
        <is>
          <t>SEPARACION</t>
        </is>
      </c>
      <c r="AL297" t="n">
        <v>1</v>
      </c>
      <c r="AM297" t="n">
        <v>3000</v>
      </c>
      <c r="AN297" t="n">
        <v>0</v>
      </c>
      <c r="AO297" t="n">
        <v>0</v>
      </c>
      <c r="AP297" s="39" t="n">
        <v>3000</v>
      </c>
      <c r="AQ297" s="39" t="n">
        <v>3000</v>
      </c>
      <c r="AR297" s="39" t="n">
        <v>0</v>
      </c>
      <c r="AS297" t="n">
        <v>0</v>
      </c>
      <c r="AT297" t="inlineStr">
        <is>
          <t>Crédito Directo</t>
        </is>
      </c>
      <c r="AU297" t="inlineStr">
        <is>
          <t>Scotiabank Perú</t>
        </is>
      </c>
      <c r="AV297" t="inlineStr">
        <is>
          <t>000-2768484</t>
        </is>
      </c>
      <c r="AW297" t="inlineStr">
        <is>
          <t>POS VISA</t>
        </is>
      </c>
      <c r="AY297" t="inlineStr">
        <is>
          <t>430551</t>
        </is>
      </c>
      <c r="AZ297" t="inlineStr">
        <is>
          <t>Si</t>
        </is>
      </c>
      <c r="BB297" t="n">
        <v>4</v>
      </c>
      <c r="BC297" t="inlineStr">
        <is>
          <t>CANCELADO</t>
        </is>
      </c>
      <c r="BN297" t="inlineStr">
        <is>
          <t>Si</t>
        </is>
      </c>
      <c r="BO297" s="76" t="n">
        <v>46111.69375</v>
      </c>
      <c r="BP297" t="inlineStr">
        <is>
          <t>Kenny Salazar S</t>
        </is>
      </c>
      <c r="BR297" t="n">
        <v>29</v>
      </c>
      <c r="BS297" t="inlineStr">
        <is>
          <t>02/06/2026 17:37</t>
        </is>
      </c>
      <c r="BW297" t="inlineStr">
        <is>
          <t>Cobranzas_2026.csv</t>
        </is>
      </c>
      <c r="BX297" t="n">
        <v>2026</v>
      </c>
      <c r="BY297" t="inlineStr">
        <is>
          <t>01/01/2024</t>
        </is>
      </c>
      <c r="BZ297" t="inlineStr">
        <is>
          <t>30/06/2031</t>
        </is>
      </c>
    </row>
    <row r="298">
      <c r="A298" t="inlineStr">
        <is>
          <t>RESIDENCIAL PRADA</t>
        </is>
      </c>
      <c r="B298" t="inlineStr">
        <is>
          <t>Etapa 1</t>
        </is>
      </c>
      <c r="C298" t="inlineStr">
        <is>
          <t>Edificio</t>
        </is>
      </c>
      <c r="D298" t="inlineStr">
        <is>
          <t>A</t>
        </is>
      </c>
      <c r="E298" t="inlineStr">
        <is>
          <t>Departamento</t>
        </is>
      </c>
      <c r="F298" t="inlineStr">
        <is>
          <t>602</t>
        </is>
      </c>
      <c r="G298" s="39" t="n">
        <v>475000</v>
      </c>
      <c r="H298" s="39" t="n">
        <v>475000</v>
      </c>
      <c r="M298" s="39" t="n"/>
      <c r="N298" s="39" t="n"/>
      <c r="S298" s="39" t="n"/>
      <c r="T298" s="39" t="n"/>
      <c r="Y298" s="39" t="n"/>
      <c r="Z298" s="39" t="n"/>
      <c r="AA298" t="inlineStr">
        <is>
          <t>EDWIN VICTOR ASHTU ACOSTA</t>
        </is>
      </c>
      <c r="AB298" t="inlineStr">
        <is>
          <t>40910651</t>
        </is>
      </c>
      <c r="AC298" t="inlineStr">
        <is>
          <t>Psj. Ramon Castilla 146 , San Felipe</t>
        </is>
      </c>
      <c r="AD298" t="n">
        <v>943011992</v>
      </c>
      <c r="AE298" t="inlineStr">
        <is>
          <t>943011992</t>
        </is>
      </c>
      <c r="AF298" t="inlineStr">
        <is>
          <t>edwin.ashtu@gmail.com</t>
        </is>
      </c>
      <c r="AG298" t="inlineStr">
        <is>
          <t>LIMA</t>
        </is>
      </c>
      <c r="AH298" t="inlineStr">
        <is>
          <t>COMAS</t>
        </is>
      </c>
      <c r="AI298" s="75" t="n">
        <v>46112</v>
      </c>
      <c r="AJ298" s="75" t="n">
        <v>46112</v>
      </c>
      <c r="AK298" t="inlineStr">
        <is>
          <t>CUOTA INICIAL</t>
        </is>
      </c>
      <c r="AL298" t="n">
        <v>1</v>
      </c>
      <c r="AM298" t="n">
        <v>234500</v>
      </c>
      <c r="AN298" t="n">
        <v>0</v>
      </c>
      <c r="AO298" t="n">
        <v>0</v>
      </c>
      <c r="AP298" s="39" t="n">
        <v>234500</v>
      </c>
      <c r="AQ298" s="39" t="n">
        <v>100000</v>
      </c>
      <c r="AR298" s="39" t="n">
        <v>0</v>
      </c>
      <c r="AS298" t="n">
        <v>0</v>
      </c>
      <c r="AT298" t="inlineStr">
        <is>
          <t>Crédito Directo</t>
        </is>
      </c>
      <c r="AU298" t="inlineStr">
        <is>
          <t>Scotiabank Perú</t>
        </is>
      </c>
      <c r="AV298" t="inlineStr">
        <is>
          <t>000-2768484</t>
        </is>
      </c>
      <c r="AW298" t="inlineStr">
        <is>
          <t>TRANSFERENCIA BANCARIA</t>
        </is>
      </c>
      <c r="AY298" t="inlineStr">
        <is>
          <t>170000003308</t>
        </is>
      </c>
      <c r="AZ298" t="inlineStr">
        <is>
          <t>Si</t>
        </is>
      </c>
      <c r="BB298" t="n">
        <v>4</v>
      </c>
      <c r="BC298" t="inlineStr">
        <is>
          <t>CANCELADO</t>
        </is>
      </c>
      <c r="BN298" t="inlineStr">
        <is>
          <t>Si</t>
        </is>
      </c>
      <c r="BO298" s="76" t="n">
        <v>46111.69375</v>
      </c>
      <c r="BP298" t="inlineStr">
        <is>
          <t>Kenny Salazar S</t>
        </is>
      </c>
      <c r="BR298" t="n">
        <v>29</v>
      </c>
      <c r="BS298" t="inlineStr">
        <is>
          <t>09/06/2026 16:10</t>
        </is>
      </c>
      <c r="BW298" t="inlineStr">
        <is>
          <t>Cobranzas_2026.csv</t>
        </is>
      </c>
      <c r="BX298" t="n">
        <v>2026</v>
      </c>
      <c r="BY298" t="inlineStr">
        <is>
          <t>01/01/2024</t>
        </is>
      </c>
      <c r="BZ298" t="inlineStr">
        <is>
          <t>30/06/2031</t>
        </is>
      </c>
    </row>
    <row r="299">
      <c r="A299" t="inlineStr">
        <is>
          <t>RESIDENCIAL PRADA</t>
        </is>
      </c>
      <c r="B299" t="inlineStr">
        <is>
          <t>Etapa 1</t>
        </is>
      </c>
      <c r="C299" t="inlineStr">
        <is>
          <t>Edificio</t>
        </is>
      </c>
      <c r="D299" t="inlineStr">
        <is>
          <t>A</t>
        </is>
      </c>
      <c r="E299" t="inlineStr">
        <is>
          <t>Departamento</t>
        </is>
      </c>
      <c r="F299" t="inlineStr">
        <is>
          <t>602</t>
        </is>
      </c>
      <c r="G299" s="39" t="n">
        <v>475000</v>
      </c>
      <c r="H299" s="39" t="n">
        <v>475000</v>
      </c>
      <c r="M299" s="39" t="n"/>
      <c r="N299" s="39" t="n"/>
      <c r="S299" s="39" t="n"/>
      <c r="T299" s="39" t="n"/>
      <c r="Y299" s="39" t="n"/>
      <c r="Z299" s="39" t="n"/>
      <c r="AA299" t="inlineStr">
        <is>
          <t>EDWIN VICTOR ASHTU ACOSTA</t>
        </is>
      </c>
      <c r="AB299" t="inlineStr">
        <is>
          <t>40910651</t>
        </is>
      </c>
      <c r="AC299" t="inlineStr">
        <is>
          <t>Psj. Ramon Castilla 146 , San Felipe</t>
        </is>
      </c>
      <c r="AD299" t="n">
        <v>943011992</v>
      </c>
      <c r="AE299" t="inlineStr">
        <is>
          <t>943011992</t>
        </is>
      </c>
      <c r="AF299" t="inlineStr">
        <is>
          <t>edwin.ashtu@gmail.com</t>
        </is>
      </c>
      <c r="AG299" t="inlineStr">
        <is>
          <t>LIMA</t>
        </is>
      </c>
      <c r="AH299" t="inlineStr">
        <is>
          <t>COMAS</t>
        </is>
      </c>
      <c r="AI299" s="75" t="n">
        <v>46112</v>
      </c>
      <c r="AJ299" s="75" t="n">
        <v>46112</v>
      </c>
      <c r="AK299" t="inlineStr">
        <is>
          <t>CUOTA INICIAL</t>
        </is>
      </c>
      <c r="AL299" t="n">
        <v>1</v>
      </c>
      <c r="AM299" t="n">
        <v>0</v>
      </c>
      <c r="AN299" t="n">
        <v>0</v>
      </c>
      <c r="AO299" t="n">
        <v>0</v>
      </c>
      <c r="AP299" s="39" t="n">
        <v>0</v>
      </c>
      <c r="AQ299" s="39" t="n">
        <v>134500</v>
      </c>
      <c r="AR299" s="39" t="n">
        <v>0</v>
      </c>
      <c r="AS299" t="n">
        <v>0</v>
      </c>
      <c r="AT299" t="inlineStr">
        <is>
          <t>Crédito Directo</t>
        </is>
      </c>
      <c r="AU299" t="inlineStr">
        <is>
          <t>Scotiabank Perú</t>
        </is>
      </c>
      <c r="AV299" t="inlineStr">
        <is>
          <t>000-2768484</t>
        </is>
      </c>
      <c r="AW299" t="inlineStr">
        <is>
          <t>TRANSFERENCIA BANCARIA</t>
        </is>
      </c>
      <c r="AY299" t="inlineStr">
        <is>
          <t>210009</t>
        </is>
      </c>
      <c r="AZ299" t="inlineStr">
        <is>
          <t>Si</t>
        </is>
      </c>
      <c r="BB299" t="n">
        <v>4</v>
      </c>
      <c r="BC299" t="inlineStr">
        <is>
          <t>CANCELADO</t>
        </is>
      </c>
      <c r="BN299" t="inlineStr">
        <is>
          <t>Si</t>
        </is>
      </c>
      <c r="BO299" s="76" t="n">
        <v>46111.69375</v>
      </c>
      <c r="BP299" t="inlineStr">
        <is>
          <t>Kenny Salazar S</t>
        </is>
      </c>
      <c r="BR299" t="n">
        <v>29</v>
      </c>
      <c r="BS299" t="inlineStr">
        <is>
          <t>09/06/2026 16:12</t>
        </is>
      </c>
      <c r="BW299" t="inlineStr">
        <is>
          <t>Cobranzas_2026.csv</t>
        </is>
      </c>
      <c r="BX299" t="n">
        <v>2026</v>
      </c>
      <c r="BY299" t="inlineStr">
        <is>
          <t>01/01/2024</t>
        </is>
      </c>
      <c r="BZ299" t="inlineStr">
        <is>
          <t>30/06/2031</t>
        </is>
      </c>
    </row>
    <row r="300">
      <c r="A300" t="inlineStr">
        <is>
          <t>RESIDENCIAL PRADA</t>
        </is>
      </c>
      <c r="B300" t="inlineStr">
        <is>
          <t>Etapa 1</t>
        </is>
      </c>
      <c r="C300" t="inlineStr">
        <is>
          <t>Edificio</t>
        </is>
      </c>
      <c r="D300" t="inlineStr">
        <is>
          <t>A</t>
        </is>
      </c>
      <c r="E300" t="inlineStr">
        <is>
          <t>Departamento</t>
        </is>
      </c>
      <c r="F300" t="inlineStr">
        <is>
          <t>602</t>
        </is>
      </c>
      <c r="G300" s="39" t="n">
        <v>475000</v>
      </c>
      <c r="H300" s="39" t="n">
        <v>475000</v>
      </c>
      <c r="M300" s="39" t="n"/>
      <c r="N300" s="39" t="n"/>
      <c r="S300" s="39" t="n"/>
      <c r="T300" s="39" t="n"/>
      <c r="Y300" s="39" t="n"/>
      <c r="Z300" s="39" t="n"/>
      <c r="AA300" t="inlineStr">
        <is>
          <t>EDWIN VICTOR ASHTU ACOSTA</t>
        </is>
      </c>
      <c r="AB300" t="inlineStr">
        <is>
          <t>40910651</t>
        </is>
      </c>
      <c r="AC300" t="inlineStr">
        <is>
          <t>Psj. Ramon Castilla 146 , San Felipe</t>
        </is>
      </c>
      <c r="AD300" t="n">
        <v>943011992</v>
      </c>
      <c r="AE300" t="inlineStr">
        <is>
          <t>943011992</t>
        </is>
      </c>
      <c r="AF300" t="inlineStr">
        <is>
          <t>edwin.ashtu@gmail.com</t>
        </is>
      </c>
      <c r="AG300" t="inlineStr">
        <is>
          <t>LIMA</t>
        </is>
      </c>
      <c r="AH300" t="inlineStr">
        <is>
          <t>COMAS</t>
        </is>
      </c>
      <c r="AI300" s="75" t="n">
        <v>46188</v>
      </c>
      <c r="AJ300" s="75" t="n">
        <v>46188</v>
      </c>
      <c r="AK300" t="inlineStr">
        <is>
          <t>SALDO FINANCIAR</t>
        </is>
      </c>
      <c r="AL300" t="n">
        <v>1</v>
      </c>
      <c r="AM300" t="n">
        <v>237500</v>
      </c>
      <c r="AN300" t="n">
        <v>0</v>
      </c>
      <c r="AO300" t="n">
        <v>0</v>
      </c>
      <c r="AP300" s="39" t="n">
        <v>237500</v>
      </c>
      <c r="AQ300" s="39" t="n">
        <v>237500</v>
      </c>
      <c r="AR300" s="39" t="n">
        <v>0</v>
      </c>
      <c r="AS300" t="n">
        <v>0</v>
      </c>
      <c r="AT300" t="inlineStr">
        <is>
          <t>Crédito Directo</t>
        </is>
      </c>
      <c r="AU300" t="inlineStr">
        <is>
          <t>Scotiabank Perú</t>
        </is>
      </c>
      <c r="AV300" t="inlineStr">
        <is>
          <t>000-2768484</t>
        </is>
      </c>
      <c r="AW300" t="inlineStr">
        <is>
          <t>TRANSFERENCIA BANCARIA</t>
        </is>
      </c>
      <c r="AY300" t="inlineStr">
        <is>
          <t>9170</t>
        </is>
      </c>
      <c r="AZ300" t="inlineStr">
        <is>
          <t>Si</t>
        </is>
      </c>
      <c r="BB300" t="n">
        <v>4</v>
      </c>
      <c r="BC300" t="inlineStr">
        <is>
          <t>CANCELADO</t>
        </is>
      </c>
      <c r="BN300" t="inlineStr">
        <is>
          <t>Si</t>
        </is>
      </c>
      <c r="BO300" s="76" t="n">
        <v>46111.69375</v>
      </c>
      <c r="BP300" t="inlineStr">
        <is>
          <t>Kenny Salazar S</t>
        </is>
      </c>
      <c r="BR300" t="n">
        <v>29</v>
      </c>
      <c r="BS300" t="inlineStr">
        <is>
          <t>16/06/2026 09:13</t>
        </is>
      </c>
      <c r="BW300" t="inlineStr">
        <is>
          <t>Cobranzas_2026.csv</t>
        </is>
      </c>
      <c r="BX300" t="n">
        <v>2026</v>
      </c>
      <c r="BY300" t="inlineStr">
        <is>
          <t>01/01/2024</t>
        </is>
      </c>
      <c r="BZ300" t="inlineStr">
        <is>
          <t>30/06/2031</t>
        </is>
      </c>
    </row>
    <row r="301">
      <c r="A301" t="inlineStr">
        <is>
          <t>RESIDENCIAL PRADA</t>
        </is>
      </c>
      <c r="B301" t="inlineStr">
        <is>
          <t>Etapa 1</t>
        </is>
      </c>
      <c r="C301" t="inlineStr">
        <is>
          <t>Edificio</t>
        </is>
      </c>
      <c r="D301" t="inlineStr">
        <is>
          <t>A</t>
        </is>
      </c>
      <c r="E301" t="inlineStr">
        <is>
          <t>Estacionamiento</t>
        </is>
      </c>
      <c r="F301" t="inlineStr">
        <is>
          <t>E 44</t>
        </is>
      </c>
      <c r="G301" s="39" t="n">
        <v>50000</v>
      </c>
      <c r="H301" s="39" t="n">
        <v>50000</v>
      </c>
      <c r="M301" s="39" t="n"/>
      <c r="N301" s="39" t="n"/>
      <c r="S301" s="39" t="n"/>
      <c r="T301" s="39" t="n"/>
      <c r="Y301" s="39" t="n"/>
      <c r="Z301" s="39" t="n"/>
      <c r="AA301" t="inlineStr">
        <is>
          <t>EDWIN VICTOR ASHTU ACOSTA</t>
        </is>
      </c>
      <c r="AB301" t="inlineStr">
        <is>
          <t>40910651</t>
        </is>
      </c>
      <c r="AC301" t="inlineStr">
        <is>
          <t>Psj. Ramon Castilla 146 , San Felipe</t>
        </is>
      </c>
      <c r="AE301" t="inlineStr">
        <is>
          <t>943011992</t>
        </is>
      </c>
      <c r="AF301" t="inlineStr">
        <is>
          <t>edwin.ashtu@gmail.com</t>
        </is>
      </c>
      <c r="AG301" t="inlineStr">
        <is>
          <t>LIMA</t>
        </is>
      </c>
      <c r="AH301" t="inlineStr">
        <is>
          <t>COMAS</t>
        </is>
      </c>
      <c r="AI301" s="75" t="n">
        <v>46098</v>
      </c>
      <c r="AJ301" s="75" t="n">
        <v>46098</v>
      </c>
      <c r="AK301" t="inlineStr">
        <is>
          <t>SEPARACION</t>
        </is>
      </c>
      <c r="AL301" t="n">
        <v>1</v>
      </c>
      <c r="AM301" t="n">
        <v>3000</v>
      </c>
      <c r="AN301" t="n">
        <v>0</v>
      </c>
      <c r="AO301" t="n">
        <v>0</v>
      </c>
      <c r="AP301" s="39" t="n">
        <v>3000</v>
      </c>
      <c r="AQ301" s="39" t="n">
        <v>3000</v>
      </c>
      <c r="AR301" s="39" t="n">
        <v>0</v>
      </c>
      <c r="AS301" t="n">
        <v>0</v>
      </c>
      <c r="AT301" t="inlineStr">
        <is>
          <t>Crédito Directo</t>
        </is>
      </c>
      <c r="AU301" t="inlineStr">
        <is>
          <t>Scotiabank Perú</t>
        </is>
      </c>
      <c r="AV301" t="inlineStr">
        <is>
          <t>000-2768484</t>
        </is>
      </c>
      <c r="AW301" t="inlineStr">
        <is>
          <t>TRANSFERENCIA BANCARIA</t>
        </is>
      </c>
      <c r="AY301" t="inlineStr">
        <is>
          <t>17032026</t>
        </is>
      </c>
      <c r="AZ301" t="inlineStr">
        <is>
          <t>No</t>
        </is>
      </c>
      <c r="BB301" t="n">
        <v>4</v>
      </c>
      <c r="BC301" t="inlineStr">
        <is>
          <t>CANCELADO</t>
        </is>
      </c>
      <c r="BN301" t="inlineStr">
        <is>
          <t>Si</t>
        </is>
      </c>
      <c r="BO301" s="76" t="n">
        <v>46140.39583333334</v>
      </c>
      <c r="BP301" t="inlineStr">
        <is>
          <t>Carla Michue M</t>
        </is>
      </c>
      <c r="BR301" t="n">
        <v>23</v>
      </c>
      <c r="BS301" t="inlineStr">
        <is>
          <t>14/07/2026 09:38</t>
        </is>
      </c>
      <c r="BW301" t="inlineStr">
        <is>
          <t>Cobranzas_2026.csv</t>
        </is>
      </c>
      <c r="BX301" t="n">
        <v>2026</v>
      </c>
      <c r="BY301" t="inlineStr">
        <is>
          <t>01/01/2024</t>
        </is>
      </c>
      <c r="BZ301" t="inlineStr">
        <is>
          <t>30/06/2031</t>
        </is>
      </c>
    </row>
    <row r="302">
      <c r="A302" t="inlineStr">
        <is>
          <t>RESIDENCIAL PRADA</t>
        </is>
      </c>
      <c r="B302" t="inlineStr">
        <is>
          <t>Etapa 1</t>
        </is>
      </c>
      <c r="C302" t="inlineStr">
        <is>
          <t>Edificio</t>
        </is>
      </c>
      <c r="D302" t="inlineStr">
        <is>
          <t>A</t>
        </is>
      </c>
      <c r="E302" t="inlineStr">
        <is>
          <t>Estacionamiento</t>
        </is>
      </c>
      <c r="F302" t="inlineStr">
        <is>
          <t>E 44</t>
        </is>
      </c>
      <c r="G302" s="39" t="n">
        <v>50000</v>
      </c>
      <c r="H302" s="39" t="n">
        <v>50000</v>
      </c>
      <c r="M302" s="39" t="n"/>
      <c r="N302" s="39" t="n"/>
      <c r="S302" s="39" t="n"/>
      <c r="T302" s="39" t="n"/>
      <c r="Y302" s="39" t="n"/>
      <c r="Z302" s="39" t="n"/>
      <c r="AA302" t="inlineStr">
        <is>
          <t>EDWIN VICTOR ASHTU ACOSTA</t>
        </is>
      </c>
      <c r="AB302" t="inlineStr">
        <is>
          <t>40910651</t>
        </is>
      </c>
      <c r="AC302" t="inlineStr">
        <is>
          <t>Psj. Ramon Castilla 146 , San Felipe</t>
        </is>
      </c>
      <c r="AE302" t="inlineStr">
        <is>
          <t>943011992</t>
        </is>
      </c>
      <c r="AF302" t="inlineStr">
        <is>
          <t>edwin.ashtu@gmail.com</t>
        </is>
      </c>
      <c r="AG302" t="inlineStr">
        <is>
          <t>LIMA</t>
        </is>
      </c>
      <c r="AH302" t="inlineStr">
        <is>
          <t>COMAS</t>
        </is>
      </c>
      <c r="AI302" s="75" t="n">
        <v>46111</v>
      </c>
      <c r="AJ302" s="75" t="n">
        <v>46140</v>
      </c>
      <c r="AK302" t="inlineStr">
        <is>
          <t>CUOTA INICIAL</t>
        </is>
      </c>
      <c r="AL302" t="n">
        <v>2</v>
      </c>
      <c r="AM302" t="n">
        <v>17000</v>
      </c>
      <c r="AN302" t="n">
        <v>0</v>
      </c>
      <c r="AO302" t="n">
        <v>0</v>
      </c>
      <c r="AP302" s="39" t="n">
        <v>17000</v>
      </c>
      <c r="AQ302" s="39" t="n">
        <v>17000</v>
      </c>
      <c r="AR302" s="39" t="n">
        <v>0</v>
      </c>
      <c r="AS302" t="n">
        <v>0</v>
      </c>
      <c r="AT302" t="inlineStr">
        <is>
          <t>Crédito Directo</t>
        </is>
      </c>
      <c r="AU302" t="inlineStr">
        <is>
          <t>Scotiabank Perú</t>
        </is>
      </c>
      <c r="AV302" t="inlineStr">
        <is>
          <t>000-2768484</t>
        </is>
      </c>
      <c r="AW302" t="inlineStr">
        <is>
          <t>TRANSFERENCIA BANCARIA</t>
        </is>
      </c>
      <c r="AY302" t="inlineStr">
        <is>
          <t>00000235200000000</t>
        </is>
      </c>
      <c r="AZ302" t="inlineStr">
        <is>
          <t>No</t>
        </is>
      </c>
      <c r="BB302" t="n">
        <v>4</v>
      </c>
      <c r="BC302" t="inlineStr">
        <is>
          <t>CANCELADO</t>
        </is>
      </c>
      <c r="BN302" t="inlineStr">
        <is>
          <t>Si</t>
        </is>
      </c>
      <c r="BO302" s="76" t="n">
        <v>46140.39583333334</v>
      </c>
      <c r="BP302" t="inlineStr">
        <is>
          <t>Carla Michue M</t>
        </is>
      </c>
      <c r="BR302" t="n">
        <v>23</v>
      </c>
      <c r="BS302" t="inlineStr">
        <is>
          <t>14/07/2026 09:38</t>
        </is>
      </c>
      <c r="BW302" t="inlineStr">
        <is>
          <t>Cobranzas_2026.csv</t>
        </is>
      </c>
      <c r="BX302" t="n">
        <v>2026</v>
      </c>
      <c r="BY302" t="inlineStr">
        <is>
          <t>01/01/2024</t>
        </is>
      </c>
      <c r="BZ302" t="inlineStr">
        <is>
          <t>30/06/2031</t>
        </is>
      </c>
    </row>
    <row r="303">
      <c r="A303" t="inlineStr">
        <is>
          <t>RESIDENCIAL PRADA</t>
        </is>
      </c>
      <c r="B303" t="inlineStr">
        <is>
          <t>Etapa 1</t>
        </is>
      </c>
      <c r="C303" t="inlineStr">
        <is>
          <t>Edificio</t>
        </is>
      </c>
      <c r="D303" t="inlineStr">
        <is>
          <t>A</t>
        </is>
      </c>
      <c r="E303" t="inlineStr">
        <is>
          <t>Estacionamiento</t>
        </is>
      </c>
      <c r="F303" t="inlineStr">
        <is>
          <t>E 44</t>
        </is>
      </c>
      <c r="G303" s="39" t="n">
        <v>50000</v>
      </c>
      <c r="H303" s="39" t="n">
        <v>50000</v>
      </c>
      <c r="M303" s="39" t="n"/>
      <c r="N303" s="39" t="n"/>
      <c r="S303" s="39" t="n"/>
      <c r="T303" s="39" t="n"/>
      <c r="Y303" s="39" t="n"/>
      <c r="Z303" s="39" t="n"/>
      <c r="AA303" t="inlineStr">
        <is>
          <t>EDWIN VICTOR ASHTU ACOSTA</t>
        </is>
      </c>
      <c r="AB303" t="inlineStr">
        <is>
          <t>40910651</t>
        </is>
      </c>
      <c r="AC303" t="inlineStr">
        <is>
          <t>Psj. Ramon Castilla 146 , San Felipe</t>
        </is>
      </c>
      <c r="AE303" t="inlineStr">
        <is>
          <t>943011992</t>
        </is>
      </c>
      <c r="AF303" t="inlineStr">
        <is>
          <t>edwin.ashtu@gmail.com</t>
        </is>
      </c>
      <c r="AG303" t="inlineStr">
        <is>
          <t>LIMA</t>
        </is>
      </c>
      <c r="AH303" t="inlineStr">
        <is>
          <t>COMAS</t>
        </is>
      </c>
      <c r="AI303" s="75" t="n">
        <v>46203</v>
      </c>
      <c r="AJ303" s="75" t="n">
        <v>46188</v>
      </c>
      <c r="AK303" t="inlineStr">
        <is>
          <t>SALDO FINANCIAR</t>
        </is>
      </c>
      <c r="AL303" t="n">
        <v>3</v>
      </c>
      <c r="AM303" t="n">
        <v>10000</v>
      </c>
      <c r="AN303" t="n">
        <v>0</v>
      </c>
      <c r="AO303" t="n">
        <v>0</v>
      </c>
      <c r="AP303" s="39" t="n">
        <v>10000</v>
      </c>
      <c r="AQ303" s="39" t="n">
        <v>10000</v>
      </c>
      <c r="AR303" s="39" t="n">
        <v>0</v>
      </c>
      <c r="AS303" t="n">
        <v>0</v>
      </c>
      <c r="AT303" t="inlineStr">
        <is>
          <t>Crédito Directo</t>
        </is>
      </c>
      <c r="AU303" t="inlineStr">
        <is>
          <t>Scotiabank Perú</t>
        </is>
      </c>
      <c r="AV303" t="inlineStr">
        <is>
          <t>000-2768484</t>
        </is>
      </c>
      <c r="AW303" t="inlineStr">
        <is>
          <t>TRANSFERENCIA BANCARIA</t>
        </is>
      </c>
      <c r="AY303" t="inlineStr">
        <is>
          <t>501043</t>
        </is>
      </c>
      <c r="AZ303" t="inlineStr">
        <is>
          <t>No</t>
        </is>
      </c>
      <c r="BB303" t="n">
        <v>4</v>
      </c>
      <c r="BC303" t="inlineStr">
        <is>
          <t>CANCELADO</t>
        </is>
      </c>
      <c r="BN303" t="inlineStr">
        <is>
          <t>Si</t>
        </is>
      </c>
      <c r="BO303" s="76" t="n">
        <v>46140.39583333334</v>
      </c>
      <c r="BP303" t="inlineStr">
        <is>
          <t>Carla Michue M</t>
        </is>
      </c>
      <c r="BR303" t="n">
        <v>23</v>
      </c>
      <c r="BS303" t="inlineStr">
        <is>
          <t>14/07/2026 09:40</t>
        </is>
      </c>
      <c r="BW303" t="inlineStr">
        <is>
          <t>Cobranzas_2026.csv</t>
        </is>
      </c>
      <c r="BX303" t="n">
        <v>2026</v>
      </c>
      <c r="BY303" t="inlineStr">
        <is>
          <t>01/01/2024</t>
        </is>
      </c>
      <c r="BZ303" t="inlineStr">
        <is>
          <t>30/06/2031</t>
        </is>
      </c>
    </row>
    <row r="304">
      <c r="A304" t="inlineStr">
        <is>
          <t>RESIDENCIAL PRADA</t>
        </is>
      </c>
      <c r="B304" t="inlineStr">
        <is>
          <t>Etapa 1</t>
        </is>
      </c>
      <c r="C304" t="inlineStr">
        <is>
          <t>Edificio</t>
        </is>
      </c>
      <c r="D304" t="inlineStr">
        <is>
          <t>A</t>
        </is>
      </c>
      <c r="E304" t="inlineStr">
        <is>
          <t>Estacionamiento</t>
        </is>
      </c>
      <c r="F304" t="inlineStr">
        <is>
          <t>E 44</t>
        </is>
      </c>
      <c r="G304" s="39" t="n">
        <v>50000</v>
      </c>
      <c r="H304" s="39" t="n">
        <v>50000</v>
      </c>
      <c r="M304" s="39" t="n"/>
      <c r="N304" s="39" t="n"/>
      <c r="S304" s="39" t="n"/>
      <c r="T304" s="39" t="n"/>
      <c r="Y304" s="39" t="n"/>
      <c r="Z304" s="39" t="n"/>
      <c r="AA304" t="inlineStr">
        <is>
          <t>EDWIN VICTOR ASHTU ACOSTA</t>
        </is>
      </c>
      <c r="AB304" t="inlineStr">
        <is>
          <t>40910651</t>
        </is>
      </c>
      <c r="AC304" t="inlineStr">
        <is>
          <t>Psj. Ramon Castilla 146 , San Felipe</t>
        </is>
      </c>
      <c r="AE304" t="inlineStr">
        <is>
          <t>943011992</t>
        </is>
      </c>
      <c r="AF304" t="inlineStr">
        <is>
          <t>edwin.ashtu@gmail.com</t>
        </is>
      </c>
      <c r="AG304" t="inlineStr">
        <is>
          <t>LIMA</t>
        </is>
      </c>
      <c r="AH304" t="inlineStr">
        <is>
          <t>COMAS</t>
        </is>
      </c>
      <c r="AI304" s="75" t="n">
        <v>46295</v>
      </c>
      <c r="AJ304" s="75" t="n">
        <v>46188</v>
      </c>
      <c r="AK304" t="inlineStr">
        <is>
          <t>SALDO FINANCIAR</t>
        </is>
      </c>
      <c r="AL304" t="n">
        <v>4</v>
      </c>
      <c r="AM304" t="n">
        <v>10000</v>
      </c>
      <c r="AN304" t="n">
        <v>0</v>
      </c>
      <c r="AO304" t="n">
        <v>0</v>
      </c>
      <c r="AP304" s="39" t="n">
        <v>10000</v>
      </c>
      <c r="AQ304" s="39" t="n">
        <v>5010.2</v>
      </c>
      <c r="AR304" s="39" t="n">
        <v>4989.8</v>
      </c>
      <c r="AS304" t="n">
        <v>0</v>
      </c>
      <c r="AT304" t="inlineStr">
        <is>
          <t>Crédito Directo</t>
        </is>
      </c>
      <c r="AU304" t="inlineStr">
        <is>
          <t>Scotiabank Perú</t>
        </is>
      </c>
      <c r="AV304" t="inlineStr">
        <is>
          <t>000-2768484</t>
        </is>
      </c>
      <c r="AW304" t="inlineStr">
        <is>
          <t>TRANSFERENCIA BANCARIA</t>
        </is>
      </c>
      <c r="AY304" t="inlineStr">
        <is>
          <t>501043</t>
        </is>
      </c>
      <c r="AZ304" t="inlineStr">
        <is>
          <t>No</t>
        </is>
      </c>
      <c r="BB304" t="n">
        <v>4</v>
      </c>
      <c r="BC304" t="inlineStr">
        <is>
          <t>PENDIENTE - PARC. CANCELADO</t>
        </is>
      </c>
      <c r="BN304" t="inlineStr">
        <is>
          <t>Si</t>
        </is>
      </c>
      <c r="BO304" s="76" t="n">
        <v>46140.39583333334</v>
      </c>
      <c r="BP304" t="inlineStr">
        <is>
          <t>Carla Michue M</t>
        </is>
      </c>
      <c r="BR304" t="n">
        <v>23</v>
      </c>
      <c r="BS304" t="inlineStr">
        <is>
          <t>14/07/2026 09:40</t>
        </is>
      </c>
      <c r="BW304" t="inlineStr">
        <is>
          <t>Cobranzas_2026.csv</t>
        </is>
      </c>
      <c r="BX304" t="n">
        <v>2026</v>
      </c>
      <c r="BY304" t="inlineStr">
        <is>
          <t>01/01/2024</t>
        </is>
      </c>
      <c r="BZ304" t="inlineStr">
        <is>
          <t>30/06/2031</t>
        </is>
      </c>
    </row>
    <row r="305">
      <c r="A305" t="inlineStr">
        <is>
          <t>RESIDENCIAL PRADA</t>
        </is>
      </c>
      <c r="B305" t="inlineStr">
        <is>
          <t>Etapa 1</t>
        </is>
      </c>
      <c r="C305" t="inlineStr">
        <is>
          <t>Edificio</t>
        </is>
      </c>
      <c r="D305" t="inlineStr">
        <is>
          <t>A</t>
        </is>
      </c>
      <c r="E305" t="inlineStr">
        <is>
          <t>Estacionamiento</t>
        </is>
      </c>
      <c r="F305" t="inlineStr">
        <is>
          <t>E 44</t>
        </is>
      </c>
      <c r="G305" s="39" t="n">
        <v>50000</v>
      </c>
      <c r="H305" s="39" t="n">
        <v>50000</v>
      </c>
      <c r="M305" s="39" t="n"/>
      <c r="N305" s="39" t="n"/>
      <c r="S305" s="39" t="n"/>
      <c r="T305" s="39" t="n"/>
      <c r="Y305" s="39" t="n"/>
      <c r="Z305" s="39" t="n"/>
      <c r="AA305" t="inlineStr">
        <is>
          <t>EDWIN VICTOR ASHTU ACOSTA</t>
        </is>
      </c>
      <c r="AB305" t="inlineStr">
        <is>
          <t>40910651</t>
        </is>
      </c>
      <c r="AC305" t="inlineStr">
        <is>
          <t>Psj. Ramon Castilla 146 , San Felipe</t>
        </is>
      </c>
      <c r="AE305" t="inlineStr">
        <is>
          <t>943011992</t>
        </is>
      </c>
      <c r="AF305" t="inlineStr">
        <is>
          <t>edwin.ashtu@gmail.com</t>
        </is>
      </c>
      <c r="AG305" t="inlineStr">
        <is>
          <t>LIMA</t>
        </is>
      </c>
      <c r="AH305" t="inlineStr">
        <is>
          <t>COMAS</t>
        </is>
      </c>
      <c r="AI305" s="75" t="n">
        <v>46386</v>
      </c>
      <c r="AJ305" s="75" t="n"/>
      <c r="AK305" t="inlineStr">
        <is>
          <t>SALDO FINANCIAR</t>
        </is>
      </c>
      <c r="AL305" t="n">
        <v>5</v>
      </c>
      <c r="AM305" t="n">
        <v>10000</v>
      </c>
      <c r="AN305" t="n">
        <v>0</v>
      </c>
      <c r="AO305" t="n">
        <v>0</v>
      </c>
      <c r="AP305" s="39" t="n">
        <v>10000</v>
      </c>
      <c r="AQ305" s="39" t="n">
        <v>0</v>
      </c>
      <c r="AR305" s="39" t="n">
        <v>10000</v>
      </c>
      <c r="AT305" t="inlineStr">
        <is>
          <t>Crédito Directo</t>
        </is>
      </c>
      <c r="AZ305" t="inlineStr">
        <is>
          <t>No</t>
        </is>
      </c>
      <c r="BC305" t="inlineStr">
        <is>
          <t>PENDIENTE</t>
        </is>
      </c>
      <c r="BN305" t="inlineStr">
        <is>
          <t>No</t>
        </is>
      </c>
      <c r="BO305" s="76" t="n">
        <v>46140.39583333334</v>
      </c>
      <c r="BP305" t="inlineStr">
        <is>
          <t>Carla Michue M</t>
        </is>
      </c>
      <c r="BR305" t="n">
        <v>23</v>
      </c>
      <c r="BW305" t="inlineStr">
        <is>
          <t>Cobranzas_2026.csv</t>
        </is>
      </c>
      <c r="BX305" t="n">
        <v>2026</v>
      </c>
      <c r="BY305" t="inlineStr">
        <is>
          <t>01/01/2024</t>
        </is>
      </c>
      <c r="BZ305" t="inlineStr">
        <is>
          <t>30/06/2031</t>
        </is>
      </c>
    </row>
    <row r="306">
      <c r="A306" t="inlineStr">
        <is>
          <t>RESIDENCIAL BEYOND</t>
        </is>
      </c>
      <c r="B306" t="inlineStr">
        <is>
          <t>Etapa 1</t>
        </is>
      </c>
      <c r="C306" t="inlineStr">
        <is>
          <t>Edificio</t>
        </is>
      </c>
      <c r="D306" t="inlineStr">
        <is>
          <t>A</t>
        </is>
      </c>
      <c r="E306" t="inlineStr">
        <is>
          <t>Departamento</t>
        </is>
      </c>
      <c r="F306" t="inlineStr">
        <is>
          <t>801</t>
        </is>
      </c>
      <c r="G306" s="39" t="n">
        <v>531100</v>
      </c>
      <c r="H306" s="39" t="n">
        <v>493000</v>
      </c>
      <c r="M306" s="39" t="n"/>
      <c r="N306" s="39" t="n"/>
      <c r="S306" s="39" t="n"/>
      <c r="T306" s="39" t="n"/>
      <c r="Y306" s="39" t="n"/>
      <c r="Z306" s="39" t="n"/>
      <c r="AA306" t="inlineStr">
        <is>
          <t>Elizabeth Bertha Fierro Cancho</t>
        </is>
      </c>
      <c r="AB306" t="inlineStr">
        <is>
          <t>10599276</t>
        </is>
      </c>
      <c r="AC306" t="inlineStr">
        <is>
          <t>Calle uno Numero 270 Edif D Dpto. 301 – Urb. Los Parques del El Agustino</t>
        </is>
      </c>
      <c r="AD306" t="n">
        <v>0</v>
      </c>
      <c r="AE306" t="inlineStr">
        <is>
          <t>966794666</t>
        </is>
      </c>
      <c r="AF306" t="inlineStr">
        <is>
          <t>esdrasjoelpatillarojas@hotmail.com</t>
        </is>
      </c>
      <c r="AG306" t="inlineStr">
        <is>
          <t>LIMA</t>
        </is>
      </c>
      <c r="AH306" t="inlineStr">
        <is>
          <t>EL AGUSTINO</t>
        </is>
      </c>
      <c r="AI306" s="75" t="n">
        <v>46139</v>
      </c>
      <c r="AJ306" s="75" t="n">
        <v>46139</v>
      </c>
      <c r="AK306" t="inlineStr">
        <is>
          <t>SEPARACION</t>
        </is>
      </c>
      <c r="AL306" t="n">
        <v>1</v>
      </c>
      <c r="AM306" t="n">
        <v>3000</v>
      </c>
      <c r="AN306" t="n">
        <v>0</v>
      </c>
      <c r="AO306" t="n">
        <v>0</v>
      </c>
      <c r="AP306" s="39" t="n">
        <v>3000</v>
      </c>
      <c r="AQ306" s="39" t="n">
        <v>3000</v>
      </c>
      <c r="AR306" s="39" t="n">
        <v>0</v>
      </c>
      <c r="AS306" t="n">
        <v>0</v>
      </c>
      <c r="AT306" t="inlineStr">
        <is>
          <t>Ahorro</t>
        </is>
      </c>
      <c r="AU306" t="inlineStr">
        <is>
          <t>Banco de Credito del Perú</t>
        </is>
      </c>
      <c r="AV306" t="inlineStr">
        <is>
          <t>194-7325779-0-65</t>
        </is>
      </c>
      <c r="AW306" t="inlineStr">
        <is>
          <t>DEPOSITO EN CUENTA</t>
        </is>
      </c>
      <c r="AY306" t="inlineStr">
        <is>
          <t>0909063</t>
        </is>
      </c>
      <c r="AZ306" t="inlineStr">
        <is>
          <t>Si</t>
        </is>
      </c>
      <c r="BB306" t="n">
        <v>4</v>
      </c>
      <c r="BC306" t="inlineStr">
        <is>
          <t>CANCELADO</t>
        </is>
      </c>
      <c r="BN306" t="inlineStr">
        <is>
          <t>No</t>
        </is>
      </c>
      <c r="BO306" s="76" t="n">
        <v>46142.41597222222</v>
      </c>
      <c r="BP306" t="inlineStr">
        <is>
          <t>Magaly Guevara Perez</t>
        </is>
      </c>
      <c r="BR306" t="n">
        <v>19</v>
      </c>
      <c r="BS306" t="inlineStr">
        <is>
          <t>18/05/2026 05:29</t>
        </is>
      </c>
      <c r="BW306" t="inlineStr">
        <is>
          <t>Cobranzas_2026.csv</t>
        </is>
      </c>
      <c r="BX306" t="n">
        <v>2026</v>
      </c>
      <c r="BY306" t="inlineStr">
        <is>
          <t>01/01/2024</t>
        </is>
      </c>
      <c r="BZ306" t="inlineStr">
        <is>
          <t>30/06/2031</t>
        </is>
      </c>
    </row>
    <row r="307">
      <c r="A307" t="inlineStr">
        <is>
          <t>RESIDENCIAL BEYOND</t>
        </is>
      </c>
      <c r="B307" t="inlineStr">
        <is>
          <t>Etapa 1</t>
        </is>
      </c>
      <c r="C307" t="inlineStr">
        <is>
          <t>Edificio</t>
        </is>
      </c>
      <c r="D307" t="inlineStr">
        <is>
          <t>A</t>
        </is>
      </c>
      <c r="E307" t="inlineStr">
        <is>
          <t>Departamento</t>
        </is>
      </c>
      <c r="F307" t="inlineStr">
        <is>
          <t>801</t>
        </is>
      </c>
      <c r="G307" s="39" t="n">
        <v>531100</v>
      </c>
      <c r="H307" s="39" t="n">
        <v>493000</v>
      </c>
      <c r="M307" s="39" t="n"/>
      <c r="N307" s="39" t="n"/>
      <c r="S307" s="39" t="n"/>
      <c r="T307" s="39" t="n"/>
      <c r="Y307" s="39" t="n"/>
      <c r="Z307" s="39" t="n"/>
      <c r="AA307" t="inlineStr">
        <is>
          <t>Elizabeth Bertha Fierro Cancho</t>
        </is>
      </c>
      <c r="AB307" t="inlineStr">
        <is>
          <t>10599276</t>
        </is>
      </c>
      <c r="AC307" t="inlineStr">
        <is>
          <t>Calle uno Numero 270 Edif D Dpto. 301 – Urb. Los Parques del El Agustino</t>
        </is>
      </c>
      <c r="AD307" t="n">
        <v>0</v>
      </c>
      <c r="AE307" t="inlineStr">
        <is>
          <t>966794666</t>
        </is>
      </c>
      <c r="AF307" t="inlineStr">
        <is>
          <t>esdrasjoelpatillarojas@hotmail.com</t>
        </is>
      </c>
      <c r="AG307" t="inlineStr">
        <is>
          <t>LIMA</t>
        </is>
      </c>
      <c r="AH307" t="inlineStr">
        <is>
          <t>EL AGUSTINO</t>
        </is>
      </c>
      <c r="AI307" s="75" t="n">
        <v>46142</v>
      </c>
      <c r="AJ307" s="75" t="n">
        <v>46142</v>
      </c>
      <c r="AK307" t="inlineStr">
        <is>
          <t>CUOTA INICIAL</t>
        </is>
      </c>
      <c r="AL307" t="n">
        <v>1</v>
      </c>
      <c r="AM307" t="n">
        <v>30000</v>
      </c>
      <c r="AN307" t="n">
        <v>0</v>
      </c>
      <c r="AO307" t="n">
        <v>0</v>
      </c>
      <c r="AP307" s="39" t="n">
        <v>30000</v>
      </c>
      <c r="AQ307" s="39" t="n">
        <v>30000</v>
      </c>
      <c r="AR307" s="39" t="n">
        <v>0</v>
      </c>
      <c r="AS307" t="n">
        <v>0</v>
      </c>
      <c r="AT307" t="inlineStr">
        <is>
          <t>Ahorro</t>
        </is>
      </c>
      <c r="AU307" t="inlineStr">
        <is>
          <t>Banco de Credito del Perú</t>
        </is>
      </c>
      <c r="AV307" t="inlineStr">
        <is>
          <t>194-7325779-0-65</t>
        </is>
      </c>
      <c r="AW307" t="inlineStr">
        <is>
          <t>TRANSFERENCIA BANCARIA</t>
        </is>
      </c>
      <c r="AY307" t="inlineStr">
        <is>
          <t>0962588</t>
        </is>
      </c>
      <c r="AZ307" t="inlineStr">
        <is>
          <t>Si</t>
        </is>
      </c>
      <c r="BB307" t="n">
        <v>4</v>
      </c>
      <c r="BC307" t="inlineStr">
        <is>
          <t>CANCELADO</t>
        </is>
      </c>
      <c r="BN307" t="inlineStr">
        <is>
          <t>No</t>
        </is>
      </c>
      <c r="BO307" s="76" t="n">
        <v>46142.41597222222</v>
      </c>
      <c r="BP307" t="inlineStr">
        <is>
          <t>Magaly Guevara Perez</t>
        </is>
      </c>
      <c r="BR307" t="n">
        <v>19</v>
      </c>
      <c r="BS307" t="inlineStr">
        <is>
          <t>23/05/2026 23:48</t>
        </is>
      </c>
      <c r="BW307" t="inlineStr">
        <is>
          <t>Cobranzas_2026.csv</t>
        </is>
      </c>
      <c r="BX307" t="n">
        <v>2026</v>
      </c>
      <c r="BY307" t="inlineStr">
        <is>
          <t>01/01/2024</t>
        </is>
      </c>
      <c r="BZ307" t="inlineStr">
        <is>
          <t>30/06/2031</t>
        </is>
      </c>
    </row>
    <row r="308">
      <c r="A308" t="inlineStr">
        <is>
          <t>RESIDENCIAL BEYOND</t>
        </is>
      </c>
      <c r="B308" t="inlineStr">
        <is>
          <t>Etapa 1</t>
        </is>
      </c>
      <c r="C308" t="inlineStr">
        <is>
          <t>Edificio</t>
        </is>
      </c>
      <c r="D308" t="inlineStr">
        <is>
          <t>A</t>
        </is>
      </c>
      <c r="E308" t="inlineStr">
        <is>
          <t>Departamento</t>
        </is>
      </c>
      <c r="F308" t="inlineStr">
        <is>
          <t>801</t>
        </is>
      </c>
      <c r="G308" s="39" t="n">
        <v>531100</v>
      </c>
      <c r="H308" s="39" t="n">
        <v>493000</v>
      </c>
      <c r="M308" s="39" t="n"/>
      <c r="N308" s="39" t="n"/>
      <c r="S308" s="39" t="n"/>
      <c r="T308" s="39" t="n"/>
      <c r="Y308" s="39" t="n"/>
      <c r="Z308" s="39" t="n"/>
      <c r="AA308" t="inlineStr">
        <is>
          <t>Elizabeth Bertha Fierro Cancho</t>
        </is>
      </c>
      <c r="AB308" t="inlineStr">
        <is>
          <t>10599276</t>
        </is>
      </c>
      <c r="AC308" t="inlineStr">
        <is>
          <t>Calle uno Numero 270 Edif D Dpto. 301 – Urb. Los Parques del El Agustino</t>
        </is>
      </c>
      <c r="AD308" t="n">
        <v>0</v>
      </c>
      <c r="AE308" t="inlineStr">
        <is>
          <t>966794666</t>
        </is>
      </c>
      <c r="AF308" t="inlineStr">
        <is>
          <t>esdrasjoelpatillarojas@hotmail.com</t>
        </is>
      </c>
      <c r="AG308" t="inlineStr">
        <is>
          <t>LIMA</t>
        </is>
      </c>
      <c r="AH308" t="inlineStr">
        <is>
          <t>EL AGUSTINO</t>
        </is>
      </c>
      <c r="AI308" s="75" t="n">
        <v>46144</v>
      </c>
      <c r="AJ308" s="75" t="n">
        <v>46144</v>
      </c>
      <c r="AK308" t="inlineStr">
        <is>
          <t>CUOTA INICIAL</t>
        </is>
      </c>
      <c r="AL308" t="n">
        <v>2</v>
      </c>
      <c r="AM308" t="n">
        <v>40000</v>
      </c>
      <c r="AN308" t="n">
        <v>0</v>
      </c>
      <c r="AO308" t="n">
        <v>0</v>
      </c>
      <c r="AP308" s="39" t="n">
        <v>40000</v>
      </c>
      <c r="AQ308" s="39" t="n">
        <v>40000</v>
      </c>
      <c r="AR308" s="39" t="n">
        <v>0</v>
      </c>
      <c r="AS308" t="n">
        <v>0</v>
      </c>
      <c r="AT308" t="inlineStr">
        <is>
          <t>Ahorro</t>
        </is>
      </c>
      <c r="AU308" t="inlineStr">
        <is>
          <t>Banco de Credito del Perú</t>
        </is>
      </c>
      <c r="AV308" t="inlineStr">
        <is>
          <t>194-7325779-0-65</t>
        </is>
      </c>
      <c r="AW308" t="inlineStr">
        <is>
          <t>TRANSFERENCIA BANCARIA</t>
        </is>
      </c>
      <c r="AY308" t="inlineStr">
        <is>
          <t>0944792</t>
        </is>
      </c>
      <c r="AZ308" t="inlineStr">
        <is>
          <t>Si</t>
        </is>
      </c>
      <c r="BB308" t="n">
        <v>4</v>
      </c>
      <c r="BC308" t="inlineStr">
        <is>
          <t>CANCELADO</t>
        </is>
      </c>
      <c r="BN308" t="inlineStr">
        <is>
          <t>No</t>
        </is>
      </c>
      <c r="BO308" s="76" t="n">
        <v>46142.41597222222</v>
      </c>
      <c r="BP308" t="inlineStr">
        <is>
          <t>Magaly Guevara Perez</t>
        </is>
      </c>
      <c r="BR308" t="n">
        <v>19</v>
      </c>
      <c r="BS308" t="inlineStr">
        <is>
          <t>23/05/2026 23:49</t>
        </is>
      </c>
      <c r="BW308" t="inlineStr">
        <is>
          <t>Cobranzas_2026.csv</t>
        </is>
      </c>
      <c r="BX308" t="n">
        <v>2026</v>
      </c>
      <c r="BY308" t="inlineStr">
        <is>
          <t>01/01/2024</t>
        </is>
      </c>
      <c r="BZ308" t="inlineStr">
        <is>
          <t>30/06/2031</t>
        </is>
      </c>
    </row>
    <row r="309">
      <c r="A309" t="inlineStr">
        <is>
          <t>RESIDENCIAL BEYOND</t>
        </is>
      </c>
      <c r="B309" t="inlineStr">
        <is>
          <t>Etapa 1</t>
        </is>
      </c>
      <c r="C309" t="inlineStr">
        <is>
          <t>Edificio</t>
        </is>
      </c>
      <c r="D309" t="inlineStr">
        <is>
          <t>A</t>
        </is>
      </c>
      <c r="E309" t="inlineStr">
        <is>
          <t>Departamento</t>
        </is>
      </c>
      <c r="F309" t="inlineStr">
        <is>
          <t>801</t>
        </is>
      </c>
      <c r="G309" s="39" t="n">
        <v>531100</v>
      </c>
      <c r="H309" s="39" t="n">
        <v>493000</v>
      </c>
      <c r="M309" s="39" t="n"/>
      <c r="N309" s="39" t="n"/>
      <c r="S309" s="39" t="n"/>
      <c r="T309" s="39" t="n"/>
      <c r="Y309" s="39" t="n"/>
      <c r="Z309" s="39" t="n"/>
      <c r="AA309" t="inlineStr">
        <is>
          <t>Elizabeth Bertha Fierro Cancho</t>
        </is>
      </c>
      <c r="AB309" t="inlineStr">
        <is>
          <t>10599276</t>
        </is>
      </c>
      <c r="AC309" t="inlineStr">
        <is>
          <t>Calle uno Numero 270 Edif D Dpto. 301 – Urb. Los Parques del El Agustino</t>
        </is>
      </c>
      <c r="AD309" t="n">
        <v>0</v>
      </c>
      <c r="AE309" t="inlineStr">
        <is>
          <t>966794666</t>
        </is>
      </c>
      <c r="AF309" t="inlineStr">
        <is>
          <t>esdrasjoelpatillarojas@hotmail.com</t>
        </is>
      </c>
      <c r="AG309" t="inlineStr">
        <is>
          <t>LIMA</t>
        </is>
      </c>
      <c r="AH309" t="inlineStr">
        <is>
          <t>EL AGUSTINO</t>
        </is>
      </c>
      <c r="AI309" s="75" t="n">
        <v>46157</v>
      </c>
      <c r="AJ309" s="75" t="n">
        <v>46148</v>
      </c>
      <c r="AK309" t="inlineStr">
        <is>
          <t>CUOTA INICIAL</t>
        </is>
      </c>
      <c r="AL309" t="n">
        <v>3</v>
      </c>
      <c r="AM309" t="n">
        <v>53700</v>
      </c>
      <c r="AN309" t="n">
        <v>0</v>
      </c>
      <c r="AO309" t="n">
        <v>0</v>
      </c>
      <c r="AP309" s="39" t="n">
        <v>53700</v>
      </c>
      <c r="AQ309" s="39" t="n">
        <v>53700</v>
      </c>
      <c r="AR309" s="39" t="n">
        <v>0</v>
      </c>
      <c r="AS309" t="n">
        <v>0</v>
      </c>
      <c r="AT309" t="inlineStr">
        <is>
          <t>Ahorro</t>
        </is>
      </c>
      <c r="AU309" t="inlineStr">
        <is>
          <t>Banco de Credito del Perú</t>
        </is>
      </c>
      <c r="AV309" t="inlineStr">
        <is>
          <t>194-7325779-0-65</t>
        </is>
      </c>
      <c r="AW309" t="inlineStr">
        <is>
          <t>TRANSFERENCIA BANCARIA</t>
        </is>
      </c>
      <c r="AY309" t="inlineStr">
        <is>
          <t>0637495</t>
        </is>
      </c>
      <c r="AZ309" t="inlineStr">
        <is>
          <t>Si</t>
        </is>
      </c>
      <c r="BB309" t="n">
        <v>4</v>
      </c>
      <c r="BC309" t="inlineStr">
        <is>
          <t>CANCELADO</t>
        </is>
      </c>
      <c r="BN309" t="inlineStr">
        <is>
          <t>No</t>
        </is>
      </c>
      <c r="BO309" s="76" t="n">
        <v>46142.41597222222</v>
      </c>
      <c r="BP309" t="inlineStr">
        <is>
          <t>Magaly Guevara Perez</t>
        </is>
      </c>
      <c r="BR309" t="n">
        <v>19</v>
      </c>
      <c r="BS309" t="inlineStr">
        <is>
          <t>09/06/2026 15:04</t>
        </is>
      </c>
      <c r="BW309" t="inlineStr">
        <is>
          <t>Cobranzas_2026.csv</t>
        </is>
      </c>
      <c r="BX309" t="n">
        <v>2026</v>
      </c>
      <c r="BY309" t="inlineStr">
        <is>
          <t>01/01/2024</t>
        </is>
      </c>
      <c r="BZ309" t="inlineStr">
        <is>
          <t>30/06/2031</t>
        </is>
      </c>
    </row>
    <row r="310">
      <c r="A310" t="inlineStr">
        <is>
          <t>RESIDENCIAL BEYOND</t>
        </is>
      </c>
      <c r="B310" t="inlineStr">
        <is>
          <t>Etapa 1</t>
        </is>
      </c>
      <c r="C310" t="inlineStr">
        <is>
          <t>Edificio</t>
        </is>
      </c>
      <c r="D310" t="inlineStr">
        <is>
          <t>A</t>
        </is>
      </c>
      <c r="E310" t="inlineStr">
        <is>
          <t>Departamento</t>
        </is>
      </c>
      <c r="F310" t="inlineStr">
        <is>
          <t>801</t>
        </is>
      </c>
      <c r="G310" s="39" t="n">
        <v>531100</v>
      </c>
      <c r="H310" s="39" t="n">
        <v>493000</v>
      </c>
      <c r="M310" s="39" t="n"/>
      <c r="N310" s="39" t="n"/>
      <c r="S310" s="39" t="n"/>
      <c r="T310" s="39" t="n"/>
      <c r="Y310" s="39" t="n"/>
      <c r="Z310" s="39" t="n"/>
      <c r="AA310" t="inlineStr">
        <is>
          <t>Elizabeth Bertha Fierro Cancho</t>
        </is>
      </c>
      <c r="AB310" t="inlineStr">
        <is>
          <t>10599276</t>
        </is>
      </c>
      <c r="AC310" t="inlineStr">
        <is>
          <t>Calle uno Numero 270 Edif D Dpto. 301 – Urb. Los Parques del El Agustino</t>
        </is>
      </c>
      <c r="AD310" t="n">
        <v>0</v>
      </c>
      <c r="AE310" t="inlineStr">
        <is>
          <t>966794666</t>
        </is>
      </c>
      <c r="AF310" t="inlineStr">
        <is>
          <t>esdrasjoelpatillarojas@hotmail.com</t>
        </is>
      </c>
      <c r="AG310" t="inlineStr">
        <is>
          <t>LIMA</t>
        </is>
      </c>
      <c r="AH310" t="inlineStr">
        <is>
          <t>EL AGUSTINO</t>
        </is>
      </c>
      <c r="AI310" s="75" t="n">
        <v>46233</v>
      </c>
      <c r="AJ310" s="75" t="n">
        <v>46154</v>
      </c>
      <c r="AK310" t="inlineStr">
        <is>
          <t>CUOTA INICIAL</t>
        </is>
      </c>
      <c r="AL310" t="n">
        <v>4</v>
      </c>
      <c r="AM310" t="n">
        <v>53700</v>
      </c>
      <c r="AN310" t="n">
        <v>0</v>
      </c>
      <c r="AO310" t="n">
        <v>0</v>
      </c>
      <c r="AP310" s="39" t="n">
        <v>53700</v>
      </c>
      <c r="AQ310" s="39" t="n">
        <v>53700</v>
      </c>
      <c r="AR310" s="39" t="n">
        <v>0</v>
      </c>
      <c r="AS310" t="n">
        <v>0</v>
      </c>
      <c r="AT310" t="inlineStr">
        <is>
          <t>Ahorro</t>
        </is>
      </c>
      <c r="AU310" t="inlineStr">
        <is>
          <t>Banco de Credito del Perú</t>
        </is>
      </c>
      <c r="AV310" t="inlineStr">
        <is>
          <t>194-7325779-0-65</t>
        </is>
      </c>
      <c r="AW310" t="inlineStr">
        <is>
          <t>TRANSFERENCIA BANCARIA</t>
        </is>
      </c>
      <c r="AY310" t="inlineStr">
        <is>
          <t>0950768</t>
        </is>
      </c>
      <c r="AZ310" t="inlineStr">
        <is>
          <t>Si</t>
        </is>
      </c>
      <c r="BB310" t="n">
        <v>4</v>
      </c>
      <c r="BC310" t="inlineStr">
        <is>
          <t>CANCELADO</t>
        </is>
      </c>
      <c r="BN310" t="inlineStr">
        <is>
          <t>No</t>
        </is>
      </c>
      <c r="BO310" s="76" t="n">
        <v>46142.41597222222</v>
      </c>
      <c r="BP310" t="inlineStr">
        <is>
          <t>Magaly Guevara Perez</t>
        </is>
      </c>
      <c r="BR310" t="n">
        <v>19</v>
      </c>
      <c r="BS310" t="inlineStr">
        <is>
          <t>09/06/2026 15:05</t>
        </is>
      </c>
      <c r="BW310" t="inlineStr">
        <is>
          <t>Cobranzas_2026.csv</t>
        </is>
      </c>
      <c r="BX310" t="n">
        <v>2026</v>
      </c>
      <c r="BY310" t="inlineStr">
        <is>
          <t>01/01/2024</t>
        </is>
      </c>
      <c r="BZ310" t="inlineStr">
        <is>
          <t>30/06/2031</t>
        </is>
      </c>
    </row>
    <row r="311">
      <c r="A311" t="inlineStr">
        <is>
          <t>RESIDENCIAL BEYOND</t>
        </is>
      </c>
      <c r="B311" t="inlineStr">
        <is>
          <t>Etapa 1</t>
        </is>
      </c>
      <c r="C311" t="inlineStr">
        <is>
          <t>Edificio</t>
        </is>
      </c>
      <c r="D311" t="inlineStr">
        <is>
          <t>A</t>
        </is>
      </c>
      <c r="E311" t="inlineStr">
        <is>
          <t>Departamento</t>
        </is>
      </c>
      <c r="F311" t="inlineStr">
        <is>
          <t>801</t>
        </is>
      </c>
      <c r="G311" s="39" t="n">
        <v>531100</v>
      </c>
      <c r="H311" s="39" t="n">
        <v>493000</v>
      </c>
      <c r="M311" s="39" t="n"/>
      <c r="N311" s="39" t="n"/>
      <c r="S311" s="39" t="n"/>
      <c r="T311" s="39" t="n"/>
      <c r="Y311" s="39" t="n"/>
      <c r="Z311" s="39" t="n"/>
      <c r="AA311" t="inlineStr">
        <is>
          <t>Elizabeth Bertha Fierro Cancho</t>
        </is>
      </c>
      <c r="AB311" t="inlineStr">
        <is>
          <t>10599276</t>
        </is>
      </c>
      <c r="AC311" t="inlineStr">
        <is>
          <t>Calle uno Numero 270 Edif D Dpto. 301 – Urb. Los Parques del El Agustino</t>
        </is>
      </c>
      <c r="AD311" t="n">
        <v>0</v>
      </c>
      <c r="AE311" t="inlineStr">
        <is>
          <t>966794666</t>
        </is>
      </c>
      <c r="AF311" t="inlineStr">
        <is>
          <t>esdrasjoelpatillarojas@hotmail.com</t>
        </is>
      </c>
      <c r="AG311" t="inlineStr">
        <is>
          <t>LIMA</t>
        </is>
      </c>
      <c r="AH311" t="inlineStr">
        <is>
          <t>EL AGUSTINO</t>
        </is>
      </c>
      <c r="AI311" s="75" t="n">
        <v>46264</v>
      </c>
      <c r="AJ311" s="75" t="n"/>
      <c r="AK311" t="inlineStr">
        <is>
          <t>AHORRO CASA</t>
        </is>
      </c>
      <c r="AL311" t="n">
        <v>5</v>
      </c>
      <c r="AM311" t="n">
        <v>16800</v>
      </c>
      <c r="AN311" t="n">
        <v>0</v>
      </c>
      <c r="AO311" t="n">
        <v>0</v>
      </c>
      <c r="AP311" s="39" t="n">
        <v>16800</v>
      </c>
      <c r="AQ311" s="39" t="n">
        <v>0</v>
      </c>
      <c r="AR311" s="39" t="n">
        <v>16800</v>
      </c>
      <c r="AT311" t="inlineStr">
        <is>
          <t>Ahorro</t>
        </is>
      </c>
      <c r="AZ311" t="inlineStr">
        <is>
          <t>No</t>
        </is>
      </c>
      <c r="BC311" t="inlineStr">
        <is>
          <t>PENDIENTE</t>
        </is>
      </c>
      <c r="BN311" t="inlineStr">
        <is>
          <t>No</t>
        </is>
      </c>
      <c r="BO311" s="76" t="n">
        <v>46142.41597222222</v>
      </c>
      <c r="BP311" t="inlineStr">
        <is>
          <t>Magaly Guevara Perez</t>
        </is>
      </c>
      <c r="BR311" t="n">
        <v>19</v>
      </c>
      <c r="BW311" t="inlineStr">
        <is>
          <t>Cobranzas_2026.csv</t>
        </is>
      </c>
      <c r="BX311" t="n">
        <v>2026</v>
      </c>
      <c r="BY311" t="inlineStr">
        <is>
          <t>01/01/2024</t>
        </is>
      </c>
      <c r="BZ311" t="inlineStr">
        <is>
          <t>30/06/2031</t>
        </is>
      </c>
    </row>
    <row r="312">
      <c r="A312" t="inlineStr">
        <is>
          <t>RESIDENCIAL BEYOND</t>
        </is>
      </c>
      <c r="B312" t="inlineStr">
        <is>
          <t>Etapa 1</t>
        </is>
      </c>
      <c r="C312" t="inlineStr">
        <is>
          <t>Edificio</t>
        </is>
      </c>
      <c r="D312" t="inlineStr">
        <is>
          <t>A</t>
        </is>
      </c>
      <c r="E312" t="inlineStr">
        <is>
          <t>Departamento</t>
        </is>
      </c>
      <c r="F312" t="inlineStr">
        <is>
          <t>801</t>
        </is>
      </c>
      <c r="G312" s="39" t="n">
        <v>531100</v>
      </c>
      <c r="H312" s="39" t="n">
        <v>493000</v>
      </c>
      <c r="M312" s="39" t="n"/>
      <c r="N312" s="39" t="n"/>
      <c r="S312" s="39" t="n"/>
      <c r="T312" s="39" t="n"/>
      <c r="Y312" s="39" t="n"/>
      <c r="Z312" s="39" t="n"/>
      <c r="AA312" t="inlineStr">
        <is>
          <t>Elizabeth Bertha Fierro Cancho</t>
        </is>
      </c>
      <c r="AB312" t="inlineStr">
        <is>
          <t>10599276</t>
        </is>
      </c>
      <c r="AC312" t="inlineStr">
        <is>
          <t>Calle uno Numero 270 Edif D Dpto. 301 – Urb. Los Parques del El Agustino</t>
        </is>
      </c>
      <c r="AD312" t="n">
        <v>0</v>
      </c>
      <c r="AE312" t="inlineStr">
        <is>
          <t>966794666</t>
        </is>
      </c>
      <c r="AF312" t="inlineStr">
        <is>
          <t>esdrasjoelpatillarojas@hotmail.com</t>
        </is>
      </c>
      <c r="AG312" t="inlineStr">
        <is>
          <t>LIMA</t>
        </is>
      </c>
      <c r="AH312" t="inlineStr">
        <is>
          <t>EL AGUSTINO</t>
        </is>
      </c>
      <c r="AI312" s="75" t="n">
        <v>46356</v>
      </c>
      <c r="AJ312" s="75" t="n"/>
      <c r="AK312" t="inlineStr">
        <is>
          <t>SALDO FINANCIAR</t>
        </is>
      </c>
      <c r="AL312" t="n">
        <v>1</v>
      </c>
      <c r="AM312" t="n">
        <v>295800</v>
      </c>
      <c r="AN312" t="n">
        <v>0</v>
      </c>
      <c r="AO312" t="n">
        <v>0</v>
      </c>
      <c r="AP312" s="39" t="n">
        <v>295800</v>
      </c>
      <c r="AQ312" s="39" t="n">
        <v>0</v>
      </c>
      <c r="AR312" s="39" t="n">
        <v>295800</v>
      </c>
      <c r="AT312" t="inlineStr">
        <is>
          <t>Ahorro</t>
        </is>
      </c>
      <c r="AZ312" t="inlineStr">
        <is>
          <t>No</t>
        </is>
      </c>
      <c r="BC312" t="inlineStr">
        <is>
          <t>PENDIENTE</t>
        </is>
      </c>
      <c r="BN312" t="inlineStr">
        <is>
          <t>No</t>
        </is>
      </c>
      <c r="BO312" s="76" t="n">
        <v>46142.41597222222</v>
      </c>
      <c r="BP312" t="inlineStr">
        <is>
          <t>Magaly Guevara Perez</t>
        </is>
      </c>
      <c r="BR312" t="n">
        <v>19</v>
      </c>
      <c r="BW312" t="inlineStr">
        <is>
          <t>Cobranzas_2026.csv</t>
        </is>
      </c>
      <c r="BX312" t="n">
        <v>2026</v>
      </c>
      <c r="BY312" t="inlineStr">
        <is>
          <t>01/01/2024</t>
        </is>
      </c>
      <c r="BZ312" t="inlineStr">
        <is>
          <t>30/06/2031</t>
        </is>
      </c>
    </row>
    <row r="313">
      <c r="A313" t="inlineStr">
        <is>
          <t>RESIDENCIAL BEYOND</t>
        </is>
      </c>
      <c r="B313" t="inlineStr">
        <is>
          <t>Etapa 1</t>
        </is>
      </c>
      <c r="C313" t="inlineStr">
        <is>
          <t>Edificio</t>
        </is>
      </c>
      <c r="D313" t="inlineStr">
        <is>
          <t>A</t>
        </is>
      </c>
      <c r="E313" t="inlineStr">
        <is>
          <t>Departamento</t>
        </is>
      </c>
      <c r="F313" t="inlineStr">
        <is>
          <t>1301</t>
        </is>
      </c>
      <c r="G313" s="39" t="n">
        <v>508500</v>
      </c>
      <c r="H313" s="39" t="n">
        <v>455500</v>
      </c>
      <c r="M313" s="39" t="n"/>
      <c r="N313" s="39" t="n"/>
      <c r="S313" s="39" t="n"/>
      <c r="T313" s="39" t="n"/>
      <c r="Y313" s="39" t="n"/>
      <c r="Z313" s="39" t="n"/>
      <c r="AA313" t="inlineStr">
        <is>
          <t>ELIZABETH MINDY DELGADO PEREYRA</t>
        </is>
      </c>
      <c r="AB313" t="inlineStr">
        <is>
          <t>44350777</t>
        </is>
      </c>
      <c r="AC313" t="inlineStr">
        <is>
          <t xml:space="preserve">Jr. Jorge Chavez 1219 </t>
        </is>
      </c>
      <c r="AD313" t="n">
        <v>0</v>
      </c>
      <c r="AE313" t="inlineStr">
        <is>
          <t>988599067</t>
        </is>
      </c>
      <c r="AF313" t="inlineStr">
        <is>
          <t>mindydelgado@hotmail.com</t>
        </is>
      </c>
      <c r="AG313" t="inlineStr">
        <is>
          <t>LIMA</t>
        </is>
      </c>
      <c r="AH313" t="inlineStr">
        <is>
          <t>BREÑA</t>
        </is>
      </c>
      <c r="AI313" s="75" t="n">
        <v>46066</v>
      </c>
      <c r="AJ313" s="75" t="n">
        <v>46066</v>
      </c>
      <c r="AK313" t="inlineStr">
        <is>
          <t>SEPARACION</t>
        </is>
      </c>
      <c r="AL313" t="n">
        <v>1</v>
      </c>
      <c r="AM313" t="n">
        <v>5000</v>
      </c>
      <c r="AN313" t="n">
        <v>0</v>
      </c>
      <c r="AO313" t="n">
        <v>0</v>
      </c>
      <c r="AP313" s="39" t="n">
        <v>5000</v>
      </c>
      <c r="AQ313" s="39" t="n">
        <v>5000</v>
      </c>
      <c r="AR313" s="39" t="n">
        <v>0</v>
      </c>
      <c r="AS313" t="n">
        <v>0</v>
      </c>
      <c r="AT313" t="inlineStr">
        <is>
          <t>Ahorro</t>
        </is>
      </c>
      <c r="AU313" t="inlineStr">
        <is>
          <t>Banco de Credito del Perú</t>
        </is>
      </c>
      <c r="AV313" t="inlineStr">
        <is>
          <t>194-7325779-0-65</t>
        </is>
      </c>
      <c r="AW313" t="inlineStr">
        <is>
          <t>POS VISA</t>
        </is>
      </c>
      <c r="AY313" t="inlineStr">
        <is>
          <t>095850</t>
        </is>
      </c>
      <c r="AZ313" t="inlineStr">
        <is>
          <t>No</t>
        </is>
      </c>
      <c r="BB313" t="n">
        <v>4</v>
      </c>
      <c r="BC313" t="inlineStr">
        <is>
          <t>CANCELADO</t>
        </is>
      </c>
      <c r="BN313" t="inlineStr">
        <is>
          <t>No</t>
        </is>
      </c>
      <c r="BO313" s="76" t="n">
        <v>46101.43958333333</v>
      </c>
      <c r="BP313" t="inlineStr">
        <is>
          <t>Magaly Guevara Perez</t>
        </is>
      </c>
      <c r="BR313" t="n">
        <v>13</v>
      </c>
      <c r="BS313" t="inlineStr">
        <is>
          <t>23/05/2026 20:50</t>
        </is>
      </c>
      <c r="BW313" t="inlineStr">
        <is>
          <t>Cobranzas_2026.csv</t>
        </is>
      </c>
      <c r="BX313" t="n">
        <v>2026</v>
      </c>
      <c r="BY313" t="inlineStr">
        <is>
          <t>01/01/2024</t>
        </is>
      </c>
      <c r="BZ313" t="inlineStr">
        <is>
          <t>30/06/2031</t>
        </is>
      </c>
    </row>
    <row r="314">
      <c r="A314" t="inlineStr">
        <is>
          <t>RESIDENCIAL BEYOND</t>
        </is>
      </c>
      <c r="B314" t="inlineStr">
        <is>
          <t>Etapa 1</t>
        </is>
      </c>
      <c r="C314" t="inlineStr">
        <is>
          <t>Edificio</t>
        </is>
      </c>
      <c r="D314" t="inlineStr">
        <is>
          <t>A</t>
        </is>
      </c>
      <c r="E314" t="inlineStr">
        <is>
          <t>Departamento</t>
        </is>
      </c>
      <c r="F314" t="inlineStr">
        <is>
          <t>1301</t>
        </is>
      </c>
      <c r="G314" s="39" t="n">
        <v>508500</v>
      </c>
      <c r="H314" s="39" t="n">
        <v>455500</v>
      </c>
      <c r="M314" s="39" t="n"/>
      <c r="N314" s="39" t="n"/>
      <c r="S314" s="39" t="n"/>
      <c r="T314" s="39" t="n"/>
      <c r="Y314" s="39" t="n"/>
      <c r="Z314" s="39" t="n"/>
      <c r="AA314" t="inlineStr">
        <is>
          <t>ELIZABETH MINDY DELGADO PEREYRA</t>
        </is>
      </c>
      <c r="AB314" t="inlineStr">
        <is>
          <t>44350777</t>
        </is>
      </c>
      <c r="AC314" t="inlineStr">
        <is>
          <t xml:space="preserve">Jr. Jorge Chavez 1219 </t>
        </is>
      </c>
      <c r="AD314" t="n">
        <v>0</v>
      </c>
      <c r="AE314" t="inlineStr">
        <is>
          <t>988599067</t>
        </is>
      </c>
      <c r="AF314" t="inlineStr">
        <is>
          <t>mindydelgado@hotmail.com</t>
        </is>
      </c>
      <c r="AG314" t="inlineStr">
        <is>
          <t>LIMA</t>
        </is>
      </c>
      <c r="AH314" t="inlineStr">
        <is>
          <t>BREÑA</t>
        </is>
      </c>
      <c r="AI314" s="75" t="n">
        <v>46101</v>
      </c>
      <c r="AJ314" s="75" t="n">
        <v>46101</v>
      </c>
      <c r="AK314" t="inlineStr">
        <is>
          <t>CUOTA INICIAL</t>
        </is>
      </c>
      <c r="AL314" t="n">
        <v>1</v>
      </c>
      <c r="AM314" t="n">
        <v>8888</v>
      </c>
      <c r="AN314" t="n">
        <v>0</v>
      </c>
      <c r="AO314" t="n">
        <v>0</v>
      </c>
      <c r="AP314" s="39" t="n">
        <v>8888</v>
      </c>
      <c r="AQ314" s="39" t="n">
        <v>8888</v>
      </c>
      <c r="AR314" s="39" t="n">
        <v>0</v>
      </c>
      <c r="AS314" t="n">
        <v>0</v>
      </c>
      <c r="AT314" t="inlineStr">
        <is>
          <t>Ahorro</t>
        </is>
      </c>
      <c r="AU314" t="inlineStr">
        <is>
          <t>Banco de Credito del Perú</t>
        </is>
      </c>
      <c r="AV314" t="inlineStr">
        <is>
          <t>194-7325779-0-65</t>
        </is>
      </c>
      <c r="AW314" t="inlineStr">
        <is>
          <t>TRANSFERENCIA BANCARIA</t>
        </is>
      </c>
      <c r="AY314" t="inlineStr">
        <is>
          <t>0918237</t>
        </is>
      </c>
      <c r="AZ314" t="inlineStr">
        <is>
          <t>No</t>
        </is>
      </c>
      <c r="BB314" t="n">
        <v>4</v>
      </c>
      <c r="BC314" t="inlineStr">
        <is>
          <t>CANCELADO</t>
        </is>
      </c>
      <c r="BN314" t="inlineStr">
        <is>
          <t>No</t>
        </is>
      </c>
      <c r="BO314" s="76" t="n">
        <v>46101.43958333333</v>
      </c>
      <c r="BP314" t="inlineStr">
        <is>
          <t>Magaly Guevara Perez</t>
        </is>
      </c>
      <c r="BR314" t="n">
        <v>13</v>
      </c>
      <c r="BS314" t="inlineStr">
        <is>
          <t>23/05/2026 20:52</t>
        </is>
      </c>
      <c r="BW314" t="inlineStr">
        <is>
          <t>Cobranzas_2026.csv</t>
        </is>
      </c>
      <c r="BX314" t="n">
        <v>2026</v>
      </c>
      <c r="BY314" t="inlineStr">
        <is>
          <t>01/01/2024</t>
        </is>
      </c>
      <c r="BZ314" t="inlineStr">
        <is>
          <t>30/06/2031</t>
        </is>
      </c>
    </row>
    <row r="315">
      <c r="A315" t="inlineStr">
        <is>
          <t>RESIDENCIAL BEYOND</t>
        </is>
      </c>
      <c r="B315" t="inlineStr">
        <is>
          <t>Etapa 1</t>
        </is>
      </c>
      <c r="C315" t="inlineStr">
        <is>
          <t>Edificio</t>
        </is>
      </c>
      <c r="D315" t="inlineStr">
        <is>
          <t>A</t>
        </is>
      </c>
      <c r="E315" t="inlineStr">
        <is>
          <t>Departamento</t>
        </is>
      </c>
      <c r="F315" t="inlineStr">
        <is>
          <t>1301</t>
        </is>
      </c>
      <c r="G315" s="39" t="n">
        <v>508500</v>
      </c>
      <c r="H315" s="39" t="n">
        <v>455500</v>
      </c>
      <c r="M315" s="39" t="n"/>
      <c r="N315" s="39" t="n"/>
      <c r="S315" s="39" t="n"/>
      <c r="T315" s="39" t="n"/>
      <c r="Y315" s="39" t="n"/>
      <c r="Z315" s="39" t="n"/>
      <c r="AA315" t="inlineStr">
        <is>
          <t>ELIZABETH MINDY DELGADO PEREYRA</t>
        </is>
      </c>
      <c r="AB315" t="inlineStr">
        <is>
          <t>44350777</t>
        </is>
      </c>
      <c r="AC315" t="inlineStr">
        <is>
          <t xml:space="preserve">Jr. Jorge Chavez 1219 </t>
        </is>
      </c>
      <c r="AD315" t="n">
        <v>0</v>
      </c>
      <c r="AE315" t="inlineStr">
        <is>
          <t>988599067</t>
        </is>
      </c>
      <c r="AF315" t="inlineStr">
        <is>
          <t>mindydelgado@hotmail.com</t>
        </is>
      </c>
      <c r="AG315" t="inlineStr">
        <is>
          <t>LIMA</t>
        </is>
      </c>
      <c r="AH315" t="inlineStr">
        <is>
          <t>BREÑA</t>
        </is>
      </c>
      <c r="AI315" s="75" t="n">
        <v>46142</v>
      </c>
      <c r="AJ315" s="75" t="n">
        <v>46165</v>
      </c>
      <c r="AK315" t="inlineStr">
        <is>
          <t>CUOTA INICIAL</t>
        </is>
      </c>
      <c r="AL315" t="n">
        <v>2</v>
      </c>
      <c r="AM315" t="n">
        <v>8888</v>
      </c>
      <c r="AN315" t="n">
        <v>0</v>
      </c>
      <c r="AO315" t="n">
        <v>0</v>
      </c>
      <c r="AP315" s="39" t="n">
        <v>8888</v>
      </c>
      <c r="AQ315" s="39" t="n">
        <v>8888</v>
      </c>
      <c r="AR315" s="39" t="n">
        <v>0</v>
      </c>
      <c r="AS315" t="n">
        <v>0</v>
      </c>
      <c r="AT315" t="inlineStr">
        <is>
          <t>Ahorro</t>
        </is>
      </c>
      <c r="AU315" t="inlineStr">
        <is>
          <t>Banco de Credito del Perú</t>
        </is>
      </c>
      <c r="AV315" t="inlineStr">
        <is>
          <t>194-7325779-0-65</t>
        </is>
      </c>
      <c r="AW315" t="inlineStr">
        <is>
          <t>TRANSFERENCIA BANCARIA</t>
        </is>
      </c>
      <c r="AY315" t="inlineStr">
        <is>
          <t>04691094</t>
        </is>
      </c>
      <c r="AZ315" t="inlineStr">
        <is>
          <t>No</t>
        </is>
      </c>
      <c r="BB315" t="n">
        <v>4</v>
      </c>
      <c r="BC315" t="inlineStr">
        <is>
          <t>CANCELADO</t>
        </is>
      </c>
      <c r="BN315" t="inlineStr">
        <is>
          <t>No</t>
        </is>
      </c>
      <c r="BO315" s="76" t="n">
        <v>46101.43958333333</v>
      </c>
      <c r="BP315" t="inlineStr">
        <is>
          <t>Magaly Guevara Perez</t>
        </is>
      </c>
      <c r="BR315" t="n">
        <v>13</v>
      </c>
      <c r="BS315" t="inlineStr">
        <is>
          <t>23/05/2026 20:52</t>
        </is>
      </c>
      <c r="BW315" t="inlineStr">
        <is>
          <t>Cobranzas_2026.csv</t>
        </is>
      </c>
      <c r="BX315" t="n">
        <v>2026</v>
      </c>
      <c r="BY315" t="inlineStr">
        <is>
          <t>01/01/2024</t>
        </is>
      </c>
      <c r="BZ315" t="inlineStr">
        <is>
          <t>30/06/2031</t>
        </is>
      </c>
    </row>
    <row r="316">
      <c r="A316" t="inlineStr">
        <is>
          <t>RESIDENCIAL BEYOND</t>
        </is>
      </c>
      <c r="B316" t="inlineStr">
        <is>
          <t>Etapa 1</t>
        </is>
      </c>
      <c r="C316" t="inlineStr">
        <is>
          <t>Edificio</t>
        </is>
      </c>
      <c r="D316" t="inlineStr">
        <is>
          <t>A</t>
        </is>
      </c>
      <c r="E316" t="inlineStr">
        <is>
          <t>Departamento</t>
        </is>
      </c>
      <c r="F316" t="inlineStr">
        <is>
          <t>1301</t>
        </is>
      </c>
      <c r="G316" s="39" t="n">
        <v>508500</v>
      </c>
      <c r="H316" s="39" t="n">
        <v>455500</v>
      </c>
      <c r="M316" s="39" t="n"/>
      <c r="N316" s="39" t="n"/>
      <c r="S316" s="39" t="n"/>
      <c r="T316" s="39" t="n"/>
      <c r="Y316" s="39" t="n"/>
      <c r="Z316" s="39" t="n"/>
      <c r="AA316" t="inlineStr">
        <is>
          <t>ELIZABETH MINDY DELGADO PEREYRA</t>
        </is>
      </c>
      <c r="AB316" t="inlineStr">
        <is>
          <t>44350777</t>
        </is>
      </c>
      <c r="AC316" t="inlineStr">
        <is>
          <t xml:space="preserve">Jr. Jorge Chavez 1219 </t>
        </is>
      </c>
      <c r="AD316" t="n">
        <v>0</v>
      </c>
      <c r="AE316" t="inlineStr">
        <is>
          <t>988599067</t>
        </is>
      </c>
      <c r="AF316" t="inlineStr">
        <is>
          <t>mindydelgado@hotmail.com</t>
        </is>
      </c>
      <c r="AG316" t="inlineStr">
        <is>
          <t>LIMA</t>
        </is>
      </c>
      <c r="AH316" t="inlineStr">
        <is>
          <t>BREÑA</t>
        </is>
      </c>
      <c r="AI316" s="75" t="n">
        <v>46295</v>
      </c>
      <c r="AJ316" s="75" t="n"/>
      <c r="AK316" t="inlineStr">
        <is>
          <t>AHORRO CASA</t>
        </is>
      </c>
      <c r="AL316" t="n">
        <v>3</v>
      </c>
      <c r="AM316" t="n">
        <v>22774</v>
      </c>
      <c r="AN316" t="n">
        <v>0</v>
      </c>
      <c r="AO316" t="n">
        <v>0</v>
      </c>
      <c r="AP316" s="39" t="n">
        <v>22774</v>
      </c>
      <c r="AQ316" s="39" t="n">
        <v>0</v>
      </c>
      <c r="AR316" s="39" t="n">
        <v>22774</v>
      </c>
      <c r="AT316" t="inlineStr">
        <is>
          <t>Ahorro</t>
        </is>
      </c>
      <c r="AZ316" t="inlineStr">
        <is>
          <t>No</t>
        </is>
      </c>
      <c r="BC316" t="inlineStr">
        <is>
          <t>PENDIENTE</t>
        </is>
      </c>
      <c r="BN316" t="inlineStr">
        <is>
          <t>No</t>
        </is>
      </c>
      <c r="BO316" s="76" t="n">
        <v>46101.43958333333</v>
      </c>
      <c r="BP316" t="inlineStr">
        <is>
          <t>Magaly Guevara Perez</t>
        </is>
      </c>
      <c r="BR316" t="n">
        <v>13</v>
      </c>
      <c r="BW316" t="inlineStr">
        <is>
          <t>Cobranzas_2026.csv</t>
        </is>
      </c>
      <c r="BX316" t="n">
        <v>2026</v>
      </c>
      <c r="BY316" t="inlineStr">
        <is>
          <t>01/01/2024</t>
        </is>
      </c>
      <c r="BZ316" t="inlineStr">
        <is>
          <t>30/06/2031</t>
        </is>
      </c>
    </row>
    <row r="317">
      <c r="A317" t="inlineStr">
        <is>
          <t>RESIDENCIAL BEYOND</t>
        </is>
      </c>
      <c r="B317" t="inlineStr">
        <is>
          <t>Etapa 1</t>
        </is>
      </c>
      <c r="C317" t="inlineStr">
        <is>
          <t>Edificio</t>
        </is>
      </c>
      <c r="D317" t="inlineStr">
        <is>
          <t>A</t>
        </is>
      </c>
      <c r="E317" t="inlineStr">
        <is>
          <t>Departamento</t>
        </is>
      </c>
      <c r="F317" t="inlineStr">
        <is>
          <t>1301</t>
        </is>
      </c>
      <c r="G317" s="39" t="n">
        <v>508500</v>
      </c>
      <c r="H317" s="39" t="n">
        <v>455500</v>
      </c>
      <c r="M317" s="39" t="n"/>
      <c r="N317" s="39" t="n"/>
      <c r="S317" s="39" t="n"/>
      <c r="T317" s="39" t="n"/>
      <c r="Y317" s="39" t="n"/>
      <c r="Z317" s="39" t="n"/>
      <c r="AA317" t="inlineStr">
        <is>
          <t>ELIZABETH MINDY DELGADO PEREYRA</t>
        </is>
      </c>
      <c r="AB317" t="inlineStr">
        <is>
          <t>44350777</t>
        </is>
      </c>
      <c r="AC317" t="inlineStr">
        <is>
          <t xml:space="preserve">Jr. Jorge Chavez 1219 </t>
        </is>
      </c>
      <c r="AD317" t="n">
        <v>0</v>
      </c>
      <c r="AE317" t="inlineStr">
        <is>
          <t>988599067</t>
        </is>
      </c>
      <c r="AF317" t="inlineStr">
        <is>
          <t>mindydelgado@hotmail.com</t>
        </is>
      </c>
      <c r="AG317" t="inlineStr">
        <is>
          <t>LIMA</t>
        </is>
      </c>
      <c r="AH317" t="inlineStr">
        <is>
          <t>BREÑA</t>
        </is>
      </c>
      <c r="AI317" s="75" t="n">
        <v>46356</v>
      </c>
      <c r="AJ317" s="75" t="n"/>
      <c r="AK317" t="inlineStr">
        <is>
          <t>SALDO FINANCIAR</t>
        </is>
      </c>
      <c r="AL317" t="n">
        <v>1</v>
      </c>
      <c r="AM317" t="n">
        <v>409950</v>
      </c>
      <c r="AN317" t="n">
        <v>0</v>
      </c>
      <c r="AO317" t="n">
        <v>0</v>
      </c>
      <c r="AP317" s="39" t="n">
        <v>409950</v>
      </c>
      <c r="AQ317" s="39" t="n">
        <v>0</v>
      </c>
      <c r="AR317" s="39" t="n">
        <v>409950</v>
      </c>
      <c r="AT317" t="inlineStr">
        <is>
          <t>Ahorro</t>
        </is>
      </c>
      <c r="AZ317" t="inlineStr">
        <is>
          <t>No</t>
        </is>
      </c>
      <c r="BC317" t="inlineStr">
        <is>
          <t>PENDIENTE</t>
        </is>
      </c>
      <c r="BN317" t="inlineStr">
        <is>
          <t>No</t>
        </is>
      </c>
      <c r="BO317" s="76" t="n">
        <v>46101.43958333333</v>
      </c>
      <c r="BP317" t="inlineStr">
        <is>
          <t>Magaly Guevara Perez</t>
        </is>
      </c>
      <c r="BR317" t="n">
        <v>13</v>
      </c>
      <c r="BW317" t="inlineStr">
        <is>
          <t>Cobranzas_2026.csv</t>
        </is>
      </c>
      <c r="BX317" t="n">
        <v>2026</v>
      </c>
      <c r="BY317" t="inlineStr">
        <is>
          <t>01/01/2024</t>
        </is>
      </c>
      <c r="BZ317" t="inlineStr">
        <is>
          <t>30/06/2031</t>
        </is>
      </c>
    </row>
    <row r="318">
      <c r="A318" t="inlineStr">
        <is>
          <t>RESIDENCIAL PRADA</t>
        </is>
      </c>
      <c r="B318" t="inlineStr">
        <is>
          <t>Etapa 1</t>
        </is>
      </c>
      <c r="C318" t="inlineStr">
        <is>
          <t>Edificio</t>
        </is>
      </c>
      <c r="D318" t="inlineStr">
        <is>
          <t>A</t>
        </is>
      </c>
      <c r="E318" t="inlineStr">
        <is>
          <t>Estacionamiento</t>
        </is>
      </c>
      <c r="F318" t="inlineStr">
        <is>
          <t>E 08</t>
        </is>
      </c>
      <c r="G318" s="39" t="n">
        <v>47500</v>
      </c>
      <c r="H318" s="39" t="n">
        <v>47500</v>
      </c>
      <c r="M318" s="39" t="n"/>
      <c r="N318" s="39" t="n"/>
      <c r="S318" s="39" t="n"/>
      <c r="T318" s="39" t="n"/>
      <c r="Y318" s="39" t="n"/>
      <c r="Z318" s="39" t="n"/>
      <c r="AA318" t="inlineStr">
        <is>
          <t>Elizabeth Rocio Urbina Ñañez</t>
        </is>
      </c>
      <c r="AB318" t="inlineStr">
        <is>
          <t>71404863</t>
        </is>
      </c>
      <c r="AC318" t="inlineStr">
        <is>
          <t>Av. Arequipa 2651</t>
        </is>
      </c>
      <c r="AD318" t="n">
        <v>0</v>
      </c>
      <c r="AE318" t="inlineStr">
        <is>
          <t>943921218</t>
        </is>
      </c>
      <c r="AF318" t="inlineStr">
        <is>
          <t>elizabethurbina9624@gmail.com</t>
        </is>
      </c>
      <c r="AG318" t="inlineStr">
        <is>
          <t>LIMA</t>
        </is>
      </c>
      <c r="AH318" t="inlineStr">
        <is>
          <t>LINCE</t>
        </is>
      </c>
      <c r="AI318" s="75" t="n">
        <v>46023</v>
      </c>
      <c r="AJ318" s="75" t="n">
        <v>46023</v>
      </c>
      <c r="AK318" t="inlineStr">
        <is>
          <t>SALDO FINANCIAR</t>
        </is>
      </c>
      <c r="AL318" t="n">
        <v>2</v>
      </c>
      <c r="AM318" t="n">
        <v>7000</v>
      </c>
      <c r="AN318" t="n">
        <v>0</v>
      </c>
      <c r="AO318" t="n">
        <v>0</v>
      </c>
      <c r="AP318" s="39" t="n">
        <v>7000</v>
      </c>
      <c r="AQ318" s="39" t="n">
        <v>7000</v>
      </c>
      <c r="AR318" s="39" t="n">
        <v>0</v>
      </c>
      <c r="AS318" t="n">
        <v>0</v>
      </c>
      <c r="AT318" t="inlineStr">
        <is>
          <t>Crédito Directo</t>
        </is>
      </c>
      <c r="AU318" t="inlineStr">
        <is>
          <t>Scotiabank Perú</t>
        </is>
      </c>
      <c r="AV318" t="inlineStr">
        <is>
          <t>000-2768484</t>
        </is>
      </c>
      <c r="AW318" t="inlineStr">
        <is>
          <t>TRANSFERENCIA BANCARIA</t>
        </is>
      </c>
      <c r="AY318" t="inlineStr">
        <is>
          <t>8047007</t>
        </is>
      </c>
      <c r="AZ318" t="inlineStr">
        <is>
          <t>No</t>
        </is>
      </c>
      <c r="BB318" t="n">
        <v>4</v>
      </c>
      <c r="BC318" t="inlineStr">
        <is>
          <t>CANCELADO</t>
        </is>
      </c>
      <c r="BN318" t="inlineStr">
        <is>
          <t>Si</t>
        </is>
      </c>
      <c r="BO318" s="76" t="n">
        <v>45903.68958333333</v>
      </c>
      <c r="BP318" t="inlineStr">
        <is>
          <t>Magaly Guevara Perez</t>
        </is>
      </c>
      <c r="BR318" t="n">
        <v>53</v>
      </c>
      <c r="BS318" t="inlineStr">
        <is>
          <t>03/07/2026 10:26</t>
        </is>
      </c>
      <c r="BW318" t="inlineStr">
        <is>
          <t>Cobranzas_2026.csv</t>
        </is>
      </c>
      <c r="BX318" t="n">
        <v>2026</v>
      </c>
      <c r="BY318" t="inlineStr">
        <is>
          <t>01/01/2024</t>
        </is>
      </c>
      <c r="BZ318" t="inlineStr">
        <is>
          <t>30/06/2031</t>
        </is>
      </c>
    </row>
    <row r="319">
      <c r="A319" t="inlineStr">
        <is>
          <t>RESIDENCIAL PRADA</t>
        </is>
      </c>
      <c r="B319" t="inlineStr">
        <is>
          <t>Etapa 1</t>
        </is>
      </c>
      <c r="C319" t="inlineStr">
        <is>
          <t>Edificio</t>
        </is>
      </c>
      <c r="D319" t="inlineStr">
        <is>
          <t>A</t>
        </is>
      </c>
      <c r="E319" t="inlineStr">
        <is>
          <t>Estacionamiento</t>
        </is>
      </c>
      <c r="F319" t="inlineStr">
        <is>
          <t>E 08</t>
        </is>
      </c>
      <c r="G319" s="39" t="n">
        <v>47500</v>
      </c>
      <c r="H319" s="39" t="n">
        <v>47500</v>
      </c>
      <c r="M319" s="39" t="n"/>
      <c r="N319" s="39" t="n"/>
      <c r="S319" s="39" t="n"/>
      <c r="T319" s="39" t="n"/>
      <c r="Y319" s="39" t="n"/>
      <c r="Z319" s="39" t="n"/>
      <c r="AA319" t="inlineStr">
        <is>
          <t>Elizabeth Rocio Urbina Ñañez</t>
        </is>
      </c>
      <c r="AB319" t="inlineStr">
        <is>
          <t>71404863</t>
        </is>
      </c>
      <c r="AC319" t="inlineStr">
        <is>
          <t>Av. Arequipa 2651</t>
        </is>
      </c>
      <c r="AD319" t="n">
        <v>0</v>
      </c>
      <c r="AE319" t="inlineStr">
        <is>
          <t>943921218</t>
        </is>
      </c>
      <c r="AF319" t="inlineStr">
        <is>
          <t>elizabethurbina9624@gmail.com</t>
        </is>
      </c>
      <c r="AG319" t="inlineStr">
        <is>
          <t>LIMA</t>
        </is>
      </c>
      <c r="AH319" t="inlineStr">
        <is>
          <t>LINCE</t>
        </is>
      </c>
      <c r="AI319" s="75" t="n">
        <v>46112</v>
      </c>
      <c r="AJ319" s="75" t="n">
        <v>46112</v>
      </c>
      <c r="AK319" t="inlineStr">
        <is>
          <t>SALDO FINANCIAR</t>
        </is>
      </c>
      <c r="AL319" t="n">
        <v>3</v>
      </c>
      <c r="AM319" t="n">
        <v>22500</v>
      </c>
      <c r="AN319" t="n">
        <v>0</v>
      </c>
      <c r="AO319" t="n">
        <v>0</v>
      </c>
      <c r="AP319" s="39" t="n">
        <v>22500</v>
      </c>
      <c r="AQ319" s="39" t="n">
        <v>22500</v>
      </c>
      <c r="AR319" s="39" t="n">
        <v>0</v>
      </c>
      <c r="AS319" t="n">
        <v>0</v>
      </c>
      <c r="AT319" t="inlineStr">
        <is>
          <t>Crédito Directo</t>
        </is>
      </c>
      <c r="AU319" t="inlineStr">
        <is>
          <t>Scotiabank Perú</t>
        </is>
      </c>
      <c r="AV319" t="inlineStr">
        <is>
          <t>000-2768484</t>
        </is>
      </c>
      <c r="AW319" t="inlineStr">
        <is>
          <t>TRANSFERENCIA BANCARIA</t>
        </is>
      </c>
      <c r="AY319" t="inlineStr">
        <is>
          <t>2798845</t>
        </is>
      </c>
      <c r="AZ319" t="inlineStr">
        <is>
          <t>No</t>
        </is>
      </c>
      <c r="BB319" t="n">
        <v>4</v>
      </c>
      <c r="BC319" t="inlineStr">
        <is>
          <t>CANCELADO</t>
        </is>
      </c>
      <c r="BN319" t="inlineStr">
        <is>
          <t>Si</t>
        </is>
      </c>
      <c r="BO319" s="76" t="n">
        <v>45903.68958333333</v>
      </c>
      <c r="BP319" t="inlineStr">
        <is>
          <t>Magaly Guevara Perez</t>
        </is>
      </c>
      <c r="BR319" t="n">
        <v>53</v>
      </c>
      <c r="BS319" t="inlineStr">
        <is>
          <t>03/07/2026 10:27</t>
        </is>
      </c>
      <c r="BW319" t="inlineStr">
        <is>
          <t>Cobranzas_2026.csv</t>
        </is>
      </c>
      <c r="BX319" t="n">
        <v>2026</v>
      </c>
      <c r="BY319" t="inlineStr">
        <is>
          <t>01/01/2024</t>
        </is>
      </c>
      <c r="BZ319" t="inlineStr">
        <is>
          <t>30/06/2031</t>
        </is>
      </c>
    </row>
    <row r="320">
      <c r="A320" t="inlineStr">
        <is>
          <t>RESIDENCIAL BEYOND</t>
        </is>
      </c>
      <c r="B320" t="inlineStr">
        <is>
          <t>Etapa 1</t>
        </is>
      </c>
      <c r="C320" t="inlineStr">
        <is>
          <t>Edificio</t>
        </is>
      </c>
      <c r="D320" t="inlineStr">
        <is>
          <t>A</t>
        </is>
      </c>
      <c r="E320" t="inlineStr">
        <is>
          <t>Departamento</t>
        </is>
      </c>
      <c r="F320" t="inlineStr">
        <is>
          <t>503</t>
        </is>
      </c>
      <c r="G320" s="39" t="n">
        <v>504700</v>
      </c>
      <c r="H320" s="39" t="n">
        <v>470000</v>
      </c>
      <c r="I320" t="inlineStr">
        <is>
          <t>Edificio</t>
        </is>
      </c>
      <c r="J320" t="inlineStr">
        <is>
          <t>A</t>
        </is>
      </c>
      <c r="K320" t="inlineStr">
        <is>
          <t>Estacionamiento</t>
        </is>
      </c>
      <c r="L320" t="inlineStr">
        <is>
          <t>E 12 - D 10</t>
        </is>
      </c>
      <c r="M320" s="39" t="n">
        <v>51500</v>
      </c>
      <c r="N320" s="39" t="n">
        <v>51500</v>
      </c>
      <c r="S320" s="39" t="n"/>
      <c r="T320" s="39" t="n"/>
      <c r="Y320" s="39" t="n"/>
      <c r="Z320" s="39" t="n"/>
      <c r="AA320" t="inlineStr">
        <is>
          <t>ERICK RAUL BEDOYA BACA</t>
        </is>
      </c>
      <c r="AB320" t="inlineStr">
        <is>
          <t>47551103</t>
        </is>
      </c>
      <c r="AC320" t="inlineStr">
        <is>
          <t>Urb. Virgen del Rosario I Etapa Mz D Lt 11</t>
        </is>
      </c>
      <c r="AD320" t="n">
        <v>0</v>
      </c>
      <c r="AE320" t="inlineStr">
        <is>
          <t>961968687</t>
        </is>
      </c>
      <c r="AF320" t="inlineStr">
        <is>
          <t>ebedoyaba@gmail.com</t>
        </is>
      </c>
      <c r="AG320" t="inlineStr">
        <is>
          <t>LIMA</t>
        </is>
      </c>
      <c r="AH320" t="inlineStr">
        <is>
          <t>SAN MARTIN DE PORRES</t>
        </is>
      </c>
      <c r="AI320" s="75" t="n">
        <v>46033</v>
      </c>
      <c r="AJ320" s="75" t="n">
        <v>46033</v>
      </c>
      <c r="AK320" t="inlineStr">
        <is>
          <t>SEPARACION</t>
        </is>
      </c>
      <c r="AL320" t="n">
        <v>1</v>
      </c>
      <c r="AM320" t="n">
        <v>3000</v>
      </c>
      <c r="AN320" t="n">
        <v>0</v>
      </c>
      <c r="AO320" t="n">
        <v>0</v>
      </c>
      <c r="AP320" s="39" t="n">
        <v>3000</v>
      </c>
      <c r="AQ320" s="39" t="n">
        <v>3000</v>
      </c>
      <c r="AR320" s="39" t="n">
        <v>0</v>
      </c>
      <c r="AS320" t="n">
        <v>0</v>
      </c>
      <c r="AT320" t="inlineStr">
        <is>
          <t>Crédito Hipotecario</t>
        </is>
      </c>
      <c r="AU320" t="inlineStr">
        <is>
          <t>Banco de Credito del Perú</t>
        </is>
      </c>
      <c r="AV320" t="inlineStr">
        <is>
          <t>194-7325779-0-65</t>
        </is>
      </c>
      <c r="AW320" t="inlineStr">
        <is>
          <t>TRANSFERENCIA BANCARIA</t>
        </is>
      </c>
      <c r="AY320" t="inlineStr">
        <is>
          <t>02283860</t>
        </is>
      </c>
      <c r="AZ320" t="inlineStr">
        <is>
          <t>No</t>
        </is>
      </c>
      <c r="BB320" t="n">
        <v>4</v>
      </c>
      <c r="BC320" t="inlineStr">
        <is>
          <t>CANCELADO</t>
        </is>
      </c>
      <c r="BN320" t="inlineStr">
        <is>
          <t>No</t>
        </is>
      </c>
      <c r="BO320" s="76" t="n">
        <v>46049.39861111111</v>
      </c>
      <c r="BP320" t="inlineStr">
        <is>
          <t>Magaly Guevara Perez</t>
        </is>
      </c>
      <c r="BR320" t="n">
        <v>31</v>
      </c>
      <c r="BS320" t="inlineStr">
        <is>
          <t>01/05/2026 18:42</t>
        </is>
      </c>
      <c r="BW320" t="inlineStr">
        <is>
          <t>Cobranzas_2026.csv</t>
        </is>
      </c>
      <c r="BX320" t="n">
        <v>2026</v>
      </c>
      <c r="BY320" t="inlineStr">
        <is>
          <t>01/01/2024</t>
        </is>
      </c>
      <c r="BZ320" t="inlineStr">
        <is>
          <t>30/06/2031</t>
        </is>
      </c>
    </row>
    <row r="321">
      <c r="A321" t="inlineStr">
        <is>
          <t>RESIDENCIAL BEYOND</t>
        </is>
      </c>
      <c r="B321" t="inlineStr">
        <is>
          <t>Etapa 1</t>
        </is>
      </c>
      <c r="C321" t="inlineStr">
        <is>
          <t>Edificio</t>
        </is>
      </c>
      <c r="D321" t="inlineStr">
        <is>
          <t>A</t>
        </is>
      </c>
      <c r="E321" t="inlineStr">
        <is>
          <t>Departamento</t>
        </is>
      </c>
      <c r="F321" t="inlineStr">
        <is>
          <t>503</t>
        </is>
      </c>
      <c r="G321" s="39" t="n">
        <v>504700</v>
      </c>
      <c r="H321" s="39" t="n">
        <v>470000</v>
      </c>
      <c r="I321" t="inlineStr">
        <is>
          <t>Edificio</t>
        </is>
      </c>
      <c r="J321" t="inlineStr">
        <is>
          <t>A</t>
        </is>
      </c>
      <c r="K321" t="inlineStr">
        <is>
          <t>Estacionamiento</t>
        </is>
      </c>
      <c r="L321" t="inlineStr">
        <is>
          <t>E 12 - D 10</t>
        </is>
      </c>
      <c r="M321" s="39" t="n">
        <v>51500</v>
      </c>
      <c r="N321" s="39" t="n">
        <v>51500</v>
      </c>
      <c r="S321" s="39" t="n"/>
      <c r="T321" s="39" t="n"/>
      <c r="Y321" s="39" t="n"/>
      <c r="Z321" s="39" t="n"/>
      <c r="AA321" t="inlineStr">
        <is>
          <t>ERICK RAUL BEDOYA BACA</t>
        </is>
      </c>
      <c r="AB321" t="inlineStr">
        <is>
          <t>47551103</t>
        </is>
      </c>
      <c r="AC321" t="inlineStr">
        <is>
          <t>Urb. Virgen del Rosario I Etapa Mz D Lt 11</t>
        </is>
      </c>
      <c r="AD321" t="n">
        <v>0</v>
      </c>
      <c r="AE321" t="inlineStr">
        <is>
          <t>961968687</t>
        </is>
      </c>
      <c r="AF321" t="inlineStr">
        <is>
          <t>ebedoyaba@gmail.com</t>
        </is>
      </c>
      <c r="AG321" t="inlineStr">
        <is>
          <t>LIMA</t>
        </is>
      </c>
      <c r="AH321" t="inlineStr">
        <is>
          <t>SAN MARTIN DE PORRES</t>
        </is>
      </c>
      <c r="AI321" s="75" t="n">
        <v>46049</v>
      </c>
      <c r="AJ321" s="75" t="n"/>
      <c r="AK321" t="inlineStr">
        <is>
          <t>CUOTA INICIAL</t>
        </is>
      </c>
      <c r="AL321" t="n">
        <v>1</v>
      </c>
      <c r="AM321" t="n">
        <v>5500</v>
      </c>
      <c r="AN321" t="n">
        <v>0</v>
      </c>
      <c r="AO321" t="n">
        <v>0</v>
      </c>
      <c r="AP321" s="39" t="n">
        <v>5500</v>
      </c>
      <c r="AQ321" s="39" t="n">
        <v>0</v>
      </c>
      <c r="AR321" s="39" t="n">
        <v>5500</v>
      </c>
      <c r="AT321" t="inlineStr">
        <is>
          <t>Crédito Hipotecario</t>
        </is>
      </c>
      <c r="AZ321" t="inlineStr">
        <is>
          <t>No</t>
        </is>
      </c>
      <c r="BC321" t="inlineStr">
        <is>
          <t>VENCIDO</t>
        </is>
      </c>
      <c r="BN321" t="inlineStr">
        <is>
          <t>No</t>
        </is>
      </c>
      <c r="BO321" s="76" t="n">
        <v>46049.39861111111</v>
      </c>
      <c r="BP321" t="inlineStr">
        <is>
          <t>Magaly Guevara Perez</t>
        </is>
      </c>
      <c r="BR321" t="n">
        <v>31</v>
      </c>
      <c r="BW321" t="inlineStr">
        <is>
          <t>Cobranzas_2026.csv</t>
        </is>
      </c>
      <c r="BX321" t="n">
        <v>2026</v>
      </c>
      <c r="BY321" t="inlineStr">
        <is>
          <t>01/01/2024</t>
        </is>
      </c>
      <c r="BZ321" t="inlineStr">
        <is>
          <t>30/06/2031</t>
        </is>
      </c>
    </row>
    <row r="322">
      <c r="A322" t="inlineStr">
        <is>
          <t>RESIDENCIAL BEYOND</t>
        </is>
      </c>
      <c r="B322" t="inlineStr">
        <is>
          <t>Etapa 1</t>
        </is>
      </c>
      <c r="C322" t="inlineStr">
        <is>
          <t>Edificio</t>
        </is>
      </c>
      <c r="D322" t="inlineStr">
        <is>
          <t>A</t>
        </is>
      </c>
      <c r="E322" t="inlineStr">
        <is>
          <t>Departamento</t>
        </is>
      </c>
      <c r="F322" t="inlineStr">
        <is>
          <t>503</t>
        </is>
      </c>
      <c r="G322" s="39" t="n">
        <v>504700</v>
      </c>
      <c r="H322" s="39" t="n">
        <v>470000</v>
      </c>
      <c r="I322" t="inlineStr">
        <is>
          <t>Edificio</t>
        </is>
      </c>
      <c r="J322" t="inlineStr">
        <is>
          <t>A</t>
        </is>
      </c>
      <c r="K322" t="inlineStr">
        <is>
          <t>Estacionamiento</t>
        </is>
      </c>
      <c r="L322" t="inlineStr">
        <is>
          <t>E 12 - D 10</t>
        </is>
      </c>
      <c r="M322" s="39" t="n">
        <v>51500</v>
      </c>
      <c r="N322" s="39" t="n">
        <v>51500</v>
      </c>
      <c r="S322" s="39" t="n"/>
      <c r="T322" s="39" t="n"/>
      <c r="Y322" s="39" t="n"/>
      <c r="Z322" s="39" t="n"/>
      <c r="AA322" t="inlineStr">
        <is>
          <t>ERICK RAUL BEDOYA BACA</t>
        </is>
      </c>
      <c r="AB322" t="inlineStr">
        <is>
          <t>47551103</t>
        </is>
      </c>
      <c r="AC322" t="inlineStr">
        <is>
          <t>Urb. Virgen del Rosario I Etapa Mz D Lt 11</t>
        </is>
      </c>
      <c r="AD322" t="n">
        <v>0</v>
      </c>
      <c r="AE322" t="inlineStr">
        <is>
          <t>961968687</t>
        </is>
      </c>
      <c r="AF322" t="inlineStr">
        <is>
          <t>ebedoyaba@gmail.com</t>
        </is>
      </c>
      <c r="AG322" t="inlineStr">
        <is>
          <t>LIMA</t>
        </is>
      </c>
      <c r="AH322" t="inlineStr">
        <is>
          <t>SAN MARTIN DE PORRES</t>
        </is>
      </c>
      <c r="AI322" s="75" t="n">
        <v>46049</v>
      </c>
      <c r="AJ322" s="75" t="n"/>
      <c r="AK322" t="inlineStr">
        <is>
          <t>CUOTA INICIAL</t>
        </is>
      </c>
      <c r="AL322" t="n">
        <v>2</v>
      </c>
      <c r="AM322" t="n">
        <v>30000</v>
      </c>
      <c r="AN322" t="n">
        <v>0</v>
      </c>
      <c r="AO322" t="n">
        <v>0</v>
      </c>
      <c r="AP322" s="39" t="n">
        <v>30000</v>
      </c>
      <c r="AQ322" s="39" t="n">
        <v>0</v>
      </c>
      <c r="AR322" s="39" t="n">
        <v>30000</v>
      </c>
      <c r="AT322" t="inlineStr">
        <is>
          <t>Crédito Hipotecario</t>
        </is>
      </c>
      <c r="AZ322" t="inlineStr">
        <is>
          <t>No</t>
        </is>
      </c>
      <c r="BC322" t="inlineStr">
        <is>
          <t>VENCIDO</t>
        </is>
      </c>
      <c r="BN322" t="inlineStr">
        <is>
          <t>No</t>
        </is>
      </c>
      <c r="BO322" s="76" t="n">
        <v>46049.39861111111</v>
      </c>
      <c r="BP322" t="inlineStr">
        <is>
          <t>Magaly Guevara Perez</t>
        </is>
      </c>
      <c r="BR322" t="n">
        <v>31</v>
      </c>
      <c r="BW322" t="inlineStr">
        <is>
          <t>Cobranzas_2026.csv</t>
        </is>
      </c>
      <c r="BX322" t="n">
        <v>2026</v>
      </c>
      <c r="BY322" t="inlineStr">
        <is>
          <t>01/01/2024</t>
        </is>
      </c>
      <c r="BZ322" t="inlineStr">
        <is>
          <t>30/06/2031</t>
        </is>
      </c>
    </row>
    <row r="323">
      <c r="A323" t="inlineStr">
        <is>
          <t>RESIDENCIAL BEYOND</t>
        </is>
      </c>
      <c r="B323" t="inlineStr">
        <is>
          <t>Etapa 1</t>
        </is>
      </c>
      <c r="C323" t="inlineStr">
        <is>
          <t>Edificio</t>
        </is>
      </c>
      <c r="D323" t="inlineStr">
        <is>
          <t>A</t>
        </is>
      </c>
      <c r="E323" t="inlineStr">
        <is>
          <t>Departamento</t>
        </is>
      </c>
      <c r="F323" t="inlineStr">
        <is>
          <t>503</t>
        </is>
      </c>
      <c r="G323" s="39" t="n">
        <v>504700</v>
      </c>
      <c r="H323" s="39" t="n">
        <v>470000</v>
      </c>
      <c r="I323" t="inlineStr">
        <is>
          <t>Edificio</t>
        </is>
      </c>
      <c r="J323" t="inlineStr">
        <is>
          <t>A</t>
        </is>
      </c>
      <c r="K323" t="inlineStr">
        <is>
          <t>Estacionamiento</t>
        </is>
      </c>
      <c r="L323" t="inlineStr">
        <is>
          <t>E 12 - D 10</t>
        </is>
      </c>
      <c r="M323" s="39" t="n">
        <v>51500</v>
      </c>
      <c r="N323" s="39" t="n">
        <v>51500</v>
      </c>
      <c r="S323" s="39" t="n"/>
      <c r="T323" s="39" t="n"/>
      <c r="Y323" s="39" t="n"/>
      <c r="Z323" s="39" t="n"/>
      <c r="AA323" t="inlineStr">
        <is>
          <t>ERICK RAUL BEDOYA BACA</t>
        </is>
      </c>
      <c r="AB323" t="inlineStr">
        <is>
          <t>47551103</t>
        </is>
      </c>
      <c r="AC323" t="inlineStr">
        <is>
          <t>Urb. Virgen del Rosario I Etapa Mz D Lt 11</t>
        </is>
      </c>
      <c r="AD323" t="n">
        <v>0</v>
      </c>
      <c r="AE323" t="inlineStr">
        <is>
          <t>961968687</t>
        </is>
      </c>
      <c r="AF323" t="inlineStr">
        <is>
          <t>ebedoyaba@gmail.com</t>
        </is>
      </c>
      <c r="AG323" t="inlineStr">
        <is>
          <t>LIMA</t>
        </is>
      </c>
      <c r="AH323" t="inlineStr">
        <is>
          <t>SAN MARTIN DE PORRES</t>
        </is>
      </c>
      <c r="AI323" s="75" t="n">
        <v>46050</v>
      </c>
      <c r="AJ323" s="75" t="n"/>
      <c r="AK323" t="inlineStr">
        <is>
          <t>CUOTA INICIAL</t>
        </is>
      </c>
      <c r="AL323" t="n">
        <v>3</v>
      </c>
      <c r="AM323" t="n">
        <v>30000</v>
      </c>
      <c r="AN323" t="n">
        <v>0</v>
      </c>
      <c r="AO323" t="n">
        <v>0</v>
      </c>
      <c r="AP323" s="39" t="n">
        <v>30000</v>
      </c>
      <c r="AQ323" s="39" t="n">
        <v>0</v>
      </c>
      <c r="AR323" s="39" t="n">
        <v>30000</v>
      </c>
      <c r="AT323" t="inlineStr">
        <is>
          <t>Crédito Hipotecario</t>
        </is>
      </c>
      <c r="AZ323" t="inlineStr">
        <is>
          <t>No</t>
        </is>
      </c>
      <c r="BC323" t="inlineStr">
        <is>
          <t>VENCIDO</t>
        </is>
      </c>
      <c r="BN323" t="inlineStr">
        <is>
          <t>No</t>
        </is>
      </c>
      <c r="BO323" s="76" t="n">
        <v>46049.39861111111</v>
      </c>
      <c r="BP323" t="inlineStr">
        <is>
          <t>Magaly Guevara Perez</t>
        </is>
      </c>
      <c r="BR323" t="n">
        <v>31</v>
      </c>
      <c r="BW323" t="inlineStr">
        <is>
          <t>Cobranzas_2026.csv</t>
        </is>
      </c>
      <c r="BX323" t="n">
        <v>2026</v>
      </c>
      <c r="BY323" t="inlineStr">
        <is>
          <t>01/01/2024</t>
        </is>
      </c>
      <c r="BZ323" t="inlineStr">
        <is>
          <t>30/06/2031</t>
        </is>
      </c>
    </row>
    <row r="324">
      <c r="A324" t="inlineStr">
        <is>
          <t>RESIDENCIAL BEYOND</t>
        </is>
      </c>
      <c r="B324" t="inlineStr">
        <is>
          <t>Etapa 1</t>
        </is>
      </c>
      <c r="C324" t="inlineStr">
        <is>
          <t>Edificio</t>
        </is>
      </c>
      <c r="D324" t="inlineStr">
        <is>
          <t>A</t>
        </is>
      </c>
      <c r="E324" t="inlineStr">
        <is>
          <t>Departamento</t>
        </is>
      </c>
      <c r="F324" t="inlineStr">
        <is>
          <t>503</t>
        </is>
      </c>
      <c r="G324" s="39" t="n">
        <v>504700</v>
      </c>
      <c r="H324" s="39" t="n">
        <v>470000</v>
      </c>
      <c r="I324" t="inlineStr">
        <is>
          <t>Edificio</t>
        </is>
      </c>
      <c r="J324" t="inlineStr">
        <is>
          <t>A</t>
        </is>
      </c>
      <c r="K324" t="inlineStr">
        <is>
          <t>Estacionamiento</t>
        </is>
      </c>
      <c r="L324" t="inlineStr">
        <is>
          <t>E 12 - D 10</t>
        </is>
      </c>
      <c r="M324" s="39" t="n">
        <v>51500</v>
      </c>
      <c r="N324" s="39" t="n">
        <v>51500</v>
      </c>
      <c r="S324" s="39" t="n"/>
      <c r="T324" s="39" t="n"/>
      <c r="Y324" s="39" t="n"/>
      <c r="Z324" s="39" t="n"/>
      <c r="AA324" t="inlineStr">
        <is>
          <t>ERICK RAUL BEDOYA BACA</t>
        </is>
      </c>
      <c r="AB324" t="inlineStr">
        <is>
          <t>47551103</t>
        </is>
      </c>
      <c r="AC324" t="inlineStr">
        <is>
          <t>Urb. Virgen del Rosario I Etapa Mz D Lt 11</t>
        </is>
      </c>
      <c r="AD324" t="n">
        <v>0</v>
      </c>
      <c r="AE324" t="inlineStr">
        <is>
          <t>961968687</t>
        </is>
      </c>
      <c r="AF324" t="inlineStr">
        <is>
          <t>ebedoyaba@gmail.com</t>
        </is>
      </c>
      <c r="AG324" t="inlineStr">
        <is>
          <t>LIMA</t>
        </is>
      </c>
      <c r="AH324" t="inlineStr">
        <is>
          <t>SAN MARTIN DE PORRES</t>
        </is>
      </c>
      <c r="AI324" s="75" t="n">
        <v>46051</v>
      </c>
      <c r="AJ324" s="75" t="n"/>
      <c r="AK324" t="inlineStr">
        <is>
          <t>CUOTA INICIAL</t>
        </is>
      </c>
      <c r="AL324" t="n">
        <v>4</v>
      </c>
      <c r="AM324" t="n">
        <v>2000</v>
      </c>
      <c r="AN324" t="n">
        <v>0</v>
      </c>
      <c r="AO324" t="n">
        <v>0</v>
      </c>
      <c r="AP324" s="39" t="n">
        <v>2000</v>
      </c>
      <c r="AQ324" s="39" t="n">
        <v>0</v>
      </c>
      <c r="AR324" s="39" t="n">
        <v>2000</v>
      </c>
      <c r="AT324" t="inlineStr">
        <is>
          <t>Crédito Hipotecario</t>
        </is>
      </c>
      <c r="AZ324" t="inlineStr">
        <is>
          <t>No</t>
        </is>
      </c>
      <c r="BC324" t="inlineStr">
        <is>
          <t>VENCIDO</t>
        </is>
      </c>
      <c r="BN324" t="inlineStr">
        <is>
          <t>No</t>
        </is>
      </c>
      <c r="BO324" s="76" t="n">
        <v>46049.39861111111</v>
      </c>
      <c r="BP324" t="inlineStr">
        <is>
          <t>Magaly Guevara Perez</t>
        </is>
      </c>
      <c r="BR324" t="n">
        <v>31</v>
      </c>
      <c r="BW324" t="inlineStr">
        <is>
          <t>Cobranzas_2026.csv</t>
        </is>
      </c>
      <c r="BX324" t="n">
        <v>2026</v>
      </c>
      <c r="BY324" t="inlineStr">
        <is>
          <t>01/01/2024</t>
        </is>
      </c>
      <c r="BZ324" t="inlineStr">
        <is>
          <t>30/06/2031</t>
        </is>
      </c>
    </row>
    <row r="325">
      <c r="A325" t="inlineStr">
        <is>
          <t>RESIDENCIAL BEYOND</t>
        </is>
      </c>
      <c r="B325" t="inlineStr">
        <is>
          <t>Etapa 1</t>
        </is>
      </c>
      <c r="C325" t="inlineStr">
        <is>
          <t>Edificio</t>
        </is>
      </c>
      <c r="D325" t="inlineStr">
        <is>
          <t>A</t>
        </is>
      </c>
      <c r="E325" t="inlineStr">
        <is>
          <t>Departamento</t>
        </is>
      </c>
      <c r="F325" t="inlineStr">
        <is>
          <t>503</t>
        </is>
      </c>
      <c r="G325" s="39" t="n">
        <v>504700</v>
      </c>
      <c r="H325" s="39" t="n">
        <v>470000</v>
      </c>
      <c r="I325" t="inlineStr">
        <is>
          <t>Edificio</t>
        </is>
      </c>
      <c r="J325" t="inlineStr">
        <is>
          <t>A</t>
        </is>
      </c>
      <c r="K325" t="inlineStr">
        <is>
          <t>Estacionamiento</t>
        </is>
      </c>
      <c r="L325" t="inlineStr">
        <is>
          <t>E 12 - D 10</t>
        </is>
      </c>
      <c r="M325" s="39" t="n">
        <v>51500</v>
      </c>
      <c r="N325" s="39" t="n">
        <v>51500</v>
      </c>
      <c r="S325" s="39" t="n"/>
      <c r="T325" s="39" t="n"/>
      <c r="Y325" s="39" t="n"/>
      <c r="Z325" s="39" t="n"/>
      <c r="AA325" t="inlineStr">
        <is>
          <t>ERICK RAUL BEDOYA BACA</t>
        </is>
      </c>
      <c r="AB325" t="inlineStr">
        <is>
          <t>47551103</t>
        </is>
      </c>
      <c r="AC325" t="inlineStr">
        <is>
          <t>Urb. Virgen del Rosario I Etapa Mz D Lt 11</t>
        </is>
      </c>
      <c r="AD325" t="n">
        <v>0</v>
      </c>
      <c r="AE325" t="inlineStr">
        <is>
          <t>961968687</t>
        </is>
      </c>
      <c r="AF325" t="inlineStr">
        <is>
          <t>ebedoyaba@gmail.com</t>
        </is>
      </c>
      <c r="AG325" t="inlineStr">
        <is>
          <t>LIMA</t>
        </is>
      </c>
      <c r="AH325" t="inlineStr">
        <is>
          <t>SAN MARTIN DE PORRES</t>
        </is>
      </c>
      <c r="AI325" s="75" t="n">
        <v>46059</v>
      </c>
      <c r="AJ325" s="75" t="n"/>
      <c r="AK325" t="inlineStr">
        <is>
          <t>CUOTA INICIAL</t>
        </is>
      </c>
      <c r="AL325" t="n">
        <v>5</v>
      </c>
      <c r="AM325" t="n">
        <v>10000</v>
      </c>
      <c r="AN325" t="n">
        <v>0</v>
      </c>
      <c r="AO325" t="n">
        <v>0</v>
      </c>
      <c r="AP325" s="39" t="n">
        <v>10000</v>
      </c>
      <c r="AQ325" s="39" t="n">
        <v>0</v>
      </c>
      <c r="AR325" s="39" t="n">
        <v>10000</v>
      </c>
      <c r="AT325" t="inlineStr">
        <is>
          <t>Crédito Hipotecario</t>
        </is>
      </c>
      <c r="AZ325" t="inlineStr">
        <is>
          <t>No</t>
        </is>
      </c>
      <c r="BC325" t="inlineStr">
        <is>
          <t>VENCIDO</t>
        </is>
      </c>
      <c r="BN325" t="inlineStr">
        <is>
          <t>No</t>
        </is>
      </c>
      <c r="BO325" s="76" t="n">
        <v>46049.39861111111</v>
      </c>
      <c r="BP325" t="inlineStr">
        <is>
          <t>Magaly Guevara Perez</t>
        </is>
      </c>
      <c r="BR325" t="n">
        <v>31</v>
      </c>
      <c r="BW325" t="inlineStr">
        <is>
          <t>Cobranzas_2026.csv</t>
        </is>
      </c>
      <c r="BX325" t="n">
        <v>2026</v>
      </c>
      <c r="BY325" t="inlineStr">
        <is>
          <t>01/01/2024</t>
        </is>
      </c>
      <c r="BZ325" t="inlineStr">
        <is>
          <t>30/06/2031</t>
        </is>
      </c>
    </row>
    <row r="326">
      <c r="A326" t="inlineStr">
        <is>
          <t>RESIDENCIAL BEYOND</t>
        </is>
      </c>
      <c r="B326" t="inlineStr">
        <is>
          <t>Etapa 1</t>
        </is>
      </c>
      <c r="C326" t="inlineStr">
        <is>
          <t>Edificio</t>
        </is>
      </c>
      <c r="D326" t="inlineStr">
        <is>
          <t>A</t>
        </is>
      </c>
      <c r="E326" t="inlineStr">
        <is>
          <t>Departamento</t>
        </is>
      </c>
      <c r="F326" t="inlineStr">
        <is>
          <t>503</t>
        </is>
      </c>
      <c r="G326" s="39" t="n">
        <v>504700</v>
      </c>
      <c r="H326" s="39" t="n">
        <v>470000</v>
      </c>
      <c r="I326" t="inlineStr">
        <is>
          <t>Edificio</t>
        </is>
      </c>
      <c r="J326" t="inlineStr">
        <is>
          <t>A</t>
        </is>
      </c>
      <c r="K326" t="inlineStr">
        <is>
          <t>Estacionamiento</t>
        </is>
      </c>
      <c r="L326" t="inlineStr">
        <is>
          <t>E 12 - D 10</t>
        </is>
      </c>
      <c r="M326" s="39" t="n">
        <v>51500</v>
      </c>
      <c r="N326" s="39" t="n">
        <v>51500</v>
      </c>
      <c r="S326" s="39" t="n"/>
      <c r="T326" s="39" t="n"/>
      <c r="Y326" s="39" t="n"/>
      <c r="Z326" s="39" t="n"/>
      <c r="AA326" t="inlineStr">
        <is>
          <t>ERICK RAUL BEDOYA BACA</t>
        </is>
      </c>
      <c r="AB326" t="inlineStr">
        <is>
          <t>47551103</t>
        </is>
      </c>
      <c r="AC326" t="inlineStr">
        <is>
          <t>Urb. Virgen del Rosario I Etapa Mz D Lt 11</t>
        </is>
      </c>
      <c r="AD326" t="n">
        <v>0</v>
      </c>
      <c r="AE326" t="inlineStr">
        <is>
          <t>961968687</t>
        </is>
      </c>
      <c r="AF326" t="inlineStr">
        <is>
          <t>ebedoyaba@gmail.com</t>
        </is>
      </c>
      <c r="AG326" t="inlineStr">
        <is>
          <t>LIMA</t>
        </is>
      </c>
      <c r="AH326" t="inlineStr">
        <is>
          <t>SAN MARTIN DE PORRES</t>
        </is>
      </c>
      <c r="AI326" s="75" t="n">
        <v>46234</v>
      </c>
      <c r="AJ326" s="75" t="n"/>
      <c r="AK326" t="inlineStr">
        <is>
          <t>CUOTA INICIAL</t>
        </is>
      </c>
      <c r="AL326" t="n">
        <v>6</v>
      </c>
      <c r="AM326" t="n">
        <v>10000</v>
      </c>
      <c r="AN326" t="n">
        <v>0</v>
      </c>
      <c r="AO326" t="n">
        <v>0</v>
      </c>
      <c r="AP326" s="39" t="n">
        <v>10000</v>
      </c>
      <c r="AQ326" s="39" t="n">
        <v>0</v>
      </c>
      <c r="AR326" s="39" t="n">
        <v>10000</v>
      </c>
      <c r="AT326" t="inlineStr">
        <is>
          <t>Crédito Hipotecario</t>
        </is>
      </c>
      <c r="AZ326" t="inlineStr">
        <is>
          <t>No</t>
        </is>
      </c>
      <c r="BC326" t="inlineStr">
        <is>
          <t>PENDIENTE</t>
        </is>
      </c>
      <c r="BN326" t="inlineStr">
        <is>
          <t>No</t>
        </is>
      </c>
      <c r="BO326" s="76" t="n">
        <v>46049.39861111111</v>
      </c>
      <c r="BP326" t="inlineStr">
        <is>
          <t>Magaly Guevara Perez</t>
        </is>
      </c>
      <c r="BR326" t="n">
        <v>31</v>
      </c>
      <c r="BW326" t="inlineStr">
        <is>
          <t>Cobranzas_2026.csv</t>
        </is>
      </c>
      <c r="BX326" t="n">
        <v>2026</v>
      </c>
      <c r="BY326" t="inlineStr">
        <is>
          <t>01/01/2024</t>
        </is>
      </c>
      <c r="BZ326" t="inlineStr">
        <is>
          <t>30/06/2031</t>
        </is>
      </c>
    </row>
    <row r="327">
      <c r="A327" t="inlineStr">
        <is>
          <t>RESIDENCIAL BEYOND</t>
        </is>
      </c>
      <c r="B327" t="inlineStr">
        <is>
          <t>Etapa 1</t>
        </is>
      </c>
      <c r="C327" t="inlineStr">
        <is>
          <t>Edificio</t>
        </is>
      </c>
      <c r="D327" t="inlineStr">
        <is>
          <t>A</t>
        </is>
      </c>
      <c r="E327" t="inlineStr">
        <is>
          <t>Departamento</t>
        </is>
      </c>
      <c r="F327" t="inlineStr">
        <is>
          <t>503</t>
        </is>
      </c>
      <c r="G327" s="39" t="n">
        <v>504700</v>
      </c>
      <c r="H327" s="39" t="n">
        <v>470000</v>
      </c>
      <c r="I327" t="inlineStr">
        <is>
          <t>Edificio</t>
        </is>
      </c>
      <c r="J327" t="inlineStr">
        <is>
          <t>A</t>
        </is>
      </c>
      <c r="K327" t="inlineStr">
        <is>
          <t>Estacionamiento</t>
        </is>
      </c>
      <c r="L327" t="inlineStr">
        <is>
          <t>E 12 - D 10</t>
        </is>
      </c>
      <c r="M327" s="39" t="n">
        <v>51500</v>
      </c>
      <c r="N327" s="39" t="n">
        <v>51500</v>
      </c>
      <c r="S327" s="39" t="n"/>
      <c r="T327" s="39" t="n"/>
      <c r="Y327" s="39" t="n"/>
      <c r="Z327" s="39" t="n"/>
      <c r="AA327" t="inlineStr">
        <is>
          <t>ERICK RAUL BEDOYA BACA</t>
        </is>
      </c>
      <c r="AB327" t="inlineStr">
        <is>
          <t>47551103</t>
        </is>
      </c>
      <c r="AC327" t="inlineStr">
        <is>
          <t>Urb. Virgen del Rosario I Etapa Mz D Lt 11</t>
        </is>
      </c>
      <c r="AD327" t="n">
        <v>0</v>
      </c>
      <c r="AE327" t="inlineStr">
        <is>
          <t>961968687</t>
        </is>
      </c>
      <c r="AF327" t="inlineStr">
        <is>
          <t>ebedoyaba@gmail.com</t>
        </is>
      </c>
      <c r="AG327" t="inlineStr">
        <is>
          <t>LIMA</t>
        </is>
      </c>
      <c r="AH327" t="inlineStr">
        <is>
          <t>SAN MARTIN DE PORRES</t>
        </is>
      </c>
      <c r="AI327" s="75" t="n">
        <v>46112</v>
      </c>
      <c r="AJ327" s="75" t="n"/>
      <c r="AK327" t="inlineStr">
        <is>
          <t>SALDO FINANCIAR</t>
        </is>
      </c>
      <c r="AL327" t="n">
        <v>1</v>
      </c>
      <c r="AM327" t="n">
        <v>107750</v>
      </c>
      <c r="AN327" t="n">
        <v>0</v>
      </c>
      <c r="AO327" t="n">
        <v>0</v>
      </c>
      <c r="AP327" s="39" t="n">
        <v>107750</v>
      </c>
      <c r="AQ327" s="39" t="n">
        <v>0</v>
      </c>
      <c r="AR327" s="39" t="n">
        <v>107750</v>
      </c>
      <c r="AT327" t="inlineStr">
        <is>
          <t>Crédito Hipotecario</t>
        </is>
      </c>
      <c r="AZ327" t="inlineStr">
        <is>
          <t>No</t>
        </is>
      </c>
      <c r="BC327" t="inlineStr">
        <is>
          <t>VENCIDO</t>
        </is>
      </c>
      <c r="BN327" t="inlineStr">
        <is>
          <t>No</t>
        </is>
      </c>
      <c r="BO327" s="76" t="n">
        <v>46049.39861111111</v>
      </c>
      <c r="BP327" t="inlineStr">
        <is>
          <t>Magaly Guevara Perez</t>
        </is>
      </c>
      <c r="BR327" t="n">
        <v>31</v>
      </c>
      <c r="BW327" t="inlineStr">
        <is>
          <t>Cobranzas_2026.csv</t>
        </is>
      </c>
      <c r="BX327" t="n">
        <v>2026</v>
      </c>
      <c r="BY327" t="inlineStr">
        <is>
          <t>01/01/2024</t>
        </is>
      </c>
      <c r="BZ327" t="inlineStr">
        <is>
          <t>30/06/2031</t>
        </is>
      </c>
    </row>
    <row r="328">
      <c r="A328" t="inlineStr">
        <is>
          <t>RESIDENCIAL BEYOND</t>
        </is>
      </c>
      <c r="B328" t="inlineStr">
        <is>
          <t>Etapa 1</t>
        </is>
      </c>
      <c r="C328" t="inlineStr">
        <is>
          <t>Edificio</t>
        </is>
      </c>
      <c r="D328" t="inlineStr">
        <is>
          <t>A</t>
        </is>
      </c>
      <c r="E328" t="inlineStr">
        <is>
          <t>Departamento</t>
        </is>
      </c>
      <c r="F328" t="inlineStr">
        <is>
          <t>503</t>
        </is>
      </c>
      <c r="G328" s="39" t="n">
        <v>504700</v>
      </c>
      <c r="H328" s="39" t="n">
        <v>470000</v>
      </c>
      <c r="I328" t="inlineStr">
        <is>
          <t>Edificio</t>
        </is>
      </c>
      <c r="J328" t="inlineStr">
        <is>
          <t>A</t>
        </is>
      </c>
      <c r="K328" t="inlineStr">
        <is>
          <t>Estacionamiento</t>
        </is>
      </c>
      <c r="L328" t="inlineStr">
        <is>
          <t>E 12 - D 10</t>
        </is>
      </c>
      <c r="M328" s="39" t="n">
        <v>51500</v>
      </c>
      <c r="N328" s="39" t="n">
        <v>51500</v>
      </c>
      <c r="S328" s="39" t="n"/>
      <c r="T328" s="39" t="n"/>
      <c r="Y328" s="39" t="n"/>
      <c r="Z328" s="39" t="n"/>
      <c r="AA328" t="inlineStr">
        <is>
          <t>ERICK RAUL BEDOYA BACA</t>
        </is>
      </c>
      <c r="AB328" t="inlineStr">
        <is>
          <t>47551103</t>
        </is>
      </c>
      <c r="AC328" t="inlineStr">
        <is>
          <t>Urb. Virgen del Rosario I Etapa Mz D Lt 11</t>
        </is>
      </c>
      <c r="AD328" t="n">
        <v>0</v>
      </c>
      <c r="AE328" t="inlineStr">
        <is>
          <t>961968687</t>
        </is>
      </c>
      <c r="AF328" t="inlineStr">
        <is>
          <t>ebedoyaba@gmail.com</t>
        </is>
      </c>
      <c r="AG328" t="inlineStr">
        <is>
          <t>LIMA</t>
        </is>
      </c>
      <c r="AH328" t="inlineStr">
        <is>
          <t>SAN MARTIN DE PORRES</t>
        </is>
      </c>
      <c r="AI328" s="75" t="n">
        <v>46387</v>
      </c>
      <c r="AJ328" s="75" t="n"/>
      <c r="AK328" t="inlineStr">
        <is>
          <t>SALDO FINANCIAR</t>
        </is>
      </c>
      <c r="AL328" t="n">
        <v>2</v>
      </c>
      <c r="AM328" t="n">
        <v>107750</v>
      </c>
      <c r="AN328" t="n">
        <v>0</v>
      </c>
      <c r="AO328" t="n">
        <v>0</v>
      </c>
      <c r="AP328" s="39" t="n">
        <v>107750</v>
      </c>
      <c r="AQ328" s="39" t="n">
        <v>0</v>
      </c>
      <c r="AR328" s="39" t="n">
        <v>107750</v>
      </c>
      <c r="AT328" t="inlineStr">
        <is>
          <t>Crédito Hipotecario</t>
        </is>
      </c>
      <c r="AZ328" t="inlineStr">
        <is>
          <t>No</t>
        </is>
      </c>
      <c r="BC328" t="inlineStr">
        <is>
          <t>PENDIENTE</t>
        </is>
      </c>
      <c r="BN328" t="inlineStr">
        <is>
          <t>No</t>
        </is>
      </c>
      <c r="BO328" s="76" t="n">
        <v>46049.39861111111</v>
      </c>
      <c r="BP328" t="inlineStr">
        <is>
          <t>Magaly Guevara Perez</t>
        </is>
      </c>
      <c r="BR328" t="n">
        <v>31</v>
      </c>
      <c r="BW328" t="inlineStr">
        <is>
          <t>Cobranzas_2026.csv</t>
        </is>
      </c>
      <c r="BX328" t="n">
        <v>2026</v>
      </c>
      <c r="BY328" t="inlineStr">
        <is>
          <t>01/01/2024</t>
        </is>
      </c>
      <c r="BZ328" t="inlineStr">
        <is>
          <t>30/06/2031</t>
        </is>
      </c>
    </row>
    <row r="329">
      <c r="A329" t="inlineStr">
        <is>
          <t>RESIDENCIAL BEYOND</t>
        </is>
      </c>
      <c r="B329" t="inlineStr">
        <is>
          <t>Etapa 1</t>
        </is>
      </c>
      <c r="C329" t="inlineStr">
        <is>
          <t>Edificio</t>
        </is>
      </c>
      <c r="D329" t="inlineStr">
        <is>
          <t>A</t>
        </is>
      </c>
      <c r="E329" t="inlineStr">
        <is>
          <t>Departamento</t>
        </is>
      </c>
      <c r="F329" t="inlineStr">
        <is>
          <t>403</t>
        </is>
      </c>
      <c r="G329" s="39" t="n">
        <v>504700</v>
      </c>
      <c r="H329" s="39" t="n">
        <v>459100</v>
      </c>
      <c r="I329" t="inlineStr">
        <is>
          <t>Edificio</t>
        </is>
      </c>
      <c r="J329" t="inlineStr">
        <is>
          <t>A</t>
        </is>
      </c>
      <c r="K329" t="inlineStr">
        <is>
          <t>Estacionamiento</t>
        </is>
      </c>
      <c r="L329" t="inlineStr">
        <is>
          <t>E 06</t>
        </is>
      </c>
      <c r="M329" s="39" t="n">
        <v>45600</v>
      </c>
      <c r="N329" s="39" t="n">
        <v>45600</v>
      </c>
      <c r="S329" s="39" t="n"/>
      <c r="T329" s="39" t="n"/>
      <c r="Y329" s="39" t="n"/>
      <c r="Z329" s="39" t="n"/>
      <c r="AA329" t="inlineStr">
        <is>
          <t>Erla Liseth Carhuavilca Pérez</t>
        </is>
      </c>
      <c r="AB329" t="inlineStr">
        <is>
          <t>40642153</t>
        </is>
      </c>
      <c r="AC329" t="inlineStr">
        <is>
          <t>Av. Bolivia 848 Dpto. 504</t>
        </is>
      </c>
      <c r="AD329" t="n">
        <v>0</v>
      </c>
      <c r="AE329" t="inlineStr">
        <is>
          <t>999200216</t>
        </is>
      </c>
      <c r="AF329" t="inlineStr">
        <is>
          <t>grecialiseth26@gmail.com</t>
        </is>
      </c>
      <c r="AG329" t="inlineStr">
        <is>
          <t>LIMA</t>
        </is>
      </c>
      <c r="AH329" t="inlineStr">
        <is>
          <t>BREÑA</t>
        </is>
      </c>
      <c r="AI329" s="75" t="n">
        <v>46172</v>
      </c>
      <c r="AJ329" s="75" t="n"/>
      <c r="AK329" t="inlineStr">
        <is>
          <t>CUOTA INICIAL</t>
        </is>
      </c>
      <c r="AL329" t="n">
        <v>2</v>
      </c>
      <c r="AM329" t="n">
        <v>14000</v>
      </c>
      <c r="AN329" t="n">
        <v>0</v>
      </c>
      <c r="AO329" t="n">
        <v>0</v>
      </c>
      <c r="AP329" s="39" t="n">
        <v>14000</v>
      </c>
      <c r="AQ329" s="39" t="n">
        <v>0</v>
      </c>
      <c r="AR329" s="39" t="n">
        <v>14000</v>
      </c>
      <c r="AT329" t="inlineStr">
        <is>
          <t>Ahorro</t>
        </is>
      </c>
      <c r="AZ329" t="inlineStr">
        <is>
          <t>No</t>
        </is>
      </c>
      <c r="BC329" t="inlineStr">
        <is>
          <t>VENCIDO</t>
        </is>
      </c>
      <c r="BN329" t="inlineStr">
        <is>
          <t>No</t>
        </is>
      </c>
      <c r="BO329" s="76" t="n">
        <v>46017.42569444444</v>
      </c>
      <c r="BP329" t="inlineStr">
        <is>
          <t>Magaly Guevara Perez</t>
        </is>
      </c>
      <c r="BR329" t="n">
        <v>28</v>
      </c>
      <c r="BW329" t="inlineStr">
        <is>
          <t>Cobranzas_2026.csv</t>
        </is>
      </c>
      <c r="BX329" t="n">
        <v>2026</v>
      </c>
      <c r="BY329" t="inlineStr">
        <is>
          <t>01/01/2024</t>
        </is>
      </c>
      <c r="BZ329" t="inlineStr">
        <is>
          <t>30/06/2031</t>
        </is>
      </c>
    </row>
    <row r="330">
      <c r="A330" t="inlineStr">
        <is>
          <t>RESIDENCIAL BEYOND</t>
        </is>
      </c>
      <c r="B330" t="inlineStr">
        <is>
          <t>Etapa 1</t>
        </is>
      </c>
      <c r="C330" t="inlineStr">
        <is>
          <t>Edificio</t>
        </is>
      </c>
      <c r="D330" t="inlineStr">
        <is>
          <t>A</t>
        </is>
      </c>
      <c r="E330" t="inlineStr">
        <is>
          <t>Departamento</t>
        </is>
      </c>
      <c r="F330" t="inlineStr">
        <is>
          <t>403</t>
        </is>
      </c>
      <c r="G330" s="39" t="n">
        <v>504700</v>
      </c>
      <c r="H330" s="39" t="n">
        <v>459100</v>
      </c>
      <c r="I330" t="inlineStr">
        <is>
          <t>Edificio</t>
        </is>
      </c>
      <c r="J330" t="inlineStr">
        <is>
          <t>A</t>
        </is>
      </c>
      <c r="K330" t="inlineStr">
        <is>
          <t>Estacionamiento</t>
        </is>
      </c>
      <c r="L330" t="inlineStr">
        <is>
          <t>E 06</t>
        </is>
      </c>
      <c r="M330" s="39" t="n">
        <v>45600</v>
      </c>
      <c r="N330" s="39" t="n">
        <v>45600</v>
      </c>
      <c r="S330" s="39" t="n"/>
      <c r="T330" s="39" t="n"/>
      <c r="Y330" s="39" t="n"/>
      <c r="Z330" s="39" t="n"/>
      <c r="AA330" t="inlineStr">
        <is>
          <t>Erla Liseth Carhuavilca Pérez</t>
        </is>
      </c>
      <c r="AB330" t="inlineStr">
        <is>
          <t>40642153</t>
        </is>
      </c>
      <c r="AC330" t="inlineStr">
        <is>
          <t>Av. Bolivia 848 Dpto. 504</t>
        </is>
      </c>
      <c r="AD330" t="n">
        <v>0</v>
      </c>
      <c r="AE330" t="inlineStr">
        <is>
          <t>999200216</t>
        </is>
      </c>
      <c r="AF330" t="inlineStr">
        <is>
          <t>grecialiseth26@gmail.com</t>
        </is>
      </c>
      <c r="AG330" t="inlineStr">
        <is>
          <t>LIMA</t>
        </is>
      </c>
      <c r="AH330" t="inlineStr">
        <is>
          <t>BREÑA</t>
        </is>
      </c>
      <c r="AI330" s="75" t="n">
        <v>46172</v>
      </c>
      <c r="AJ330" s="75" t="n"/>
      <c r="AK330" t="inlineStr">
        <is>
          <t>CUOTA INICIAL</t>
        </is>
      </c>
      <c r="AL330" t="n">
        <v>3</v>
      </c>
      <c r="AM330" t="n">
        <v>173000</v>
      </c>
      <c r="AN330" t="n">
        <v>0</v>
      </c>
      <c r="AO330" t="n">
        <v>0</v>
      </c>
      <c r="AP330" s="39" t="n">
        <v>173000</v>
      </c>
      <c r="AQ330" s="39" t="n">
        <v>0</v>
      </c>
      <c r="AR330" s="39" t="n">
        <v>173000</v>
      </c>
      <c r="AT330" t="inlineStr">
        <is>
          <t>Ahorro</t>
        </is>
      </c>
      <c r="AZ330" t="inlineStr">
        <is>
          <t>No</t>
        </is>
      </c>
      <c r="BC330" t="inlineStr">
        <is>
          <t>VENCIDO</t>
        </is>
      </c>
      <c r="BN330" t="inlineStr">
        <is>
          <t>No</t>
        </is>
      </c>
      <c r="BO330" s="76" t="n">
        <v>46017.42569444444</v>
      </c>
      <c r="BP330" t="inlineStr">
        <is>
          <t>Magaly Guevara Perez</t>
        </is>
      </c>
      <c r="BR330" t="n">
        <v>28</v>
      </c>
      <c r="BW330" t="inlineStr">
        <is>
          <t>Cobranzas_2026.csv</t>
        </is>
      </c>
      <c r="BX330" t="n">
        <v>2026</v>
      </c>
      <c r="BY330" t="inlineStr">
        <is>
          <t>01/01/2024</t>
        </is>
      </c>
      <c r="BZ330" t="inlineStr">
        <is>
          <t>30/06/2031</t>
        </is>
      </c>
    </row>
    <row r="331">
      <c r="A331" t="inlineStr">
        <is>
          <t>RESIDENCIAL BEYOND</t>
        </is>
      </c>
      <c r="B331" t="inlineStr">
        <is>
          <t>Etapa 1</t>
        </is>
      </c>
      <c r="C331" t="inlineStr">
        <is>
          <t>Edificio</t>
        </is>
      </c>
      <c r="D331" t="inlineStr">
        <is>
          <t>A</t>
        </is>
      </c>
      <c r="E331" t="inlineStr">
        <is>
          <t>Departamento</t>
        </is>
      </c>
      <c r="F331" t="inlineStr">
        <is>
          <t>403</t>
        </is>
      </c>
      <c r="G331" s="39" t="n">
        <v>504700</v>
      </c>
      <c r="H331" s="39" t="n">
        <v>459100</v>
      </c>
      <c r="I331" t="inlineStr">
        <is>
          <t>Edificio</t>
        </is>
      </c>
      <c r="J331" t="inlineStr">
        <is>
          <t>A</t>
        </is>
      </c>
      <c r="K331" t="inlineStr">
        <is>
          <t>Estacionamiento</t>
        </is>
      </c>
      <c r="L331" t="inlineStr">
        <is>
          <t>E 06</t>
        </is>
      </c>
      <c r="M331" s="39" t="n">
        <v>45600</v>
      </c>
      <c r="N331" s="39" t="n">
        <v>45600</v>
      </c>
      <c r="S331" s="39" t="n"/>
      <c r="T331" s="39" t="n"/>
      <c r="Y331" s="39" t="n"/>
      <c r="Z331" s="39" t="n"/>
      <c r="AA331" t="inlineStr">
        <is>
          <t>Erla Liseth Carhuavilca Pérez</t>
        </is>
      </c>
      <c r="AB331" t="inlineStr">
        <is>
          <t>40642153</t>
        </is>
      </c>
      <c r="AC331" t="inlineStr">
        <is>
          <t>Av. Bolivia 848 Dpto. 504</t>
        </is>
      </c>
      <c r="AD331" t="n">
        <v>0</v>
      </c>
      <c r="AE331" t="inlineStr">
        <is>
          <t>999200216</t>
        </is>
      </c>
      <c r="AF331" t="inlineStr">
        <is>
          <t>grecialiseth26@gmail.com</t>
        </is>
      </c>
      <c r="AG331" t="inlineStr">
        <is>
          <t>LIMA</t>
        </is>
      </c>
      <c r="AH331" t="inlineStr">
        <is>
          <t>BREÑA</t>
        </is>
      </c>
      <c r="AI331" s="75" t="n">
        <v>46234</v>
      </c>
      <c r="AJ331" s="75" t="n"/>
      <c r="AK331" t="inlineStr">
        <is>
          <t>SALDO FINANCIAR</t>
        </is>
      </c>
      <c r="AL331" t="n">
        <v>1</v>
      </c>
      <c r="AM331" t="n">
        <v>304700</v>
      </c>
      <c r="AN331" t="n">
        <v>0</v>
      </c>
      <c r="AO331" t="n">
        <v>0</v>
      </c>
      <c r="AP331" s="39" t="n">
        <v>304700</v>
      </c>
      <c r="AQ331" s="39" t="n">
        <v>0</v>
      </c>
      <c r="AR331" s="39" t="n">
        <v>304700</v>
      </c>
      <c r="AT331" t="inlineStr">
        <is>
          <t>Ahorro</t>
        </is>
      </c>
      <c r="AZ331" t="inlineStr">
        <is>
          <t>No</t>
        </is>
      </c>
      <c r="BC331" t="inlineStr">
        <is>
          <t>PENDIENTE</t>
        </is>
      </c>
      <c r="BN331" t="inlineStr">
        <is>
          <t>No</t>
        </is>
      </c>
      <c r="BO331" s="76" t="n">
        <v>46017.42569444444</v>
      </c>
      <c r="BP331" t="inlineStr">
        <is>
          <t>Magaly Guevara Perez</t>
        </is>
      </c>
      <c r="BR331" t="n">
        <v>28</v>
      </c>
      <c r="BW331" t="inlineStr">
        <is>
          <t>Cobranzas_2026.csv</t>
        </is>
      </c>
      <c r="BX331" t="n">
        <v>2026</v>
      </c>
      <c r="BY331" t="inlineStr">
        <is>
          <t>01/01/2024</t>
        </is>
      </c>
      <c r="BZ331" t="inlineStr">
        <is>
          <t>30/06/2031</t>
        </is>
      </c>
    </row>
    <row r="332">
      <c r="A332" t="inlineStr">
        <is>
          <t>RESIDENCIAL VENECIA</t>
        </is>
      </c>
      <c r="B332" t="inlineStr">
        <is>
          <t>Etapa 1</t>
        </is>
      </c>
      <c r="C332" t="inlineStr">
        <is>
          <t>Edificio</t>
        </is>
      </c>
      <c r="D332" t="inlineStr">
        <is>
          <t>A</t>
        </is>
      </c>
      <c r="E332" t="inlineStr">
        <is>
          <t>Departamento</t>
        </is>
      </c>
      <c r="F332" t="inlineStr">
        <is>
          <t>404</t>
        </is>
      </c>
      <c r="G332" s="39" t="n">
        <v>430000</v>
      </c>
      <c r="H332" s="39" t="n">
        <v>430000</v>
      </c>
      <c r="M332" s="39" t="n"/>
      <c r="N332" s="39" t="n"/>
      <c r="S332" s="39" t="n"/>
      <c r="T332" s="39" t="n"/>
      <c r="Y332" s="39" t="n"/>
      <c r="Z332" s="39" t="n"/>
      <c r="AA332" t="inlineStr">
        <is>
          <t>Evelyn Arciela Leon Estela</t>
        </is>
      </c>
      <c r="AB332" t="inlineStr">
        <is>
          <t>70313948</t>
        </is>
      </c>
      <c r="AC332" t="inlineStr">
        <is>
          <t xml:space="preserve">Segunda Etapa.Mz 41 Lt. 35 -Urb. Torre Blanca </t>
        </is>
      </c>
      <c r="AD332" t="n">
        <v>0</v>
      </c>
      <c r="AE332" t="inlineStr">
        <is>
          <t>980746975</t>
        </is>
      </c>
      <c r="AF332" t="inlineStr">
        <is>
          <t>eale.050791@gmail.com</t>
        </is>
      </c>
      <c r="AG332" t="inlineStr">
        <is>
          <t>LIMA</t>
        </is>
      </c>
      <c r="AH332" t="inlineStr">
        <is>
          <t>CARABAYLLO</t>
        </is>
      </c>
      <c r="AI332" s="75" t="n">
        <v>46112</v>
      </c>
      <c r="AJ332" s="75" t="n">
        <v>46107</v>
      </c>
      <c r="AK332" t="inlineStr">
        <is>
          <t>AHORRO CASA</t>
        </is>
      </c>
      <c r="AL332" t="n">
        <v>2</v>
      </c>
      <c r="AM332" t="n">
        <v>0</v>
      </c>
      <c r="AN332" t="n">
        <v>0</v>
      </c>
      <c r="AO332" t="n">
        <v>0</v>
      </c>
      <c r="AP332" s="39" t="n">
        <v>43000</v>
      </c>
      <c r="AQ332" s="39" t="n">
        <v>23200</v>
      </c>
      <c r="AR332" s="39" t="n">
        <v>0</v>
      </c>
      <c r="AS332" t="n">
        <v>0</v>
      </c>
      <c r="AT332" t="inlineStr">
        <is>
          <t>Crédito Hipotecario</t>
        </is>
      </c>
      <c r="AU332" t="inlineStr">
        <is>
          <t>Scotiabank Perú</t>
        </is>
      </c>
      <c r="AV332" t="inlineStr">
        <is>
          <t>0004071419</t>
        </is>
      </c>
      <c r="AW332" t="inlineStr">
        <is>
          <t>TRANSFERENCIA BANCARIA</t>
        </is>
      </c>
      <c r="AY332" t="inlineStr">
        <is>
          <t>0315785</t>
        </is>
      </c>
      <c r="AZ332" t="inlineStr">
        <is>
          <t>No</t>
        </is>
      </c>
      <c r="BB332" t="n">
        <v>4</v>
      </c>
      <c r="BC332" t="inlineStr">
        <is>
          <t>CANCELADO</t>
        </is>
      </c>
      <c r="BN332" t="inlineStr">
        <is>
          <t>No</t>
        </is>
      </c>
      <c r="BO332" s="76" t="n">
        <v>46178.34166666667</v>
      </c>
      <c r="BP332" t="inlineStr">
        <is>
          <t>Magaly Guevara Perez</t>
        </is>
      </c>
      <c r="BR332" t="n">
        <v>8</v>
      </c>
      <c r="BS332" t="inlineStr">
        <is>
          <t>24/05/2026 19:17</t>
        </is>
      </c>
      <c r="BW332" t="inlineStr">
        <is>
          <t>Cobranzas_2026.csv</t>
        </is>
      </c>
      <c r="BX332" t="n">
        <v>2026</v>
      </c>
      <c r="BY332" t="inlineStr">
        <is>
          <t>01/01/2024</t>
        </is>
      </c>
      <c r="BZ332" t="inlineStr">
        <is>
          <t>30/06/2031</t>
        </is>
      </c>
    </row>
    <row r="333">
      <c r="A333" t="inlineStr">
        <is>
          <t>RESIDENCIAL VENECIA</t>
        </is>
      </c>
      <c r="B333" t="inlineStr">
        <is>
          <t>Etapa 1</t>
        </is>
      </c>
      <c r="C333" t="inlineStr">
        <is>
          <t>Edificio</t>
        </is>
      </c>
      <c r="D333" t="inlineStr">
        <is>
          <t>A</t>
        </is>
      </c>
      <c r="E333" t="inlineStr">
        <is>
          <t>Departamento</t>
        </is>
      </c>
      <c r="F333" t="inlineStr">
        <is>
          <t>404</t>
        </is>
      </c>
      <c r="G333" s="39" t="n">
        <v>430000</v>
      </c>
      <c r="H333" s="39" t="n">
        <v>430000</v>
      </c>
      <c r="M333" s="39" t="n"/>
      <c r="N333" s="39" t="n"/>
      <c r="S333" s="39" t="n"/>
      <c r="T333" s="39" t="n"/>
      <c r="Y333" s="39" t="n"/>
      <c r="Z333" s="39" t="n"/>
      <c r="AA333" t="inlineStr">
        <is>
          <t>Evelyn Arciela Leon Estela</t>
        </is>
      </c>
      <c r="AB333" t="inlineStr">
        <is>
          <t>70313948</t>
        </is>
      </c>
      <c r="AC333" t="inlineStr">
        <is>
          <t xml:space="preserve">Segunda Etapa.Mz 41 Lt. 35 -Urb. Torre Blanca </t>
        </is>
      </c>
      <c r="AD333" t="n">
        <v>0</v>
      </c>
      <c r="AE333" t="inlineStr">
        <is>
          <t>980746975</t>
        </is>
      </c>
      <c r="AF333" t="inlineStr">
        <is>
          <t>eale.050791@gmail.com</t>
        </is>
      </c>
      <c r="AG333" t="inlineStr">
        <is>
          <t>LIMA</t>
        </is>
      </c>
      <c r="AH333" t="inlineStr">
        <is>
          <t>CARABAYLLO</t>
        </is>
      </c>
      <c r="AI333" s="75" t="n">
        <v>46112</v>
      </c>
      <c r="AJ333" s="75" t="n">
        <v>46107</v>
      </c>
      <c r="AK333" t="inlineStr">
        <is>
          <t>AHORRO CASA</t>
        </is>
      </c>
      <c r="AL333" t="n">
        <v>2</v>
      </c>
      <c r="AM333" t="n">
        <v>43000</v>
      </c>
      <c r="AN333" t="n">
        <v>0</v>
      </c>
      <c r="AO333" t="n">
        <v>0</v>
      </c>
      <c r="AP333" s="39" t="n">
        <v>0</v>
      </c>
      <c r="AQ333" s="39" t="n">
        <v>19800</v>
      </c>
      <c r="AR333" s="39" t="n">
        <v>0</v>
      </c>
      <c r="AS333" t="n">
        <v>0</v>
      </c>
      <c r="AT333" t="inlineStr">
        <is>
          <t>Crédito Hipotecario</t>
        </is>
      </c>
      <c r="AU333" t="inlineStr">
        <is>
          <t>Scotiabank Perú</t>
        </is>
      </c>
      <c r="AV333" t="inlineStr">
        <is>
          <t>0004071419</t>
        </is>
      </c>
      <c r="AW333" t="inlineStr">
        <is>
          <t>TRANSFERENCIA BANCARIA</t>
        </is>
      </c>
      <c r="AY333" t="inlineStr">
        <is>
          <t>U24661</t>
        </is>
      </c>
      <c r="AZ333" t="inlineStr">
        <is>
          <t>No</t>
        </is>
      </c>
      <c r="BB333" t="n">
        <v>4</v>
      </c>
      <c r="BC333" t="inlineStr">
        <is>
          <t>CANCELADO</t>
        </is>
      </c>
      <c r="BN333" t="inlineStr">
        <is>
          <t>No</t>
        </is>
      </c>
      <c r="BO333" s="76" t="n">
        <v>46178.34166666667</v>
      </c>
      <c r="BP333" t="inlineStr">
        <is>
          <t>Magaly Guevara Perez</t>
        </is>
      </c>
      <c r="BR333" t="n">
        <v>8</v>
      </c>
      <c r="BS333" t="inlineStr">
        <is>
          <t>24/05/2026 19:20</t>
        </is>
      </c>
      <c r="BW333" t="inlineStr">
        <is>
          <t>Cobranzas_2026.csv</t>
        </is>
      </c>
      <c r="BX333" t="n">
        <v>2026</v>
      </c>
      <c r="BY333" t="inlineStr">
        <is>
          <t>01/01/2024</t>
        </is>
      </c>
      <c r="BZ333" t="inlineStr">
        <is>
          <t>30/06/2031</t>
        </is>
      </c>
    </row>
    <row r="334">
      <c r="A334" t="inlineStr">
        <is>
          <t>RESIDENCIAL VENECIA</t>
        </is>
      </c>
      <c r="B334" t="inlineStr">
        <is>
          <t>Etapa 1</t>
        </is>
      </c>
      <c r="C334" t="inlineStr">
        <is>
          <t>Edificio</t>
        </is>
      </c>
      <c r="D334" t="inlineStr">
        <is>
          <t>A</t>
        </is>
      </c>
      <c r="E334" t="inlineStr">
        <is>
          <t>Departamento</t>
        </is>
      </c>
      <c r="F334" t="inlineStr">
        <is>
          <t>404</t>
        </is>
      </c>
      <c r="G334" s="39" t="n">
        <v>430000</v>
      </c>
      <c r="H334" s="39" t="n">
        <v>430000</v>
      </c>
      <c r="M334" s="39" t="n"/>
      <c r="N334" s="39" t="n"/>
      <c r="S334" s="39" t="n"/>
      <c r="T334" s="39" t="n"/>
      <c r="Y334" s="39" t="n"/>
      <c r="Z334" s="39" t="n"/>
      <c r="AA334" t="inlineStr">
        <is>
          <t>Evelyn Arciela Leon Estela</t>
        </is>
      </c>
      <c r="AB334" t="inlineStr">
        <is>
          <t>70313948</t>
        </is>
      </c>
      <c r="AC334" t="inlineStr">
        <is>
          <t xml:space="preserve">Segunda Etapa.Mz 41 Lt. 35 -Urb. Torre Blanca </t>
        </is>
      </c>
      <c r="AD334" t="n">
        <v>0</v>
      </c>
      <c r="AE334" t="inlineStr">
        <is>
          <t>980746975</t>
        </is>
      </c>
      <c r="AF334" t="inlineStr">
        <is>
          <t>eale.050791@gmail.com</t>
        </is>
      </c>
      <c r="AG334" t="inlineStr">
        <is>
          <t>LIMA</t>
        </is>
      </c>
      <c r="AH334" t="inlineStr">
        <is>
          <t>CARABAYLLO</t>
        </is>
      </c>
      <c r="AI334" s="75" t="n">
        <v>46232.38888888889</v>
      </c>
      <c r="AJ334" s="75" t="n"/>
      <c r="AK334" t="inlineStr">
        <is>
          <t>SALDO FINANCIAR</t>
        </is>
      </c>
      <c r="AL334" t="n">
        <v>1</v>
      </c>
      <c r="AM334" t="n">
        <v>344000</v>
      </c>
      <c r="AN334" t="n">
        <v>0</v>
      </c>
      <c r="AO334" t="n">
        <v>0</v>
      </c>
      <c r="AP334" s="39" t="n">
        <v>344000</v>
      </c>
      <c r="AQ334" s="39" t="n">
        <v>0</v>
      </c>
      <c r="AR334" s="39" t="n">
        <v>344000</v>
      </c>
      <c r="AT334" t="inlineStr">
        <is>
          <t>Crédito Hipotecario</t>
        </is>
      </c>
      <c r="AZ334" t="inlineStr">
        <is>
          <t>No</t>
        </is>
      </c>
      <c r="BC334" t="inlineStr">
        <is>
          <t>PENDIENTE</t>
        </is>
      </c>
      <c r="BN334" t="inlineStr">
        <is>
          <t>No</t>
        </is>
      </c>
      <c r="BO334" s="76" t="n">
        <v>46178.34166666667</v>
      </c>
      <c r="BP334" t="inlineStr">
        <is>
          <t>Magaly Guevara Perez</t>
        </is>
      </c>
      <c r="BR334" t="n">
        <v>8</v>
      </c>
      <c r="BW334" t="inlineStr">
        <is>
          <t>Cobranzas_2026.csv</t>
        </is>
      </c>
      <c r="BX334" t="n">
        <v>2026</v>
      </c>
      <c r="BY334" t="inlineStr">
        <is>
          <t>01/01/2024</t>
        </is>
      </c>
      <c r="BZ334" t="inlineStr">
        <is>
          <t>30/06/2031</t>
        </is>
      </c>
    </row>
    <row r="335">
      <c r="A335" t="inlineStr">
        <is>
          <t>RESIDENCIAL VENECIA</t>
        </is>
      </c>
      <c r="B335" t="inlineStr">
        <is>
          <t>Etapa 1</t>
        </is>
      </c>
      <c r="C335" t="inlineStr">
        <is>
          <t>Edificio</t>
        </is>
      </c>
      <c r="D335" t="inlineStr">
        <is>
          <t>A</t>
        </is>
      </c>
      <c r="E335" t="inlineStr">
        <is>
          <t>Estacionamiento</t>
        </is>
      </c>
      <c r="F335" t="inlineStr">
        <is>
          <t>E 04</t>
        </is>
      </c>
      <c r="G335" s="39" t="n">
        <v>48500</v>
      </c>
      <c r="H335" s="39" t="n">
        <v>48500</v>
      </c>
      <c r="M335" s="39" t="n"/>
      <c r="N335" s="39" t="n"/>
      <c r="S335" s="39" t="n"/>
      <c r="T335" s="39" t="n"/>
      <c r="Y335" s="39" t="n"/>
      <c r="Z335" s="39" t="n"/>
      <c r="AA335" t="inlineStr">
        <is>
          <t>Evelyn Arciela Leon Estela</t>
        </is>
      </c>
      <c r="AB335" t="inlineStr">
        <is>
          <t>70313948</t>
        </is>
      </c>
      <c r="AC335" t="inlineStr">
        <is>
          <t xml:space="preserve">Segunda Etapa.Mz 41 Lt. 35 -Urb. Torre Blanca </t>
        </is>
      </c>
      <c r="AD335" t="n">
        <v>0</v>
      </c>
      <c r="AE335" t="inlineStr">
        <is>
          <t>980746975</t>
        </is>
      </c>
      <c r="AF335" t="inlineStr">
        <is>
          <t>eale.050791@gmail.com</t>
        </is>
      </c>
      <c r="AG335" t="inlineStr">
        <is>
          <t>LIMA</t>
        </is>
      </c>
      <c r="AH335" t="inlineStr">
        <is>
          <t>CARABAYLLO</t>
        </is>
      </c>
      <c r="AI335" s="75" t="n">
        <v>46053</v>
      </c>
      <c r="AJ335" s="75" t="n">
        <v>46048</v>
      </c>
      <c r="AK335" t="inlineStr">
        <is>
          <t>SALDO FINANCIAR</t>
        </is>
      </c>
      <c r="AL335" t="n">
        <v>4</v>
      </c>
      <c r="AM335" t="n">
        <v>1940</v>
      </c>
      <c r="AN335" t="n">
        <v>0</v>
      </c>
      <c r="AO335" t="n">
        <v>0</v>
      </c>
      <c r="AP335" s="39" t="n">
        <v>1940</v>
      </c>
      <c r="AQ335" s="39" t="n">
        <v>1940</v>
      </c>
      <c r="AR335" s="39" t="n">
        <v>0</v>
      </c>
      <c r="AS335" t="n">
        <v>0</v>
      </c>
      <c r="AT335" t="inlineStr">
        <is>
          <t>Crédito Directo</t>
        </is>
      </c>
      <c r="AU335" t="inlineStr">
        <is>
          <t>Scotiabank Perú</t>
        </is>
      </c>
      <c r="AV335" t="inlineStr">
        <is>
          <t>0004071419</t>
        </is>
      </c>
      <c r="AW335" t="inlineStr">
        <is>
          <t>TRANSFERENCIA BANCARIA</t>
        </is>
      </c>
      <c r="AY335" t="inlineStr">
        <is>
          <t>U100022</t>
        </is>
      </c>
      <c r="AZ335" t="inlineStr">
        <is>
          <t>No</t>
        </is>
      </c>
      <c r="BB335" t="n">
        <v>4</v>
      </c>
      <c r="BC335" t="inlineStr">
        <is>
          <t>CANCELADO</t>
        </is>
      </c>
      <c r="BN335" t="inlineStr">
        <is>
          <t>Si</t>
        </is>
      </c>
      <c r="BO335" s="76" t="n">
        <v>45932.67638888889</v>
      </c>
      <c r="BP335" t="inlineStr">
        <is>
          <t>Magaly Guevara Perez</t>
        </is>
      </c>
      <c r="BR335" t="n">
        <v>19</v>
      </c>
      <c r="BS335" t="inlineStr">
        <is>
          <t>02/07/2026 16:08</t>
        </is>
      </c>
      <c r="BW335" t="inlineStr">
        <is>
          <t>Cobranzas_2026.csv</t>
        </is>
      </c>
      <c r="BX335" t="n">
        <v>2026</v>
      </c>
      <c r="BY335" t="inlineStr">
        <is>
          <t>01/01/2024</t>
        </is>
      </c>
      <c r="BZ335" t="inlineStr">
        <is>
          <t>30/06/2031</t>
        </is>
      </c>
    </row>
    <row r="336">
      <c r="A336" t="inlineStr">
        <is>
          <t>RESIDENCIAL VENECIA</t>
        </is>
      </c>
      <c r="B336" t="inlineStr">
        <is>
          <t>Etapa 1</t>
        </is>
      </c>
      <c r="C336" t="inlineStr">
        <is>
          <t>Edificio</t>
        </is>
      </c>
      <c r="D336" t="inlineStr">
        <is>
          <t>A</t>
        </is>
      </c>
      <c r="E336" t="inlineStr">
        <is>
          <t>Estacionamiento</t>
        </is>
      </c>
      <c r="F336" t="inlineStr">
        <is>
          <t>E 04</t>
        </is>
      </c>
      <c r="G336" s="39" t="n">
        <v>48500</v>
      </c>
      <c r="H336" s="39" t="n">
        <v>48500</v>
      </c>
      <c r="M336" s="39" t="n"/>
      <c r="N336" s="39" t="n"/>
      <c r="S336" s="39" t="n"/>
      <c r="T336" s="39" t="n"/>
      <c r="Y336" s="39" t="n"/>
      <c r="Z336" s="39" t="n"/>
      <c r="AA336" t="inlineStr">
        <is>
          <t>Evelyn Arciela Leon Estela</t>
        </is>
      </c>
      <c r="AB336" t="inlineStr">
        <is>
          <t>70313948</t>
        </is>
      </c>
      <c r="AC336" t="inlineStr">
        <is>
          <t xml:space="preserve">Segunda Etapa.Mz 41 Lt. 35 -Urb. Torre Blanca </t>
        </is>
      </c>
      <c r="AD336" t="n">
        <v>0</v>
      </c>
      <c r="AE336" t="inlineStr">
        <is>
          <t>980746975</t>
        </is>
      </c>
      <c r="AF336" t="inlineStr">
        <is>
          <t>eale.050791@gmail.com</t>
        </is>
      </c>
      <c r="AG336" t="inlineStr">
        <is>
          <t>LIMA</t>
        </is>
      </c>
      <c r="AH336" t="inlineStr">
        <is>
          <t>CARABAYLLO</t>
        </is>
      </c>
      <c r="AI336" s="75" t="n">
        <v>46081</v>
      </c>
      <c r="AJ336" s="75" t="n">
        <v>46078</v>
      </c>
      <c r="AK336" t="inlineStr">
        <is>
          <t>SALDO FINANCIAR</t>
        </is>
      </c>
      <c r="AL336" t="n">
        <v>5</v>
      </c>
      <c r="AM336" t="n">
        <v>1940</v>
      </c>
      <c r="AN336" t="n">
        <v>0</v>
      </c>
      <c r="AO336" t="n">
        <v>0</v>
      </c>
      <c r="AP336" s="39" t="n">
        <v>1940</v>
      </c>
      <c r="AQ336" s="39" t="n">
        <v>1940</v>
      </c>
      <c r="AR336" s="39" t="n">
        <v>0</v>
      </c>
      <c r="AS336" t="n">
        <v>0</v>
      </c>
      <c r="AT336" t="inlineStr">
        <is>
          <t>Crédito Directo</t>
        </is>
      </c>
      <c r="AU336" t="inlineStr">
        <is>
          <t>Scotiabank Perú</t>
        </is>
      </c>
      <c r="AV336" t="inlineStr">
        <is>
          <t>0004071419</t>
        </is>
      </c>
      <c r="AW336" t="inlineStr">
        <is>
          <t>TRANSFERENCIA BANCARIA</t>
        </is>
      </c>
      <c r="AY336" t="inlineStr">
        <is>
          <t>U27655</t>
        </is>
      </c>
      <c r="AZ336" t="inlineStr">
        <is>
          <t>No</t>
        </is>
      </c>
      <c r="BB336" t="n">
        <v>4</v>
      </c>
      <c r="BC336" t="inlineStr">
        <is>
          <t>CANCELADO</t>
        </is>
      </c>
      <c r="BN336" t="inlineStr">
        <is>
          <t>Si</t>
        </is>
      </c>
      <c r="BO336" s="76" t="n">
        <v>45932.67638888889</v>
      </c>
      <c r="BP336" t="inlineStr">
        <is>
          <t>Magaly Guevara Perez</t>
        </is>
      </c>
      <c r="BR336" t="n">
        <v>19</v>
      </c>
      <c r="BS336" t="inlineStr">
        <is>
          <t>02/07/2026 16:09</t>
        </is>
      </c>
      <c r="BW336" t="inlineStr">
        <is>
          <t>Cobranzas_2026.csv</t>
        </is>
      </c>
      <c r="BX336" t="n">
        <v>2026</v>
      </c>
      <c r="BY336" t="inlineStr">
        <is>
          <t>01/01/2024</t>
        </is>
      </c>
      <c r="BZ336" t="inlineStr">
        <is>
          <t>30/06/2031</t>
        </is>
      </c>
    </row>
    <row r="337">
      <c r="A337" t="inlineStr">
        <is>
          <t>RESIDENCIAL VENECIA</t>
        </is>
      </c>
      <c r="B337" t="inlineStr">
        <is>
          <t>Etapa 1</t>
        </is>
      </c>
      <c r="C337" t="inlineStr">
        <is>
          <t>Edificio</t>
        </is>
      </c>
      <c r="D337" t="inlineStr">
        <is>
          <t>A</t>
        </is>
      </c>
      <c r="E337" t="inlineStr">
        <is>
          <t>Estacionamiento</t>
        </is>
      </c>
      <c r="F337" t="inlineStr">
        <is>
          <t>E 04</t>
        </is>
      </c>
      <c r="G337" s="39" t="n">
        <v>48500</v>
      </c>
      <c r="H337" s="39" t="n">
        <v>48500</v>
      </c>
      <c r="M337" s="39" t="n"/>
      <c r="N337" s="39" t="n"/>
      <c r="S337" s="39" t="n"/>
      <c r="T337" s="39" t="n"/>
      <c r="Y337" s="39" t="n"/>
      <c r="Z337" s="39" t="n"/>
      <c r="AA337" t="inlineStr">
        <is>
          <t>Evelyn Arciela Leon Estela</t>
        </is>
      </c>
      <c r="AB337" t="inlineStr">
        <is>
          <t>70313948</t>
        </is>
      </c>
      <c r="AC337" t="inlineStr">
        <is>
          <t xml:space="preserve">Segunda Etapa.Mz 41 Lt. 35 -Urb. Torre Blanca </t>
        </is>
      </c>
      <c r="AD337" t="n">
        <v>0</v>
      </c>
      <c r="AE337" t="inlineStr">
        <is>
          <t>980746975</t>
        </is>
      </c>
      <c r="AF337" t="inlineStr">
        <is>
          <t>eale.050791@gmail.com</t>
        </is>
      </c>
      <c r="AG337" t="inlineStr">
        <is>
          <t>LIMA</t>
        </is>
      </c>
      <c r="AH337" t="inlineStr">
        <is>
          <t>CARABAYLLO</t>
        </is>
      </c>
      <c r="AI337" s="75" t="n">
        <v>46112</v>
      </c>
      <c r="AJ337" s="75" t="n">
        <v>46107</v>
      </c>
      <c r="AK337" t="inlineStr">
        <is>
          <t>SALDO FINANCIAR</t>
        </is>
      </c>
      <c r="AL337" t="n">
        <v>6</v>
      </c>
      <c r="AM337" t="n">
        <v>1940</v>
      </c>
      <c r="AN337" t="n">
        <v>0</v>
      </c>
      <c r="AO337" t="n">
        <v>0</v>
      </c>
      <c r="AP337" s="39" t="n">
        <v>1940</v>
      </c>
      <c r="AQ337" s="39" t="n">
        <v>1940</v>
      </c>
      <c r="AR337" s="39" t="n">
        <v>0</v>
      </c>
      <c r="AS337" t="n">
        <v>0</v>
      </c>
      <c r="AT337" t="inlineStr">
        <is>
          <t>Crédito Directo</t>
        </is>
      </c>
      <c r="AU337" t="inlineStr">
        <is>
          <t>Scotiabank Perú</t>
        </is>
      </c>
      <c r="AV337" t="inlineStr">
        <is>
          <t>0004071419</t>
        </is>
      </c>
      <c r="AW337" t="inlineStr">
        <is>
          <t>TRANSFERENCIA BANCARIA</t>
        </is>
      </c>
      <c r="AY337" t="inlineStr">
        <is>
          <t>U24661</t>
        </is>
      </c>
      <c r="AZ337" t="inlineStr">
        <is>
          <t>No</t>
        </is>
      </c>
      <c r="BB337" t="n">
        <v>4</v>
      </c>
      <c r="BC337" t="inlineStr">
        <is>
          <t>CANCELADO</t>
        </is>
      </c>
      <c r="BN337" t="inlineStr">
        <is>
          <t>Si</t>
        </is>
      </c>
      <c r="BO337" s="76" t="n">
        <v>45932.67638888889</v>
      </c>
      <c r="BP337" t="inlineStr">
        <is>
          <t>Magaly Guevara Perez</t>
        </is>
      </c>
      <c r="BR337" t="n">
        <v>19</v>
      </c>
      <c r="BS337" t="inlineStr">
        <is>
          <t>02/07/2026 16:10</t>
        </is>
      </c>
      <c r="BW337" t="inlineStr">
        <is>
          <t>Cobranzas_2026.csv</t>
        </is>
      </c>
      <c r="BX337" t="n">
        <v>2026</v>
      </c>
      <c r="BY337" t="inlineStr">
        <is>
          <t>01/01/2024</t>
        </is>
      </c>
      <c r="BZ337" t="inlineStr">
        <is>
          <t>30/06/2031</t>
        </is>
      </c>
    </row>
    <row r="338">
      <c r="A338" t="inlineStr">
        <is>
          <t>RESIDENCIAL VENECIA</t>
        </is>
      </c>
      <c r="B338" t="inlineStr">
        <is>
          <t>Etapa 1</t>
        </is>
      </c>
      <c r="C338" t="inlineStr">
        <is>
          <t>Edificio</t>
        </is>
      </c>
      <c r="D338" t="inlineStr">
        <is>
          <t>A</t>
        </is>
      </c>
      <c r="E338" t="inlineStr">
        <is>
          <t>Estacionamiento</t>
        </is>
      </c>
      <c r="F338" t="inlineStr">
        <is>
          <t>E 04</t>
        </is>
      </c>
      <c r="G338" s="39" t="n">
        <v>48500</v>
      </c>
      <c r="H338" s="39" t="n">
        <v>48500</v>
      </c>
      <c r="M338" s="39" t="n"/>
      <c r="N338" s="39" t="n"/>
      <c r="S338" s="39" t="n"/>
      <c r="T338" s="39" t="n"/>
      <c r="Y338" s="39" t="n"/>
      <c r="Z338" s="39" t="n"/>
      <c r="AA338" t="inlineStr">
        <is>
          <t>Evelyn Arciela Leon Estela</t>
        </is>
      </c>
      <c r="AB338" t="inlineStr">
        <is>
          <t>70313948</t>
        </is>
      </c>
      <c r="AC338" t="inlineStr">
        <is>
          <t xml:space="preserve">Segunda Etapa.Mz 41 Lt. 35 -Urb. Torre Blanca </t>
        </is>
      </c>
      <c r="AD338" t="n">
        <v>0</v>
      </c>
      <c r="AE338" t="inlineStr">
        <is>
          <t>980746975</t>
        </is>
      </c>
      <c r="AF338" t="inlineStr">
        <is>
          <t>eale.050791@gmail.com</t>
        </is>
      </c>
      <c r="AG338" t="inlineStr">
        <is>
          <t>LIMA</t>
        </is>
      </c>
      <c r="AH338" t="inlineStr">
        <is>
          <t>CARABAYLLO</t>
        </is>
      </c>
      <c r="AI338" s="75" t="n">
        <v>46142</v>
      </c>
      <c r="AJ338" s="75" t="n">
        <v>46134</v>
      </c>
      <c r="AK338" t="inlineStr">
        <is>
          <t>SALDO FINANCIAR</t>
        </is>
      </c>
      <c r="AL338" t="n">
        <v>7</v>
      </c>
      <c r="AM338" t="n">
        <v>1940</v>
      </c>
      <c r="AN338" t="n">
        <v>0</v>
      </c>
      <c r="AO338" t="n">
        <v>0</v>
      </c>
      <c r="AP338" s="39" t="n">
        <v>1940</v>
      </c>
      <c r="AQ338" s="39" t="n">
        <v>1940</v>
      </c>
      <c r="AR338" s="39" t="n">
        <v>0</v>
      </c>
      <c r="AS338" t="n">
        <v>0</v>
      </c>
      <c r="AT338" t="inlineStr">
        <is>
          <t>Crédito Directo</t>
        </is>
      </c>
      <c r="AU338" t="inlineStr">
        <is>
          <t>Scotiabank Perú</t>
        </is>
      </c>
      <c r="AV338" t="inlineStr">
        <is>
          <t>0004071419</t>
        </is>
      </c>
      <c r="AW338" t="inlineStr">
        <is>
          <t>TRANSFERENCIA BANCARIA</t>
        </is>
      </c>
      <c r="AY338" t="inlineStr">
        <is>
          <t>U1000499</t>
        </is>
      </c>
      <c r="AZ338" t="inlineStr">
        <is>
          <t>No</t>
        </is>
      </c>
      <c r="BB338" t="n">
        <v>4</v>
      </c>
      <c r="BC338" t="inlineStr">
        <is>
          <t>CANCELADO</t>
        </is>
      </c>
      <c r="BN338" t="inlineStr">
        <is>
          <t>Si</t>
        </is>
      </c>
      <c r="BO338" s="76" t="n">
        <v>45932.67638888889</v>
      </c>
      <c r="BP338" t="inlineStr">
        <is>
          <t>Magaly Guevara Perez</t>
        </is>
      </c>
      <c r="BR338" t="n">
        <v>19</v>
      </c>
      <c r="BS338" t="inlineStr">
        <is>
          <t>02/07/2026 16:11</t>
        </is>
      </c>
      <c r="BW338" t="inlineStr">
        <is>
          <t>Cobranzas_2026.csv</t>
        </is>
      </c>
      <c r="BX338" t="n">
        <v>2026</v>
      </c>
      <c r="BY338" t="inlineStr">
        <is>
          <t>01/01/2024</t>
        </is>
      </c>
      <c r="BZ338" t="inlineStr">
        <is>
          <t>30/06/2031</t>
        </is>
      </c>
    </row>
    <row r="339">
      <c r="A339" t="inlineStr">
        <is>
          <t>RESIDENCIAL VENECIA</t>
        </is>
      </c>
      <c r="B339" t="inlineStr">
        <is>
          <t>Etapa 1</t>
        </is>
      </c>
      <c r="C339" t="inlineStr">
        <is>
          <t>Edificio</t>
        </is>
      </c>
      <c r="D339" t="inlineStr">
        <is>
          <t>A</t>
        </is>
      </c>
      <c r="E339" t="inlineStr">
        <is>
          <t>Estacionamiento</t>
        </is>
      </c>
      <c r="F339" t="inlineStr">
        <is>
          <t>E 04</t>
        </is>
      </c>
      <c r="G339" s="39" t="n">
        <v>48500</v>
      </c>
      <c r="H339" s="39" t="n">
        <v>48500</v>
      </c>
      <c r="M339" s="39" t="n"/>
      <c r="N339" s="39" t="n"/>
      <c r="S339" s="39" t="n"/>
      <c r="T339" s="39" t="n"/>
      <c r="Y339" s="39" t="n"/>
      <c r="Z339" s="39" t="n"/>
      <c r="AA339" t="inlineStr">
        <is>
          <t>Evelyn Arciela Leon Estela</t>
        </is>
      </c>
      <c r="AB339" t="inlineStr">
        <is>
          <t>70313948</t>
        </is>
      </c>
      <c r="AC339" t="inlineStr">
        <is>
          <t xml:space="preserve">Segunda Etapa.Mz 41 Lt. 35 -Urb. Torre Blanca </t>
        </is>
      </c>
      <c r="AD339" t="n">
        <v>0</v>
      </c>
      <c r="AE339" t="inlineStr">
        <is>
          <t>980746975</t>
        </is>
      </c>
      <c r="AF339" t="inlineStr">
        <is>
          <t>eale.050791@gmail.com</t>
        </is>
      </c>
      <c r="AG339" t="inlineStr">
        <is>
          <t>LIMA</t>
        </is>
      </c>
      <c r="AH339" t="inlineStr">
        <is>
          <t>CARABAYLLO</t>
        </is>
      </c>
      <c r="AI339" s="75" t="n">
        <v>46173</v>
      </c>
      <c r="AJ339" s="75" t="n">
        <v>46167</v>
      </c>
      <c r="AK339" t="inlineStr">
        <is>
          <t>SALDO FINANCIAR</t>
        </is>
      </c>
      <c r="AL339" t="n">
        <v>8</v>
      </c>
      <c r="AM339" t="n">
        <v>1940</v>
      </c>
      <c r="AN339" t="n">
        <v>0</v>
      </c>
      <c r="AO339" t="n">
        <v>0</v>
      </c>
      <c r="AP339" s="39" t="n">
        <v>1940</v>
      </c>
      <c r="AQ339" s="39" t="n">
        <v>1940</v>
      </c>
      <c r="AR339" s="39" t="n">
        <v>0</v>
      </c>
      <c r="AS339" t="n">
        <v>0</v>
      </c>
      <c r="AT339" t="inlineStr">
        <is>
          <t>Crédito Directo</t>
        </is>
      </c>
      <c r="AU339" t="inlineStr">
        <is>
          <t>Scotiabank Perú</t>
        </is>
      </c>
      <c r="AV339" t="inlineStr">
        <is>
          <t>0004071419</t>
        </is>
      </c>
      <c r="AW339" t="inlineStr">
        <is>
          <t>TRANSFERENCIA BANCARIA</t>
        </is>
      </c>
      <c r="AY339" t="inlineStr">
        <is>
          <t>U24661</t>
        </is>
      </c>
      <c r="AZ339" t="inlineStr">
        <is>
          <t>No</t>
        </is>
      </c>
      <c r="BB339" t="n">
        <v>4</v>
      </c>
      <c r="BC339" t="inlineStr">
        <is>
          <t>CANCELADO</t>
        </is>
      </c>
      <c r="BN339" t="inlineStr">
        <is>
          <t>Si</t>
        </is>
      </c>
      <c r="BO339" s="76" t="n">
        <v>45932.67638888889</v>
      </c>
      <c r="BP339" t="inlineStr">
        <is>
          <t>Magaly Guevara Perez</t>
        </is>
      </c>
      <c r="BR339" t="n">
        <v>19</v>
      </c>
      <c r="BS339" t="inlineStr">
        <is>
          <t>02/07/2026 16:12</t>
        </is>
      </c>
      <c r="BW339" t="inlineStr">
        <is>
          <t>Cobranzas_2026.csv</t>
        </is>
      </c>
      <c r="BX339" t="n">
        <v>2026</v>
      </c>
      <c r="BY339" t="inlineStr">
        <is>
          <t>01/01/2024</t>
        </is>
      </c>
      <c r="BZ339" t="inlineStr">
        <is>
          <t>30/06/2031</t>
        </is>
      </c>
    </row>
    <row r="340">
      <c r="A340" t="inlineStr">
        <is>
          <t>RESIDENCIAL VENECIA</t>
        </is>
      </c>
      <c r="B340" t="inlineStr">
        <is>
          <t>Etapa 1</t>
        </is>
      </c>
      <c r="C340" t="inlineStr">
        <is>
          <t>Edificio</t>
        </is>
      </c>
      <c r="D340" t="inlineStr">
        <is>
          <t>A</t>
        </is>
      </c>
      <c r="E340" t="inlineStr">
        <is>
          <t>Estacionamiento</t>
        </is>
      </c>
      <c r="F340" t="inlineStr">
        <is>
          <t>E 04</t>
        </is>
      </c>
      <c r="G340" s="39" t="n">
        <v>48500</v>
      </c>
      <c r="H340" s="39" t="n">
        <v>48500</v>
      </c>
      <c r="M340" s="39" t="n"/>
      <c r="N340" s="39" t="n"/>
      <c r="S340" s="39" t="n"/>
      <c r="T340" s="39" t="n"/>
      <c r="Y340" s="39" t="n"/>
      <c r="Z340" s="39" t="n"/>
      <c r="AA340" t="inlineStr">
        <is>
          <t>Evelyn Arciela Leon Estela</t>
        </is>
      </c>
      <c r="AB340" t="inlineStr">
        <is>
          <t>70313948</t>
        </is>
      </c>
      <c r="AC340" t="inlineStr">
        <is>
          <t xml:space="preserve">Segunda Etapa.Mz 41 Lt. 35 -Urb. Torre Blanca </t>
        </is>
      </c>
      <c r="AD340" t="n">
        <v>0</v>
      </c>
      <c r="AE340" t="inlineStr">
        <is>
          <t>980746975</t>
        </is>
      </c>
      <c r="AF340" t="inlineStr">
        <is>
          <t>eale.050791@gmail.com</t>
        </is>
      </c>
      <c r="AG340" t="inlineStr">
        <is>
          <t>LIMA</t>
        </is>
      </c>
      <c r="AH340" t="inlineStr">
        <is>
          <t>CARABAYLLO</t>
        </is>
      </c>
      <c r="AI340" s="75" t="n">
        <v>46203</v>
      </c>
      <c r="AJ340" s="75" t="n">
        <v>46196</v>
      </c>
      <c r="AK340" t="inlineStr">
        <is>
          <t>SALDO FINANCIAR</t>
        </is>
      </c>
      <c r="AL340" t="n">
        <v>9</v>
      </c>
      <c r="AM340" t="n">
        <v>1940</v>
      </c>
      <c r="AN340" t="n">
        <v>0</v>
      </c>
      <c r="AO340" t="n">
        <v>0</v>
      </c>
      <c r="AP340" s="39" t="n">
        <v>1940</v>
      </c>
      <c r="AQ340" s="39" t="n">
        <v>1940</v>
      </c>
      <c r="AR340" s="39" t="n">
        <v>0</v>
      </c>
      <c r="AS340" t="n">
        <v>0</v>
      </c>
      <c r="AT340" t="inlineStr">
        <is>
          <t>Crédito Directo</t>
        </is>
      </c>
      <c r="AU340" t="inlineStr">
        <is>
          <t>Scotiabank Perú</t>
        </is>
      </c>
      <c r="AV340" t="inlineStr">
        <is>
          <t>0004071419</t>
        </is>
      </c>
      <c r="AW340" t="inlineStr">
        <is>
          <t>TRANSFERENCIA BANCARIA</t>
        </is>
      </c>
      <c r="AY340" t="inlineStr">
        <is>
          <t>U101281</t>
        </is>
      </c>
      <c r="AZ340" t="inlineStr">
        <is>
          <t>No</t>
        </is>
      </c>
      <c r="BB340" t="n">
        <v>4</v>
      </c>
      <c r="BC340" t="inlineStr">
        <is>
          <t>CANCELADO</t>
        </is>
      </c>
      <c r="BN340" t="inlineStr">
        <is>
          <t>Si</t>
        </is>
      </c>
      <c r="BO340" s="76" t="n">
        <v>45932.67638888889</v>
      </c>
      <c r="BP340" t="inlineStr">
        <is>
          <t>Magaly Guevara Perez</t>
        </is>
      </c>
      <c r="BR340" t="n">
        <v>19</v>
      </c>
      <c r="BS340" t="inlineStr">
        <is>
          <t>02/07/2026 16:12</t>
        </is>
      </c>
      <c r="BW340" t="inlineStr">
        <is>
          <t>Cobranzas_2026.csv</t>
        </is>
      </c>
      <c r="BX340" t="n">
        <v>2026</v>
      </c>
      <c r="BY340" t="inlineStr">
        <is>
          <t>01/01/2024</t>
        </is>
      </c>
      <c r="BZ340" t="inlineStr">
        <is>
          <t>30/06/2031</t>
        </is>
      </c>
    </row>
    <row r="341">
      <c r="A341" t="inlineStr">
        <is>
          <t>RESIDENCIAL VENECIA</t>
        </is>
      </c>
      <c r="B341" t="inlineStr">
        <is>
          <t>Etapa 1</t>
        </is>
      </c>
      <c r="C341" t="inlineStr">
        <is>
          <t>Edificio</t>
        </is>
      </c>
      <c r="D341" t="inlineStr">
        <is>
          <t>A</t>
        </is>
      </c>
      <c r="E341" t="inlineStr">
        <is>
          <t>Estacionamiento</t>
        </is>
      </c>
      <c r="F341" t="inlineStr">
        <is>
          <t>E 04</t>
        </is>
      </c>
      <c r="G341" s="39" t="n">
        <v>48500</v>
      </c>
      <c r="H341" s="39" t="n">
        <v>48500</v>
      </c>
      <c r="M341" s="39" t="n"/>
      <c r="N341" s="39" t="n"/>
      <c r="S341" s="39" t="n"/>
      <c r="T341" s="39" t="n"/>
      <c r="Y341" s="39" t="n"/>
      <c r="Z341" s="39" t="n"/>
      <c r="AA341" t="inlineStr">
        <is>
          <t>Evelyn Arciela Leon Estela</t>
        </is>
      </c>
      <c r="AB341" t="inlineStr">
        <is>
          <t>70313948</t>
        </is>
      </c>
      <c r="AC341" t="inlineStr">
        <is>
          <t xml:space="preserve">Segunda Etapa.Mz 41 Lt. 35 -Urb. Torre Blanca </t>
        </is>
      </c>
      <c r="AD341" t="n">
        <v>0</v>
      </c>
      <c r="AE341" t="inlineStr">
        <is>
          <t>980746975</t>
        </is>
      </c>
      <c r="AF341" t="inlineStr">
        <is>
          <t>eale.050791@gmail.com</t>
        </is>
      </c>
      <c r="AG341" t="inlineStr">
        <is>
          <t>LIMA</t>
        </is>
      </c>
      <c r="AH341" t="inlineStr">
        <is>
          <t>CARABAYLLO</t>
        </is>
      </c>
      <c r="AI341" s="75" t="n">
        <v>46234</v>
      </c>
      <c r="AJ341" s="75" t="n"/>
      <c r="AK341" t="inlineStr">
        <is>
          <t>SALDO FINANCIAR</t>
        </is>
      </c>
      <c r="AL341" t="n">
        <v>10</v>
      </c>
      <c r="AM341" t="n">
        <v>1940</v>
      </c>
      <c r="AN341" t="n">
        <v>0</v>
      </c>
      <c r="AO341" t="n">
        <v>0</v>
      </c>
      <c r="AP341" s="39" t="n">
        <v>1940</v>
      </c>
      <c r="AQ341" s="39" t="n">
        <v>0</v>
      </c>
      <c r="AR341" s="39" t="n">
        <v>1940</v>
      </c>
      <c r="AT341" t="inlineStr">
        <is>
          <t>Crédito Directo</t>
        </is>
      </c>
      <c r="AZ341" t="inlineStr">
        <is>
          <t>No</t>
        </is>
      </c>
      <c r="BC341" t="inlineStr">
        <is>
          <t>PENDIENTE</t>
        </is>
      </c>
      <c r="BN341" t="inlineStr">
        <is>
          <t>No</t>
        </is>
      </c>
      <c r="BO341" s="76" t="n">
        <v>45932.67638888889</v>
      </c>
      <c r="BP341" t="inlineStr">
        <is>
          <t>Magaly Guevara Perez</t>
        </is>
      </c>
      <c r="BR341" t="n">
        <v>19</v>
      </c>
      <c r="BW341" t="inlineStr">
        <is>
          <t>Cobranzas_2026.csv</t>
        </is>
      </c>
      <c r="BX341" t="n">
        <v>2026</v>
      </c>
      <c r="BY341" t="inlineStr">
        <is>
          <t>01/01/2024</t>
        </is>
      </c>
      <c r="BZ341" t="inlineStr">
        <is>
          <t>30/06/2031</t>
        </is>
      </c>
    </row>
    <row r="342">
      <c r="A342" t="inlineStr">
        <is>
          <t>RESIDENCIAL VENECIA</t>
        </is>
      </c>
      <c r="B342" t="inlineStr">
        <is>
          <t>Etapa 1</t>
        </is>
      </c>
      <c r="C342" t="inlineStr">
        <is>
          <t>Edificio</t>
        </is>
      </c>
      <c r="D342" t="inlineStr">
        <is>
          <t>A</t>
        </is>
      </c>
      <c r="E342" t="inlineStr">
        <is>
          <t>Estacionamiento</t>
        </is>
      </c>
      <c r="F342" t="inlineStr">
        <is>
          <t>E 04</t>
        </is>
      </c>
      <c r="G342" s="39" t="n">
        <v>48500</v>
      </c>
      <c r="H342" s="39" t="n">
        <v>48500</v>
      </c>
      <c r="M342" s="39" t="n"/>
      <c r="N342" s="39" t="n"/>
      <c r="S342" s="39" t="n"/>
      <c r="T342" s="39" t="n"/>
      <c r="Y342" s="39" t="n"/>
      <c r="Z342" s="39" t="n"/>
      <c r="AA342" t="inlineStr">
        <is>
          <t>Evelyn Arciela Leon Estela</t>
        </is>
      </c>
      <c r="AB342" t="inlineStr">
        <is>
          <t>70313948</t>
        </is>
      </c>
      <c r="AC342" t="inlineStr">
        <is>
          <t xml:space="preserve">Segunda Etapa.Mz 41 Lt. 35 -Urb. Torre Blanca </t>
        </is>
      </c>
      <c r="AD342" t="n">
        <v>0</v>
      </c>
      <c r="AE342" t="inlineStr">
        <is>
          <t>980746975</t>
        </is>
      </c>
      <c r="AF342" t="inlineStr">
        <is>
          <t>eale.050791@gmail.com</t>
        </is>
      </c>
      <c r="AG342" t="inlineStr">
        <is>
          <t>LIMA</t>
        </is>
      </c>
      <c r="AH342" t="inlineStr">
        <is>
          <t>CARABAYLLO</t>
        </is>
      </c>
      <c r="AI342" s="75" t="n">
        <v>46265</v>
      </c>
      <c r="AJ342" s="75" t="n"/>
      <c r="AK342" t="inlineStr">
        <is>
          <t>SALDO FINANCIAR</t>
        </is>
      </c>
      <c r="AL342" t="n">
        <v>11</v>
      </c>
      <c r="AM342" t="n">
        <v>1940</v>
      </c>
      <c r="AN342" t="n">
        <v>0</v>
      </c>
      <c r="AO342" t="n">
        <v>0</v>
      </c>
      <c r="AP342" s="39" t="n">
        <v>1940</v>
      </c>
      <c r="AQ342" s="39" t="n">
        <v>0</v>
      </c>
      <c r="AR342" s="39" t="n">
        <v>1940</v>
      </c>
      <c r="AT342" t="inlineStr">
        <is>
          <t>Crédito Directo</t>
        </is>
      </c>
      <c r="AZ342" t="inlineStr">
        <is>
          <t>No</t>
        </is>
      </c>
      <c r="BC342" t="inlineStr">
        <is>
          <t>PENDIENTE</t>
        </is>
      </c>
      <c r="BN342" t="inlineStr">
        <is>
          <t>No</t>
        </is>
      </c>
      <c r="BO342" s="76" t="n">
        <v>45932.67638888889</v>
      </c>
      <c r="BP342" t="inlineStr">
        <is>
          <t>Magaly Guevara Perez</t>
        </is>
      </c>
      <c r="BR342" t="n">
        <v>19</v>
      </c>
      <c r="BW342" t="inlineStr">
        <is>
          <t>Cobranzas_2026.csv</t>
        </is>
      </c>
      <c r="BX342" t="n">
        <v>2026</v>
      </c>
      <c r="BY342" t="inlineStr">
        <is>
          <t>01/01/2024</t>
        </is>
      </c>
      <c r="BZ342" t="inlineStr">
        <is>
          <t>30/06/2031</t>
        </is>
      </c>
    </row>
    <row r="343">
      <c r="A343" t="inlineStr">
        <is>
          <t>RESIDENCIAL VENECIA</t>
        </is>
      </c>
      <c r="B343" t="inlineStr">
        <is>
          <t>Etapa 1</t>
        </is>
      </c>
      <c r="C343" t="inlineStr">
        <is>
          <t>Edificio</t>
        </is>
      </c>
      <c r="D343" t="inlineStr">
        <is>
          <t>A</t>
        </is>
      </c>
      <c r="E343" t="inlineStr">
        <is>
          <t>Estacionamiento</t>
        </is>
      </c>
      <c r="F343" t="inlineStr">
        <is>
          <t>E 04</t>
        </is>
      </c>
      <c r="G343" s="39" t="n">
        <v>48500</v>
      </c>
      <c r="H343" s="39" t="n">
        <v>48500</v>
      </c>
      <c r="M343" s="39" t="n"/>
      <c r="N343" s="39" t="n"/>
      <c r="S343" s="39" t="n"/>
      <c r="T343" s="39" t="n"/>
      <c r="Y343" s="39" t="n"/>
      <c r="Z343" s="39" t="n"/>
      <c r="AA343" t="inlineStr">
        <is>
          <t>Evelyn Arciela Leon Estela</t>
        </is>
      </c>
      <c r="AB343" t="inlineStr">
        <is>
          <t>70313948</t>
        </is>
      </c>
      <c r="AC343" t="inlineStr">
        <is>
          <t xml:space="preserve">Segunda Etapa.Mz 41 Lt. 35 -Urb. Torre Blanca </t>
        </is>
      </c>
      <c r="AD343" t="n">
        <v>0</v>
      </c>
      <c r="AE343" t="inlineStr">
        <is>
          <t>980746975</t>
        </is>
      </c>
      <c r="AF343" t="inlineStr">
        <is>
          <t>eale.050791@gmail.com</t>
        </is>
      </c>
      <c r="AG343" t="inlineStr">
        <is>
          <t>LIMA</t>
        </is>
      </c>
      <c r="AH343" t="inlineStr">
        <is>
          <t>CARABAYLLO</t>
        </is>
      </c>
      <c r="AI343" s="75" t="n">
        <v>46295</v>
      </c>
      <c r="AJ343" s="75" t="n"/>
      <c r="AK343" t="inlineStr">
        <is>
          <t>SALDO FINANCIAR</t>
        </is>
      </c>
      <c r="AL343" t="n">
        <v>12</v>
      </c>
      <c r="AM343" t="n">
        <v>1940</v>
      </c>
      <c r="AN343" t="n">
        <v>0</v>
      </c>
      <c r="AO343" t="n">
        <v>0</v>
      </c>
      <c r="AP343" s="39" t="n">
        <v>1940</v>
      </c>
      <c r="AQ343" s="39" t="n">
        <v>0</v>
      </c>
      <c r="AR343" s="39" t="n">
        <v>1940</v>
      </c>
      <c r="AT343" t="inlineStr">
        <is>
          <t>Crédito Directo</t>
        </is>
      </c>
      <c r="AZ343" t="inlineStr">
        <is>
          <t>No</t>
        </is>
      </c>
      <c r="BC343" t="inlineStr">
        <is>
          <t>PENDIENTE</t>
        </is>
      </c>
      <c r="BN343" t="inlineStr">
        <is>
          <t>No</t>
        </is>
      </c>
      <c r="BO343" s="76" t="n">
        <v>45932.67638888889</v>
      </c>
      <c r="BP343" t="inlineStr">
        <is>
          <t>Magaly Guevara Perez</t>
        </is>
      </c>
      <c r="BR343" t="n">
        <v>19</v>
      </c>
      <c r="BW343" t="inlineStr">
        <is>
          <t>Cobranzas_2026.csv</t>
        </is>
      </c>
      <c r="BX343" t="n">
        <v>2026</v>
      </c>
      <c r="BY343" t="inlineStr">
        <is>
          <t>01/01/2024</t>
        </is>
      </c>
      <c r="BZ343" t="inlineStr">
        <is>
          <t>30/06/2031</t>
        </is>
      </c>
    </row>
    <row r="344">
      <c r="A344" t="inlineStr">
        <is>
          <t>RESIDENCIAL VENECIA</t>
        </is>
      </c>
      <c r="B344" t="inlineStr">
        <is>
          <t>Etapa 1</t>
        </is>
      </c>
      <c r="C344" t="inlineStr">
        <is>
          <t>Edificio</t>
        </is>
      </c>
      <c r="D344" t="inlineStr">
        <is>
          <t>A</t>
        </is>
      </c>
      <c r="E344" t="inlineStr">
        <is>
          <t>Estacionamiento</t>
        </is>
      </c>
      <c r="F344" t="inlineStr">
        <is>
          <t>E 04</t>
        </is>
      </c>
      <c r="G344" s="39" t="n">
        <v>48500</v>
      </c>
      <c r="H344" s="39" t="n">
        <v>48500</v>
      </c>
      <c r="M344" s="39" t="n"/>
      <c r="N344" s="39" t="n"/>
      <c r="S344" s="39" t="n"/>
      <c r="T344" s="39" t="n"/>
      <c r="Y344" s="39" t="n"/>
      <c r="Z344" s="39" t="n"/>
      <c r="AA344" t="inlineStr">
        <is>
          <t>Evelyn Arciela Leon Estela</t>
        </is>
      </c>
      <c r="AB344" t="inlineStr">
        <is>
          <t>70313948</t>
        </is>
      </c>
      <c r="AC344" t="inlineStr">
        <is>
          <t xml:space="preserve">Segunda Etapa.Mz 41 Lt. 35 -Urb. Torre Blanca </t>
        </is>
      </c>
      <c r="AD344" t="n">
        <v>0</v>
      </c>
      <c r="AE344" t="inlineStr">
        <is>
          <t>980746975</t>
        </is>
      </c>
      <c r="AF344" t="inlineStr">
        <is>
          <t>eale.050791@gmail.com</t>
        </is>
      </c>
      <c r="AG344" t="inlineStr">
        <is>
          <t>LIMA</t>
        </is>
      </c>
      <c r="AH344" t="inlineStr">
        <is>
          <t>CARABAYLLO</t>
        </is>
      </c>
      <c r="AI344" s="75" t="n">
        <v>46326</v>
      </c>
      <c r="AJ344" s="75" t="n"/>
      <c r="AK344" t="inlineStr">
        <is>
          <t>SALDO FINANCIAR</t>
        </is>
      </c>
      <c r="AL344" t="n">
        <v>13</v>
      </c>
      <c r="AM344" t="n">
        <v>1940</v>
      </c>
      <c r="AN344" t="n">
        <v>0</v>
      </c>
      <c r="AO344" t="n">
        <v>0</v>
      </c>
      <c r="AP344" s="39" t="n">
        <v>1940</v>
      </c>
      <c r="AQ344" s="39" t="n">
        <v>0</v>
      </c>
      <c r="AR344" s="39" t="n">
        <v>1940</v>
      </c>
      <c r="AT344" t="inlineStr">
        <is>
          <t>Crédito Directo</t>
        </is>
      </c>
      <c r="AZ344" t="inlineStr">
        <is>
          <t>No</t>
        </is>
      </c>
      <c r="BC344" t="inlineStr">
        <is>
          <t>PENDIENTE</t>
        </is>
      </c>
      <c r="BN344" t="inlineStr">
        <is>
          <t>No</t>
        </is>
      </c>
      <c r="BO344" s="76" t="n">
        <v>45932.67638888889</v>
      </c>
      <c r="BP344" t="inlineStr">
        <is>
          <t>Magaly Guevara Perez</t>
        </is>
      </c>
      <c r="BR344" t="n">
        <v>19</v>
      </c>
      <c r="BW344" t="inlineStr">
        <is>
          <t>Cobranzas_2026.csv</t>
        </is>
      </c>
      <c r="BX344" t="n">
        <v>2026</v>
      </c>
      <c r="BY344" t="inlineStr">
        <is>
          <t>01/01/2024</t>
        </is>
      </c>
      <c r="BZ344" t="inlineStr">
        <is>
          <t>30/06/2031</t>
        </is>
      </c>
    </row>
    <row r="345">
      <c r="A345" t="inlineStr">
        <is>
          <t>RESIDENCIAL VENECIA</t>
        </is>
      </c>
      <c r="B345" t="inlineStr">
        <is>
          <t>Etapa 1</t>
        </is>
      </c>
      <c r="C345" t="inlineStr">
        <is>
          <t>Edificio</t>
        </is>
      </c>
      <c r="D345" t="inlineStr">
        <is>
          <t>A</t>
        </is>
      </c>
      <c r="E345" t="inlineStr">
        <is>
          <t>Estacionamiento</t>
        </is>
      </c>
      <c r="F345" t="inlineStr">
        <is>
          <t>E 04</t>
        </is>
      </c>
      <c r="G345" s="39" t="n">
        <v>48500</v>
      </c>
      <c r="H345" s="39" t="n">
        <v>48500</v>
      </c>
      <c r="M345" s="39" t="n"/>
      <c r="N345" s="39" t="n"/>
      <c r="S345" s="39" t="n"/>
      <c r="T345" s="39" t="n"/>
      <c r="Y345" s="39" t="n"/>
      <c r="Z345" s="39" t="n"/>
      <c r="AA345" t="inlineStr">
        <is>
          <t>Evelyn Arciela Leon Estela</t>
        </is>
      </c>
      <c r="AB345" t="inlineStr">
        <is>
          <t>70313948</t>
        </is>
      </c>
      <c r="AC345" t="inlineStr">
        <is>
          <t xml:space="preserve">Segunda Etapa.Mz 41 Lt. 35 -Urb. Torre Blanca </t>
        </is>
      </c>
      <c r="AD345" t="n">
        <v>0</v>
      </c>
      <c r="AE345" t="inlineStr">
        <is>
          <t>980746975</t>
        </is>
      </c>
      <c r="AF345" t="inlineStr">
        <is>
          <t>eale.050791@gmail.com</t>
        </is>
      </c>
      <c r="AG345" t="inlineStr">
        <is>
          <t>LIMA</t>
        </is>
      </c>
      <c r="AH345" t="inlineStr">
        <is>
          <t>CARABAYLLO</t>
        </is>
      </c>
      <c r="AI345" s="75" t="n">
        <v>46356</v>
      </c>
      <c r="AJ345" s="75" t="n"/>
      <c r="AK345" t="inlineStr">
        <is>
          <t>SALDO FINANCIAR</t>
        </is>
      </c>
      <c r="AL345" t="n">
        <v>14</v>
      </c>
      <c r="AM345" t="n">
        <v>1940</v>
      </c>
      <c r="AN345" t="n">
        <v>0</v>
      </c>
      <c r="AO345" t="n">
        <v>0</v>
      </c>
      <c r="AP345" s="39" t="n">
        <v>1940</v>
      </c>
      <c r="AQ345" s="39" t="n">
        <v>0</v>
      </c>
      <c r="AR345" s="39" t="n">
        <v>1940</v>
      </c>
      <c r="AT345" t="inlineStr">
        <is>
          <t>Crédito Directo</t>
        </is>
      </c>
      <c r="AZ345" t="inlineStr">
        <is>
          <t>No</t>
        </is>
      </c>
      <c r="BC345" t="inlineStr">
        <is>
          <t>PENDIENTE</t>
        </is>
      </c>
      <c r="BN345" t="inlineStr">
        <is>
          <t>No</t>
        </is>
      </c>
      <c r="BO345" s="76" t="n">
        <v>45932.67638888889</v>
      </c>
      <c r="BP345" t="inlineStr">
        <is>
          <t>Magaly Guevara Perez</t>
        </is>
      </c>
      <c r="BR345" t="n">
        <v>19</v>
      </c>
      <c r="BW345" t="inlineStr">
        <is>
          <t>Cobranzas_2026.csv</t>
        </is>
      </c>
      <c r="BX345" t="n">
        <v>2026</v>
      </c>
      <c r="BY345" t="inlineStr">
        <is>
          <t>01/01/2024</t>
        </is>
      </c>
      <c r="BZ345" t="inlineStr">
        <is>
          <t>30/06/2031</t>
        </is>
      </c>
    </row>
    <row r="346">
      <c r="A346" t="inlineStr">
        <is>
          <t>RESIDENCIAL VENECIA</t>
        </is>
      </c>
      <c r="B346" t="inlineStr">
        <is>
          <t>Etapa 1</t>
        </is>
      </c>
      <c r="C346" t="inlineStr">
        <is>
          <t>Edificio</t>
        </is>
      </c>
      <c r="D346" t="inlineStr">
        <is>
          <t>A</t>
        </is>
      </c>
      <c r="E346" t="inlineStr">
        <is>
          <t>Estacionamiento</t>
        </is>
      </c>
      <c r="F346" t="inlineStr">
        <is>
          <t>E 04</t>
        </is>
      </c>
      <c r="G346" s="39" t="n">
        <v>48500</v>
      </c>
      <c r="H346" s="39" t="n">
        <v>48500</v>
      </c>
      <c r="M346" s="39" t="n"/>
      <c r="N346" s="39" t="n"/>
      <c r="S346" s="39" t="n"/>
      <c r="T346" s="39" t="n"/>
      <c r="Y346" s="39" t="n"/>
      <c r="Z346" s="39" t="n"/>
      <c r="AA346" t="inlineStr">
        <is>
          <t>Evelyn Arciela Leon Estela</t>
        </is>
      </c>
      <c r="AB346" t="inlineStr">
        <is>
          <t>70313948</t>
        </is>
      </c>
      <c r="AC346" t="inlineStr">
        <is>
          <t xml:space="preserve">Segunda Etapa.Mz 41 Lt. 35 -Urb. Torre Blanca </t>
        </is>
      </c>
      <c r="AD346" t="n">
        <v>0</v>
      </c>
      <c r="AE346" t="inlineStr">
        <is>
          <t>980746975</t>
        </is>
      </c>
      <c r="AF346" t="inlineStr">
        <is>
          <t>eale.050791@gmail.com</t>
        </is>
      </c>
      <c r="AG346" t="inlineStr">
        <is>
          <t>LIMA</t>
        </is>
      </c>
      <c r="AH346" t="inlineStr">
        <is>
          <t>CARABAYLLO</t>
        </is>
      </c>
      <c r="AI346" s="75" t="n">
        <v>46387</v>
      </c>
      <c r="AJ346" s="75" t="n"/>
      <c r="AK346" t="inlineStr">
        <is>
          <t>SALDO FINANCIAR</t>
        </is>
      </c>
      <c r="AL346" t="n">
        <v>15</v>
      </c>
      <c r="AM346" t="n">
        <v>1940</v>
      </c>
      <c r="AN346" t="n">
        <v>0</v>
      </c>
      <c r="AO346" t="n">
        <v>0</v>
      </c>
      <c r="AP346" s="39" t="n">
        <v>1940</v>
      </c>
      <c r="AQ346" s="39" t="n">
        <v>0</v>
      </c>
      <c r="AR346" s="39" t="n">
        <v>1940</v>
      </c>
      <c r="AT346" t="inlineStr">
        <is>
          <t>Crédito Directo</t>
        </is>
      </c>
      <c r="AZ346" t="inlineStr">
        <is>
          <t>No</t>
        </is>
      </c>
      <c r="BC346" t="inlineStr">
        <is>
          <t>PENDIENTE</t>
        </is>
      </c>
      <c r="BN346" t="inlineStr">
        <is>
          <t>No</t>
        </is>
      </c>
      <c r="BO346" s="76" t="n">
        <v>45932.67638888889</v>
      </c>
      <c r="BP346" t="inlineStr">
        <is>
          <t>Magaly Guevara Perez</t>
        </is>
      </c>
      <c r="BR346" t="n">
        <v>19</v>
      </c>
      <c r="BW346" t="inlineStr">
        <is>
          <t>Cobranzas_2026.csv</t>
        </is>
      </c>
      <c r="BX346" t="n">
        <v>2026</v>
      </c>
      <c r="BY346" t="inlineStr">
        <is>
          <t>01/01/2024</t>
        </is>
      </c>
      <c r="BZ346" t="inlineStr">
        <is>
          <t>30/06/2031</t>
        </is>
      </c>
    </row>
    <row r="347">
      <c r="A347" t="inlineStr">
        <is>
          <t>RESIDENCIAL BEYOND</t>
        </is>
      </c>
      <c r="B347" t="inlineStr">
        <is>
          <t>Etapa 1</t>
        </is>
      </c>
      <c r="C347" t="inlineStr">
        <is>
          <t>Edificio</t>
        </is>
      </c>
      <c r="D347" t="inlineStr">
        <is>
          <t>A</t>
        </is>
      </c>
      <c r="E347" t="inlineStr">
        <is>
          <t>Departamento</t>
        </is>
      </c>
      <c r="F347" t="inlineStr">
        <is>
          <t>1205</t>
        </is>
      </c>
      <c r="G347" s="39" t="n">
        <v>520100</v>
      </c>
      <c r="H347" s="39" t="n">
        <v>467100</v>
      </c>
      <c r="M347" s="39" t="n"/>
      <c r="N347" s="39" t="n"/>
      <c r="S347" s="39" t="n"/>
      <c r="T347" s="39" t="n"/>
      <c r="Y347" s="39" t="n"/>
      <c r="Z347" s="39" t="n"/>
      <c r="AA347" t="inlineStr">
        <is>
          <t>Fabiola Maria Lecca Vargas</t>
        </is>
      </c>
      <c r="AB347" t="inlineStr">
        <is>
          <t>08034254</t>
        </is>
      </c>
      <c r="AC347" t="inlineStr">
        <is>
          <t>Jr. Manuel Irribarren 1012 dpto 1</t>
        </is>
      </c>
      <c r="AD347" t="n">
        <v>0</v>
      </c>
      <c r="AE347" t="inlineStr">
        <is>
          <t>988708317</t>
        </is>
      </c>
      <c r="AF347" t="inlineStr">
        <is>
          <t>fabiolaleccavargas@g.mail.com</t>
        </is>
      </c>
      <c r="AG347" t="inlineStr">
        <is>
          <t>LIMA</t>
        </is>
      </c>
      <c r="AH347" t="inlineStr">
        <is>
          <t>RIMAC</t>
        </is>
      </c>
      <c r="AI347" s="75" t="n">
        <v>46032</v>
      </c>
      <c r="AJ347" s="75" t="n">
        <v>46032</v>
      </c>
      <c r="AK347" t="inlineStr">
        <is>
          <t>SEPARACION</t>
        </is>
      </c>
      <c r="AL347" t="n">
        <v>1</v>
      </c>
      <c r="AM347" t="n">
        <v>3000</v>
      </c>
      <c r="AN347" t="n">
        <v>0</v>
      </c>
      <c r="AO347" t="n">
        <v>0</v>
      </c>
      <c r="AP347" s="39" t="n">
        <v>3000</v>
      </c>
      <c r="AQ347" s="39" t="n">
        <v>3000</v>
      </c>
      <c r="AR347" s="39" t="n">
        <v>0</v>
      </c>
      <c r="AS347" t="n">
        <v>0</v>
      </c>
      <c r="AT347" t="inlineStr">
        <is>
          <t>Crédito Directo</t>
        </is>
      </c>
      <c r="AU347" t="inlineStr">
        <is>
          <t>Banco de Credito del Perú</t>
        </is>
      </c>
      <c r="AV347" t="inlineStr">
        <is>
          <t>194-7325779-0-65</t>
        </is>
      </c>
      <c r="AW347" t="inlineStr">
        <is>
          <t>DEPOSITO EN CUENTA</t>
        </is>
      </c>
      <c r="AY347" t="inlineStr">
        <is>
          <t>0107263</t>
        </is>
      </c>
      <c r="AZ347" t="inlineStr">
        <is>
          <t>No</t>
        </is>
      </c>
      <c r="BB347" t="n">
        <v>4</v>
      </c>
      <c r="BC347" t="inlineStr">
        <is>
          <t>CANCELADO</t>
        </is>
      </c>
      <c r="BN347" t="inlineStr">
        <is>
          <t>Si</t>
        </is>
      </c>
      <c r="BO347" s="76" t="n">
        <v>46081.43819444445</v>
      </c>
      <c r="BP347" t="inlineStr">
        <is>
          <t>Magaly Guevara Perez</t>
        </is>
      </c>
      <c r="BR347" t="n">
        <v>14</v>
      </c>
      <c r="BS347" t="inlineStr">
        <is>
          <t>26/06/2026 11:53</t>
        </is>
      </c>
      <c r="BW347" t="inlineStr">
        <is>
          <t>Cobranzas_2026.csv</t>
        </is>
      </c>
      <c r="BX347" t="n">
        <v>2026</v>
      </c>
      <c r="BY347" t="inlineStr">
        <is>
          <t>01/01/2024</t>
        </is>
      </c>
      <c r="BZ347" t="inlineStr">
        <is>
          <t>30/06/2031</t>
        </is>
      </c>
    </row>
    <row r="348">
      <c r="A348" t="inlineStr">
        <is>
          <t>RESIDENCIAL BEYOND</t>
        </is>
      </c>
      <c r="B348" t="inlineStr">
        <is>
          <t>Etapa 1</t>
        </is>
      </c>
      <c r="C348" t="inlineStr">
        <is>
          <t>Edificio</t>
        </is>
      </c>
      <c r="D348" t="inlineStr">
        <is>
          <t>A</t>
        </is>
      </c>
      <c r="E348" t="inlineStr">
        <is>
          <t>Departamento</t>
        </is>
      </c>
      <c r="F348" t="inlineStr">
        <is>
          <t>1205</t>
        </is>
      </c>
      <c r="G348" s="39" t="n">
        <v>520100</v>
      </c>
      <c r="H348" s="39" t="n">
        <v>467100</v>
      </c>
      <c r="M348" s="39" t="n"/>
      <c r="N348" s="39" t="n"/>
      <c r="S348" s="39" t="n"/>
      <c r="T348" s="39" t="n"/>
      <c r="Y348" s="39" t="n"/>
      <c r="Z348" s="39" t="n"/>
      <c r="AA348" t="inlineStr">
        <is>
          <t>Fabiola Maria Lecca Vargas</t>
        </is>
      </c>
      <c r="AB348" t="inlineStr">
        <is>
          <t>08034254</t>
        </is>
      </c>
      <c r="AC348" t="inlineStr">
        <is>
          <t>Jr. Manuel Irribarren 1012 dpto 1</t>
        </is>
      </c>
      <c r="AD348" t="n">
        <v>0</v>
      </c>
      <c r="AE348" t="inlineStr">
        <is>
          <t>988708317</t>
        </is>
      </c>
      <c r="AF348" t="inlineStr">
        <is>
          <t>fabiolaleccavargas@g.mail.com</t>
        </is>
      </c>
      <c r="AG348" t="inlineStr">
        <is>
          <t>LIMA</t>
        </is>
      </c>
      <c r="AH348" t="inlineStr">
        <is>
          <t>RIMAC</t>
        </is>
      </c>
      <c r="AI348" s="75" t="n">
        <v>46055</v>
      </c>
      <c r="AJ348" s="75" t="n">
        <v>46055</v>
      </c>
      <c r="AK348" t="inlineStr">
        <is>
          <t>CUOTA INICIAL</t>
        </is>
      </c>
      <c r="AL348" t="n">
        <v>1</v>
      </c>
      <c r="AM348" t="n">
        <v>30000</v>
      </c>
      <c r="AN348" t="n">
        <v>0</v>
      </c>
      <c r="AO348" t="n">
        <v>0</v>
      </c>
      <c r="AP348" s="39" t="n">
        <v>30000</v>
      </c>
      <c r="AQ348" s="39" t="n">
        <v>30000</v>
      </c>
      <c r="AR348" s="39" t="n">
        <v>0</v>
      </c>
      <c r="AS348" t="n">
        <v>0</v>
      </c>
      <c r="AT348" t="inlineStr">
        <is>
          <t>Crédito Directo</t>
        </is>
      </c>
      <c r="AU348" t="inlineStr">
        <is>
          <t>Banco de Credito del Perú</t>
        </is>
      </c>
      <c r="AV348" t="inlineStr">
        <is>
          <t>194-7325779-0-65</t>
        </is>
      </c>
      <c r="AW348" t="inlineStr">
        <is>
          <t>TRANSFERENCIA BANCARIA</t>
        </is>
      </c>
      <c r="AY348" t="inlineStr">
        <is>
          <t>7844654520780</t>
        </is>
      </c>
      <c r="AZ348" t="inlineStr">
        <is>
          <t>No</t>
        </is>
      </c>
      <c r="BB348" t="n">
        <v>4</v>
      </c>
      <c r="BC348" t="inlineStr">
        <is>
          <t>CANCELADO</t>
        </is>
      </c>
      <c r="BN348" t="inlineStr">
        <is>
          <t>Si</t>
        </is>
      </c>
      <c r="BO348" s="76" t="n">
        <v>46081.43819444445</v>
      </c>
      <c r="BP348" t="inlineStr">
        <is>
          <t>Magaly Guevara Perez</t>
        </is>
      </c>
      <c r="BR348" t="n">
        <v>14</v>
      </c>
      <c r="BS348" t="inlineStr">
        <is>
          <t>26/06/2026 11:54</t>
        </is>
      </c>
      <c r="BW348" t="inlineStr">
        <is>
          <t>Cobranzas_2026.csv</t>
        </is>
      </c>
      <c r="BX348" t="n">
        <v>2026</v>
      </c>
      <c r="BY348" t="inlineStr">
        <is>
          <t>01/01/2024</t>
        </is>
      </c>
      <c r="BZ348" t="inlineStr">
        <is>
          <t>30/06/2031</t>
        </is>
      </c>
    </row>
    <row r="349">
      <c r="A349" t="inlineStr">
        <is>
          <t>RESIDENCIAL BEYOND</t>
        </is>
      </c>
      <c r="B349" t="inlineStr">
        <is>
          <t>Etapa 1</t>
        </is>
      </c>
      <c r="C349" t="inlineStr">
        <is>
          <t>Edificio</t>
        </is>
      </c>
      <c r="D349" t="inlineStr">
        <is>
          <t>A</t>
        </is>
      </c>
      <c r="E349" t="inlineStr">
        <is>
          <t>Departamento</t>
        </is>
      </c>
      <c r="F349" t="inlineStr">
        <is>
          <t>1205</t>
        </is>
      </c>
      <c r="G349" s="39" t="n">
        <v>520100</v>
      </c>
      <c r="H349" s="39" t="n">
        <v>467100</v>
      </c>
      <c r="M349" s="39" t="n"/>
      <c r="N349" s="39" t="n"/>
      <c r="S349" s="39" t="n"/>
      <c r="T349" s="39" t="n"/>
      <c r="Y349" s="39" t="n"/>
      <c r="Z349" s="39" t="n"/>
      <c r="AA349" t="inlineStr">
        <is>
          <t>Fabiola Maria Lecca Vargas</t>
        </is>
      </c>
      <c r="AB349" t="inlineStr">
        <is>
          <t>08034254</t>
        </is>
      </c>
      <c r="AC349" t="inlineStr">
        <is>
          <t>Jr. Manuel Irribarren 1012 dpto 1</t>
        </is>
      </c>
      <c r="AD349" t="n">
        <v>0</v>
      </c>
      <c r="AE349" t="inlineStr">
        <is>
          <t>988708317</t>
        </is>
      </c>
      <c r="AF349" t="inlineStr">
        <is>
          <t>fabiolaleccavargas@g.mail.com</t>
        </is>
      </c>
      <c r="AG349" t="inlineStr">
        <is>
          <t>LIMA</t>
        </is>
      </c>
      <c r="AH349" t="inlineStr">
        <is>
          <t>RIMAC</t>
        </is>
      </c>
      <c r="AI349" s="75" t="n">
        <v>46056</v>
      </c>
      <c r="AJ349" s="75" t="n">
        <v>46056</v>
      </c>
      <c r="AK349" t="inlineStr">
        <is>
          <t>CUOTA INICIAL</t>
        </is>
      </c>
      <c r="AL349" t="n">
        <v>2</v>
      </c>
      <c r="AM349" t="n">
        <v>16470</v>
      </c>
      <c r="AN349" t="n">
        <v>0</v>
      </c>
      <c r="AO349" t="n">
        <v>0</v>
      </c>
      <c r="AP349" s="39" t="n">
        <v>16470</v>
      </c>
      <c r="AQ349" s="39" t="n">
        <v>16470</v>
      </c>
      <c r="AR349" s="39" t="n">
        <v>0</v>
      </c>
      <c r="AS349" t="n">
        <v>0</v>
      </c>
      <c r="AT349" t="inlineStr">
        <is>
          <t>Crédito Directo</t>
        </is>
      </c>
      <c r="AU349" t="inlineStr">
        <is>
          <t>Banco de Credito del Perú</t>
        </is>
      </c>
      <c r="AV349" t="inlineStr">
        <is>
          <t>194-7325779-0-65</t>
        </is>
      </c>
      <c r="AW349" t="inlineStr">
        <is>
          <t>TRANSFERENCIA BANCARIA</t>
        </is>
      </c>
      <c r="AY349" t="inlineStr">
        <is>
          <t>7844655871084</t>
        </is>
      </c>
      <c r="AZ349" t="inlineStr">
        <is>
          <t>No</t>
        </is>
      </c>
      <c r="BB349" t="n">
        <v>4</v>
      </c>
      <c r="BC349" t="inlineStr">
        <is>
          <t>CANCELADO</t>
        </is>
      </c>
      <c r="BN349" t="inlineStr">
        <is>
          <t>Si</t>
        </is>
      </c>
      <c r="BO349" s="76" t="n">
        <v>46081.43819444445</v>
      </c>
      <c r="BP349" t="inlineStr">
        <is>
          <t>Magaly Guevara Perez</t>
        </is>
      </c>
      <c r="BR349" t="n">
        <v>14</v>
      </c>
      <c r="BS349" t="inlineStr">
        <is>
          <t>26/06/2026 11:55</t>
        </is>
      </c>
      <c r="BW349" t="inlineStr">
        <is>
          <t>Cobranzas_2026.csv</t>
        </is>
      </c>
      <c r="BX349" t="n">
        <v>2026</v>
      </c>
      <c r="BY349" t="inlineStr">
        <is>
          <t>01/01/2024</t>
        </is>
      </c>
      <c r="BZ349" t="inlineStr">
        <is>
          <t>30/06/2031</t>
        </is>
      </c>
    </row>
    <row r="350">
      <c r="A350" t="inlineStr">
        <is>
          <t>RESIDENCIAL BEYOND</t>
        </is>
      </c>
      <c r="B350" t="inlineStr">
        <is>
          <t>Etapa 1</t>
        </is>
      </c>
      <c r="C350" t="inlineStr">
        <is>
          <t>Edificio</t>
        </is>
      </c>
      <c r="D350" t="inlineStr">
        <is>
          <t>A</t>
        </is>
      </c>
      <c r="E350" t="inlineStr">
        <is>
          <t>Departamento</t>
        </is>
      </c>
      <c r="F350" t="inlineStr">
        <is>
          <t>1205</t>
        </is>
      </c>
      <c r="G350" s="39" t="n">
        <v>520100</v>
      </c>
      <c r="H350" s="39" t="n">
        <v>467100</v>
      </c>
      <c r="M350" s="39" t="n"/>
      <c r="N350" s="39" t="n"/>
      <c r="S350" s="39" t="n"/>
      <c r="T350" s="39" t="n"/>
      <c r="Y350" s="39" t="n"/>
      <c r="Z350" s="39" t="n"/>
      <c r="AA350" t="inlineStr">
        <is>
          <t>Fabiola Maria Lecca Vargas</t>
        </is>
      </c>
      <c r="AB350" t="inlineStr">
        <is>
          <t>08034254</t>
        </is>
      </c>
      <c r="AC350" t="inlineStr">
        <is>
          <t>Jr. Manuel Irribarren 1012 dpto 1</t>
        </is>
      </c>
      <c r="AD350" t="n">
        <v>0</v>
      </c>
      <c r="AE350" t="inlineStr">
        <is>
          <t>988708317</t>
        </is>
      </c>
      <c r="AF350" t="inlineStr">
        <is>
          <t>fabiolaleccavargas@g.mail.com</t>
        </is>
      </c>
      <c r="AG350" t="inlineStr">
        <is>
          <t>LIMA</t>
        </is>
      </c>
      <c r="AH350" t="inlineStr">
        <is>
          <t>RIMAC</t>
        </is>
      </c>
      <c r="AI350" s="75" t="n">
        <v>46092</v>
      </c>
      <c r="AJ350" s="75" t="n">
        <v>46092</v>
      </c>
      <c r="AK350" t="inlineStr">
        <is>
          <t>CUOTA INICIAL</t>
        </is>
      </c>
      <c r="AL350" t="n">
        <v>3</v>
      </c>
      <c r="AM350" t="n">
        <v>15000</v>
      </c>
      <c r="AN350" t="n">
        <v>0</v>
      </c>
      <c r="AO350" t="n">
        <v>0</v>
      </c>
      <c r="AP350" s="39" t="n">
        <v>15000</v>
      </c>
      <c r="AQ350" s="39" t="n">
        <v>15000</v>
      </c>
      <c r="AR350" s="39" t="n">
        <v>0</v>
      </c>
      <c r="AS350" t="n">
        <v>0</v>
      </c>
      <c r="AT350" t="inlineStr">
        <is>
          <t>Crédito Directo</t>
        </is>
      </c>
      <c r="AU350" t="inlineStr">
        <is>
          <t>Banco de Credito del Perú</t>
        </is>
      </c>
      <c r="AV350" t="inlineStr">
        <is>
          <t>194-7325779-0-65</t>
        </is>
      </c>
      <c r="AW350" t="inlineStr">
        <is>
          <t>TRANSFERENCIA BANCARIA</t>
        </is>
      </c>
      <c r="AY350" t="inlineStr">
        <is>
          <t>7844651936594</t>
        </is>
      </c>
      <c r="AZ350" t="inlineStr">
        <is>
          <t>No</t>
        </is>
      </c>
      <c r="BB350" t="n">
        <v>4</v>
      </c>
      <c r="BC350" t="inlineStr">
        <is>
          <t>CANCELADO</t>
        </is>
      </c>
      <c r="BN350" t="inlineStr">
        <is>
          <t>Si</t>
        </is>
      </c>
      <c r="BO350" s="76" t="n">
        <v>46081.43819444445</v>
      </c>
      <c r="BP350" t="inlineStr">
        <is>
          <t>Magaly Guevara Perez</t>
        </is>
      </c>
      <c r="BR350" t="n">
        <v>14</v>
      </c>
      <c r="BS350" t="inlineStr">
        <is>
          <t>26/06/2026 11:56</t>
        </is>
      </c>
      <c r="BW350" t="inlineStr">
        <is>
          <t>Cobranzas_2026.csv</t>
        </is>
      </c>
      <c r="BX350" t="n">
        <v>2026</v>
      </c>
      <c r="BY350" t="inlineStr">
        <is>
          <t>01/01/2024</t>
        </is>
      </c>
      <c r="BZ350" t="inlineStr">
        <is>
          <t>30/06/2031</t>
        </is>
      </c>
    </row>
    <row r="351">
      <c r="A351" t="inlineStr">
        <is>
          <t>RESIDENCIAL BEYOND</t>
        </is>
      </c>
      <c r="B351" t="inlineStr">
        <is>
          <t>Etapa 1</t>
        </is>
      </c>
      <c r="C351" t="inlineStr">
        <is>
          <t>Edificio</t>
        </is>
      </c>
      <c r="D351" t="inlineStr">
        <is>
          <t>A</t>
        </is>
      </c>
      <c r="E351" t="inlineStr">
        <is>
          <t>Departamento</t>
        </is>
      </c>
      <c r="F351" t="inlineStr">
        <is>
          <t>1205</t>
        </is>
      </c>
      <c r="G351" s="39" t="n">
        <v>520100</v>
      </c>
      <c r="H351" s="39" t="n">
        <v>467100</v>
      </c>
      <c r="M351" s="39" t="n"/>
      <c r="N351" s="39" t="n"/>
      <c r="S351" s="39" t="n"/>
      <c r="T351" s="39" t="n"/>
      <c r="Y351" s="39" t="n"/>
      <c r="Z351" s="39" t="n"/>
      <c r="AA351" t="inlineStr">
        <is>
          <t>Fabiola Maria Lecca Vargas</t>
        </is>
      </c>
      <c r="AB351" t="inlineStr">
        <is>
          <t>08034254</t>
        </is>
      </c>
      <c r="AC351" t="inlineStr">
        <is>
          <t>Jr. Manuel Irribarren 1012 dpto 1</t>
        </is>
      </c>
      <c r="AD351" t="n">
        <v>0</v>
      </c>
      <c r="AE351" t="inlineStr">
        <is>
          <t>988708317</t>
        </is>
      </c>
      <c r="AF351" t="inlineStr">
        <is>
          <t>fabiolaleccavargas@g.mail.com</t>
        </is>
      </c>
      <c r="AG351" t="inlineStr">
        <is>
          <t>LIMA</t>
        </is>
      </c>
      <c r="AH351" t="inlineStr">
        <is>
          <t>RIMAC</t>
        </is>
      </c>
      <c r="AI351" s="75" t="n">
        <v>46095</v>
      </c>
      <c r="AJ351" s="75" t="n">
        <v>46095</v>
      </c>
      <c r="AK351" t="inlineStr">
        <is>
          <t>CUOTA INICIAL</t>
        </is>
      </c>
      <c r="AL351" t="n">
        <v>4</v>
      </c>
      <c r="AM351" t="n">
        <v>15000</v>
      </c>
      <c r="AN351" t="n">
        <v>0</v>
      </c>
      <c r="AO351" t="n">
        <v>0</v>
      </c>
      <c r="AP351" s="39" t="n">
        <v>15000</v>
      </c>
      <c r="AQ351" s="39" t="n">
        <v>15000</v>
      </c>
      <c r="AR351" s="39" t="n">
        <v>0</v>
      </c>
      <c r="AS351" t="n">
        <v>0</v>
      </c>
      <c r="AT351" t="inlineStr">
        <is>
          <t>Crédito Directo</t>
        </is>
      </c>
      <c r="AU351" t="inlineStr">
        <is>
          <t>Banco de Credito del Perú</t>
        </is>
      </c>
      <c r="AV351" t="inlineStr">
        <is>
          <t>194-7325779-0-65</t>
        </is>
      </c>
      <c r="AW351" t="inlineStr">
        <is>
          <t>TRANSFERENCIA BANCARIA</t>
        </is>
      </c>
      <c r="AY351" t="inlineStr">
        <is>
          <t>7844655870147</t>
        </is>
      </c>
      <c r="AZ351" t="inlineStr">
        <is>
          <t>No</t>
        </is>
      </c>
      <c r="BB351" t="n">
        <v>4</v>
      </c>
      <c r="BC351" t="inlineStr">
        <is>
          <t>CANCELADO</t>
        </is>
      </c>
      <c r="BN351" t="inlineStr">
        <is>
          <t>Si</t>
        </is>
      </c>
      <c r="BO351" s="76" t="n">
        <v>46081.43819444445</v>
      </c>
      <c r="BP351" t="inlineStr">
        <is>
          <t>Magaly Guevara Perez</t>
        </is>
      </c>
      <c r="BR351" t="n">
        <v>14</v>
      </c>
      <c r="BS351" t="inlineStr">
        <is>
          <t>26/06/2026 11:57</t>
        </is>
      </c>
      <c r="BW351" t="inlineStr">
        <is>
          <t>Cobranzas_2026.csv</t>
        </is>
      </c>
      <c r="BX351" t="n">
        <v>2026</v>
      </c>
      <c r="BY351" t="inlineStr">
        <is>
          <t>01/01/2024</t>
        </is>
      </c>
      <c r="BZ351" t="inlineStr">
        <is>
          <t>30/06/2031</t>
        </is>
      </c>
    </row>
    <row r="352">
      <c r="A352" t="inlineStr">
        <is>
          <t>RESIDENCIAL BEYOND</t>
        </is>
      </c>
      <c r="B352" t="inlineStr">
        <is>
          <t>Etapa 1</t>
        </is>
      </c>
      <c r="C352" t="inlineStr">
        <is>
          <t>Edificio</t>
        </is>
      </c>
      <c r="D352" t="inlineStr">
        <is>
          <t>A</t>
        </is>
      </c>
      <c r="E352" t="inlineStr">
        <is>
          <t>Departamento</t>
        </is>
      </c>
      <c r="F352" t="inlineStr">
        <is>
          <t>1205</t>
        </is>
      </c>
      <c r="G352" s="39" t="n">
        <v>520100</v>
      </c>
      <c r="H352" s="39" t="n">
        <v>467100</v>
      </c>
      <c r="M352" s="39" t="n"/>
      <c r="N352" s="39" t="n"/>
      <c r="S352" s="39" t="n"/>
      <c r="T352" s="39" t="n"/>
      <c r="Y352" s="39" t="n"/>
      <c r="Z352" s="39" t="n"/>
      <c r="AA352" t="inlineStr">
        <is>
          <t>Fabiola Maria Lecca Vargas</t>
        </is>
      </c>
      <c r="AB352" t="inlineStr">
        <is>
          <t>08034254</t>
        </is>
      </c>
      <c r="AC352" t="inlineStr">
        <is>
          <t>Jr. Manuel Irribarren 1012 dpto 1</t>
        </is>
      </c>
      <c r="AD352" t="n">
        <v>0</v>
      </c>
      <c r="AE352" t="inlineStr">
        <is>
          <t>988708317</t>
        </is>
      </c>
      <c r="AF352" t="inlineStr">
        <is>
          <t>fabiolaleccavargas@g.mail.com</t>
        </is>
      </c>
      <c r="AG352" t="inlineStr">
        <is>
          <t>LIMA</t>
        </is>
      </c>
      <c r="AH352" t="inlineStr">
        <is>
          <t>RIMAC</t>
        </is>
      </c>
      <c r="AI352" s="75" t="n">
        <v>46125</v>
      </c>
      <c r="AJ352" s="75" t="n">
        <v>46125</v>
      </c>
      <c r="AK352" t="inlineStr">
        <is>
          <t>CUOTA INICIAL</t>
        </is>
      </c>
      <c r="AL352" t="n">
        <v>5</v>
      </c>
      <c r="AM352" t="n">
        <v>9900</v>
      </c>
      <c r="AN352" t="n">
        <v>0</v>
      </c>
      <c r="AO352" t="n">
        <v>0</v>
      </c>
      <c r="AP352" s="39" t="n">
        <v>9900</v>
      </c>
      <c r="AQ352" s="39" t="n">
        <v>9900</v>
      </c>
      <c r="AR352" s="39" t="n">
        <v>0</v>
      </c>
      <c r="AS352" t="n">
        <v>0</v>
      </c>
      <c r="AT352" t="inlineStr">
        <is>
          <t>Crédito Directo</t>
        </is>
      </c>
      <c r="AU352" t="inlineStr">
        <is>
          <t>Banco de Credito del Perú</t>
        </is>
      </c>
      <c r="AV352" t="inlineStr">
        <is>
          <t>194-7325779-0-65</t>
        </is>
      </c>
      <c r="AW352" t="inlineStr">
        <is>
          <t>TRANSFERENCIA BANCARIA</t>
        </is>
      </c>
      <c r="AY352" t="inlineStr">
        <is>
          <t>7844651936636</t>
        </is>
      </c>
      <c r="AZ352" t="inlineStr">
        <is>
          <t>No</t>
        </is>
      </c>
      <c r="BB352" t="n">
        <v>4</v>
      </c>
      <c r="BC352" t="inlineStr">
        <is>
          <t>CANCELADO</t>
        </is>
      </c>
      <c r="BN352" t="inlineStr">
        <is>
          <t>Si</t>
        </is>
      </c>
      <c r="BO352" s="76" t="n">
        <v>46081.43819444445</v>
      </c>
      <c r="BP352" t="inlineStr">
        <is>
          <t>Magaly Guevara Perez</t>
        </is>
      </c>
      <c r="BR352" t="n">
        <v>14</v>
      </c>
      <c r="BS352" t="inlineStr">
        <is>
          <t>26/06/2026 12:07</t>
        </is>
      </c>
      <c r="BW352" t="inlineStr">
        <is>
          <t>Cobranzas_2026.csv</t>
        </is>
      </c>
      <c r="BX352" t="n">
        <v>2026</v>
      </c>
      <c r="BY352" t="inlineStr">
        <is>
          <t>01/01/2024</t>
        </is>
      </c>
      <c r="BZ352" t="inlineStr">
        <is>
          <t>30/06/2031</t>
        </is>
      </c>
    </row>
    <row r="353">
      <c r="A353" t="inlineStr">
        <is>
          <t>RESIDENCIAL BEYOND</t>
        </is>
      </c>
      <c r="B353" t="inlineStr">
        <is>
          <t>Etapa 1</t>
        </is>
      </c>
      <c r="C353" t="inlineStr">
        <is>
          <t>Edificio</t>
        </is>
      </c>
      <c r="D353" t="inlineStr">
        <is>
          <t>A</t>
        </is>
      </c>
      <c r="E353" t="inlineStr">
        <is>
          <t>Departamento</t>
        </is>
      </c>
      <c r="F353" t="inlineStr">
        <is>
          <t>1205</t>
        </is>
      </c>
      <c r="G353" s="39" t="n">
        <v>520100</v>
      </c>
      <c r="H353" s="39" t="n">
        <v>467100</v>
      </c>
      <c r="M353" s="39" t="n"/>
      <c r="N353" s="39" t="n"/>
      <c r="S353" s="39" t="n"/>
      <c r="T353" s="39" t="n"/>
      <c r="Y353" s="39" t="n"/>
      <c r="Z353" s="39" t="n"/>
      <c r="AA353" t="inlineStr">
        <is>
          <t>Fabiola Maria Lecca Vargas</t>
        </is>
      </c>
      <c r="AB353" t="inlineStr">
        <is>
          <t>08034254</t>
        </is>
      </c>
      <c r="AC353" t="inlineStr">
        <is>
          <t>Jr. Manuel Irribarren 1012 dpto 1</t>
        </is>
      </c>
      <c r="AD353" t="n">
        <v>0</v>
      </c>
      <c r="AE353" t="inlineStr">
        <is>
          <t>988708317</t>
        </is>
      </c>
      <c r="AF353" t="inlineStr">
        <is>
          <t>fabiolaleccavargas@g.mail.com</t>
        </is>
      </c>
      <c r="AG353" t="inlineStr">
        <is>
          <t>LIMA</t>
        </is>
      </c>
      <c r="AH353" t="inlineStr">
        <is>
          <t>RIMAC</t>
        </is>
      </c>
      <c r="AI353" s="75" t="n">
        <v>46129</v>
      </c>
      <c r="AJ353" s="75" t="n">
        <v>46129</v>
      </c>
      <c r="AK353" t="inlineStr">
        <is>
          <t>CUOTA INICIAL</t>
        </is>
      </c>
      <c r="AL353" t="n">
        <v>6</v>
      </c>
      <c r="AM353" t="n">
        <v>10100</v>
      </c>
      <c r="AN353" t="n">
        <v>0</v>
      </c>
      <c r="AO353" t="n">
        <v>0</v>
      </c>
      <c r="AP353" s="39" t="n">
        <v>10100</v>
      </c>
      <c r="AQ353" s="39" t="n">
        <v>10100</v>
      </c>
      <c r="AR353" s="39" t="n">
        <v>0</v>
      </c>
      <c r="AS353" t="n">
        <v>0</v>
      </c>
      <c r="AT353" t="inlineStr">
        <is>
          <t>Crédito Directo</t>
        </is>
      </c>
      <c r="AU353" t="inlineStr">
        <is>
          <t>Banco de Credito del Perú</t>
        </is>
      </c>
      <c r="AV353" t="inlineStr">
        <is>
          <t>194-7325779-0-65</t>
        </is>
      </c>
      <c r="AW353" t="inlineStr">
        <is>
          <t>TRANSFERENCIA BANCARIA</t>
        </is>
      </c>
      <c r="AY353" t="inlineStr">
        <is>
          <t>7844651974157</t>
        </is>
      </c>
      <c r="AZ353" t="inlineStr">
        <is>
          <t>No</t>
        </is>
      </c>
      <c r="BB353" t="n">
        <v>4</v>
      </c>
      <c r="BC353" t="inlineStr">
        <is>
          <t>CANCELADO</t>
        </is>
      </c>
      <c r="BN353" t="inlineStr">
        <is>
          <t>Si</t>
        </is>
      </c>
      <c r="BO353" s="76" t="n">
        <v>46081.43819444445</v>
      </c>
      <c r="BP353" t="inlineStr">
        <is>
          <t>Magaly Guevara Perez</t>
        </is>
      </c>
      <c r="BR353" t="n">
        <v>14</v>
      </c>
      <c r="BS353" t="inlineStr">
        <is>
          <t>26/06/2026 12:08</t>
        </is>
      </c>
      <c r="BW353" t="inlineStr">
        <is>
          <t>Cobranzas_2026.csv</t>
        </is>
      </c>
      <c r="BX353" t="n">
        <v>2026</v>
      </c>
      <c r="BY353" t="inlineStr">
        <is>
          <t>01/01/2024</t>
        </is>
      </c>
      <c r="BZ353" t="inlineStr">
        <is>
          <t>30/06/2031</t>
        </is>
      </c>
    </row>
    <row r="354">
      <c r="A354" t="inlineStr">
        <is>
          <t>RESIDENCIAL BEYOND</t>
        </is>
      </c>
      <c r="B354" t="inlineStr">
        <is>
          <t>Etapa 1</t>
        </is>
      </c>
      <c r="C354" t="inlineStr">
        <is>
          <t>Edificio</t>
        </is>
      </c>
      <c r="D354" t="inlineStr">
        <is>
          <t>A</t>
        </is>
      </c>
      <c r="E354" t="inlineStr">
        <is>
          <t>Departamento</t>
        </is>
      </c>
      <c r="F354" t="inlineStr">
        <is>
          <t>1205</t>
        </is>
      </c>
      <c r="G354" s="39" t="n">
        <v>520100</v>
      </c>
      <c r="H354" s="39" t="n">
        <v>467100</v>
      </c>
      <c r="M354" s="39" t="n"/>
      <c r="N354" s="39" t="n"/>
      <c r="S354" s="39" t="n"/>
      <c r="T354" s="39" t="n"/>
      <c r="Y354" s="39" t="n"/>
      <c r="Z354" s="39" t="n"/>
      <c r="AA354" t="inlineStr">
        <is>
          <t>Fabiola Maria Lecca Vargas</t>
        </is>
      </c>
      <c r="AB354" t="inlineStr">
        <is>
          <t>08034254</t>
        </is>
      </c>
      <c r="AC354" t="inlineStr">
        <is>
          <t>Jr. Manuel Irribarren 1012 dpto 1</t>
        </is>
      </c>
      <c r="AD354" t="n">
        <v>0</v>
      </c>
      <c r="AE354" t="inlineStr">
        <is>
          <t>988708317</t>
        </is>
      </c>
      <c r="AF354" t="inlineStr">
        <is>
          <t>fabiolaleccavargas@g.mail.com</t>
        </is>
      </c>
      <c r="AG354" t="inlineStr">
        <is>
          <t>LIMA</t>
        </is>
      </c>
      <c r="AH354" t="inlineStr">
        <is>
          <t>RIMAC</t>
        </is>
      </c>
      <c r="AI354" s="75" t="n">
        <v>46136</v>
      </c>
      <c r="AJ354" s="75" t="n">
        <v>46136</v>
      </c>
      <c r="AK354" t="inlineStr">
        <is>
          <t>CUOTA INICIAL</t>
        </is>
      </c>
      <c r="AL354" t="n">
        <v>7</v>
      </c>
      <c r="AM354" t="n">
        <v>10000</v>
      </c>
      <c r="AN354" t="n">
        <v>0</v>
      </c>
      <c r="AO354" t="n">
        <v>0</v>
      </c>
      <c r="AP354" s="39" t="n">
        <v>10000</v>
      </c>
      <c r="AQ354" s="39" t="n">
        <v>10000</v>
      </c>
      <c r="AR354" s="39" t="n">
        <v>0</v>
      </c>
      <c r="AS354" t="n">
        <v>0</v>
      </c>
      <c r="AT354" t="inlineStr">
        <is>
          <t>Crédito Directo</t>
        </is>
      </c>
      <c r="AU354" t="inlineStr">
        <is>
          <t>Banco de Credito del Perú</t>
        </is>
      </c>
      <c r="AV354" t="inlineStr">
        <is>
          <t>194-7325779-0-65</t>
        </is>
      </c>
      <c r="AW354" t="inlineStr">
        <is>
          <t>TRANSFERENCIA BANCARIA</t>
        </is>
      </c>
      <c r="AY354" t="inlineStr">
        <is>
          <t>7844651928802</t>
        </is>
      </c>
      <c r="AZ354" t="inlineStr">
        <is>
          <t>No</t>
        </is>
      </c>
      <c r="BB354" t="n">
        <v>4</v>
      </c>
      <c r="BC354" t="inlineStr">
        <is>
          <t>CANCELADO</t>
        </is>
      </c>
      <c r="BN354" t="inlineStr">
        <is>
          <t>Si</t>
        </is>
      </c>
      <c r="BO354" s="76" t="n">
        <v>46081.43819444445</v>
      </c>
      <c r="BP354" t="inlineStr">
        <is>
          <t>Magaly Guevara Perez</t>
        </is>
      </c>
      <c r="BR354" t="n">
        <v>14</v>
      </c>
      <c r="BS354" t="inlineStr">
        <is>
          <t>26/06/2026 12:09</t>
        </is>
      </c>
      <c r="BW354" t="inlineStr">
        <is>
          <t>Cobranzas_2026.csv</t>
        </is>
      </c>
      <c r="BX354" t="n">
        <v>2026</v>
      </c>
      <c r="BY354" t="inlineStr">
        <is>
          <t>01/01/2024</t>
        </is>
      </c>
      <c r="BZ354" t="inlineStr">
        <is>
          <t>30/06/2031</t>
        </is>
      </c>
    </row>
    <row r="355">
      <c r="A355" t="inlineStr">
        <is>
          <t>RESIDENCIAL BEYOND</t>
        </is>
      </c>
      <c r="B355" t="inlineStr">
        <is>
          <t>Etapa 1</t>
        </is>
      </c>
      <c r="C355" t="inlineStr">
        <is>
          <t>Edificio</t>
        </is>
      </c>
      <c r="D355" t="inlineStr">
        <is>
          <t>A</t>
        </is>
      </c>
      <c r="E355" t="inlineStr">
        <is>
          <t>Departamento</t>
        </is>
      </c>
      <c r="F355" t="inlineStr">
        <is>
          <t>1205</t>
        </is>
      </c>
      <c r="G355" s="39" t="n">
        <v>520100</v>
      </c>
      <c r="H355" s="39" t="n">
        <v>467100</v>
      </c>
      <c r="M355" s="39" t="n"/>
      <c r="N355" s="39" t="n"/>
      <c r="S355" s="39" t="n"/>
      <c r="T355" s="39" t="n"/>
      <c r="Y355" s="39" t="n"/>
      <c r="Z355" s="39" t="n"/>
      <c r="AA355" t="inlineStr">
        <is>
          <t>Fabiola Maria Lecca Vargas</t>
        </is>
      </c>
      <c r="AB355" t="inlineStr">
        <is>
          <t>08034254</t>
        </is>
      </c>
      <c r="AC355" t="inlineStr">
        <is>
          <t>Jr. Manuel Irribarren 1012 dpto 1</t>
        </is>
      </c>
      <c r="AD355" t="n">
        <v>0</v>
      </c>
      <c r="AE355" t="inlineStr">
        <is>
          <t>988708317</t>
        </is>
      </c>
      <c r="AF355" t="inlineStr">
        <is>
          <t>fabiolaleccavargas@g.mail.com</t>
        </is>
      </c>
      <c r="AG355" t="inlineStr">
        <is>
          <t>LIMA</t>
        </is>
      </c>
      <c r="AH355" t="inlineStr">
        <is>
          <t>RIMAC</t>
        </is>
      </c>
      <c r="AI355" s="75" t="n">
        <v>46142</v>
      </c>
      <c r="AJ355" s="75" t="n">
        <v>46149</v>
      </c>
      <c r="AK355" t="inlineStr">
        <is>
          <t>SALDO FINANCIAR</t>
        </is>
      </c>
      <c r="AL355" t="n">
        <v>1</v>
      </c>
      <c r="AM355" t="n">
        <v>10000</v>
      </c>
      <c r="AN355" t="n">
        <v>0</v>
      </c>
      <c r="AO355" t="n">
        <v>0</v>
      </c>
      <c r="AP355" s="39" t="n">
        <v>10000</v>
      </c>
      <c r="AQ355" s="39" t="n">
        <v>10000</v>
      </c>
      <c r="AR355" s="39" t="n">
        <v>0</v>
      </c>
      <c r="AS355" t="n">
        <v>0</v>
      </c>
      <c r="AT355" t="inlineStr">
        <is>
          <t>Crédito Directo</t>
        </is>
      </c>
      <c r="AU355" t="inlineStr">
        <is>
          <t>Banco de Credito del Perú</t>
        </is>
      </c>
      <c r="AV355" t="inlineStr">
        <is>
          <t>194-7325779-0-65</t>
        </is>
      </c>
      <c r="AW355" t="inlineStr">
        <is>
          <t>TRANSFERENCIA BANCARIA</t>
        </is>
      </c>
      <c r="AY355" t="inlineStr">
        <is>
          <t>7844651931615</t>
        </is>
      </c>
      <c r="AZ355" t="inlineStr">
        <is>
          <t>No</t>
        </is>
      </c>
      <c r="BB355" t="n">
        <v>4</v>
      </c>
      <c r="BC355" t="inlineStr">
        <is>
          <t>CANCELADO</t>
        </is>
      </c>
      <c r="BN355" t="inlineStr">
        <is>
          <t>Si</t>
        </is>
      </c>
      <c r="BO355" s="76" t="n">
        <v>46081.43819444445</v>
      </c>
      <c r="BP355" t="inlineStr">
        <is>
          <t>Magaly Guevara Perez</t>
        </is>
      </c>
      <c r="BR355" t="n">
        <v>14</v>
      </c>
      <c r="BS355" t="inlineStr">
        <is>
          <t>26/06/2026 12:09</t>
        </is>
      </c>
      <c r="BW355" t="inlineStr">
        <is>
          <t>Cobranzas_2026.csv</t>
        </is>
      </c>
      <c r="BX355" t="n">
        <v>2026</v>
      </c>
      <c r="BY355" t="inlineStr">
        <is>
          <t>01/01/2024</t>
        </is>
      </c>
      <c r="BZ355" t="inlineStr">
        <is>
          <t>30/06/2031</t>
        </is>
      </c>
    </row>
    <row r="356">
      <c r="A356" t="inlineStr">
        <is>
          <t>RESIDENCIAL BEYOND</t>
        </is>
      </c>
      <c r="B356" t="inlineStr">
        <is>
          <t>Etapa 1</t>
        </is>
      </c>
      <c r="C356" t="inlineStr">
        <is>
          <t>Edificio</t>
        </is>
      </c>
      <c r="D356" t="inlineStr">
        <is>
          <t>A</t>
        </is>
      </c>
      <c r="E356" t="inlineStr">
        <is>
          <t>Departamento</t>
        </is>
      </c>
      <c r="F356" t="inlineStr">
        <is>
          <t>1205</t>
        </is>
      </c>
      <c r="G356" s="39" t="n">
        <v>520100</v>
      </c>
      <c r="H356" s="39" t="n">
        <v>467100</v>
      </c>
      <c r="M356" s="39" t="n"/>
      <c r="N356" s="39" t="n"/>
      <c r="S356" s="39" t="n"/>
      <c r="T356" s="39" t="n"/>
      <c r="Y356" s="39" t="n"/>
      <c r="Z356" s="39" t="n"/>
      <c r="AA356" t="inlineStr">
        <is>
          <t>Fabiola Maria Lecca Vargas</t>
        </is>
      </c>
      <c r="AB356" t="inlineStr">
        <is>
          <t>08034254</t>
        </is>
      </c>
      <c r="AC356" t="inlineStr">
        <is>
          <t>Jr. Manuel Irribarren 1012 dpto 1</t>
        </is>
      </c>
      <c r="AD356" t="n">
        <v>0</v>
      </c>
      <c r="AE356" t="inlineStr">
        <is>
          <t>988708317</t>
        </is>
      </c>
      <c r="AF356" t="inlineStr">
        <is>
          <t>fabiolaleccavargas@g.mail.com</t>
        </is>
      </c>
      <c r="AG356" t="inlineStr">
        <is>
          <t>LIMA</t>
        </is>
      </c>
      <c r="AH356" t="inlineStr">
        <is>
          <t>RIMAC</t>
        </is>
      </c>
      <c r="AI356" s="75" t="n">
        <v>46172</v>
      </c>
      <c r="AJ356" s="75" t="n">
        <v>46182</v>
      </c>
      <c r="AK356" t="inlineStr">
        <is>
          <t>SALDO FINANCIAR</t>
        </is>
      </c>
      <c r="AL356" t="n">
        <v>2</v>
      </c>
      <c r="AM356" t="n">
        <v>10000</v>
      </c>
      <c r="AN356" t="n">
        <v>0</v>
      </c>
      <c r="AO356" t="n">
        <v>0</v>
      </c>
      <c r="AP356" s="39" t="n">
        <v>10000</v>
      </c>
      <c r="AQ356" s="39" t="n">
        <v>10000</v>
      </c>
      <c r="AR356" s="39" t="n">
        <v>0</v>
      </c>
      <c r="AS356" t="n">
        <v>0</v>
      </c>
      <c r="AT356" t="inlineStr">
        <is>
          <t>Crédito Directo</t>
        </is>
      </c>
      <c r="AU356" t="inlineStr">
        <is>
          <t>Banco de Credito del Perú</t>
        </is>
      </c>
      <c r="AV356" t="inlineStr">
        <is>
          <t>194-7325779-0-65</t>
        </is>
      </c>
      <c r="AW356" t="inlineStr">
        <is>
          <t>TRANSFERENCIA BANCARIA</t>
        </is>
      </c>
      <c r="AY356" t="inlineStr">
        <is>
          <t>7844651932376</t>
        </is>
      </c>
      <c r="AZ356" t="inlineStr">
        <is>
          <t>No</t>
        </is>
      </c>
      <c r="BB356" t="n">
        <v>4</v>
      </c>
      <c r="BC356" t="inlineStr">
        <is>
          <t>CANCELADO</t>
        </is>
      </c>
      <c r="BN356" t="inlineStr">
        <is>
          <t>Si</t>
        </is>
      </c>
      <c r="BO356" s="76" t="n">
        <v>46081.43819444445</v>
      </c>
      <c r="BP356" t="inlineStr">
        <is>
          <t>Magaly Guevara Perez</t>
        </is>
      </c>
      <c r="BR356" t="n">
        <v>14</v>
      </c>
      <c r="BS356" t="inlineStr">
        <is>
          <t>26/06/2026 12:10</t>
        </is>
      </c>
      <c r="BW356" t="inlineStr">
        <is>
          <t>Cobranzas_2026.csv</t>
        </is>
      </c>
      <c r="BX356" t="n">
        <v>2026</v>
      </c>
      <c r="BY356" t="inlineStr">
        <is>
          <t>01/01/2024</t>
        </is>
      </c>
      <c r="BZ356" t="inlineStr">
        <is>
          <t>30/06/2031</t>
        </is>
      </c>
    </row>
    <row r="357">
      <c r="A357" t="inlineStr">
        <is>
          <t>RESIDENCIAL BEYOND</t>
        </is>
      </c>
      <c r="B357" t="inlineStr">
        <is>
          <t>Etapa 1</t>
        </is>
      </c>
      <c r="C357" t="inlineStr">
        <is>
          <t>Edificio</t>
        </is>
      </c>
      <c r="D357" t="inlineStr">
        <is>
          <t>A</t>
        </is>
      </c>
      <c r="E357" t="inlineStr">
        <is>
          <t>Departamento</t>
        </is>
      </c>
      <c r="F357" t="inlineStr">
        <is>
          <t>1205</t>
        </is>
      </c>
      <c r="G357" s="39" t="n">
        <v>520100</v>
      </c>
      <c r="H357" s="39" t="n">
        <v>467100</v>
      </c>
      <c r="M357" s="39" t="n"/>
      <c r="N357" s="39" t="n"/>
      <c r="S357" s="39" t="n"/>
      <c r="T357" s="39" t="n"/>
      <c r="Y357" s="39" t="n"/>
      <c r="Z357" s="39" t="n"/>
      <c r="AA357" t="inlineStr">
        <is>
          <t>Fabiola Maria Lecca Vargas</t>
        </is>
      </c>
      <c r="AB357" t="inlineStr">
        <is>
          <t>08034254</t>
        </is>
      </c>
      <c r="AC357" t="inlineStr">
        <is>
          <t>Jr. Manuel Irribarren 1012 dpto 1</t>
        </is>
      </c>
      <c r="AD357" t="n">
        <v>0</v>
      </c>
      <c r="AE357" t="inlineStr">
        <is>
          <t>988708317</t>
        </is>
      </c>
      <c r="AF357" t="inlineStr">
        <is>
          <t>fabiolaleccavargas@g.mail.com</t>
        </is>
      </c>
      <c r="AG357" t="inlineStr">
        <is>
          <t>LIMA</t>
        </is>
      </c>
      <c r="AH357" t="inlineStr">
        <is>
          <t>RIMAC</t>
        </is>
      </c>
      <c r="AI357" s="75" t="n">
        <v>46203</v>
      </c>
      <c r="AJ357" s="75" t="n"/>
      <c r="AK357" t="inlineStr">
        <is>
          <t>SALDO FINANCIAR</t>
        </is>
      </c>
      <c r="AL357" t="n">
        <v>3</v>
      </c>
      <c r="AM357" t="n">
        <v>10000</v>
      </c>
      <c r="AN357" t="n">
        <v>0</v>
      </c>
      <c r="AO357" t="n">
        <v>0</v>
      </c>
      <c r="AP357" s="39" t="n">
        <v>10000</v>
      </c>
      <c r="AQ357" s="39" t="n">
        <v>0</v>
      </c>
      <c r="AR357" s="39" t="n">
        <v>10000</v>
      </c>
      <c r="AT357" t="inlineStr">
        <is>
          <t>Crédito Directo</t>
        </is>
      </c>
      <c r="AZ357" t="inlineStr">
        <is>
          <t>No</t>
        </is>
      </c>
      <c r="BC357" t="inlineStr">
        <is>
          <t>VENCIDO</t>
        </is>
      </c>
      <c r="BN357" t="inlineStr">
        <is>
          <t>No</t>
        </is>
      </c>
      <c r="BO357" s="76" t="n">
        <v>46081.43819444445</v>
      </c>
      <c r="BP357" t="inlineStr">
        <is>
          <t>Magaly Guevara Perez</t>
        </is>
      </c>
      <c r="BR357" t="n">
        <v>14</v>
      </c>
      <c r="BW357" t="inlineStr">
        <is>
          <t>Cobranzas_2026.csv</t>
        </is>
      </c>
      <c r="BX357" t="n">
        <v>2026</v>
      </c>
      <c r="BY357" t="inlineStr">
        <is>
          <t>01/01/2024</t>
        </is>
      </c>
      <c r="BZ357" t="inlineStr">
        <is>
          <t>30/06/2031</t>
        </is>
      </c>
    </row>
    <row r="358">
      <c r="A358" t="inlineStr">
        <is>
          <t>RESIDENCIAL BEYOND</t>
        </is>
      </c>
      <c r="B358" t="inlineStr">
        <is>
          <t>Etapa 1</t>
        </is>
      </c>
      <c r="C358" t="inlineStr">
        <is>
          <t>Edificio</t>
        </is>
      </c>
      <c r="D358" t="inlineStr">
        <is>
          <t>A</t>
        </is>
      </c>
      <c r="E358" t="inlineStr">
        <is>
          <t>Departamento</t>
        </is>
      </c>
      <c r="F358" t="inlineStr">
        <is>
          <t>1205</t>
        </is>
      </c>
      <c r="G358" s="39" t="n">
        <v>520100</v>
      </c>
      <c r="H358" s="39" t="n">
        <v>467100</v>
      </c>
      <c r="M358" s="39" t="n"/>
      <c r="N358" s="39" t="n"/>
      <c r="S358" s="39" t="n"/>
      <c r="T358" s="39" t="n"/>
      <c r="Y358" s="39" t="n"/>
      <c r="Z358" s="39" t="n"/>
      <c r="AA358" t="inlineStr">
        <is>
          <t>Fabiola Maria Lecca Vargas</t>
        </is>
      </c>
      <c r="AB358" t="inlineStr">
        <is>
          <t>08034254</t>
        </is>
      </c>
      <c r="AC358" t="inlineStr">
        <is>
          <t>Jr. Manuel Irribarren 1012 dpto 1</t>
        </is>
      </c>
      <c r="AD358" t="n">
        <v>0</v>
      </c>
      <c r="AE358" t="inlineStr">
        <is>
          <t>988708317</t>
        </is>
      </c>
      <c r="AF358" t="inlineStr">
        <is>
          <t>fabiolaleccavargas@g.mail.com</t>
        </is>
      </c>
      <c r="AG358" t="inlineStr">
        <is>
          <t>LIMA</t>
        </is>
      </c>
      <c r="AH358" t="inlineStr">
        <is>
          <t>RIMAC</t>
        </is>
      </c>
      <c r="AI358" s="75" t="n">
        <v>46233</v>
      </c>
      <c r="AJ358" s="75" t="n"/>
      <c r="AK358" t="inlineStr">
        <is>
          <t>SALDO FINANCIAR</t>
        </is>
      </c>
      <c r="AL358" t="n">
        <v>4</v>
      </c>
      <c r="AM358" t="n">
        <v>10000</v>
      </c>
      <c r="AN358" t="n">
        <v>0</v>
      </c>
      <c r="AO358" t="n">
        <v>0</v>
      </c>
      <c r="AP358" s="39" t="n">
        <v>10000</v>
      </c>
      <c r="AQ358" s="39" t="n">
        <v>0</v>
      </c>
      <c r="AR358" s="39" t="n">
        <v>10000</v>
      </c>
      <c r="AT358" t="inlineStr">
        <is>
          <t>Crédito Directo</t>
        </is>
      </c>
      <c r="AZ358" t="inlineStr">
        <is>
          <t>No</t>
        </is>
      </c>
      <c r="BC358" t="inlineStr">
        <is>
          <t>PENDIENTE</t>
        </is>
      </c>
      <c r="BN358" t="inlineStr">
        <is>
          <t>No</t>
        </is>
      </c>
      <c r="BO358" s="76" t="n">
        <v>46081.43819444445</v>
      </c>
      <c r="BP358" t="inlineStr">
        <is>
          <t>Magaly Guevara Perez</t>
        </is>
      </c>
      <c r="BR358" t="n">
        <v>14</v>
      </c>
      <c r="BW358" t="inlineStr">
        <is>
          <t>Cobranzas_2026.csv</t>
        </is>
      </c>
      <c r="BX358" t="n">
        <v>2026</v>
      </c>
      <c r="BY358" t="inlineStr">
        <is>
          <t>01/01/2024</t>
        </is>
      </c>
      <c r="BZ358" t="inlineStr">
        <is>
          <t>30/06/2031</t>
        </is>
      </c>
    </row>
    <row r="359">
      <c r="A359" t="inlineStr">
        <is>
          <t>RESIDENCIAL BEYOND</t>
        </is>
      </c>
      <c r="B359" t="inlineStr">
        <is>
          <t>Etapa 1</t>
        </is>
      </c>
      <c r="C359" t="inlineStr">
        <is>
          <t>Edificio</t>
        </is>
      </c>
      <c r="D359" t="inlineStr">
        <is>
          <t>A</t>
        </is>
      </c>
      <c r="E359" t="inlineStr">
        <is>
          <t>Departamento</t>
        </is>
      </c>
      <c r="F359" t="inlineStr">
        <is>
          <t>1205</t>
        </is>
      </c>
      <c r="G359" s="39" t="n">
        <v>520100</v>
      </c>
      <c r="H359" s="39" t="n">
        <v>467100</v>
      </c>
      <c r="M359" s="39" t="n"/>
      <c r="N359" s="39" t="n"/>
      <c r="S359" s="39" t="n"/>
      <c r="T359" s="39" t="n"/>
      <c r="Y359" s="39" t="n"/>
      <c r="Z359" s="39" t="n"/>
      <c r="AA359" t="inlineStr">
        <is>
          <t>Fabiola Maria Lecca Vargas</t>
        </is>
      </c>
      <c r="AB359" t="inlineStr">
        <is>
          <t>08034254</t>
        </is>
      </c>
      <c r="AC359" t="inlineStr">
        <is>
          <t>Jr. Manuel Irribarren 1012 dpto 1</t>
        </is>
      </c>
      <c r="AD359" t="n">
        <v>0</v>
      </c>
      <c r="AE359" t="inlineStr">
        <is>
          <t>988708317</t>
        </is>
      </c>
      <c r="AF359" t="inlineStr">
        <is>
          <t>fabiolaleccavargas@g.mail.com</t>
        </is>
      </c>
      <c r="AG359" t="inlineStr">
        <is>
          <t>LIMA</t>
        </is>
      </c>
      <c r="AH359" t="inlineStr">
        <is>
          <t>RIMAC</t>
        </is>
      </c>
      <c r="AI359" s="75" t="n">
        <v>46264</v>
      </c>
      <c r="AJ359" s="75" t="n"/>
      <c r="AK359" t="inlineStr">
        <is>
          <t>SALDO FINANCIAR</t>
        </is>
      </c>
      <c r="AL359" t="n">
        <v>5</v>
      </c>
      <c r="AM359" t="n">
        <v>10000</v>
      </c>
      <c r="AN359" t="n">
        <v>0</v>
      </c>
      <c r="AO359" t="n">
        <v>0</v>
      </c>
      <c r="AP359" s="39" t="n">
        <v>10000</v>
      </c>
      <c r="AQ359" s="39" t="n">
        <v>0</v>
      </c>
      <c r="AR359" s="39" t="n">
        <v>10000</v>
      </c>
      <c r="AT359" t="inlineStr">
        <is>
          <t>Crédito Directo</t>
        </is>
      </c>
      <c r="AZ359" t="inlineStr">
        <is>
          <t>No</t>
        </is>
      </c>
      <c r="BC359" t="inlineStr">
        <is>
          <t>PENDIENTE</t>
        </is>
      </c>
      <c r="BN359" t="inlineStr">
        <is>
          <t>No</t>
        </is>
      </c>
      <c r="BO359" s="76" t="n">
        <v>46081.43819444445</v>
      </c>
      <c r="BP359" t="inlineStr">
        <is>
          <t>Magaly Guevara Perez</t>
        </is>
      </c>
      <c r="BR359" t="n">
        <v>14</v>
      </c>
      <c r="BW359" t="inlineStr">
        <is>
          <t>Cobranzas_2026.csv</t>
        </is>
      </c>
      <c r="BX359" t="n">
        <v>2026</v>
      </c>
      <c r="BY359" t="inlineStr">
        <is>
          <t>01/01/2024</t>
        </is>
      </c>
      <c r="BZ359" t="inlineStr">
        <is>
          <t>30/06/2031</t>
        </is>
      </c>
    </row>
    <row r="360">
      <c r="A360" t="inlineStr">
        <is>
          <t>RESIDENCIAL BEYOND</t>
        </is>
      </c>
      <c r="B360" t="inlineStr">
        <is>
          <t>Etapa 1</t>
        </is>
      </c>
      <c r="C360" t="inlineStr">
        <is>
          <t>Edificio</t>
        </is>
      </c>
      <c r="D360" t="inlineStr">
        <is>
          <t>A</t>
        </is>
      </c>
      <c r="E360" t="inlineStr">
        <is>
          <t>Departamento</t>
        </is>
      </c>
      <c r="F360" t="inlineStr">
        <is>
          <t>1205</t>
        </is>
      </c>
      <c r="G360" s="39" t="n">
        <v>520100</v>
      </c>
      <c r="H360" s="39" t="n">
        <v>467100</v>
      </c>
      <c r="M360" s="39" t="n"/>
      <c r="N360" s="39" t="n"/>
      <c r="S360" s="39" t="n"/>
      <c r="T360" s="39" t="n"/>
      <c r="Y360" s="39" t="n"/>
      <c r="Z360" s="39" t="n"/>
      <c r="AA360" t="inlineStr">
        <is>
          <t>Fabiola Maria Lecca Vargas</t>
        </is>
      </c>
      <c r="AB360" t="inlineStr">
        <is>
          <t>08034254</t>
        </is>
      </c>
      <c r="AC360" t="inlineStr">
        <is>
          <t>Jr. Manuel Irribarren 1012 dpto 1</t>
        </is>
      </c>
      <c r="AD360" t="n">
        <v>0</v>
      </c>
      <c r="AE360" t="inlineStr">
        <is>
          <t>988708317</t>
        </is>
      </c>
      <c r="AF360" t="inlineStr">
        <is>
          <t>fabiolaleccavargas@g.mail.com</t>
        </is>
      </c>
      <c r="AG360" t="inlineStr">
        <is>
          <t>LIMA</t>
        </is>
      </c>
      <c r="AH360" t="inlineStr">
        <is>
          <t>RIMAC</t>
        </is>
      </c>
      <c r="AI360" s="75" t="n">
        <v>46295</v>
      </c>
      <c r="AJ360" s="75" t="n"/>
      <c r="AK360" t="inlineStr">
        <is>
          <t>SALDO FINANCIAR</t>
        </is>
      </c>
      <c r="AL360" t="n">
        <v>6</v>
      </c>
      <c r="AM360" t="n">
        <v>10000</v>
      </c>
      <c r="AN360" t="n">
        <v>0</v>
      </c>
      <c r="AO360" t="n">
        <v>0</v>
      </c>
      <c r="AP360" s="39" t="n">
        <v>10000</v>
      </c>
      <c r="AQ360" s="39" t="n">
        <v>0</v>
      </c>
      <c r="AR360" s="39" t="n">
        <v>10000</v>
      </c>
      <c r="AT360" t="inlineStr">
        <is>
          <t>Crédito Directo</t>
        </is>
      </c>
      <c r="AZ360" t="inlineStr">
        <is>
          <t>No</t>
        </is>
      </c>
      <c r="BC360" t="inlineStr">
        <is>
          <t>PENDIENTE</t>
        </is>
      </c>
      <c r="BN360" t="inlineStr">
        <is>
          <t>No</t>
        </is>
      </c>
      <c r="BO360" s="76" t="n">
        <v>46081.43819444445</v>
      </c>
      <c r="BP360" t="inlineStr">
        <is>
          <t>Magaly Guevara Perez</t>
        </is>
      </c>
      <c r="BR360" t="n">
        <v>14</v>
      </c>
      <c r="BW360" t="inlineStr">
        <is>
          <t>Cobranzas_2026.csv</t>
        </is>
      </c>
      <c r="BX360" t="n">
        <v>2026</v>
      </c>
      <c r="BY360" t="inlineStr">
        <is>
          <t>01/01/2024</t>
        </is>
      </c>
      <c r="BZ360" t="inlineStr">
        <is>
          <t>30/06/2031</t>
        </is>
      </c>
    </row>
    <row r="361">
      <c r="A361" t="inlineStr">
        <is>
          <t>RESIDENCIAL BEYOND</t>
        </is>
      </c>
      <c r="B361" t="inlineStr">
        <is>
          <t>Etapa 1</t>
        </is>
      </c>
      <c r="C361" t="inlineStr">
        <is>
          <t>Edificio</t>
        </is>
      </c>
      <c r="D361" t="inlineStr">
        <is>
          <t>A</t>
        </is>
      </c>
      <c r="E361" t="inlineStr">
        <is>
          <t>Departamento</t>
        </is>
      </c>
      <c r="F361" t="inlineStr">
        <is>
          <t>1205</t>
        </is>
      </c>
      <c r="G361" s="39" t="n">
        <v>520100</v>
      </c>
      <c r="H361" s="39" t="n">
        <v>467100</v>
      </c>
      <c r="M361" s="39" t="n"/>
      <c r="N361" s="39" t="n"/>
      <c r="S361" s="39" t="n"/>
      <c r="T361" s="39" t="n"/>
      <c r="Y361" s="39" t="n"/>
      <c r="Z361" s="39" t="n"/>
      <c r="AA361" t="inlineStr">
        <is>
          <t>Fabiola Maria Lecca Vargas</t>
        </is>
      </c>
      <c r="AB361" t="inlineStr">
        <is>
          <t>08034254</t>
        </is>
      </c>
      <c r="AC361" t="inlineStr">
        <is>
          <t>Jr. Manuel Irribarren 1012 dpto 1</t>
        </is>
      </c>
      <c r="AD361" t="n">
        <v>0</v>
      </c>
      <c r="AE361" t="inlineStr">
        <is>
          <t>988708317</t>
        </is>
      </c>
      <c r="AF361" t="inlineStr">
        <is>
          <t>fabiolaleccavargas@g.mail.com</t>
        </is>
      </c>
      <c r="AG361" t="inlineStr">
        <is>
          <t>LIMA</t>
        </is>
      </c>
      <c r="AH361" t="inlineStr">
        <is>
          <t>RIMAC</t>
        </is>
      </c>
      <c r="AI361" s="75" t="n">
        <v>46325</v>
      </c>
      <c r="AJ361" s="75" t="n"/>
      <c r="AK361" t="inlineStr">
        <is>
          <t>SALDO FINANCIAR</t>
        </is>
      </c>
      <c r="AL361" t="n">
        <v>7</v>
      </c>
      <c r="AM361" t="n">
        <v>10000</v>
      </c>
      <c r="AN361" t="n">
        <v>0</v>
      </c>
      <c r="AO361" t="n">
        <v>0</v>
      </c>
      <c r="AP361" s="39" t="n">
        <v>10000</v>
      </c>
      <c r="AQ361" s="39" t="n">
        <v>0</v>
      </c>
      <c r="AR361" s="39" t="n">
        <v>10000</v>
      </c>
      <c r="AT361" t="inlineStr">
        <is>
          <t>Crédito Directo</t>
        </is>
      </c>
      <c r="AZ361" t="inlineStr">
        <is>
          <t>No</t>
        </is>
      </c>
      <c r="BC361" t="inlineStr">
        <is>
          <t>PENDIENTE</t>
        </is>
      </c>
      <c r="BN361" t="inlineStr">
        <is>
          <t>No</t>
        </is>
      </c>
      <c r="BO361" s="76" t="n">
        <v>46081.43819444445</v>
      </c>
      <c r="BP361" t="inlineStr">
        <is>
          <t>Magaly Guevara Perez</t>
        </is>
      </c>
      <c r="BR361" t="n">
        <v>14</v>
      </c>
      <c r="BW361" t="inlineStr">
        <is>
          <t>Cobranzas_2026.csv</t>
        </is>
      </c>
      <c r="BX361" t="n">
        <v>2026</v>
      </c>
      <c r="BY361" t="inlineStr">
        <is>
          <t>01/01/2024</t>
        </is>
      </c>
      <c r="BZ361" t="inlineStr">
        <is>
          <t>30/06/2031</t>
        </is>
      </c>
    </row>
    <row r="362">
      <c r="A362" t="inlineStr">
        <is>
          <t>RESIDENCIAL BEYOND</t>
        </is>
      </c>
      <c r="B362" t="inlineStr">
        <is>
          <t>Etapa 1</t>
        </is>
      </c>
      <c r="C362" t="inlineStr">
        <is>
          <t>Edificio</t>
        </is>
      </c>
      <c r="D362" t="inlineStr">
        <is>
          <t>A</t>
        </is>
      </c>
      <c r="E362" t="inlineStr">
        <is>
          <t>Departamento</t>
        </is>
      </c>
      <c r="F362" t="inlineStr">
        <is>
          <t>1205</t>
        </is>
      </c>
      <c r="G362" s="39" t="n">
        <v>520100</v>
      </c>
      <c r="H362" s="39" t="n">
        <v>467100</v>
      </c>
      <c r="M362" s="39" t="n"/>
      <c r="N362" s="39" t="n"/>
      <c r="S362" s="39" t="n"/>
      <c r="T362" s="39" t="n"/>
      <c r="Y362" s="39" t="n"/>
      <c r="Z362" s="39" t="n"/>
      <c r="AA362" t="inlineStr">
        <is>
          <t>Fabiola Maria Lecca Vargas</t>
        </is>
      </c>
      <c r="AB362" t="inlineStr">
        <is>
          <t>08034254</t>
        </is>
      </c>
      <c r="AC362" t="inlineStr">
        <is>
          <t>Jr. Manuel Irribarren 1012 dpto 1</t>
        </is>
      </c>
      <c r="AD362" t="n">
        <v>0</v>
      </c>
      <c r="AE362" t="inlineStr">
        <is>
          <t>988708317</t>
        </is>
      </c>
      <c r="AF362" t="inlineStr">
        <is>
          <t>fabiolaleccavargas@g.mail.com</t>
        </is>
      </c>
      <c r="AG362" t="inlineStr">
        <is>
          <t>LIMA</t>
        </is>
      </c>
      <c r="AH362" t="inlineStr">
        <is>
          <t>RIMAC</t>
        </is>
      </c>
      <c r="AI362" s="75" t="n">
        <v>46356</v>
      </c>
      <c r="AJ362" s="75" t="n"/>
      <c r="AK362" t="inlineStr">
        <is>
          <t>SALDO FINANCIAR</t>
        </is>
      </c>
      <c r="AL362" t="n">
        <v>8</v>
      </c>
      <c r="AM362" t="n">
        <v>10000</v>
      </c>
      <c r="AN362" t="n">
        <v>0</v>
      </c>
      <c r="AO362" t="n">
        <v>0</v>
      </c>
      <c r="AP362" s="39" t="n">
        <v>10000</v>
      </c>
      <c r="AQ362" s="39" t="n">
        <v>0</v>
      </c>
      <c r="AR362" s="39" t="n">
        <v>10000</v>
      </c>
      <c r="AT362" t="inlineStr">
        <is>
          <t>Crédito Directo</t>
        </is>
      </c>
      <c r="AZ362" t="inlineStr">
        <is>
          <t>No</t>
        </is>
      </c>
      <c r="BC362" t="inlineStr">
        <is>
          <t>PENDIENTE</t>
        </is>
      </c>
      <c r="BN362" t="inlineStr">
        <is>
          <t>No</t>
        </is>
      </c>
      <c r="BO362" s="76" t="n">
        <v>46081.43819444445</v>
      </c>
      <c r="BP362" t="inlineStr">
        <is>
          <t>Magaly Guevara Perez</t>
        </is>
      </c>
      <c r="BR362" t="n">
        <v>14</v>
      </c>
      <c r="BW362" t="inlineStr">
        <is>
          <t>Cobranzas_2026.csv</t>
        </is>
      </c>
      <c r="BX362" t="n">
        <v>2026</v>
      </c>
      <c r="BY362" t="inlineStr">
        <is>
          <t>01/01/2024</t>
        </is>
      </c>
      <c r="BZ362" t="inlineStr">
        <is>
          <t>30/06/2031</t>
        </is>
      </c>
    </row>
    <row r="363">
      <c r="A363" t="inlineStr">
        <is>
          <t>RESIDENCIAL BEYOND</t>
        </is>
      </c>
      <c r="B363" t="inlineStr">
        <is>
          <t>Etapa 1</t>
        </is>
      </c>
      <c r="C363" t="inlineStr">
        <is>
          <t>Edificio</t>
        </is>
      </c>
      <c r="D363" t="inlineStr">
        <is>
          <t>A</t>
        </is>
      </c>
      <c r="E363" t="inlineStr">
        <is>
          <t>Departamento</t>
        </is>
      </c>
      <c r="F363" t="inlineStr">
        <is>
          <t>1205</t>
        </is>
      </c>
      <c r="G363" s="39" t="n">
        <v>520100</v>
      </c>
      <c r="H363" s="39" t="n">
        <v>467100</v>
      </c>
      <c r="M363" s="39" t="n"/>
      <c r="N363" s="39" t="n"/>
      <c r="S363" s="39" t="n"/>
      <c r="T363" s="39" t="n"/>
      <c r="Y363" s="39" t="n"/>
      <c r="Z363" s="39" t="n"/>
      <c r="AA363" t="inlineStr">
        <is>
          <t>Fabiola Maria Lecca Vargas</t>
        </is>
      </c>
      <c r="AB363" t="inlineStr">
        <is>
          <t>08034254</t>
        </is>
      </c>
      <c r="AC363" t="inlineStr">
        <is>
          <t>Jr. Manuel Irribarren 1012 dpto 1</t>
        </is>
      </c>
      <c r="AD363" t="n">
        <v>0</v>
      </c>
      <c r="AE363" t="inlineStr">
        <is>
          <t>988708317</t>
        </is>
      </c>
      <c r="AF363" t="inlineStr">
        <is>
          <t>fabiolaleccavargas@g.mail.com</t>
        </is>
      </c>
      <c r="AG363" t="inlineStr">
        <is>
          <t>LIMA</t>
        </is>
      </c>
      <c r="AH363" t="inlineStr">
        <is>
          <t>RIMAC</t>
        </is>
      </c>
      <c r="AI363" s="75" t="n">
        <v>46386</v>
      </c>
      <c r="AJ363" s="75" t="n"/>
      <c r="AK363" t="inlineStr">
        <is>
          <t>SALDO FINANCIAR</t>
        </is>
      </c>
      <c r="AL363" t="n">
        <v>9</v>
      </c>
      <c r="AM363" t="n">
        <v>10000</v>
      </c>
      <c r="AN363" t="n">
        <v>0</v>
      </c>
      <c r="AO363" t="n">
        <v>0</v>
      </c>
      <c r="AP363" s="39" t="n">
        <v>10000</v>
      </c>
      <c r="AQ363" s="39" t="n">
        <v>0</v>
      </c>
      <c r="AR363" s="39" t="n">
        <v>10000</v>
      </c>
      <c r="AT363" t="inlineStr">
        <is>
          <t>Crédito Directo</t>
        </is>
      </c>
      <c r="AZ363" t="inlineStr">
        <is>
          <t>No</t>
        </is>
      </c>
      <c r="BC363" t="inlineStr">
        <is>
          <t>PENDIENTE</t>
        </is>
      </c>
      <c r="BN363" t="inlineStr">
        <is>
          <t>No</t>
        </is>
      </c>
      <c r="BO363" s="76" t="n">
        <v>46081.43819444445</v>
      </c>
      <c r="BP363" t="inlineStr">
        <is>
          <t>Magaly Guevara Perez</t>
        </is>
      </c>
      <c r="BR363" t="n">
        <v>14</v>
      </c>
      <c r="BW363" t="inlineStr">
        <is>
          <t>Cobranzas_2026.csv</t>
        </is>
      </c>
      <c r="BX363" t="n">
        <v>2026</v>
      </c>
      <c r="BY363" t="inlineStr">
        <is>
          <t>01/01/2024</t>
        </is>
      </c>
      <c r="BZ363" t="inlineStr">
        <is>
          <t>30/06/2031</t>
        </is>
      </c>
    </row>
    <row r="364">
      <c r="A364" t="inlineStr">
        <is>
          <t>RESIDENCIAL BEYOND</t>
        </is>
      </c>
      <c r="B364" t="inlineStr">
        <is>
          <t>Etapa 1</t>
        </is>
      </c>
      <c r="C364" t="inlineStr">
        <is>
          <t>Edificio</t>
        </is>
      </c>
      <c r="D364" t="inlineStr">
        <is>
          <t>A</t>
        </is>
      </c>
      <c r="E364" t="inlineStr">
        <is>
          <t>Departamento</t>
        </is>
      </c>
      <c r="F364" t="inlineStr">
        <is>
          <t>501</t>
        </is>
      </c>
      <c r="G364" s="39" t="n">
        <v>518500</v>
      </c>
      <c r="H364" s="39" t="n">
        <v>469500</v>
      </c>
      <c r="I364" t="inlineStr">
        <is>
          <t>Edificio</t>
        </is>
      </c>
      <c r="J364" t="inlineStr">
        <is>
          <t>A</t>
        </is>
      </c>
      <c r="K364" t="inlineStr">
        <is>
          <t>Estacionamiento</t>
        </is>
      </c>
      <c r="L364" t="inlineStr">
        <is>
          <t>E 14 - D 12</t>
        </is>
      </c>
      <c r="M364" s="39" t="n">
        <v>55000</v>
      </c>
      <c r="N364" s="39" t="n">
        <v>55000</v>
      </c>
      <c r="S364" s="39" t="n"/>
      <c r="T364" s="39" t="n"/>
      <c r="Y364" s="39" t="n"/>
      <c r="Z364" s="39" t="n"/>
      <c r="AA364" t="inlineStr">
        <is>
          <t>Francesca Giuliana Ramos Ortiz</t>
        </is>
      </c>
      <c r="AB364" t="inlineStr">
        <is>
          <t>29412010</t>
        </is>
      </c>
      <c r="AC364" t="inlineStr">
        <is>
          <t>Jr. Cotabambas 306</t>
        </is>
      </c>
      <c r="AD364" t="n">
        <v>0</v>
      </c>
      <c r="AE364" t="inlineStr">
        <is>
          <t>996655477</t>
        </is>
      </c>
      <c r="AF364" t="inlineStr">
        <is>
          <t>cheskagro@gmail.com</t>
        </is>
      </c>
      <c r="AG364" t="inlineStr">
        <is>
          <t>LIMA</t>
        </is>
      </c>
      <c r="AH364" t="inlineStr">
        <is>
          <t>CERCADO DE LIMA</t>
        </is>
      </c>
      <c r="AI364" s="75" t="n">
        <v>46157</v>
      </c>
      <c r="AJ364" s="75" t="n"/>
      <c r="AK364" t="inlineStr">
        <is>
          <t>CUOTA INICIAL</t>
        </is>
      </c>
      <c r="AL364" t="n">
        <v>2</v>
      </c>
      <c r="AM364" t="n">
        <v>50950</v>
      </c>
      <c r="AN364" t="n">
        <v>0</v>
      </c>
      <c r="AO364" t="n">
        <v>0</v>
      </c>
      <c r="AP364" s="39" t="n">
        <v>50950</v>
      </c>
      <c r="AQ364" s="39" t="n">
        <v>0</v>
      </c>
      <c r="AR364" s="39" t="n">
        <v>50950</v>
      </c>
      <c r="AT364" t="inlineStr">
        <is>
          <t>Ahorro</t>
        </is>
      </c>
      <c r="AZ364" t="inlineStr">
        <is>
          <t>No</t>
        </is>
      </c>
      <c r="BC364" t="inlineStr">
        <is>
          <t>VENCIDO</t>
        </is>
      </c>
      <c r="BN364" t="inlineStr">
        <is>
          <t>No</t>
        </is>
      </c>
      <c r="BO364" s="76" t="n">
        <v>45911.39305555556</v>
      </c>
      <c r="BP364" t="inlineStr">
        <is>
          <t>Magaly Guevara Perez</t>
        </is>
      </c>
      <c r="BR364" t="n">
        <v>30</v>
      </c>
      <c r="BW364" t="inlineStr">
        <is>
          <t>Cobranzas_2026.csv</t>
        </is>
      </c>
      <c r="BX364" t="n">
        <v>2026</v>
      </c>
      <c r="BY364" t="inlineStr">
        <is>
          <t>01/01/2024</t>
        </is>
      </c>
      <c r="BZ364" t="inlineStr">
        <is>
          <t>30/06/2031</t>
        </is>
      </c>
    </row>
    <row r="365">
      <c r="A365" t="inlineStr">
        <is>
          <t>RESIDENCIAL BEYOND</t>
        </is>
      </c>
      <c r="B365" t="inlineStr">
        <is>
          <t>Etapa 1</t>
        </is>
      </c>
      <c r="C365" t="inlineStr">
        <is>
          <t>Edificio</t>
        </is>
      </c>
      <c r="D365" t="inlineStr">
        <is>
          <t>A</t>
        </is>
      </c>
      <c r="E365" t="inlineStr">
        <is>
          <t>Departamento</t>
        </is>
      </c>
      <c r="F365" t="inlineStr">
        <is>
          <t>501</t>
        </is>
      </c>
      <c r="G365" s="39" t="n">
        <v>518500</v>
      </c>
      <c r="H365" s="39" t="n">
        <v>469500</v>
      </c>
      <c r="I365" t="inlineStr">
        <is>
          <t>Edificio</t>
        </is>
      </c>
      <c r="J365" t="inlineStr">
        <is>
          <t>A</t>
        </is>
      </c>
      <c r="K365" t="inlineStr">
        <is>
          <t>Estacionamiento</t>
        </is>
      </c>
      <c r="L365" t="inlineStr">
        <is>
          <t>E 14 - D 12</t>
        </is>
      </c>
      <c r="M365" s="39" t="n">
        <v>55000</v>
      </c>
      <c r="N365" s="39" t="n">
        <v>55000</v>
      </c>
      <c r="S365" s="39" t="n"/>
      <c r="T365" s="39" t="n"/>
      <c r="Y365" s="39" t="n"/>
      <c r="Z365" s="39" t="n"/>
      <c r="AA365" t="inlineStr">
        <is>
          <t>Francesca Giuliana Ramos Ortiz</t>
        </is>
      </c>
      <c r="AB365" t="inlineStr">
        <is>
          <t>29412010</t>
        </is>
      </c>
      <c r="AC365" t="inlineStr">
        <is>
          <t>Jr. Cotabambas 306</t>
        </is>
      </c>
      <c r="AD365" t="n">
        <v>0</v>
      </c>
      <c r="AE365" t="inlineStr">
        <is>
          <t>996655477</t>
        </is>
      </c>
      <c r="AF365" t="inlineStr">
        <is>
          <t>cheskagro@gmail.com</t>
        </is>
      </c>
      <c r="AG365" t="inlineStr">
        <is>
          <t>LIMA</t>
        </is>
      </c>
      <c r="AH365" t="inlineStr">
        <is>
          <t>CERCADO DE LIMA</t>
        </is>
      </c>
      <c r="AI365" s="75" t="n">
        <v>46234</v>
      </c>
      <c r="AJ365" s="75" t="n"/>
      <c r="AK365" t="inlineStr">
        <is>
          <t>SALDO FINANCIAR</t>
        </is>
      </c>
      <c r="AL365" t="n">
        <v>1</v>
      </c>
      <c r="AM365" t="n">
        <v>419600</v>
      </c>
      <c r="AN365" t="n">
        <v>0</v>
      </c>
      <c r="AO365" t="n">
        <v>0</v>
      </c>
      <c r="AP365" s="39" t="n">
        <v>419600</v>
      </c>
      <c r="AQ365" s="39" t="n">
        <v>0</v>
      </c>
      <c r="AR365" s="39" t="n">
        <v>419600</v>
      </c>
      <c r="AT365" t="inlineStr">
        <is>
          <t>Ahorro</t>
        </is>
      </c>
      <c r="AZ365" t="inlineStr">
        <is>
          <t>No</t>
        </is>
      </c>
      <c r="BC365" t="inlineStr">
        <is>
          <t>PENDIENTE</t>
        </is>
      </c>
      <c r="BN365" t="inlineStr">
        <is>
          <t>No</t>
        </is>
      </c>
      <c r="BO365" s="76" t="n">
        <v>45911.39305555556</v>
      </c>
      <c r="BP365" t="inlineStr">
        <is>
          <t>Magaly Guevara Perez</t>
        </is>
      </c>
      <c r="BR365" t="n">
        <v>30</v>
      </c>
      <c r="BW365" t="inlineStr">
        <is>
          <t>Cobranzas_2026.csv</t>
        </is>
      </c>
      <c r="BX365" t="n">
        <v>2026</v>
      </c>
      <c r="BY365" t="inlineStr">
        <is>
          <t>01/01/2024</t>
        </is>
      </c>
      <c r="BZ365" t="inlineStr">
        <is>
          <t>30/06/2031</t>
        </is>
      </c>
    </row>
    <row r="366">
      <c r="A366" t="inlineStr">
        <is>
          <t>RESIDENCIAL PRADA</t>
        </is>
      </c>
      <c r="B366" t="inlineStr">
        <is>
          <t>Etapa 1</t>
        </is>
      </c>
      <c r="C366" t="inlineStr">
        <is>
          <t>Edificio</t>
        </is>
      </c>
      <c r="D366" t="inlineStr">
        <is>
          <t>A</t>
        </is>
      </c>
      <c r="E366" t="inlineStr">
        <is>
          <t>Departamento</t>
        </is>
      </c>
      <c r="F366" t="inlineStr">
        <is>
          <t>702</t>
        </is>
      </c>
      <c r="G366" s="39" t="n">
        <v>500000</v>
      </c>
      <c r="H366" s="39" t="n">
        <v>500000</v>
      </c>
      <c r="M366" s="39" t="n"/>
      <c r="N366" s="39" t="n"/>
      <c r="S366" s="39" t="n"/>
      <c r="T366" s="39" t="n"/>
      <c r="Y366" s="39" t="n"/>
      <c r="Z366" s="39" t="n"/>
      <c r="AA366" t="inlineStr">
        <is>
          <t>Francescoli Del Aguila Bär</t>
        </is>
      </c>
      <c r="AB366" t="inlineStr">
        <is>
          <t>38218240</t>
        </is>
      </c>
      <c r="AC366" t="inlineStr">
        <is>
          <t>Jr. Inclan 222, Dpto. 704</t>
        </is>
      </c>
      <c r="AE366" t="inlineStr">
        <is>
          <t>958417380</t>
        </is>
      </c>
      <c r="AF366" t="inlineStr">
        <is>
          <t>francescoli.da.bar@gmail.com</t>
        </is>
      </c>
      <c r="AG366" t="inlineStr">
        <is>
          <t>LIMA</t>
        </is>
      </c>
      <c r="AH366" t="inlineStr">
        <is>
          <t>MAGDALENA DEL MAR</t>
        </is>
      </c>
      <c r="AI366" s="75" t="n">
        <v>46053</v>
      </c>
      <c r="AJ366" s="75" t="n">
        <v>46059</v>
      </c>
      <c r="AK366" t="inlineStr">
        <is>
          <t>SEPARACION</t>
        </is>
      </c>
      <c r="AL366" t="n">
        <v>1</v>
      </c>
      <c r="AM366" t="n">
        <v>3000</v>
      </c>
      <c r="AN366" t="n">
        <v>0</v>
      </c>
      <c r="AO366" t="n">
        <v>0</v>
      </c>
      <c r="AP366" s="39" t="n">
        <v>3000</v>
      </c>
      <c r="AQ366" s="39" t="n">
        <v>3000</v>
      </c>
      <c r="AR366" s="39" t="n">
        <v>0</v>
      </c>
      <c r="AS366" t="n">
        <v>0</v>
      </c>
      <c r="AT366" t="inlineStr">
        <is>
          <t>Crédito Hipotecario</t>
        </is>
      </c>
      <c r="AU366" t="inlineStr">
        <is>
          <t>Scotiabank Perú</t>
        </is>
      </c>
      <c r="AV366" t="inlineStr">
        <is>
          <t>000-2768484</t>
        </is>
      </c>
      <c r="AW366" t="inlineStr">
        <is>
          <t>POS VISA</t>
        </is>
      </c>
      <c r="AX366" t="n">
        <v>38218240</v>
      </c>
      <c r="AY366" t="inlineStr">
        <is>
          <t>0000603801476559</t>
        </is>
      </c>
      <c r="AZ366" t="inlineStr">
        <is>
          <t>No</t>
        </is>
      </c>
      <c r="BA366" t="inlineStr">
        <is>
          <t>NO PRECISA</t>
        </is>
      </c>
      <c r="BB366" t="n">
        <v>1</v>
      </c>
      <c r="BC366" t="inlineStr">
        <is>
          <t>CANCELADO</t>
        </is>
      </c>
      <c r="BN366" t="inlineStr">
        <is>
          <t>Si</t>
        </is>
      </c>
      <c r="BO366" s="76" t="n">
        <v>46076.69791666666</v>
      </c>
      <c r="BP366" t="inlineStr">
        <is>
          <t>Carla Michue M</t>
        </is>
      </c>
      <c r="BR366" t="n">
        <v>19</v>
      </c>
      <c r="BS366" t="inlineStr">
        <is>
          <t>29/05/2026 12:21</t>
        </is>
      </c>
      <c r="BW366" t="inlineStr">
        <is>
          <t>Cobranzas_2026.csv</t>
        </is>
      </c>
      <c r="BX366" t="n">
        <v>2026</v>
      </c>
      <c r="BY366" t="inlineStr">
        <is>
          <t>01/01/2024</t>
        </is>
      </c>
      <c r="BZ366" t="inlineStr">
        <is>
          <t>30/06/2031</t>
        </is>
      </c>
    </row>
    <row r="367">
      <c r="A367" t="inlineStr">
        <is>
          <t>RESIDENCIAL PRADA</t>
        </is>
      </c>
      <c r="B367" t="inlineStr">
        <is>
          <t>Etapa 1</t>
        </is>
      </c>
      <c r="C367" t="inlineStr">
        <is>
          <t>Edificio</t>
        </is>
      </c>
      <c r="D367" t="inlineStr">
        <is>
          <t>A</t>
        </is>
      </c>
      <c r="E367" t="inlineStr">
        <is>
          <t>Departamento</t>
        </is>
      </c>
      <c r="F367" t="inlineStr">
        <is>
          <t>702</t>
        </is>
      </c>
      <c r="G367" s="39" t="n">
        <v>500000</v>
      </c>
      <c r="H367" s="39" t="n">
        <v>500000</v>
      </c>
      <c r="M367" s="39" t="n"/>
      <c r="N367" s="39" t="n"/>
      <c r="S367" s="39" t="n"/>
      <c r="T367" s="39" t="n"/>
      <c r="Y367" s="39" t="n"/>
      <c r="Z367" s="39" t="n"/>
      <c r="AA367" t="inlineStr">
        <is>
          <t>Francescoli Del Aguila Bär</t>
        </is>
      </c>
      <c r="AB367" t="inlineStr">
        <is>
          <t>38218240</t>
        </is>
      </c>
      <c r="AC367" t="inlineStr">
        <is>
          <t>Jr. Inclan 222, Dpto. 704</t>
        </is>
      </c>
      <c r="AE367" t="inlineStr">
        <is>
          <t>958417380</t>
        </is>
      </c>
      <c r="AF367" t="inlineStr">
        <is>
          <t>francescoli.da.bar@gmail.com</t>
        </is>
      </c>
      <c r="AG367" t="inlineStr">
        <is>
          <t>LIMA</t>
        </is>
      </c>
      <c r="AH367" t="inlineStr">
        <is>
          <t>MAGDALENA DEL MAR</t>
        </is>
      </c>
      <c r="AI367" s="75" t="n">
        <v>46076</v>
      </c>
      <c r="AJ367" s="75" t="n">
        <v>46076</v>
      </c>
      <c r="AK367" t="inlineStr">
        <is>
          <t>CUOTA INICIAL</t>
        </is>
      </c>
      <c r="AL367" t="n">
        <v>2</v>
      </c>
      <c r="AM367" t="n">
        <v>97000</v>
      </c>
      <c r="AN367" t="n">
        <v>0</v>
      </c>
      <c r="AO367" t="n">
        <v>0</v>
      </c>
      <c r="AP367" s="39" t="n">
        <v>97000</v>
      </c>
      <c r="AQ367" s="39" t="n">
        <v>97000</v>
      </c>
      <c r="AR367" s="39" t="n">
        <v>0</v>
      </c>
      <c r="AS367" t="n">
        <v>0</v>
      </c>
      <c r="AT367" t="inlineStr">
        <is>
          <t>Crédito Hipotecario</t>
        </is>
      </c>
      <c r="AU367" t="inlineStr">
        <is>
          <t>Scotiabank Perú</t>
        </is>
      </c>
      <c r="AV367" t="inlineStr">
        <is>
          <t>000-2768484</t>
        </is>
      </c>
      <c r="AW367" t="inlineStr">
        <is>
          <t>DEPOSITO EN CUENTA</t>
        </is>
      </c>
      <c r="AX367" t="n">
        <v>38218240</v>
      </c>
      <c r="AY367" t="inlineStr">
        <is>
          <t>002514962</t>
        </is>
      </c>
      <c r="AZ367" t="inlineStr">
        <is>
          <t>No</t>
        </is>
      </c>
      <c r="BA367" t="inlineStr">
        <is>
          <t>NO PRECISA</t>
        </is>
      </c>
      <c r="BB367" t="n">
        <v>1</v>
      </c>
      <c r="BC367" t="inlineStr">
        <is>
          <t>CANCELADO</t>
        </is>
      </c>
      <c r="BN367" t="inlineStr">
        <is>
          <t>Si</t>
        </is>
      </c>
      <c r="BO367" s="76" t="n">
        <v>46076.69791666666</v>
      </c>
      <c r="BP367" t="inlineStr">
        <is>
          <t>Carla Michue M</t>
        </is>
      </c>
      <c r="BR367" t="n">
        <v>19</v>
      </c>
      <c r="BS367" t="inlineStr">
        <is>
          <t>29/05/2026 12:21</t>
        </is>
      </c>
      <c r="BW367" t="inlineStr">
        <is>
          <t>Cobranzas_2026.csv</t>
        </is>
      </c>
      <c r="BX367" t="n">
        <v>2026</v>
      </c>
      <c r="BY367" t="inlineStr">
        <is>
          <t>01/01/2024</t>
        </is>
      </c>
      <c r="BZ367" t="inlineStr">
        <is>
          <t>30/06/2031</t>
        </is>
      </c>
    </row>
    <row r="368">
      <c r="A368" t="inlineStr">
        <is>
          <t>RESIDENCIAL PRADA</t>
        </is>
      </c>
      <c r="B368" t="inlineStr">
        <is>
          <t>Etapa 1</t>
        </is>
      </c>
      <c r="C368" t="inlineStr">
        <is>
          <t>Edificio</t>
        </is>
      </c>
      <c r="D368" t="inlineStr">
        <is>
          <t>A</t>
        </is>
      </c>
      <c r="E368" t="inlineStr">
        <is>
          <t>Departamento</t>
        </is>
      </c>
      <c r="F368" t="inlineStr">
        <is>
          <t>702</t>
        </is>
      </c>
      <c r="G368" s="39" t="n">
        <v>500000</v>
      </c>
      <c r="H368" s="39" t="n">
        <v>500000</v>
      </c>
      <c r="M368" s="39" t="n"/>
      <c r="N368" s="39" t="n"/>
      <c r="S368" s="39" t="n"/>
      <c r="T368" s="39" t="n"/>
      <c r="Y368" s="39" t="n"/>
      <c r="Z368" s="39" t="n"/>
      <c r="AA368" t="inlineStr">
        <is>
          <t>Francescoli Del Aguila Bär</t>
        </is>
      </c>
      <c r="AB368" t="inlineStr">
        <is>
          <t>38218240</t>
        </is>
      </c>
      <c r="AC368" t="inlineStr">
        <is>
          <t>Jr. Inclan 222, Dpto. 704</t>
        </is>
      </c>
      <c r="AE368" t="inlineStr">
        <is>
          <t>958417380</t>
        </is>
      </c>
      <c r="AF368" t="inlineStr">
        <is>
          <t>francescoli.da.bar@gmail.com</t>
        </is>
      </c>
      <c r="AG368" t="inlineStr">
        <is>
          <t>LIMA</t>
        </is>
      </c>
      <c r="AH368" t="inlineStr">
        <is>
          <t>MAGDALENA DEL MAR</t>
        </is>
      </c>
      <c r="AI368" s="75" t="n">
        <v>46142</v>
      </c>
      <c r="AJ368" s="75" t="n">
        <v>46112</v>
      </c>
      <c r="AK368" t="inlineStr">
        <is>
          <t>SALDO FINANCIAR</t>
        </is>
      </c>
      <c r="AL368" t="n">
        <v>3</v>
      </c>
      <c r="AM368" t="n">
        <v>400000</v>
      </c>
      <c r="AN368" t="n">
        <v>0</v>
      </c>
      <c r="AO368" t="n">
        <v>0</v>
      </c>
      <c r="AP368" s="39" t="n">
        <v>400000</v>
      </c>
      <c r="AQ368" s="39" t="n">
        <v>400000</v>
      </c>
      <c r="AR368" s="39" t="n">
        <v>0</v>
      </c>
      <c r="AS368" t="n">
        <v>0</v>
      </c>
      <c r="AT368" t="inlineStr">
        <is>
          <t>Crédito Hipotecario</t>
        </is>
      </c>
      <c r="AU368" t="inlineStr">
        <is>
          <t>Scotiabank Perú</t>
        </is>
      </c>
      <c r="AV368" t="inlineStr">
        <is>
          <t>000-2768484</t>
        </is>
      </c>
      <c r="AW368" t="inlineStr">
        <is>
          <t>TRANSFERENCIA BANCARIA</t>
        </is>
      </c>
      <c r="AX368" t="n">
        <v>38218240</v>
      </c>
      <c r="AY368" t="inlineStr">
        <is>
          <t>0270800057</t>
        </is>
      </c>
      <c r="AZ368" t="inlineStr">
        <is>
          <t>No</t>
        </is>
      </c>
      <c r="BA368" t="inlineStr">
        <is>
          <t>NO PRECISA</t>
        </is>
      </c>
      <c r="BB368" t="n">
        <v>1</v>
      </c>
      <c r="BC368" t="inlineStr">
        <is>
          <t>CANCELADO</t>
        </is>
      </c>
      <c r="BN368" t="inlineStr">
        <is>
          <t>Si</t>
        </is>
      </c>
      <c r="BO368" s="76" t="n">
        <v>46076.69791666666</v>
      </c>
      <c r="BP368" t="inlineStr">
        <is>
          <t>Carla Michue M</t>
        </is>
      </c>
      <c r="BR368" t="n">
        <v>19</v>
      </c>
      <c r="BS368" t="inlineStr">
        <is>
          <t>29/05/2026 12:21</t>
        </is>
      </c>
      <c r="BW368" t="inlineStr">
        <is>
          <t>Cobranzas_2026.csv</t>
        </is>
      </c>
      <c r="BX368" t="n">
        <v>2026</v>
      </c>
      <c r="BY368" t="inlineStr">
        <is>
          <t>01/01/2024</t>
        </is>
      </c>
      <c r="BZ368" t="inlineStr">
        <is>
          <t>30/06/2031</t>
        </is>
      </c>
    </row>
    <row r="369">
      <c r="A369" t="inlineStr">
        <is>
          <t>RESIDENCIAL PRADA</t>
        </is>
      </c>
      <c r="B369" t="inlineStr">
        <is>
          <t>Etapa 1</t>
        </is>
      </c>
      <c r="C369" t="inlineStr">
        <is>
          <t>Edificio</t>
        </is>
      </c>
      <c r="D369" t="inlineStr">
        <is>
          <t>A</t>
        </is>
      </c>
      <c r="E369" t="inlineStr">
        <is>
          <t>Departamento</t>
        </is>
      </c>
      <c r="F369" t="inlineStr">
        <is>
          <t>802</t>
        </is>
      </c>
      <c r="G369" s="39" t="n">
        <v>420000</v>
      </c>
      <c r="H369" s="39" t="n">
        <v>420000</v>
      </c>
      <c r="M369" s="39" t="n"/>
      <c r="N369" s="39" t="n"/>
      <c r="S369" s="39" t="n"/>
      <c r="T369" s="39" t="n"/>
      <c r="Y369" s="39" t="n"/>
      <c r="Z369" s="39" t="n"/>
      <c r="AA369" t="inlineStr">
        <is>
          <t xml:space="preserve">Gersom Juver Gonzalez Alfaro </t>
        </is>
      </c>
      <c r="AB369" t="inlineStr">
        <is>
          <t>42539680</t>
        </is>
      </c>
      <c r="AC369" t="inlineStr">
        <is>
          <t>Jr. Grl. Zegarra 854 Dpto. 21 P. 4</t>
        </is>
      </c>
      <c r="AD369" t="n">
        <v>958600003</v>
      </c>
      <c r="AE369" t="inlineStr">
        <is>
          <t>958600003</t>
        </is>
      </c>
      <c r="AF369" t="inlineStr">
        <is>
          <t>gersonalfaro@gmail.com</t>
        </is>
      </c>
      <c r="AG369" t="inlineStr">
        <is>
          <t>LIMA</t>
        </is>
      </c>
      <c r="AH369" t="inlineStr">
        <is>
          <t>JESUS MARIA</t>
        </is>
      </c>
      <c r="AI369" s="75" t="n">
        <v>46053</v>
      </c>
      <c r="AJ369" s="75" t="n">
        <v>46112</v>
      </c>
      <c r="AK369" t="inlineStr">
        <is>
          <t>SALDO FINANCIAR</t>
        </is>
      </c>
      <c r="AL369" t="n">
        <v>1</v>
      </c>
      <c r="AM369" t="n">
        <v>372000</v>
      </c>
      <c r="AN369" t="n">
        <v>0</v>
      </c>
      <c r="AO369" t="n">
        <v>0</v>
      </c>
      <c r="AP369" s="39" t="n">
        <v>372000</v>
      </c>
      <c r="AQ369" s="39" t="n">
        <v>372000</v>
      </c>
      <c r="AR369" s="39" t="n">
        <v>0</v>
      </c>
      <c r="AS369" t="n">
        <v>0</v>
      </c>
      <c r="AT369" t="inlineStr">
        <is>
          <t>Crédito Hipotecario</t>
        </is>
      </c>
      <c r="AU369" t="inlineStr">
        <is>
          <t>Scotiabank Perú</t>
        </is>
      </c>
      <c r="AV369" t="inlineStr">
        <is>
          <t>000-2768484</t>
        </is>
      </c>
      <c r="AW369" t="inlineStr">
        <is>
          <t>TRANSFERENCIA BANCARIA</t>
        </is>
      </c>
      <c r="AY369" t="inlineStr">
        <is>
          <t>31032025</t>
        </is>
      </c>
      <c r="AZ369" t="inlineStr">
        <is>
          <t>No</t>
        </is>
      </c>
      <c r="BB369" t="n">
        <v>4</v>
      </c>
      <c r="BC369" t="inlineStr">
        <is>
          <t>CANCELADO</t>
        </is>
      </c>
      <c r="BN369" t="inlineStr">
        <is>
          <t>Si</t>
        </is>
      </c>
      <c r="BO369" s="76" t="n">
        <v>45832.51944444444</v>
      </c>
      <c r="BP369" t="inlineStr">
        <is>
          <t>Kenny Salazar S</t>
        </is>
      </c>
      <c r="BR369" t="n">
        <v>45</v>
      </c>
      <c r="BS369" t="inlineStr">
        <is>
          <t>07/07/2026 12:27</t>
        </is>
      </c>
      <c r="BW369" t="inlineStr">
        <is>
          <t>Cobranzas_2026.csv</t>
        </is>
      </c>
      <c r="BX369" t="n">
        <v>2026</v>
      </c>
      <c r="BY369" t="inlineStr">
        <is>
          <t>01/01/2024</t>
        </is>
      </c>
      <c r="BZ369" t="inlineStr">
        <is>
          <t>30/06/2031</t>
        </is>
      </c>
    </row>
    <row r="370">
      <c r="A370" t="inlineStr">
        <is>
          <t>RESIDENCIAL PRADA</t>
        </is>
      </c>
      <c r="B370" t="inlineStr">
        <is>
          <t>Etapa 1</t>
        </is>
      </c>
      <c r="C370" t="inlineStr">
        <is>
          <t>Edificio</t>
        </is>
      </c>
      <c r="D370" t="inlineStr">
        <is>
          <t>A</t>
        </is>
      </c>
      <c r="E370" t="inlineStr">
        <is>
          <t>Departamento</t>
        </is>
      </c>
      <c r="F370" t="inlineStr">
        <is>
          <t>203</t>
        </is>
      </c>
      <c r="G370" s="39" t="n">
        <v>654000</v>
      </c>
      <c r="H370" s="39" t="n">
        <v>654000</v>
      </c>
      <c r="I370" t="inlineStr">
        <is>
          <t>Edificio</t>
        </is>
      </c>
      <c r="J370" t="inlineStr">
        <is>
          <t>A</t>
        </is>
      </c>
      <c r="K370" t="inlineStr">
        <is>
          <t>Estacionamiento</t>
        </is>
      </c>
      <c r="L370" t="inlineStr">
        <is>
          <t>E 12 - D 09</t>
        </is>
      </c>
      <c r="M370" s="39" t="n">
        <v>56300</v>
      </c>
      <c r="N370" s="39" t="n">
        <v>56300</v>
      </c>
      <c r="S370" s="39" t="n"/>
      <c r="T370" s="39" t="n"/>
      <c r="Y370" s="39" t="n"/>
      <c r="Z370" s="39" t="n"/>
      <c r="AA370" t="inlineStr">
        <is>
          <t>Gilberto Videla Flores</t>
        </is>
      </c>
      <c r="AB370" t="inlineStr">
        <is>
          <t>06571347</t>
        </is>
      </c>
      <c r="AC370" t="inlineStr">
        <is>
          <t>Mz D Lt 7 Urb. La Estrella</t>
        </is>
      </c>
      <c r="AE370" t="inlineStr">
        <is>
          <t>969742622</t>
        </is>
      </c>
      <c r="AF370" t="inlineStr">
        <is>
          <t>gvidelaf@gmail.com</t>
        </is>
      </c>
      <c r="AG370" t="inlineStr">
        <is>
          <t>LIMA</t>
        </is>
      </c>
      <c r="AH370" t="inlineStr">
        <is>
          <t>LOS OLIVOS</t>
        </is>
      </c>
      <c r="AI370" s="75" t="n">
        <v>46264.75694444445</v>
      </c>
      <c r="AJ370" s="75" t="n">
        <v>45831</v>
      </c>
      <c r="AK370" t="inlineStr">
        <is>
          <t>SALDO FINANCIAR</t>
        </is>
      </c>
      <c r="AL370" t="n">
        <v>5</v>
      </c>
      <c r="AM370" t="n">
        <v>106545</v>
      </c>
      <c r="AN370" t="n">
        <v>0</v>
      </c>
      <c r="AO370" t="n">
        <v>0</v>
      </c>
      <c r="AP370" s="39" t="n">
        <v>106545</v>
      </c>
      <c r="AQ370" s="39" t="n">
        <v>35515</v>
      </c>
      <c r="AR370" s="39" t="n">
        <v>0</v>
      </c>
      <c r="AS370" t="n">
        <v>0</v>
      </c>
      <c r="AT370" t="inlineStr">
        <is>
          <t>Crédito Directo</t>
        </is>
      </c>
      <c r="AU370" t="inlineStr">
        <is>
          <t>Scotiabank Perú</t>
        </is>
      </c>
      <c r="AV370" t="inlineStr">
        <is>
          <t>000-2768484</t>
        </is>
      </c>
      <c r="AW370" t="inlineStr">
        <is>
          <t>TRANSFERENCIA BANCARIA</t>
        </is>
      </c>
      <c r="AY370" t="inlineStr">
        <is>
          <t>02249650</t>
        </is>
      </c>
      <c r="AZ370" t="inlineStr">
        <is>
          <t>No</t>
        </is>
      </c>
      <c r="BB370" t="n">
        <v>4</v>
      </c>
      <c r="BC370" t="inlineStr">
        <is>
          <t>CANCELADO</t>
        </is>
      </c>
      <c r="BN370" t="inlineStr">
        <is>
          <t>Si</t>
        </is>
      </c>
      <c r="BO370" s="76" t="n">
        <v>45539.38055555556</v>
      </c>
      <c r="BP370" t="inlineStr">
        <is>
          <t>Carla Michue M</t>
        </is>
      </c>
      <c r="BR370" t="n">
        <v>24</v>
      </c>
      <c r="BS370" t="inlineStr">
        <is>
          <t>30/06/2026 18:17</t>
        </is>
      </c>
      <c r="BW370" t="inlineStr">
        <is>
          <t>Cobranzas_2026.csv</t>
        </is>
      </c>
      <c r="BX370" t="n">
        <v>2026</v>
      </c>
      <c r="BY370" t="inlineStr">
        <is>
          <t>01/01/2024</t>
        </is>
      </c>
      <c r="BZ370" t="inlineStr">
        <is>
          <t>30/06/2031</t>
        </is>
      </c>
    </row>
    <row r="371">
      <c r="A371" t="inlineStr">
        <is>
          <t>RESIDENCIAL PRADA</t>
        </is>
      </c>
      <c r="B371" t="inlineStr">
        <is>
          <t>Etapa 1</t>
        </is>
      </c>
      <c r="C371" t="inlineStr">
        <is>
          <t>Edificio</t>
        </is>
      </c>
      <c r="D371" t="inlineStr">
        <is>
          <t>A</t>
        </is>
      </c>
      <c r="E371" t="inlineStr">
        <is>
          <t>Departamento</t>
        </is>
      </c>
      <c r="F371" t="inlineStr">
        <is>
          <t>203</t>
        </is>
      </c>
      <c r="G371" s="39" t="n">
        <v>654000</v>
      </c>
      <c r="H371" s="39" t="n">
        <v>654000</v>
      </c>
      <c r="I371" t="inlineStr">
        <is>
          <t>Edificio</t>
        </is>
      </c>
      <c r="J371" t="inlineStr">
        <is>
          <t>A</t>
        </is>
      </c>
      <c r="K371" t="inlineStr">
        <is>
          <t>Estacionamiento</t>
        </is>
      </c>
      <c r="L371" t="inlineStr">
        <is>
          <t>E 12 - D 09</t>
        </is>
      </c>
      <c r="M371" s="39" t="n">
        <v>56300</v>
      </c>
      <c r="N371" s="39" t="n">
        <v>56300</v>
      </c>
      <c r="S371" s="39" t="n"/>
      <c r="T371" s="39" t="n"/>
      <c r="Y371" s="39" t="n"/>
      <c r="Z371" s="39" t="n"/>
      <c r="AA371" t="inlineStr">
        <is>
          <t>Gilberto Videla Flores</t>
        </is>
      </c>
      <c r="AB371" t="inlineStr">
        <is>
          <t>06571347</t>
        </is>
      </c>
      <c r="AC371" t="inlineStr">
        <is>
          <t>Mz D Lt 7 Urb. La Estrella</t>
        </is>
      </c>
      <c r="AE371" t="inlineStr">
        <is>
          <t>969742622</t>
        </is>
      </c>
      <c r="AF371" t="inlineStr">
        <is>
          <t>gvidelaf@gmail.com</t>
        </is>
      </c>
      <c r="AG371" t="inlineStr">
        <is>
          <t>LIMA</t>
        </is>
      </c>
      <c r="AH371" t="inlineStr">
        <is>
          <t>LOS OLIVOS</t>
        </is>
      </c>
      <c r="AI371" s="75" t="n">
        <v>46264.75694444445</v>
      </c>
      <c r="AJ371" s="75" t="n">
        <v>45858</v>
      </c>
      <c r="AK371" t="inlineStr">
        <is>
          <t>SALDO FINANCIAR</t>
        </is>
      </c>
      <c r="AL371" t="n">
        <v>5</v>
      </c>
      <c r="AM371" t="n">
        <v>0</v>
      </c>
      <c r="AN371" t="n">
        <v>0</v>
      </c>
      <c r="AO371" t="n">
        <v>0</v>
      </c>
      <c r="AP371" s="39" t="n">
        <v>0</v>
      </c>
      <c r="AQ371" s="39" t="n">
        <v>35515</v>
      </c>
      <c r="AR371" s="39" t="n">
        <v>0</v>
      </c>
      <c r="AS371" t="n">
        <v>0</v>
      </c>
      <c r="AT371" t="inlineStr">
        <is>
          <t>Crédito Directo</t>
        </is>
      </c>
      <c r="AU371" t="inlineStr">
        <is>
          <t>Scotiabank Perú</t>
        </is>
      </c>
      <c r="AV371" t="inlineStr">
        <is>
          <t>000-2768484</t>
        </is>
      </c>
      <c r="AW371" t="inlineStr">
        <is>
          <t>TRANSFERENCIA BANCARIA</t>
        </is>
      </c>
      <c r="AY371" t="inlineStr">
        <is>
          <t>02734027</t>
        </is>
      </c>
      <c r="AZ371" t="inlineStr">
        <is>
          <t>No</t>
        </is>
      </c>
      <c r="BB371" t="n">
        <v>4</v>
      </c>
      <c r="BC371" t="inlineStr">
        <is>
          <t>CANCELADO</t>
        </is>
      </c>
      <c r="BN371" t="inlineStr">
        <is>
          <t>Si</t>
        </is>
      </c>
      <c r="BO371" s="76" t="n">
        <v>45539.38055555556</v>
      </c>
      <c r="BP371" t="inlineStr">
        <is>
          <t>Carla Michue M</t>
        </is>
      </c>
      <c r="BR371" t="n">
        <v>24</v>
      </c>
      <c r="BS371" t="inlineStr">
        <is>
          <t>30/06/2026 18:19</t>
        </is>
      </c>
      <c r="BW371" t="inlineStr">
        <is>
          <t>Cobranzas_2026.csv</t>
        </is>
      </c>
      <c r="BX371" t="n">
        <v>2026</v>
      </c>
      <c r="BY371" t="inlineStr">
        <is>
          <t>01/01/2024</t>
        </is>
      </c>
      <c r="BZ371" t="inlineStr">
        <is>
          <t>30/06/2031</t>
        </is>
      </c>
    </row>
    <row r="372">
      <c r="A372" t="inlineStr">
        <is>
          <t>RESIDENCIAL PRADA</t>
        </is>
      </c>
      <c r="B372" t="inlineStr">
        <is>
          <t>Etapa 1</t>
        </is>
      </c>
      <c r="C372" t="inlineStr">
        <is>
          <t>Edificio</t>
        </is>
      </c>
      <c r="D372" t="inlineStr">
        <is>
          <t>A</t>
        </is>
      </c>
      <c r="E372" t="inlineStr">
        <is>
          <t>Departamento</t>
        </is>
      </c>
      <c r="F372" t="inlineStr">
        <is>
          <t>203</t>
        </is>
      </c>
      <c r="G372" s="39" t="n">
        <v>654000</v>
      </c>
      <c r="H372" s="39" t="n">
        <v>654000</v>
      </c>
      <c r="I372" t="inlineStr">
        <is>
          <t>Edificio</t>
        </is>
      </c>
      <c r="J372" t="inlineStr">
        <is>
          <t>A</t>
        </is>
      </c>
      <c r="K372" t="inlineStr">
        <is>
          <t>Estacionamiento</t>
        </is>
      </c>
      <c r="L372" t="inlineStr">
        <is>
          <t>E 12 - D 09</t>
        </is>
      </c>
      <c r="M372" s="39" t="n">
        <v>56300</v>
      </c>
      <c r="N372" s="39" t="n">
        <v>56300</v>
      </c>
      <c r="S372" s="39" t="n"/>
      <c r="T372" s="39" t="n"/>
      <c r="Y372" s="39" t="n"/>
      <c r="Z372" s="39" t="n"/>
      <c r="AA372" t="inlineStr">
        <is>
          <t>Gilberto Videla Flores</t>
        </is>
      </c>
      <c r="AB372" t="inlineStr">
        <is>
          <t>06571347</t>
        </is>
      </c>
      <c r="AC372" t="inlineStr">
        <is>
          <t>Mz D Lt 7 Urb. La Estrella</t>
        </is>
      </c>
      <c r="AE372" t="inlineStr">
        <is>
          <t>969742622</t>
        </is>
      </c>
      <c r="AF372" t="inlineStr">
        <is>
          <t>gvidelaf@gmail.com</t>
        </is>
      </c>
      <c r="AG372" t="inlineStr">
        <is>
          <t>LIMA</t>
        </is>
      </c>
      <c r="AH372" t="inlineStr">
        <is>
          <t>LOS OLIVOS</t>
        </is>
      </c>
      <c r="AI372" s="75" t="n">
        <v>46264.75694444445</v>
      </c>
      <c r="AJ372" s="75" t="n">
        <v>45894</v>
      </c>
      <c r="AK372" t="inlineStr">
        <is>
          <t>SALDO FINANCIAR</t>
        </is>
      </c>
      <c r="AL372" t="n">
        <v>5</v>
      </c>
      <c r="AM372" t="n">
        <v>0</v>
      </c>
      <c r="AN372" t="n">
        <v>0</v>
      </c>
      <c r="AO372" t="n">
        <v>0</v>
      </c>
      <c r="AP372" s="39" t="n">
        <v>0</v>
      </c>
      <c r="AQ372" s="39" t="n">
        <v>35515</v>
      </c>
      <c r="AR372" s="39" t="n">
        <v>0</v>
      </c>
      <c r="AS372" t="n">
        <v>0</v>
      </c>
      <c r="AT372" t="inlineStr">
        <is>
          <t>Crédito Directo</t>
        </is>
      </c>
      <c r="AU372" t="inlineStr">
        <is>
          <t>Scotiabank Perú</t>
        </is>
      </c>
      <c r="AV372" t="inlineStr">
        <is>
          <t>000-2768484</t>
        </is>
      </c>
      <c r="AW372" t="inlineStr">
        <is>
          <t>TRANSFERENCIA BANCARIA</t>
        </is>
      </c>
      <c r="AY372" t="inlineStr">
        <is>
          <t>04494431</t>
        </is>
      </c>
      <c r="AZ372" t="inlineStr">
        <is>
          <t>No</t>
        </is>
      </c>
      <c r="BB372" t="n">
        <v>4</v>
      </c>
      <c r="BC372" t="inlineStr">
        <is>
          <t>CANCELADO</t>
        </is>
      </c>
      <c r="BN372" t="inlineStr">
        <is>
          <t>Si</t>
        </is>
      </c>
      <c r="BO372" s="76" t="n">
        <v>45539.38055555556</v>
      </c>
      <c r="BP372" t="inlineStr">
        <is>
          <t>Carla Michue M</t>
        </is>
      </c>
      <c r="BR372" t="n">
        <v>24</v>
      </c>
      <c r="BS372" t="inlineStr">
        <is>
          <t>30/06/2026 18:20</t>
        </is>
      </c>
      <c r="BW372" t="inlineStr">
        <is>
          <t>Cobranzas_2026.csv</t>
        </is>
      </c>
      <c r="BX372" t="n">
        <v>2026</v>
      </c>
      <c r="BY372" t="inlineStr">
        <is>
          <t>01/01/2024</t>
        </is>
      </c>
      <c r="BZ372" t="inlineStr">
        <is>
          <t>30/06/2031</t>
        </is>
      </c>
    </row>
    <row r="373">
      <c r="A373" t="inlineStr">
        <is>
          <t>RESIDENCIAL BEYOND</t>
        </is>
      </c>
      <c r="B373" t="inlineStr">
        <is>
          <t>Etapa 1</t>
        </is>
      </c>
      <c r="C373" t="inlineStr">
        <is>
          <t>Edificio</t>
        </is>
      </c>
      <c r="D373" t="inlineStr">
        <is>
          <t>A</t>
        </is>
      </c>
      <c r="E373" t="inlineStr">
        <is>
          <t>Departamento</t>
        </is>
      </c>
      <c r="F373" t="inlineStr">
        <is>
          <t>402</t>
        </is>
      </c>
      <c r="G373" s="39" t="n">
        <v>430000</v>
      </c>
      <c r="H373" s="39" t="n">
        <v>400000</v>
      </c>
      <c r="I373" t="inlineStr">
        <is>
          <t>Edificio</t>
        </is>
      </c>
      <c r="J373" t="inlineStr">
        <is>
          <t>A</t>
        </is>
      </c>
      <c r="K373" t="inlineStr">
        <is>
          <t>Estacionamiento</t>
        </is>
      </c>
      <c r="L373" t="inlineStr">
        <is>
          <t>E 44 - D 26</t>
        </is>
      </c>
      <c r="M373" s="39" t="n">
        <v>48500</v>
      </c>
      <c r="N373" s="39" t="n">
        <v>48500</v>
      </c>
      <c r="S373" s="39" t="n"/>
      <c r="T373" s="39" t="n"/>
      <c r="Y373" s="39" t="n"/>
      <c r="Z373" s="39" t="n"/>
      <c r="AA373" t="inlineStr">
        <is>
          <t>Gina Victoria Saenz Pasco</t>
        </is>
      </c>
      <c r="AB373" t="inlineStr">
        <is>
          <t>70436237</t>
        </is>
      </c>
      <c r="AC373" t="inlineStr">
        <is>
          <t>Av. Cordialidad 8079 Urb. La Floresta</t>
        </is>
      </c>
      <c r="AD373" t="n">
        <v>0</v>
      </c>
      <c r="AE373" t="inlineStr">
        <is>
          <t>992686657</t>
        </is>
      </c>
      <c r="AF373" t="inlineStr">
        <is>
          <t>g.saenz22@gmail.com</t>
        </is>
      </c>
      <c r="AG373" t="inlineStr">
        <is>
          <t>LIMA</t>
        </is>
      </c>
      <c r="AH373" t="inlineStr">
        <is>
          <t>LOS OLIVOS</t>
        </is>
      </c>
      <c r="AI373" s="75" t="n">
        <v>46096</v>
      </c>
      <c r="AJ373" s="75" t="n">
        <v>46096</v>
      </c>
      <c r="AK373" t="inlineStr">
        <is>
          <t>SEPARACION</t>
        </is>
      </c>
      <c r="AL373" t="n">
        <v>1</v>
      </c>
      <c r="AM373" t="n">
        <v>3000</v>
      </c>
      <c r="AN373" t="n">
        <v>0</v>
      </c>
      <c r="AO373" t="n">
        <v>0</v>
      </c>
      <c r="AP373" s="39" t="n">
        <v>3000</v>
      </c>
      <c r="AQ373" s="39" t="n">
        <v>3000</v>
      </c>
      <c r="AR373" s="39" t="n">
        <v>0</v>
      </c>
      <c r="AS373" t="n">
        <v>0</v>
      </c>
      <c r="AT373" t="inlineStr">
        <is>
          <t>Ahorro</t>
        </is>
      </c>
      <c r="AU373" t="inlineStr">
        <is>
          <t>Banco de Credito del Perú</t>
        </is>
      </c>
      <c r="AV373" t="inlineStr">
        <is>
          <t>194-7325779-0-65</t>
        </is>
      </c>
      <c r="AW373" t="inlineStr">
        <is>
          <t>TRANSFERENCIA BANCARIA</t>
        </is>
      </c>
      <c r="AY373" t="inlineStr">
        <is>
          <t>00060044</t>
        </is>
      </c>
      <c r="AZ373" t="inlineStr">
        <is>
          <t>No</t>
        </is>
      </c>
      <c r="BB373" t="n">
        <v>4</v>
      </c>
      <c r="BC373" t="inlineStr">
        <is>
          <t>CANCELADO</t>
        </is>
      </c>
      <c r="BN373" t="inlineStr">
        <is>
          <t>No</t>
        </is>
      </c>
      <c r="BO373" s="76" t="n">
        <v>46111.42430555556</v>
      </c>
      <c r="BP373" t="inlineStr">
        <is>
          <t>Magaly Guevara Perez</t>
        </is>
      </c>
      <c r="BR373" t="n">
        <v>27</v>
      </c>
      <c r="BS373" t="inlineStr">
        <is>
          <t>01/05/2026 17:30</t>
        </is>
      </c>
      <c r="BW373" t="inlineStr">
        <is>
          <t>Cobranzas_2026.csv</t>
        </is>
      </c>
      <c r="BX373" t="n">
        <v>2026</v>
      </c>
      <c r="BY373" t="inlineStr">
        <is>
          <t>01/01/2024</t>
        </is>
      </c>
      <c r="BZ373" t="inlineStr">
        <is>
          <t>30/06/2031</t>
        </is>
      </c>
    </row>
    <row r="374">
      <c r="A374" t="inlineStr">
        <is>
          <t>RESIDENCIAL BEYOND</t>
        </is>
      </c>
      <c r="B374" t="inlineStr">
        <is>
          <t>Etapa 1</t>
        </is>
      </c>
      <c r="C374" t="inlineStr">
        <is>
          <t>Edificio</t>
        </is>
      </c>
      <c r="D374" t="inlineStr">
        <is>
          <t>A</t>
        </is>
      </c>
      <c r="E374" t="inlineStr">
        <is>
          <t>Departamento</t>
        </is>
      </c>
      <c r="F374" t="inlineStr">
        <is>
          <t>402</t>
        </is>
      </c>
      <c r="G374" s="39" t="n">
        <v>430000</v>
      </c>
      <c r="H374" s="39" t="n">
        <v>400000</v>
      </c>
      <c r="I374" t="inlineStr">
        <is>
          <t>Edificio</t>
        </is>
      </c>
      <c r="J374" t="inlineStr">
        <is>
          <t>A</t>
        </is>
      </c>
      <c r="K374" t="inlineStr">
        <is>
          <t>Estacionamiento</t>
        </is>
      </c>
      <c r="L374" t="inlineStr">
        <is>
          <t>E 44 - D 26</t>
        </is>
      </c>
      <c r="M374" s="39" t="n">
        <v>48500</v>
      </c>
      <c r="N374" s="39" t="n">
        <v>48500</v>
      </c>
      <c r="S374" s="39" t="n"/>
      <c r="T374" s="39" t="n"/>
      <c r="Y374" s="39" t="n"/>
      <c r="Z374" s="39" t="n"/>
      <c r="AA374" t="inlineStr">
        <is>
          <t>Gina Victoria Saenz Pasco</t>
        </is>
      </c>
      <c r="AB374" t="inlineStr">
        <is>
          <t>70436237</t>
        </is>
      </c>
      <c r="AC374" t="inlineStr">
        <is>
          <t>Av. Cordialidad 8079 Urb. La Floresta</t>
        </is>
      </c>
      <c r="AD374" t="n">
        <v>0</v>
      </c>
      <c r="AE374" t="inlineStr">
        <is>
          <t>992686657</t>
        </is>
      </c>
      <c r="AF374" t="inlineStr">
        <is>
          <t>g.saenz22@gmail.com</t>
        </is>
      </c>
      <c r="AG374" t="inlineStr">
        <is>
          <t>LIMA</t>
        </is>
      </c>
      <c r="AH374" t="inlineStr">
        <is>
          <t>LOS OLIVOS</t>
        </is>
      </c>
      <c r="AI374" s="75" t="n">
        <v>46112</v>
      </c>
      <c r="AJ374" s="75" t="n"/>
      <c r="AK374" t="inlineStr">
        <is>
          <t>CUOTA INICIAL</t>
        </is>
      </c>
      <c r="AL374" t="n">
        <v>1</v>
      </c>
      <c r="AM374" t="n">
        <v>20000</v>
      </c>
      <c r="AN374" t="n">
        <v>0</v>
      </c>
      <c r="AO374" t="n">
        <v>0</v>
      </c>
      <c r="AP374" s="39" t="n">
        <v>20000</v>
      </c>
      <c r="AQ374" s="39" t="n">
        <v>0</v>
      </c>
      <c r="AR374" s="39" t="n">
        <v>20000</v>
      </c>
      <c r="AT374" t="inlineStr">
        <is>
          <t>Ahorro</t>
        </is>
      </c>
      <c r="AZ374" t="inlineStr">
        <is>
          <t>No</t>
        </is>
      </c>
      <c r="BC374" t="inlineStr">
        <is>
          <t>VENCIDO</t>
        </is>
      </c>
      <c r="BN374" t="inlineStr">
        <is>
          <t>No</t>
        </is>
      </c>
      <c r="BO374" s="76" t="n">
        <v>46111.42430555556</v>
      </c>
      <c r="BP374" t="inlineStr">
        <is>
          <t>Magaly Guevara Perez</t>
        </is>
      </c>
      <c r="BR374" t="n">
        <v>27</v>
      </c>
      <c r="BW374" t="inlineStr">
        <is>
          <t>Cobranzas_2026.csv</t>
        </is>
      </c>
      <c r="BX374" t="n">
        <v>2026</v>
      </c>
      <c r="BY374" t="inlineStr">
        <is>
          <t>01/01/2024</t>
        </is>
      </c>
      <c r="BZ374" t="inlineStr">
        <is>
          <t>30/06/2031</t>
        </is>
      </c>
    </row>
    <row r="375">
      <c r="A375" t="inlineStr">
        <is>
          <t>RESIDENCIAL BEYOND</t>
        </is>
      </c>
      <c r="B375" t="inlineStr">
        <is>
          <t>Etapa 1</t>
        </is>
      </c>
      <c r="C375" t="inlineStr">
        <is>
          <t>Edificio</t>
        </is>
      </c>
      <c r="D375" t="inlineStr">
        <is>
          <t>A</t>
        </is>
      </c>
      <c r="E375" t="inlineStr">
        <is>
          <t>Departamento</t>
        </is>
      </c>
      <c r="F375" t="inlineStr">
        <is>
          <t>402</t>
        </is>
      </c>
      <c r="G375" s="39" t="n">
        <v>430000</v>
      </c>
      <c r="H375" s="39" t="n">
        <v>400000</v>
      </c>
      <c r="I375" t="inlineStr">
        <is>
          <t>Edificio</t>
        </is>
      </c>
      <c r="J375" t="inlineStr">
        <is>
          <t>A</t>
        </is>
      </c>
      <c r="K375" t="inlineStr">
        <is>
          <t>Estacionamiento</t>
        </is>
      </c>
      <c r="L375" t="inlineStr">
        <is>
          <t>E 44 - D 26</t>
        </is>
      </c>
      <c r="M375" s="39" t="n">
        <v>48500</v>
      </c>
      <c r="N375" s="39" t="n">
        <v>48500</v>
      </c>
      <c r="S375" s="39" t="n"/>
      <c r="T375" s="39" t="n"/>
      <c r="Y375" s="39" t="n"/>
      <c r="Z375" s="39" t="n"/>
      <c r="AA375" t="inlineStr">
        <is>
          <t>Gina Victoria Saenz Pasco</t>
        </is>
      </c>
      <c r="AB375" t="inlineStr">
        <is>
          <t>70436237</t>
        </is>
      </c>
      <c r="AC375" t="inlineStr">
        <is>
          <t>Av. Cordialidad 8079 Urb. La Floresta</t>
        </is>
      </c>
      <c r="AD375" t="n">
        <v>0</v>
      </c>
      <c r="AE375" t="inlineStr">
        <is>
          <t>992686657</t>
        </is>
      </c>
      <c r="AF375" t="inlineStr">
        <is>
          <t>g.saenz22@gmail.com</t>
        </is>
      </c>
      <c r="AG375" t="inlineStr">
        <is>
          <t>LIMA</t>
        </is>
      </c>
      <c r="AH375" t="inlineStr">
        <is>
          <t>LOS OLIVOS</t>
        </is>
      </c>
      <c r="AI375" s="75" t="n">
        <v>46142</v>
      </c>
      <c r="AJ375" s="75" t="n"/>
      <c r="AK375" t="inlineStr">
        <is>
          <t>CUOTA INICIAL</t>
        </is>
      </c>
      <c r="AL375" t="n">
        <v>2</v>
      </c>
      <c r="AM375" t="n">
        <v>10000</v>
      </c>
      <c r="AN375" t="n">
        <v>0</v>
      </c>
      <c r="AO375" t="n">
        <v>0</v>
      </c>
      <c r="AP375" s="39" t="n">
        <v>10000</v>
      </c>
      <c r="AQ375" s="39" t="n">
        <v>0</v>
      </c>
      <c r="AR375" s="39" t="n">
        <v>10000</v>
      </c>
      <c r="AT375" t="inlineStr">
        <is>
          <t>Ahorro</t>
        </is>
      </c>
      <c r="AZ375" t="inlineStr">
        <is>
          <t>No</t>
        </is>
      </c>
      <c r="BC375" t="inlineStr">
        <is>
          <t>VENCIDO</t>
        </is>
      </c>
      <c r="BN375" t="inlineStr">
        <is>
          <t>No</t>
        </is>
      </c>
      <c r="BO375" s="76" t="n">
        <v>46111.42430555556</v>
      </c>
      <c r="BP375" t="inlineStr">
        <is>
          <t>Magaly Guevara Perez</t>
        </is>
      </c>
      <c r="BR375" t="n">
        <v>27</v>
      </c>
      <c r="BW375" t="inlineStr">
        <is>
          <t>Cobranzas_2026.csv</t>
        </is>
      </c>
      <c r="BX375" t="n">
        <v>2026</v>
      </c>
      <c r="BY375" t="inlineStr">
        <is>
          <t>01/01/2024</t>
        </is>
      </c>
      <c r="BZ375" t="inlineStr">
        <is>
          <t>30/06/2031</t>
        </is>
      </c>
    </row>
    <row r="376">
      <c r="A376" t="inlineStr">
        <is>
          <t>RESIDENCIAL BEYOND</t>
        </is>
      </c>
      <c r="B376" t="inlineStr">
        <is>
          <t>Etapa 1</t>
        </is>
      </c>
      <c r="C376" t="inlineStr">
        <is>
          <t>Edificio</t>
        </is>
      </c>
      <c r="D376" t="inlineStr">
        <is>
          <t>A</t>
        </is>
      </c>
      <c r="E376" t="inlineStr">
        <is>
          <t>Departamento</t>
        </is>
      </c>
      <c r="F376" t="inlineStr">
        <is>
          <t>402</t>
        </is>
      </c>
      <c r="G376" s="39" t="n">
        <v>430000</v>
      </c>
      <c r="H376" s="39" t="n">
        <v>400000</v>
      </c>
      <c r="I376" t="inlineStr">
        <is>
          <t>Edificio</t>
        </is>
      </c>
      <c r="J376" t="inlineStr">
        <is>
          <t>A</t>
        </is>
      </c>
      <c r="K376" t="inlineStr">
        <is>
          <t>Estacionamiento</t>
        </is>
      </c>
      <c r="L376" t="inlineStr">
        <is>
          <t>E 44 - D 26</t>
        </is>
      </c>
      <c r="M376" s="39" t="n">
        <v>48500</v>
      </c>
      <c r="N376" s="39" t="n">
        <v>48500</v>
      </c>
      <c r="S376" s="39" t="n"/>
      <c r="T376" s="39" t="n"/>
      <c r="Y376" s="39" t="n"/>
      <c r="Z376" s="39" t="n"/>
      <c r="AA376" t="inlineStr">
        <is>
          <t>Gina Victoria Saenz Pasco</t>
        </is>
      </c>
      <c r="AB376" t="inlineStr">
        <is>
          <t>70436237</t>
        </is>
      </c>
      <c r="AC376" t="inlineStr">
        <is>
          <t>Av. Cordialidad 8079 Urb. La Floresta</t>
        </is>
      </c>
      <c r="AD376" t="n">
        <v>0</v>
      </c>
      <c r="AE376" t="inlineStr">
        <is>
          <t>992686657</t>
        </is>
      </c>
      <c r="AF376" t="inlineStr">
        <is>
          <t>g.saenz22@gmail.com</t>
        </is>
      </c>
      <c r="AG376" t="inlineStr">
        <is>
          <t>LIMA</t>
        </is>
      </c>
      <c r="AH376" t="inlineStr">
        <is>
          <t>LOS OLIVOS</t>
        </is>
      </c>
      <c r="AI376" s="75" t="n">
        <v>46265</v>
      </c>
      <c r="AJ376" s="75" t="n"/>
      <c r="AK376" t="inlineStr">
        <is>
          <t>CUOTA INICIAL</t>
        </is>
      </c>
      <c r="AL376" t="n">
        <v>3</v>
      </c>
      <c r="AM376" t="n">
        <v>17000</v>
      </c>
      <c r="AN376" t="n">
        <v>0</v>
      </c>
      <c r="AO376" t="n">
        <v>0</v>
      </c>
      <c r="AP376" s="39" t="n">
        <v>17000</v>
      </c>
      <c r="AQ376" s="39" t="n">
        <v>0</v>
      </c>
      <c r="AR376" s="39" t="n">
        <v>17000</v>
      </c>
      <c r="AT376" t="inlineStr">
        <is>
          <t>Ahorro</t>
        </is>
      </c>
      <c r="AZ376" t="inlineStr">
        <is>
          <t>No</t>
        </is>
      </c>
      <c r="BC376" t="inlineStr">
        <is>
          <t>PENDIENTE</t>
        </is>
      </c>
      <c r="BN376" t="inlineStr">
        <is>
          <t>No</t>
        </is>
      </c>
      <c r="BO376" s="76" t="n">
        <v>46111.42430555556</v>
      </c>
      <c r="BP376" t="inlineStr">
        <is>
          <t>Magaly Guevara Perez</t>
        </is>
      </c>
      <c r="BR376" t="n">
        <v>27</v>
      </c>
      <c r="BW376" t="inlineStr">
        <is>
          <t>Cobranzas_2026.csv</t>
        </is>
      </c>
      <c r="BX376" t="n">
        <v>2026</v>
      </c>
      <c r="BY376" t="inlineStr">
        <is>
          <t>01/01/2024</t>
        </is>
      </c>
      <c r="BZ376" t="inlineStr">
        <is>
          <t>30/06/2031</t>
        </is>
      </c>
    </row>
    <row r="377">
      <c r="A377" t="inlineStr">
        <is>
          <t>RESIDENCIAL BEYOND</t>
        </is>
      </c>
      <c r="B377" t="inlineStr">
        <is>
          <t>Etapa 1</t>
        </is>
      </c>
      <c r="C377" t="inlineStr">
        <is>
          <t>Edificio</t>
        </is>
      </c>
      <c r="D377" t="inlineStr">
        <is>
          <t>A</t>
        </is>
      </c>
      <c r="E377" t="inlineStr">
        <is>
          <t>Departamento</t>
        </is>
      </c>
      <c r="F377" t="inlineStr">
        <is>
          <t>402</t>
        </is>
      </c>
      <c r="G377" s="39" t="n">
        <v>430000</v>
      </c>
      <c r="H377" s="39" t="n">
        <v>400000</v>
      </c>
      <c r="I377" t="inlineStr">
        <is>
          <t>Edificio</t>
        </is>
      </c>
      <c r="J377" t="inlineStr">
        <is>
          <t>A</t>
        </is>
      </c>
      <c r="K377" t="inlineStr">
        <is>
          <t>Estacionamiento</t>
        </is>
      </c>
      <c r="L377" t="inlineStr">
        <is>
          <t>E 44 - D 26</t>
        </is>
      </c>
      <c r="M377" s="39" t="n">
        <v>48500</v>
      </c>
      <c r="N377" s="39" t="n">
        <v>48500</v>
      </c>
      <c r="S377" s="39" t="n"/>
      <c r="T377" s="39" t="n"/>
      <c r="Y377" s="39" t="n"/>
      <c r="Z377" s="39" t="n"/>
      <c r="AA377" t="inlineStr">
        <is>
          <t>Gina Victoria Saenz Pasco</t>
        </is>
      </c>
      <c r="AB377" t="inlineStr">
        <is>
          <t>70436237</t>
        </is>
      </c>
      <c r="AC377" t="inlineStr">
        <is>
          <t>Av. Cordialidad 8079 Urb. La Floresta</t>
        </is>
      </c>
      <c r="AD377" t="n">
        <v>0</v>
      </c>
      <c r="AE377" t="inlineStr">
        <is>
          <t>992686657</t>
        </is>
      </c>
      <c r="AF377" t="inlineStr">
        <is>
          <t>g.saenz22@gmail.com</t>
        </is>
      </c>
      <c r="AG377" t="inlineStr">
        <is>
          <t>LIMA</t>
        </is>
      </c>
      <c r="AH377" t="inlineStr">
        <is>
          <t>LOS OLIVOS</t>
        </is>
      </c>
      <c r="AI377" s="75" t="n">
        <v>46386</v>
      </c>
      <c r="AJ377" s="75" t="n"/>
      <c r="AK377" t="inlineStr">
        <is>
          <t>CUOTA INICIAL</t>
        </is>
      </c>
      <c r="AL377" t="n">
        <v>4</v>
      </c>
      <c r="AM377" t="n">
        <v>5000</v>
      </c>
      <c r="AN377" t="n">
        <v>0</v>
      </c>
      <c r="AO377" t="n">
        <v>0</v>
      </c>
      <c r="AP377" s="39" t="n">
        <v>5000</v>
      </c>
      <c r="AQ377" s="39" t="n">
        <v>0</v>
      </c>
      <c r="AR377" s="39" t="n">
        <v>5000</v>
      </c>
      <c r="AT377" t="inlineStr">
        <is>
          <t>Ahorro</t>
        </is>
      </c>
      <c r="AZ377" t="inlineStr">
        <is>
          <t>No</t>
        </is>
      </c>
      <c r="BC377" t="inlineStr">
        <is>
          <t>PENDIENTE</t>
        </is>
      </c>
      <c r="BN377" t="inlineStr">
        <is>
          <t>No</t>
        </is>
      </c>
      <c r="BO377" s="76" t="n">
        <v>46111.42430555556</v>
      </c>
      <c r="BP377" t="inlineStr">
        <is>
          <t>Magaly Guevara Perez</t>
        </is>
      </c>
      <c r="BR377" t="n">
        <v>27</v>
      </c>
      <c r="BW377" t="inlineStr">
        <is>
          <t>Cobranzas_2026.csv</t>
        </is>
      </c>
      <c r="BX377" t="n">
        <v>2026</v>
      </c>
      <c r="BY377" t="inlineStr">
        <is>
          <t>01/01/2024</t>
        </is>
      </c>
      <c r="BZ377" t="inlineStr">
        <is>
          <t>30/06/2031</t>
        </is>
      </c>
    </row>
    <row r="378">
      <c r="A378" t="inlineStr">
        <is>
          <t>RESIDENCIAL BEYOND</t>
        </is>
      </c>
      <c r="B378" t="inlineStr">
        <is>
          <t>Etapa 1</t>
        </is>
      </c>
      <c r="C378" t="inlineStr">
        <is>
          <t>Edificio</t>
        </is>
      </c>
      <c r="D378" t="inlineStr">
        <is>
          <t>A</t>
        </is>
      </c>
      <c r="E378" t="inlineStr">
        <is>
          <t>Departamento</t>
        </is>
      </c>
      <c r="F378" t="inlineStr">
        <is>
          <t>402</t>
        </is>
      </c>
      <c r="G378" s="39" t="n">
        <v>430000</v>
      </c>
      <c r="H378" s="39" t="n">
        <v>400000</v>
      </c>
      <c r="I378" t="inlineStr">
        <is>
          <t>Edificio</t>
        </is>
      </c>
      <c r="J378" t="inlineStr">
        <is>
          <t>A</t>
        </is>
      </c>
      <c r="K378" t="inlineStr">
        <is>
          <t>Estacionamiento</t>
        </is>
      </c>
      <c r="L378" t="inlineStr">
        <is>
          <t>E 44 - D 26</t>
        </is>
      </c>
      <c r="M378" s="39" t="n">
        <v>48500</v>
      </c>
      <c r="N378" s="39" t="n">
        <v>48500</v>
      </c>
      <c r="S378" s="39" t="n"/>
      <c r="T378" s="39" t="n"/>
      <c r="Y378" s="39" t="n"/>
      <c r="Z378" s="39" t="n"/>
      <c r="AA378" t="inlineStr">
        <is>
          <t>Gina Victoria Saenz Pasco</t>
        </is>
      </c>
      <c r="AB378" t="inlineStr">
        <is>
          <t>70436237</t>
        </is>
      </c>
      <c r="AC378" t="inlineStr">
        <is>
          <t>Av. Cordialidad 8079 Urb. La Floresta</t>
        </is>
      </c>
      <c r="AD378" t="n">
        <v>0</v>
      </c>
      <c r="AE378" t="inlineStr">
        <is>
          <t>992686657</t>
        </is>
      </c>
      <c r="AF378" t="inlineStr">
        <is>
          <t>g.saenz22@gmail.com</t>
        </is>
      </c>
      <c r="AG378" t="inlineStr">
        <is>
          <t>LIMA</t>
        </is>
      </c>
      <c r="AH378" t="inlineStr">
        <is>
          <t>LOS OLIVOS</t>
        </is>
      </c>
      <c r="AI378" s="75" t="n">
        <v>46280</v>
      </c>
      <c r="AJ378" s="75" t="n"/>
      <c r="AK378" t="inlineStr">
        <is>
          <t>SALDO FINANCIAR</t>
        </is>
      </c>
      <c r="AL378" t="n">
        <v>1</v>
      </c>
      <c r="AM378" t="n">
        <v>98375</v>
      </c>
      <c r="AN378" t="n">
        <v>0</v>
      </c>
      <c r="AO378" t="n">
        <v>0</v>
      </c>
      <c r="AP378" s="39" t="n">
        <v>98375</v>
      </c>
      <c r="AQ378" s="39" t="n">
        <v>0</v>
      </c>
      <c r="AR378" s="39" t="n">
        <v>98375</v>
      </c>
      <c r="AT378" t="inlineStr">
        <is>
          <t>Ahorro</t>
        </is>
      </c>
      <c r="AZ378" t="inlineStr">
        <is>
          <t>No</t>
        </is>
      </c>
      <c r="BC378" t="inlineStr">
        <is>
          <t>PENDIENTE</t>
        </is>
      </c>
      <c r="BN378" t="inlineStr">
        <is>
          <t>No</t>
        </is>
      </c>
      <c r="BO378" s="76" t="n">
        <v>46111.42430555556</v>
      </c>
      <c r="BP378" t="inlineStr">
        <is>
          <t>Magaly Guevara Perez</t>
        </is>
      </c>
      <c r="BR378" t="n">
        <v>27</v>
      </c>
      <c r="BW378" t="inlineStr">
        <is>
          <t>Cobranzas_2026.csv</t>
        </is>
      </c>
      <c r="BX378" t="n">
        <v>2026</v>
      </c>
      <c r="BY378" t="inlineStr">
        <is>
          <t>01/01/2024</t>
        </is>
      </c>
      <c r="BZ378" t="inlineStr">
        <is>
          <t>30/06/2031</t>
        </is>
      </c>
    </row>
    <row r="379">
      <c r="A379" t="inlineStr">
        <is>
          <t>RESIDENCIAL VENECIA</t>
        </is>
      </c>
      <c r="B379" t="inlineStr">
        <is>
          <t>Etapa 1</t>
        </is>
      </c>
      <c r="C379" t="inlineStr">
        <is>
          <t>Edificio</t>
        </is>
      </c>
      <c r="D379" t="inlineStr">
        <is>
          <t>A</t>
        </is>
      </c>
      <c r="E379" t="inlineStr">
        <is>
          <t>Departamento</t>
        </is>
      </c>
      <c r="F379" t="inlineStr">
        <is>
          <t>304</t>
        </is>
      </c>
      <c r="G379" s="39" t="n">
        <v>438000</v>
      </c>
      <c r="H379" s="39" t="n">
        <v>438000</v>
      </c>
      <c r="I379" t="inlineStr">
        <is>
          <t>Edificio</t>
        </is>
      </c>
      <c r="J379" t="inlineStr">
        <is>
          <t>A</t>
        </is>
      </c>
      <c r="K379" t="inlineStr">
        <is>
          <t>Estacionamiento</t>
        </is>
      </c>
      <c r="L379" t="inlineStr">
        <is>
          <t>E 28 - D 15</t>
        </is>
      </c>
      <c r="M379" s="39" t="n">
        <v>43000</v>
      </c>
      <c r="N379" s="39" t="n">
        <v>43000</v>
      </c>
      <c r="S379" s="39" t="n"/>
      <c r="T379" s="39" t="n"/>
      <c r="Y379" s="39" t="n"/>
      <c r="Z379" s="39" t="n"/>
      <c r="AA379" t="inlineStr">
        <is>
          <t>Giovani Chumioque Garcia</t>
        </is>
      </c>
      <c r="AB379" t="inlineStr">
        <is>
          <t>46074285</t>
        </is>
      </c>
      <c r="AC379" t="inlineStr">
        <is>
          <t xml:space="preserve">JR.CANGALLO Nº185 </t>
        </is>
      </c>
      <c r="AD379" t="n">
        <v>0</v>
      </c>
      <c r="AE379" t="inlineStr">
        <is>
          <t>970793151</t>
        </is>
      </c>
      <c r="AF379" t="inlineStr">
        <is>
          <t>giojoy@hotmail.com</t>
        </is>
      </c>
      <c r="AG379" t="inlineStr">
        <is>
          <t>LIMA</t>
        </is>
      </c>
      <c r="AH379" t="inlineStr">
        <is>
          <t>CERCADO DE LIMA</t>
        </is>
      </c>
      <c r="AI379" s="75" t="n">
        <v>46203</v>
      </c>
      <c r="AJ379" s="75" t="n"/>
      <c r="AK379" t="inlineStr">
        <is>
          <t>SALDO FINANCIAR</t>
        </is>
      </c>
      <c r="AL379" t="n">
        <v>1</v>
      </c>
      <c r="AM379" t="n">
        <v>331000</v>
      </c>
      <c r="AN379" t="n">
        <v>0</v>
      </c>
      <c r="AO379" t="n">
        <v>0</v>
      </c>
      <c r="AP379" s="39" t="n">
        <v>331000</v>
      </c>
      <c r="AQ379" s="39" t="n">
        <v>0</v>
      </c>
      <c r="AR379" s="39" t="n">
        <v>331000</v>
      </c>
      <c r="AT379" t="inlineStr">
        <is>
          <t>Crédito Hipotecario</t>
        </is>
      </c>
      <c r="AZ379" t="inlineStr">
        <is>
          <t>No</t>
        </is>
      </c>
      <c r="BC379" t="inlineStr">
        <is>
          <t>VENCIDO</t>
        </is>
      </c>
      <c r="BN379" t="inlineStr">
        <is>
          <t>No</t>
        </is>
      </c>
      <c r="BO379" s="76" t="n">
        <v>46178.33888888889</v>
      </c>
      <c r="BP379" t="inlineStr">
        <is>
          <t>Magaly Guevara Perez</t>
        </is>
      </c>
      <c r="BR379" t="n">
        <v>6</v>
      </c>
      <c r="BW379" t="inlineStr">
        <is>
          <t>Cobranzas_2026.csv</t>
        </is>
      </c>
      <c r="BX379" t="n">
        <v>2026</v>
      </c>
      <c r="BY379" t="inlineStr">
        <is>
          <t>01/01/2024</t>
        </is>
      </c>
      <c r="BZ379" t="inlineStr">
        <is>
          <t>30/06/2031</t>
        </is>
      </c>
    </row>
    <row r="380">
      <c r="A380" t="inlineStr">
        <is>
          <t>RESIDENCIAL PRADA</t>
        </is>
      </c>
      <c r="B380" t="inlineStr">
        <is>
          <t>Etapa 1</t>
        </is>
      </c>
      <c r="C380" t="inlineStr">
        <is>
          <t>Edificio</t>
        </is>
      </c>
      <c r="D380" t="inlineStr">
        <is>
          <t>A</t>
        </is>
      </c>
      <c r="E380" t="inlineStr">
        <is>
          <t>Departamento</t>
        </is>
      </c>
      <c r="F380" t="inlineStr">
        <is>
          <t>304</t>
        </is>
      </c>
      <c r="G380" s="39" t="n">
        <v>480000</v>
      </c>
      <c r="H380" s="39" t="n">
        <v>428700</v>
      </c>
      <c r="I380" t="inlineStr">
        <is>
          <t>Edificio</t>
        </is>
      </c>
      <c r="J380" t="inlineStr">
        <is>
          <t>A</t>
        </is>
      </c>
      <c r="K380" t="inlineStr">
        <is>
          <t>Estacionamiento</t>
        </is>
      </c>
      <c r="L380" t="inlineStr">
        <is>
          <t>E 27 - D 21</t>
        </is>
      </c>
      <c r="M380" s="39" t="n">
        <v>57800</v>
      </c>
      <c r="N380" s="39" t="n">
        <v>57800</v>
      </c>
      <c r="S380" s="39" t="n"/>
      <c r="T380" s="39" t="n"/>
      <c r="Y380" s="39" t="n"/>
      <c r="Z380" s="39" t="n"/>
      <c r="AA380" t="inlineStr">
        <is>
          <t>Gisella Isabel Martinez Andrade</t>
        </is>
      </c>
      <c r="AB380" t="inlineStr">
        <is>
          <t>41633863</t>
        </is>
      </c>
      <c r="AC380" t="inlineStr">
        <is>
          <t xml:space="preserve"> Pasaje Manuel Gonzales Prada 1286</t>
        </is>
      </c>
      <c r="AD380" t="n">
        <v>993079451</v>
      </c>
      <c r="AE380" t="inlineStr">
        <is>
          <t>993079451</t>
        </is>
      </c>
      <c r="AF380" t="inlineStr">
        <is>
          <t>gisella.martinez01@gmail.com</t>
        </is>
      </c>
      <c r="AG380" t="inlineStr">
        <is>
          <t>LIMA</t>
        </is>
      </c>
      <c r="AH380" t="inlineStr">
        <is>
          <t>EL AGUSTINO</t>
        </is>
      </c>
      <c r="AI380" s="75" t="n">
        <v>46171</v>
      </c>
      <c r="AJ380" s="75" t="n">
        <v>46171</v>
      </c>
      <c r="AK380" t="inlineStr">
        <is>
          <t>SEPARACION</t>
        </is>
      </c>
      <c r="AL380" t="n">
        <v>1</v>
      </c>
      <c r="AM380" t="n">
        <v>3000</v>
      </c>
      <c r="AN380" t="n">
        <v>0</v>
      </c>
      <c r="AO380" t="n">
        <v>0</v>
      </c>
      <c r="AP380" s="39" t="n">
        <v>3000</v>
      </c>
      <c r="AQ380" s="39" t="n">
        <v>3000</v>
      </c>
      <c r="AR380" s="39" t="n">
        <v>0</v>
      </c>
      <c r="AS380" t="n">
        <v>0</v>
      </c>
      <c r="AT380" t="inlineStr">
        <is>
          <t>Crédito Hipotecario</t>
        </is>
      </c>
      <c r="AU380" t="inlineStr">
        <is>
          <t>Scotiabank Perú</t>
        </is>
      </c>
      <c r="AV380" t="inlineStr">
        <is>
          <t>000-2768484</t>
        </is>
      </c>
      <c r="AW380" t="inlineStr">
        <is>
          <t>TRANSFERENCIA BANCARIA</t>
        </is>
      </c>
      <c r="AY380" t="inlineStr">
        <is>
          <t>03360743</t>
        </is>
      </c>
      <c r="AZ380" t="inlineStr">
        <is>
          <t>No</t>
        </is>
      </c>
      <c r="BB380" t="n">
        <v>4</v>
      </c>
      <c r="BC380" t="inlineStr">
        <is>
          <t>CANCELADO</t>
        </is>
      </c>
      <c r="BN380" t="inlineStr">
        <is>
          <t>Si</t>
        </is>
      </c>
      <c r="BO380" s="76" t="n">
        <v>46191.65902777778</v>
      </c>
      <c r="BP380" t="inlineStr">
        <is>
          <t>Magaly Guevara Perez</t>
        </is>
      </c>
      <c r="BR380" t="n">
        <v>52</v>
      </c>
      <c r="BS380" t="inlineStr">
        <is>
          <t>14/07/2026 12:19</t>
        </is>
      </c>
      <c r="BW380" t="inlineStr">
        <is>
          <t>Cobranzas_2026.csv</t>
        </is>
      </c>
      <c r="BX380" t="n">
        <v>2026</v>
      </c>
      <c r="BY380" t="inlineStr">
        <is>
          <t>01/01/2024</t>
        </is>
      </c>
      <c r="BZ380" t="inlineStr">
        <is>
          <t>30/06/2031</t>
        </is>
      </c>
    </row>
    <row r="381">
      <c r="A381" t="inlineStr">
        <is>
          <t>RESIDENCIAL PRADA</t>
        </is>
      </c>
      <c r="B381" t="inlineStr">
        <is>
          <t>Etapa 1</t>
        </is>
      </c>
      <c r="C381" t="inlineStr">
        <is>
          <t>Edificio</t>
        </is>
      </c>
      <c r="D381" t="inlineStr">
        <is>
          <t>A</t>
        </is>
      </c>
      <c r="E381" t="inlineStr">
        <is>
          <t>Departamento</t>
        </is>
      </c>
      <c r="F381" t="inlineStr">
        <is>
          <t>304</t>
        </is>
      </c>
      <c r="G381" s="39" t="n">
        <v>480000</v>
      </c>
      <c r="H381" s="39" t="n">
        <v>428700</v>
      </c>
      <c r="I381" t="inlineStr">
        <is>
          <t>Edificio</t>
        </is>
      </c>
      <c r="J381" t="inlineStr">
        <is>
          <t>A</t>
        </is>
      </c>
      <c r="K381" t="inlineStr">
        <is>
          <t>Estacionamiento</t>
        </is>
      </c>
      <c r="L381" t="inlineStr">
        <is>
          <t>E 27 - D 21</t>
        </is>
      </c>
      <c r="M381" s="39" t="n">
        <v>57800</v>
      </c>
      <c r="N381" s="39" t="n">
        <v>57800</v>
      </c>
      <c r="S381" s="39" t="n"/>
      <c r="T381" s="39" t="n"/>
      <c r="Y381" s="39" t="n"/>
      <c r="Z381" s="39" t="n"/>
      <c r="AA381" t="inlineStr">
        <is>
          <t>Gisella Isabel Martinez Andrade</t>
        </is>
      </c>
      <c r="AB381" t="inlineStr">
        <is>
          <t>41633863</t>
        </is>
      </c>
      <c r="AC381" t="inlineStr">
        <is>
          <t xml:space="preserve"> Pasaje Manuel Gonzales Prada 1286</t>
        </is>
      </c>
      <c r="AD381" t="n">
        <v>993079451</v>
      </c>
      <c r="AE381" t="inlineStr">
        <is>
          <t>993079451</t>
        </is>
      </c>
      <c r="AF381" t="inlineStr">
        <is>
          <t>gisella.martinez01@gmail.com</t>
        </is>
      </c>
      <c r="AG381" t="inlineStr">
        <is>
          <t>LIMA</t>
        </is>
      </c>
      <c r="AH381" t="inlineStr">
        <is>
          <t>EL AGUSTINO</t>
        </is>
      </c>
      <c r="AI381" s="75" t="n">
        <v>46191</v>
      </c>
      <c r="AJ381" s="75" t="n">
        <v>46191</v>
      </c>
      <c r="AK381" t="inlineStr">
        <is>
          <t>CUOTA INICIAL</t>
        </is>
      </c>
      <c r="AL381" t="n">
        <v>1</v>
      </c>
      <c r="AM381" t="n">
        <v>30000</v>
      </c>
      <c r="AN381" t="n">
        <v>0</v>
      </c>
      <c r="AO381" t="n">
        <v>0</v>
      </c>
      <c r="AP381" s="39" t="n">
        <v>30000</v>
      </c>
      <c r="AQ381" s="39" t="n">
        <v>30000</v>
      </c>
      <c r="AR381" s="39" t="n">
        <v>0</v>
      </c>
      <c r="AS381" t="n">
        <v>0</v>
      </c>
      <c r="AT381" t="inlineStr">
        <is>
          <t>Crédito Hipotecario</t>
        </is>
      </c>
      <c r="AU381" t="inlineStr">
        <is>
          <t>Scotiabank Perú</t>
        </is>
      </c>
      <c r="AV381" t="inlineStr">
        <is>
          <t>000-2768484</t>
        </is>
      </c>
      <c r="AW381" t="inlineStr">
        <is>
          <t>TRANSFERENCIA BANCARIA</t>
        </is>
      </c>
      <c r="AX381" t="n">
        <v>41633863</v>
      </c>
      <c r="AY381" t="inlineStr">
        <is>
          <t>000078289</t>
        </is>
      </c>
      <c r="AZ381" t="inlineStr">
        <is>
          <t>No</t>
        </is>
      </c>
      <c r="BA381" t="inlineStr">
        <is>
          <t>NO PRECISA</t>
        </is>
      </c>
      <c r="BB381" t="n">
        <v>4</v>
      </c>
      <c r="BC381" t="inlineStr">
        <is>
          <t>CANCELADO</t>
        </is>
      </c>
      <c r="BN381" t="inlineStr">
        <is>
          <t>Si</t>
        </is>
      </c>
      <c r="BO381" s="76" t="n">
        <v>46191.65902777778</v>
      </c>
      <c r="BP381" t="inlineStr">
        <is>
          <t>Magaly Guevara Perez</t>
        </is>
      </c>
      <c r="BR381" t="n">
        <v>52</v>
      </c>
      <c r="BS381" t="inlineStr">
        <is>
          <t>14/07/2026 12:33</t>
        </is>
      </c>
      <c r="BW381" t="inlineStr">
        <is>
          <t>Cobranzas_2026.csv</t>
        </is>
      </c>
      <c r="BX381" t="n">
        <v>2026</v>
      </c>
      <c r="BY381" t="inlineStr">
        <is>
          <t>01/01/2024</t>
        </is>
      </c>
      <c r="BZ381" t="inlineStr">
        <is>
          <t>30/06/2031</t>
        </is>
      </c>
    </row>
    <row r="382">
      <c r="A382" t="inlineStr">
        <is>
          <t>RESIDENCIAL PRADA</t>
        </is>
      </c>
      <c r="B382" t="inlineStr">
        <is>
          <t>Etapa 1</t>
        </is>
      </c>
      <c r="C382" t="inlineStr">
        <is>
          <t>Edificio</t>
        </is>
      </c>
      <c r="D382" t="inlineStr">
        <is>
          <t>A</t>
        </is>
      </c>
      <c r="E382" t="inlineStr">
        <is>
          <t>Departamento</t>
        </is>
      </c>
      <c r="F382" t="inlineStr">
        <is>
          <t>304</t>
        </is>
      </c>
      <c r="G382" s="39" t="n">
        <v>480000</v>
      </c>
      <c r="H382" s="39" t="n">
        <v>428700</v>
      </c>
      <c r="I382" t="inlineStr">
        <is>
          <t>Edificio</t>
        </is>
      </c>
      <c r="J382" t="inlineStr">
        <is>
          <t>A</t>
        </is>
      </c>
      <c r="K382" t="inlineStr">
        <is>
          <t>Estacionamiento</t>
        </is>
      </c>
      <c r="L382" t="inlineStr">
        <is>
          <t>E 27 - D 21</t>
        </is>
      </c>
      <c r="M382" s="39" t="n">
        <v>57800</v>
      </c>
      <c r="N382" s="39" t="n">
        <v>57800</v>
      </c>
      <c r="S382" s="39" t="n"/>
      <c r="T382" s="39" t="n"/>
      <c r="Y382" s="39" t="n"/>
      <c r="Z382" s="39" t="n"/>
      <c r="AA382" t="inlineStr">
        <is>
          <t>Gisella Isabel Martinez Andrade</t>
        </is>
      </c>
      <c r="AB382" t="inlineStr">
        <is>
          <t>41633863</t>
        </is>
      </c>
      <c r="AC382" t="inlineStr">
        <is>
          <t xml:space="preserve"> Pasaje Manuel Gonzales Prada 1286</t>
        </is>
      </c>
      <c r="AD382" t="n">
        <v>993079451</v>
      </c>
      <c r="AE382" t="inlineStr">
        <is>
          <t>993079451</t>
        </is>
      </c>
      <c r="AF382" t="inlineStr">
        <is>
          <t>gisella.martinez01@gmail.com</t>
        </is>
      </c>
      <c r="AG382" t="inlineStr">
        <is>
          <t>LIMA</t>
        </is>
      </c>
      <c r="AH382" t="inlineStr">
        <is>
          <t>EL AGUSTINO</t>
        </is>
      </c>
      <c r="AI382" s="75" t="n">
        <v>46191</v>
      </c>
      <c r="AJ382" s="75" t="n">
        <v>46191</v>
      </c>
      <c r="AK382" t="inlineStr">
        <is>
          <t>CUOTA INICIAL</t>
        </is>
      </c>
      <c r="AL382" t="n">
        <v>2</v>
      </c>
      <c r="AM382" t="n">
        <v>15650</v>
      </c>
      <c r="AN382" t="n">
        <v>0</v>
      </c>
      <c r="AO382" t="n">
        <v>0</v>
      </c>
      <c r="AP382" s="39" t="n">
        <v>15650</v>
      </c>
      <c r="AQ382" s="39" t="n">
        <v>15650</v>
      </c>
      <c r="AR382" s="39" t="n">
        <v>0</v>
      </c>
      <c r="AS382" t="n">
        <v>0</v>
      </c>
      <c r="AT382" t="inlineStr">
        <is>
          <t>Crédito Hipotecario</t>
        </is>
      </c>
      <c r="AU382" t="inlineStr">
        <is>
          <t>Scotiabank Perú</t>
        </is>
      </c>
      <c r="AV382" t="inlineStr">
        <is>
          <t>000-2768484</t>
        </is>
      </c>
      <c r="AW382" t="inlineStr">
        <is>
          <t>TRANSFERENCIA BANCARIA</t>
        </is>
      </c>
      <c r="AX382" t="n">
        <v>41633863</v>
      </c>
      <c r="AY382" t="inlineStr">
        <is>
          <t>06099409</t>
        </is>
      </c>
      <c r="AZ382" t="inlineStr">
        <is>
          <t>No</t>
        </is>
      </c>
      <c r="BA382" t="inlineStr">
        <is>
          <t>NO PRECISA</t>
        </is>
      </c>
      <c r="BB382" t="n">
        <v>4</v>
      </c>
      <c r="BC382" t="inlineStr">
        <is>
          <t>CANCELADO</t>
        </is>
      </c>
      <c r="BN382" t="inlineStr">
        <is>
          <t>Si</t>
        </is>
      </c>
      <c r="BO382" s="76" t="n">
        <v>46191.65902777778</v>
      </c>
      <c r="BP382" t="inlineStr">
        <is>
          <t>Magaly Guevara Perez</t>
        </is>
      </c>
      <c r="BR382" t="n">
        <v>52</v>
      </c>
      <c r="BS382" t="inlineStr">
        <is>
          <t>14/07/2026 12:36</t>
        </is>
      </c>
      <c r="BW382" t="inlineStr">
        <is>
          <t>Cobranzas_2026.csv</t>
        </is>
      </c>
      <c r="BX382" t="n">
        <v>2026</v>
      </c>
      <c r="BY382" t="inlineStr">
        <is>
          <t>01/01/2024</t>
        </is>
      </c>
      <c r="BZ382" t="inlineStr">
        <is>
          <t>30/06/2031</t>
        </is>
      </c>
    </row>
    <row r="383">
      <c r="A383" t="inlineStr">
        <is>
          <t>RESIDENCIAL PRADA</t>
        </is>
      </c>
      <c r="B383" t="inlineStr">
        <is>
          <t>Etapa 1</t>
        </is>
      </c>
      <c r="C383" t="inlineStr">
        <is>
          <t>Edificio</t>
        </is>
      </c>
      <c r="D383" t="inlineStr">
        <is>
          <t>A</t>
        </is>
      </c>
      <c r="E383" t="inlineStr">
        <is>
          <t>Departamento</t>
        </is>
      </c>
      <c r="F383" t="inlineStr">
        <is>
          <t>304</t>
        </is>
      </c>
      <c r="G383" s="39" t="n">
        <v>480000</v>
      </c>
      <c r="H383" s="39" t="n">
        <v>428700</v>
      </c>
      <c r="I383" t="inlineStr">
        <is>
          <t>Edificio</t>
        </is>
      </c>
      <c r="J383" t="inlineStr">
        <is>
          <t>A</t>
        </is>
      </c>
      <c r="K383" t="inlineStr">
        <is>
          <t>Estacionamiento</t>
        </is>
      </c>
      <c r="L383" t="inlineStr">
        <is>
          <t>E 27 - D 21</t>
        </is>
      </c>
      <c r="M383" s="39" t="n">
        <v>57800</v>
      </c>
      <c r="N383" s="39" t="n">
        <v>57800</v>
      </c>
      <c r="S383" s="39" t="n"/>
      <c r="T383" s="39" t="n"/>
      <c r="Y383" s="39" t="n"/>
      <c r="Z383" s="39" t="n"/>
      <c r="AA383" t="inlineStr">
        <is>
          <t>Gisella Isabel Martinez Andrade</t>
        </is>
      </c>
      <c r="AB383" t="inlineStr">
        <is>
          <t>41633863</t>
        </is>
      </c>
      <c r="AC383" t="inlineStr">
        <is>
          <t xml:space="preserve"> Pasaje Manuel Gonzales Prada 1286</t>
        </is>
      </c>
      <c r="AD383" t="n">
        <v>993079451</v>
      </c>
      <c r="AE383" t="inlineStr">
        <is>
          <t>993079451</t>
        </is>
      </c>
      <c r="AF383" t="inlineStr">
        <is>
          <t>gisella.martinez01@gmail.com</t>
        </is>
      </c>
      <c r="AG383" t="inlineStr">
        <is>
          <t>LIMA</t>
        </is>
      </c>
      <c r="AH383" t="inlineStr">
        <is>
          <t>EL AGUSTINO</t>
        </is>
      </c>
      <c r="AI383" s="75" t="n">
        <v>46218</v>
      </c>
      <c r="AJ383" s="75" t="n"/>
      <c r="AK383" t="inlineStr">
        <is>
          <t>CUOTA INICIAL</t>
        </is>
      </c>
      <c r="AL383" t="n">
        <v>3</v>
      </c>
      <c r="AM383" t="n">
        <v>99850</v>
      </c>
      <c r="AN383" t="n">
        <v>0</v>
      </c>
      <c r="AO383" t="n">
        <v>0</v>
      </c>
      <c r="AP383" s="39" t="n">
        <v>99850</v>
      </c>
      <c r="AQ383" s="39" t="n">
        <v>0</v>
      </c>
      <c r="AR383" s="39" t="n">
        <v>99850</v>
      </c>
      <c r="AT383" t="inlineStr">
        <is>
          <t>Crédito Hipotecario</t>
        </is>
      </c>
      <c r="AZ383" t="inlineStr">
        <is>
          <t>No</t>
        </is>
      </c>
      <c r="BC383" t="inlineStr">
        <is>
          <t>PENDIENTE</t>
        </is>
      </c>
      <c r="BN383" t="inlineStr">
        <is>
          <t>No</t>
        </is>
      </c>
      <c r="BO383" s="76" t="n">
        <v>46191.65902777778</v>
      </c>
      <c r="BP383" t="inlineStr">
        <is>
          <t>Magaly Guevara Perez</t>
        </is>
      </c>
      <c r="BR383" t="n">
        <v>52</v>
      </c>
      <c r="BW383" t="inlineStr">
        <is>
          <t>Cobranzas_2026.csv</t>
        </is>
      </c>
      <c r="BX383" t="n">
        <v>2026</v>
      </c>
      <c r="BY383" t="inlineStr">
        <is>
          <t>01/01/2024</t>
        </is>
      </c>
      <c r="BZ383" t="inlineStr">
        <is>
          <t>30/06/2031</t>
        </is>
      </c>
    </row>
    <row r="384">
      <c r="A384" t="inlineStr">
        <is>
          <t>RESIDENCIAL PRADA</t>
        </is>
      </c>
      <c r="B384" t="inlineStr">
        <is>
          <t>Etapa 1</t>
        </is>
      </c>
      <c r="C384" t="inlineStr">
        <is>
          <t>Edificio</t>
        </is>
      </c>
      <c r="D384" t="inlineStr">
        <is>
          <t>A</t>
        </is>
      </c>
      <c r="E384" t="inlineStr">
        <is>
          <t>Departamento</t>
        </is>
      </c>
      <c r="F384" t="inlineStr">
        <is>
          <t>304</t>
        </is>
      </c>
      <c r="G384" s="39" t="n">
        <v>480000</v>
      </c>
      <c r="H384" s="39" t="n">
        <v>428700</v>
      </c>
      <c r="I384" t="inlineStr">
        <is>
          <t>Edificio</t>
        </is>
      </c>
      <c r="J384" t="inlineStr">
        <is>
          <t>A</t>
        </is>
      </c>
      <c r="K384" t="inlineStr">
        <is>
          <t>Estacionamiento</t>
        </is>
      </c>
      <c r="L384" t="inlineStr">
        <is>
          <t>E 27 - D 21</t>
        </is>
      </c>
      <c r="M384" s="39" t="n">
        <v>57800</v>
      </c>
      <c r="N384" s="39" t="n">
        <v>57800</v>
      </c>
      <c r="S384" s="39" t="n"/>
      <c r="T384" s="39" t="n"/>
      <c r="Y384" s="39" t="n"/>
      <c r="Z384" s="39" t="n"/>
      <c r="AA384" t="inlineStr">
        <is>
          <t>Gisella Isabel Martinez Andrade</t>
        </is>
      </c>
      <c r="AB384" t="inlineStr">
        <is>
          <t>41633863</t>
        </is>
      </c>
      <c r="AC384" t="inlineStr">
        <is>
          <t xml:space="preserve"> Pasaje Manuel Gonzales Prada 1286</t>
        </is>
      </c>
      <c r="AD384" t="n">
        <v>993079451</v>
      </c>
      <c r="AE384" t="inlineStr">
        <is>
          <t>993079451</t>
        </is>
      </c>
      <c r="AF384" t="inlineStr">
        <is>
          <t>gisella.martinez01@gmail.com</t>
        </is>
      </c>
      <c r="AG384" t="inlineStr">
        <is>
          <t>LIMA</t>
        </is>
      </c>
      <c r="AH384" t="inlineStr">
        <is>
          <t>EL AGUSTINO</t>
        </is>
      </c>
      <c r="AI384" s="75" t="n">
        <v>46254.44652777778</v>
      </c>
      <c r="AJ384" s="75" t="n"/>
      <c r="AK384" t="inlineStr">
        <is>
          <t>SALDO FINANCIAR</t>
        </is>
      </c>
      <c r="AL384" t="n">
        <v>1</v>
      </c>
      <c r="AM384" t="n">
        <v>338000</v>
      </c>
      <c r="AN384" t="n">
        <v>0</v>
      </c>
      <c r="AO384" t="n">
        <v>0</v>
      </c>
      <c r="AP384" s="39" t="n">
        <v>338000</v>
      </c>
      <c r="AQ384" s="39" t="n">
        <v>0</v>
      </c>
      <c r="AR384" s="39" t="n">
        <v>338000</v>
      </c>
      <c r="AT384" t="inlineStr">
        <is>
          <t>Crédito Hipotecario</t>
        </is>
      </c>
      <c r="AZ384" t="inlineStr">
        <is>
          <t>No</t>
        </is>
      </c>
      <c r="BC384" t="inlineStr">
        <is>
          <t>PENDIENTE</t>
        </is>
      </c>
      <c r="BN384" t="inlineStr">
        <is>
          <t>No</t>
        </is>
      </c>
      <c r="BO384" s="76" t="n">
        <v>46191.65902777778</v>
      </c>
      <c r="BP384" t="inlineStr">
        <is>
          <t>Magaly Guevara Perez</t>
        </is>
      </c>
      <c r="BR384" t="n">
        <v>52</v>
      </c>
      <c r="BW384" t="inlineStr">
        <is>
          <t>Cobranzas_2026.csv</t>
        </is>
      </c>
      <c r="BX384" t="n">
        <v>2026</v>
      </c>
      <c r="BY384" t="inlineStr">
        <is>
          <t>01/01/2024</t>
        </is>
      </c>
      <c r="BZ384" t="inlineStr">
        <is>
          <t>30/06/2031</t>
        </is>
      </c>
    </row>
    <row r="385">
      <c r="A385" t="inlineStr">
        <is>
          <t>RESIDENCIAL PRADA</t>
        </is>
      </c>
      <c r="B385" t="inlineStr">
        <is>
          <t>Etapa 1</t>
        </is>
      </c>
      <c r="C385" t="inlineStr">
        <is>
          <t>Edificio</t>
        </is>
      </c>
      <c r="D385" t="inlineStr">
        <is>
          <t>A</t>
        </is>
      </c>
      <c r="E385" t="inlineStr">
        <is>
          <t>Departamento</t>
        </is>
      </c>
      <c r="F385" t="inlineStr">
        <is>
          <t>401</t>
        </is>
      </c>
      <c r="G385" s="39" t="n">
        <v>630000</v>
      </c>
      <c r="H385" s="39" t="n">
        <v>630000</v>
      </c>
      <c r="M385" s="39" t="n"/>
      <c r="N385" s="39" t="n"/>
      <c r="S385" s="39" t="n"/>
      <c r="T385" s="39" t="n"/>
      <c r="Y385" s="39" t="n"/>
      <c r="Z385" s="39" t="n"/>
      <c r="AA385" t="inlineStr">
        <is>
          <t>Gladys Marta Moreano Bellido</t>
        </is>
      </c>
      <c r="AB385" t="inlineStr">
        <is>
          <t>23951642</t>
        </is>
      </c>
      <c r="AC385" t="inlineStr">
        <is>
          <t>General Sta. Cruz 416 interior 311</t>
        </is>
      </c>
      <c r="AD385" t="n">
        <v>0</v>
      </c>
      <c r="AE385" t="inlineStr">
        <is>
          <t>944421327</t>
        </is>
      </c>
      <c r="AF385" t="inlineStr">
        <is>
          <t>cuscoya@gmail.com</t>
        </is>
      </c>
      <c r="AG385" t="inlineStr">
        <is>
          <t>LIMA</t>
        </is>
      </c>
      <c r="AH385" t="inlineStr">
        <is>
          <t>JESUS MARIA</t>
        </is>
      </c>
      <c r="AI385" s="75" t="n">
        <v>46185</v>
      </c>
      <c r="AJ385" s="75" t="n">
        <v>46017</v>
      </c>
      <c r="AK385" t="inlineStr">
        <is>
          <t>SALDO FINANCIAR</t>
        </is>
      </c>
      <c r="AL385" t="n">
        <v>5</v>
      </c>
      <c r="AM385" t="n">
        <v>0</v>
      </c>
      <c r="AN385" t="n">
        <v>0</v>
      </c>
      <c r="AO385" t="n">
        <v>0</v>
      </c>
      <c r="AP385" s="39" t="n">
        <v>73333.33</v>
      </c>
      <c r="AQ385" s="39" t="n">
        <v>11666.68</v>
      </c>
      <c r="AR385" s="39" t="n">
        <v>0</v>
      </c>
      <c r="AS385" t="n">
        <v>0</v>
      </c>
      <c r="AT385" t="inlineStr">
        <is>
          <t>Crédito Directo</t>
        </is>
      </c>
      <c r="AU385" t="inlineStr">
        <is>
          <t>Scotiabank Perú</t>
        </is>
      </c>
      <c r="AV385" t="inlineStr">
        <is>
          <t>000-2768484</t>
        </is>
      </c>
      <c r="AW385" t="inlineStr">
        <is>
          <t>TRANSFERENCIA BANCARIA</t>
        </is>
      </c>
      <c r="AY385" t="inlineStr">
        <is>
          <t>01346005</t>
        </is>
      </c>
      <c r="AZ385" t="inlineStr">
        <is>
          <t>No</t>
        </is>
      </c>
      <c r="BB385" t="n">
        <v>4</v>
      </c>
      <c r="BC385" t="inlineStr">
        <is>
          <t>CANCELADO</t>
        </is>
      </c>
      <c r="BN385" t="inlineStr">
        <is>
          <t>Si</t>
        </is>
      </c>
      <c r="BO385" s="76" t="n">
        <v>45773.61388888889</v>
      </c>
      <c r="BP385" t="inlineStr">
        <is>
          <t>Kenny Salazar S</t>
        </is>
      </c>
      <c r="BR385" t="n">
        <v>35</v>
      </c>
      <c r="BS385" t="inlineStr">
        <is>
          <t>03/07/2026 11:57</t>
        </is>
      </c>
      <c r="BW385" t="inlineStr">
        <is>
          <t>Cobranzas_2026.csv</t>
        </is>
      </c>
      <c r="BX385" t="n">
        <v>2026</v>
      </c>
      <c r="BY385" t="inlineStr">
        <is>
          <t>01/01/2024</t>
        </is>
      </c>
      <c r="BZ385" t="inlineStr">
        <is>
          <t>30/06/2031</t>
        </is>
      </c>
    </row>
    <row r="386">
      <c r="A386" t="inlineStr">
        <is>
          <t>RESIDENCIAL PRADA</t>
        </is>
      </c>
      <c r="B386" t="inlineStr">
        <is>
          <t>Etapa 1</t>
        </is>
      </c>
      <c r="C386" t="inlineStr">
        <is>
          <t>Edificio</t>
        </is>
      </c>
      <c r="D386" t="inlineStr">
        <is>
          <t>A</t>
        </is>
      </c>
      <c r="E386" t="inlineStr">
        <is>
          <t>Departamento</t>
        </is>
      </c>
      <c r="F386" t="inlineStr">
        <is>
          <t>401</t>
        </is>
      </c>
      <c r="G386" s="39" t="n">
        <v>630000</v>
      </c>
      <c r="H386" s="39" t="n">
        <v>630000</v>
      </c>
      <c r="M386" s="39" t="n"/>
      <c r="N386" s="39" t="n"/>
      <c r="S386" s="39" t="n"/>
      <c r="T386" s="39" t="n"/>
      <c r="Y386" s="39" t="n"/>
      <c r="Z386" s="39" t="n"/>
      <c r="AA386" t="inlineStr">
        <is>
          <t>Gladys Marta Moreano Bellido</t>
        </is>
      </c>
      <c r="AB386" t="inlineStr">
        <is>
          <t>23951642</t>
        </is>
      </c>
      <c r="AC386" t="inlineStr">
        <is>
          <t>General Sta. Cruz 416 interior 311</t>
        </is>
      </c>
      <c r="AD386" t="n">
        <v>0</v>
      </c>
      <c r="AE386" t="inlineStr">
        <is>
          <t>944421327</t>
        </is>
      </c>
      <c r="AF386" t="inlineStr">
        <is>
          <t>cuscoya@gmail.com</t>
        </is>
      </c>
      <c r="AG386" t="inlineStr">
        <is>
          <t>LIMA</t>
        </is>
      </c>
      <c r="AH386" t="inlineStr">
        <is>
          <t>JESUS MARIA</t>
        </is>
      </c>
      <c r="AI386" s="75" t="n">
        <v>46185</v>
      </c>
      <c r="AJ386" s="75" t="n">
        <v>46185</v>
      </c>
      <c r="AK386" t="inlineStr">
        <is>
          <t>SALDO FINANCIAR</t>
        </is>
      </c>
      <c r="AL386" t="n">
        <v>5</v>
      </c>
      <c r="AM386" t="n">
        <v>0</v>
      </c>
      <c r="AN386" t="n">
        <v>0</v>
      </c>
      <c r="AO386" t="n">
        <v>0</v>
      </c>
      <c r="AP386" s="39" t="n">
        <v>0</v>
      </c>
      <c r="AQ386" s="39" t="n">
        <v>50000</v>
      </c>
      <c r="AR386" s="39" t="n">
        <v>0</v>
      </c>
      <c r="AS386" t="n">
        <v>0</v>
      </c>
      <c r="AT386" t="inlineStr">
        <is>
          <t>Crédito Directo</t>
        </is>
      </c>
      <c r="AU386" t="inlineStr">
        <is>
          <t>Scotiabank Perú</t>
        </is>
      </c>
      <c r="AV386" t="inlineStr">
        <is>
          <t>000-2768484</t>
        </is>
      </c>
      <c r="AW386" t="inlineStr">
        <is>
          <t>TRANSFERENCIA BANCARIA</t>
        </is>
      </c>
      <c r="AY386" t="inlineStr">
        <is>
          <t>005509418</t>
        </is>
      </c>
      <c r="AZ386" t="inlineStr">
        <is>
          <t>No</t>
        </is>
      </c>
      <c r="BB386" t="n">
        <v>4</v>
      </c>
      <c r="BC386" t="inlineStr">
        <is>
          <t>CANCELADO</t>
        </is>
      </c>
      <c r="BN386" t="inlineStr">
        <is>
          <t>Si</t>
        </is>
      </c>
      <c r="BO386" s="76" t="n">
        <v>45773.61388888889</v>
      </c>
      <c r="BP386" t="inlineStr">
        <is>
          <t>Kenny Salazar S</t>
        </is>
      </c>
      <c r="BR386" t="n">
        <v>35</v>
      </c>
      <c r="BS386" t="inlineStr">
        <is>
          <t>03/07/2026 11:57</t>
        </is>
      </c>
      <c r="BW386" t="inlineStr">
        <is>
          <t>Cobranzas_2026.csv</t>
        </is>
      </c>
      <c r="BX386" t="n">
        <v>2026</v>
      </c>
      <c r="BY386" t="inlineStr">
        <is>
          <t>01/01/2024</t>
        </is>
      </c>
      <c r="BZ386" t="inlineStr">
        <is>
          <t>30/06/2031</t>
        </is>
      </c>
    </row>
    <row r="387">
      <c r="A387" t="inlineStr">
        <is>
          <t>RESIDENCIAL PRADA</t>
        </is>
      </c>
      <c r="B387" t="inlineStr">
        <is>
          <t>Etapa 1</t>
        </is>
      </c>
      <c r="C387" t="inlineStr">
        <is>
          <t>Edificio</t>
        </is>
      </c>
      <c r="D387" t="inlineStr">
        <is>
          <t>A</t>
        </is>
      </c>
      <c r="E387" t="inlineStr">
        <is>
          <t>Departamento</t>
        </is>
      </c>
      <c r="F387" t="inlineStr">
        <is>
          <t>401</t>
        </is>
      </c>
      <c r="G387" s="39" t="n">
        <v>630000</v>
      </c>
      <c r="H387" s="39" t="n">
        <v>630000</v>
      </c>
      <c r="M387" s="39" t="n"/>
      <c r="N387" s="39" t="n"/>
      <c r="S387" s="39" t="n"/>
      <c r="T387" s="39" t="n"/>
      <c r="Y387" s="39" t="n"/>
      <c r="Z387" s="39" t="n"/>
      <c r="AA387" t="inlineStr">
        <is>
          <t>Gladys Marta Moreano Bellido</t>
        </is>
      </c>
      <c r="AB387" t="inlineStr">
        <is>
          <t>23951642</t>
        </is>
      </c>
      <c r="AC387" t="inlineStr">
        <is>
          <t>General Sta. Cruz 416 interior 311</t>
        </is>
      </c>
      <c r="AD387" t="n">
        <v>0</v>
      </c>
      <c r="AE387" t="inlineStr">
        <is>
          <t>944421327</t>
        </is>
      </c>
      <c r="AF387" t="inlineStr">
        <is>
          <t>cuscoya@gmail.com</t>
        </is>
      </c>
      <c r="AG387" t="inlineStr">
        <is>
          <t>LIMA</t>
        </is>
      </c>
      <c r="AH387" t="inlineStr">
        <is>
          <t>JESUS MARIA</t>
        </is>
      </c>
      <c r="AI387" s="75" t="n">
        <v>46185</v>
      </c>
      <c r="AJ387" s="75" t="n">
        <v>46197</v>
      </c>
      <c r="AK387" t="inlineStr">
        <is>
          <t>SALDO FINANCIAR</t>
        </is>
      </c>
      <c r="AL387" t="n">
        <v>5</v>
      </c>
      <c r="AM387" t="n">
        <v>73333.33</v>
      </c>
      <c r="AN387" t="n">
        <v>0</v>
      </c>
      <c r="AO387" t="n">
        <v>0</v>
      </c>
      <c r="AP387" s="39" t="n">
        <v>0</v>
      </c>
      <c r="AQ387" s="39" t="n">
        <v>11666.65</v>
      </c>
      <c r="AR387" s="39" t="n">
        <v>0</v>
      </c>
      <c r="AS387" t="n">
        <v>0</v>
      </c>
      <c r="AT387" t="inlineStr">
        <is>
          <t>Crédito Directo</t>
        </is>
      </c>
      <c r="AU387" t="inlineStr">
        <is>
          <t>Scotiabank Perú</t>
        </is>
      </c>
      <c r="AV387" t="inlineStr">
        <is>
          <t>000-2768484</t>
        </is>
      </c>
      <c r="AW387" t="inlineStr">
        <is>
          <t>TRANSFERENCIA BANCARIA</t>
        </is>
      </c>
      <c r="AY387" t="inlineStr">
        <is>
          <t>0142288</t>
        </is>
      </c>
      <c r="AZ387" t="inlineStr">
        <is>
          <t>No</t>
        </is>
      </c>
      <c r="BB387" t="n">
        <v>4</v>
      </c>
      <c r="BC387" t="inlineStr">
        <is>
          <t>CANCELADO</t>
        </is>
      </c>
      <c r="BN387" t="inlineStr">
        <is>
          <t>Si</t>
        </is>
      </c>
      <c r="BO387" s="76" t="n">
        <v>45773.61388888889</v>
      </c>
      <c r="BP387" t="inlineStr">
        <is>
          <t>Kenny Salazar S</t>
        </is>
      </c>
      <c r="BR387" t="n">
        <v>35</v>
      </c>
      <c r="BS387" t="inlineStr">
        <is>
          <t>03/07/2026 11:59</t>
        </is>
      </c>
      <c r="BW387" t="inlineStr">
        <is>
          <t>Cobranzas_2026.csv</t>
        </is>
      </c>
      <c r="BX387" t="n">
        <v>2026</v>
      </c>
      <c r="BY387" t="inlineStr">
        <is>
          <t>01/01/2024</t>
        </is>
      </c>
      <c r="BZ387" t="inlineStr">
        <is>
          <t>30/06/2031</t>
        </is>
      </c>
    </row>
    <row r="388">
      <c r="A388" t="inlineStr">
        <is>
          <t>RESIDENCIAL PRADA</t>
        </is>
      </c>
      <c r="B388" t="inlineStr">
        <is>
          <t>Etapa 1</t>
        </is>
      </c>
      <c r="C388" t="inlineStr">
        <is>
          <t>Edificio</t>
        </is>
      </c>
      <c r="D388" t="inlineStr">
        <is>
          <t>A</t>
        </is>
      </c>
      <c r="E388" t="inlineStr">
        <is>
          <t>Departamento</t>
        </is>
      </c>
      <c r="F388" t="inlineStr">
        <is>
          <t>401</t>
        </is>
      </c>
      <c r="G388" s="39" t="n">
        <v>630000</v>
      </c>
      <c r="H388" s="39" t="n">
        <v>630000</v>
      </c>
      <c r="M388" s="39" t="n"/>
      <c r="N388" s="39" t="n"/>
      <c r="S388" s="39" t="n"/>
      <c r="T388" s="39" t="n"/>
      <c r="Y388" s="39" t="n"/>
      <c r="Z388" s="39" t="n"/>
      <c r="AA388" t="inlineStr">
        <is>
          <t>Gladys Marta Moreano Bellido</t>
        </is>
      </c>
      <c r="AB388" t="inlineStr">
        <is>
          <t>23951642</t>
        </is>
      </c>
      <c r="AC388" t="inlineStr">
        <is>
          <t>General Sta. Cruz 416 interior 311</t>
        </is>
      </c>
      <c r="AD388" t="n">
        <v>0</v>
      </c>
      <c r="AE388" t="inlineStr">
        <is>
          <t>944421327</t>
        </is>
      </c>
      <c r="AF388" t="inlineStr">
        <is>
          <t>cuscoya@gmail.com</t>
        </is>
      </c>
      <c r="AG388" t="inlineStr">
        <is>
          <t>LIMA</t>
        </is>
      </c>
      <c r="AH388" t="inlineStr">
        <is>
          <t>JESUS MARIA</t>
        </is>
      </c>
      <c r="AI388" s="75" t="n">
        <v>46197</v>
      </c>
      <c r="AJ388" s="75" t="n">
        <v>46197</v>
      </c>
      <c r="AK388" t="inlineStr">
        <is>
          <t>SALDO FINANCIAR</t>
        </is>
      </c>
      <c r="AL388" t="n">
        <v>6</v>
      </c>
      <c r="AM388" t="n">
        <v>73333.35000000001</v>
      </c>
      <c r="AN388" t="n">
        <v>0</v>
      </c>
      <c r="AO388" t="n">
        <v>0</v>
      </c>
      <c r="AP388" s="39" t="n">
        <v>73333.35000000001</v>
      </c>
      <c r="AQ388" s="39" t="n">
        <v>73333.35000000001</v>
      </c>
      <c r="AR388" s="39" t="n">
        <v>0</v>
      </c>
      <c r="AS388" t="n">
        <v>0</v>
      </c>
      <c r="AT388" t="inlineStr">
        <is>
          <t>Crédito Directo</t>
        </is>
      </c>
      <c r="AU388" t="inlineStr">
        <is>
          <t>Scotiabank Perú</t>
        </is>
      </c>
      <c r="AV388" t="inlineStr">
        <is>
          <t>000-2768484</t>
        </is>
      </c>
      <c r="AW388" t="inlineStr">
        <is>
          <t>TRANSFERENCIA BANCARIA</t>
        </is>
      </c>
      <c r="AY388" t="inlineStr">
        <is>
          <t>0142288</t>
        </is>
      </c>
      <c r="AZ388" t="inlineStr">
        <is>
          <t>No</t>
        </is>
      </c>
      <c r="BB388" t="n">
        <v>4</v>
      </c>
      <c r="BC388" t="inlineStr">
        <is>
          <t>CANCELADO</t>
        </is>
      </c>
      <c r="BN388" t="inlineStr">
        <is>
          <t>Si</t>
        </is>
      </c>
      <c r="BO388" s="76" t="n">
        <v>45773.61388888889</v>
      </c>
      <c r="BP388" t="inlineStr">
        <is>
          <t>Kenny Salazar S</t>
        </is>
      </c>
      <c r="BR388" t="n">
        <v>35</v>
      </c>
      <c r="BS388" t="inlineStr">
        <is>
          <t>03/07/2026 11:59</t>
        </is>
      </c>
      <c r="BW388" t="inlineStr">
        <is>
          <t>Cobranzas_2026.csv</t>
        </is>
      </c>
      <c r="BX388" t="n">
        <v>2026</v>
      </c>
      <c r="BY388" t="inlineStr">
        <is>
          <t>01/01/2024</t>
        </is>
      </c>
      <c r="BZ388" t="inlineStr">
        <is>
          <t>30/06/2031</t>
        </is>
      </c>
    </row>
    <row r="389">
      <c r="A389" t="inlineStr">
        <is>
          <t>RESIDENCIAL BEYOND</t>
        </is>
      </c>
      <c r="B389" t="inlineStr">
        <is>
          <t>Etapa 1</t>
        </is>
      </c>
      <c r="C389" t="inlineStr">
        <is>
          <t>Edificio</t>
        </is>
      </c>
      <c r="D389" t="inlineStr">
        <is>
          <t>A</t>
        </is>
      </c>
      <c r="E389" t="inlineStr">
        <is>
          <t>Departamento</t>
        </is>
      </c>
      <c r="F389" t="inlineStr">
        <is>
          <t>805</t>
        </is>
      </c>
      <c r="G389" s="39" t="n">
        <v>532100</v>
      </c>
      <c r="H389" s="39" t="n">
        <v>532100</v>
      </c>
      <c r="M389" s="39" t="n"/>
      <c r="N389" s="39" t="n"/>
      <c r="S389" s="39" t="n"/>
      <c r="T389" s="39" t="n"/>
      <c r="Y389" s="39" t="n"/>
      <c r="Z389" s="39" t="n"/>
      <c r="AA389" t="inlineStr">
        <is>
          <t>Harry Anderson Yance Ruiz</t>
        </is>
      </c>
      <c r="AB389" t="inlineStr">
        <is>
          <t>10582963</t>
        </is>
      </c>
      <c r="AC389" t="inlineStr">
        <is>
          <t xml:space="preserve">Calle Las Pajillas 2329 - Urb. Mangomarca </t>
        </is>
      </c>
      <c r="AD389" t="n">
        <v>0</v>
      </c>
      <c r="AE389" t="inlineStr">
        <is>
          <t>948519070</t>
        </is>
      </c>
      <c r="AF389" t="inlineStr">
        <is>
          <t>harry_yance@hotmail.com</t>
        </is>
      </c>
      <c r="AG389" t="inlineStr">
        <is>
          <t>LIMA</t>
        </is>
      </c>
      <c r="AH389" t="inlineStr">
        <is>
          <t>SAN JUAN DE LURIGANCHO</t>
        </is>
      </c>
      <c r="AI389" s="75" t="n">
        <v>46039</v>
      </c>
      <c r="AJ389" s="75" t="n"/>
      <c r="AK389" t="inlineStr">
        <is>
          <t>CUOTA INICIAL</t>
        </is>
      </c>
      <c r="AL389" t="n">
        <v>1</v>
      </c>
      <c r="AM389" t="n">
        <v>30000</v>
      </c>
      <c r="AN389" t="n">
        <v>0</v>
      </c>
      <c r="AO389" t="n">
        <v>0</v>
      </c>
      <c r="AP389" s="39" t="n">
        <v>30000</v>
      </c>
      <c r="AQ389" s="39" t="n">
        <v>0</v>
      </c>
      <c r="AR389" s="39" t="n">
        <v>30000</v>
      </c>
      <c r="AT389" t="inlineStr">
        <is>
          <t>Crédito Hipotecario</t>
        </is>
      </c>
      <c r="AZ389" t="inlineStr">
        <is>
          <t>No</t>
        </is>
      </c>
      <c r="BC389" t="inlineStr">
        <is>
          <t>VENCIDO</t>
        </is>
      </c>
      <c r="BN389" t="inlineStr">
        <is>
          <t>No</t>
        </is>
      </c>
      <c r="BO389" s="76" t="n">
        <v>46039.41944444444</v>
      </c>
      <c r="BP389" t="inlineStr">
        <is>
          <t>Magaly Guevara Perez</t>
        </is>
      </c>
      <c r="BR389" t="n">
        <v>17</v>
      </c>
      <c r="BW389" t="inlineStr">
        <is>
          <t>Cobranzas_2026.csv</t>
        </is>
      </c>
      <c r="BX389" t="n">
        <v>2026</v>
      </c>
      <c r="BY389" t="inlineStr">
        <is>
          <t>01/01/2024</t>
        </is>
      </c>
      <c r="BZ389" t="inlineStr">
        <is>
          <t>30/06/2031</t>
        </is>
      </c>
    </row>
    <row r="390">
      <c r="A390" t="inlineStr">
        <is>
          <t>RESIDENCIAL BEYOND</t>
        </is>
      </c>
      <c r="B390" t="inlineStr">
        <is>
          <t>Etapa 1</t>
        </is>
      </c>
      <c r="C390" t="inlineStr">
        <is>
          <t>Edificio</t>
        </is>
      </c>
      <c r="D390" t="inlineStr">
        <is>
          <t>A</t>
        </is>
      </c>
      <c r="E390" t="inlineStr">
        <is>
          <t>Departamento</t>
        </is>
      </c>
      <c r="F390" t="inlineStr">
        <is>
          <t>805</t>
        </is>
      </c>
      <c r="G390" s="39" t="n">
        <v>532100</v>
      </c>
      <c r="H390" s="39" t="n">
        <v>532100</v>
      </c>
      <c r="M390" s="39" t="n"/>
      <c r="N390" s="39" t="n"/>
      <c r="S390" s="39" t="n"/>
      <c r="T390" s="39" t="n"/>
      <c r="Y390" s="39" t="n"/>
      <c r="Z390" s="39" t="n"/>
      <c r="AA390" t="inlineStr">
        <is>
          <t>Harry Anderson Yance Ruiz</t>
        </is>
      </c>
      <c r="AB390" t="inlineStr">
        <is>
          <t>10582963</t>
        </is>
      </c>
      <c r="AC390" t="inlineStr">
        <is>
          <t xml:space="preserve">Calle Las Pajillas 2329 - Urb. Mangomarca </t>
        </is>
      </c>
      <c r="AD390" t="n">
        <v>0</v>
      </c>
      <c r="AE390" t="inlineStr">
        <is>
          <t>948519070</t>
        </is>
      </c>
      <c r="AF390" t="inlineStr">
        <is>
          <t>harry_yance@hotmail.com</t>
        </is>
      </c>
      <c r="AG390" t="inlineStr">
        <is>
          <t>LIMA</t>
        </is>
      </c>
      <c r="AH390" t="inlineStr">
        <is>
          <t>SAN JUAN DE LURIGANCHO</t>
        </is>
      </c>
      <c r="AI390" s="75" t="n">
        <v>46039</v>
      </c>
      <c r="AJ390" s="75" t="n"/>
      <c r="AK390" t="inlineStr">
        <is>
          <t>CUOTA INICIAL</t>
        </is>
      </c>
      <c r="AL390" t="n">
        <v>2</v>
      </c>
      <c r="AM390" t="n">
        <v>20210</v>
      </c>
      <c r="AN390" t="n">
        <v>0</v>
      </c>
      <c r="AO390" t="n">
        <v>0</v>
      </c>
      <c r="AP390" s="39" t="n">
        <v>20210</v>
      </c>
      <c r="AQ390" s="39" t="n">
        <v>0</v>
      </c>
      <c r="AR390" s="39" t="n">
        <v>20210</v>
      </c>
      <c r="AT390" t="inlineStr">
        <is>
          <t>Crédito Hipotecario</t>
        </is>
      </c>
      <c r="AZ390" t="inlineStr">
        <is>
          <t>No</t>
        </is>
      </c>
      <c r="BC390" t="inlineStr">
        <is>
          <t>VENCIDO</t>
        </is>
      </c>
      <c r="BN390" t="inlineStr">
        <is>
          <t>No</t>
        </is>
      </c>
      <c r="BO390" s="76" t="n">
        <v>46039.41944444444</v>
      </c>
      <c r="BP390" t="inlineStr">
        <is>
          <t>Magaly Guevara Perez</t>
        </is>
      </c>
      <c r="BR390" t="n">
        <v>17</v>
      </c>
      <c r="BW390" t="inlineStr">
        <is>
          <t>Cobranzas_2026.csv</t>
        </is>
      </c>
      <c r="BX390" t="n">
        <v>2026</v>
      </c>
      <c r="BY390" t="inlineStr">
        <is>
          <t>01/01/2024</t>
        </is>
      </c>
      <c r="BZ390" t="inlineStr">
        <is>
          <t>30/06/2031</t>
        </is>
      </c>
    </row>
    <row r="391">
      <c r="A391" t="inlineStr">
        <is>
          <t>RESIDENCIAL BEYOND</t>
        </is>
      </c>
      <c r="B391" t="inlineStr">
        <is>
          <t>Etapa 1</t>
        </is>
      </c>
      <c r="C391" t="inlineStr">
        <is>
          <t>Edificio</t>
        </is>
      </c>
      <c r="D391" t="inlineStr">
        <is>
          <t>A</t>
        </is>
      </c>
      <c r="E391" t="inlineStr">
        <is>
          <t>Departamento</t>
        </is>
      </c>
      <c r="F391" t="inlineStr">
        <is>
          <t>805</t>
        </is>
      </c>
      <c r="G391" s="39" t="n">
        <v>532100</v>
      </c>
      <c r="H391" s="39" t="n">
        <v>532100</v>
      </c>
      <c r="M391" s="39" t="n"/>
      <c r="N391" s="39" t="n"/>
      <c r="S391" s="39" t="n"/>
      <c r="T391" s="39" t="n"/>
      <c r="Y391" s="39" t="n"/>
      <c r="Z391" s="39" t="n"/>
      <c r="AA391" t="inlineStr">
        <is>
          <t>Harry Anderson Yance Ruiz</t>
        </is>
      </c>
      <c r="AB391" t="inlineStr">
        <is>
          <t>10582963</t>
        </is>
      </c>
      <c r="AC391" t="inlineStr">
        <is>
          <t xml:space="preserve">Calle Las Pajillas 2329 - Urb. Mangomarca </t>
        </is>
      </c>
      <c r="AD391" t="n">
        <v>0</v>
      </c>
      <c r="AE391" t="inlineStr">
        <is>
          <t>948519070</t>
        </is>
      </c>
      <c r="AF391" t="inlineStr">
        <is>
          <t>harry_yance@hotmail.com</t>
        </is>
      </c>
      <c r="AG391" t="inlineStr">
        <is>
          <t>LIMA</t>
        </is>
      </c>
      <c r="AH391" t="inlineStr">
        <is>
          <t>SAN JUAN DE LURIGANCHO</t>
        </is>
      </c>
      <c r="AI391" s="75" t="n">
        <v>46172</v>
      </c>
      <c r="AJ391" s="75" t="n"/>
      <c r="AK391" t="inlineStr">
        <is>
          <t>SALDO FINANCIAR</t>
        </is>
      </c>
      <c r="AL391" t="n">
        <v>1</v>
      </c>
      <c r="AM391" t="n">
        <v>478890</v>
      </c>
      <c r="AN391" t="n">
        <v>0</v>
      </c>
      <c r="AO391" t="n">
        <v>0</v>
      </c>
      <c r="AP391" s="39" t="n">
        <v>478890</v>
      </c>
      <c r="AQ391" s="39" t="n">
        <v>0</v>
      </c>
      <c r="AR391" s="39" t="n">
        <v>478890</v>
      </c>
      <c r="AT391" t="inlineStr">
        <is>
          <t>Crédito Hipotecario</t>
        </is>
      </c>
      <c r="AZ391" t="inlineStr">
        <is>
          <t>No</t>
        </is>
      </c>
      <c r="BC391" t="inlineStr">
        <is>
          <t>VENCIDO</t>
        </is>
      </c>
      <c r="BN391" t="inlineStr">
        <is>
          <t>No</t>
        </is>
      </c>
      <c r="BO391" s="76" t="n">
        <v>46039.41944444444</v>
      </c>
      <c r="BP391" t="inlineStr">
        <is>
          <t>Magaly Guevara Perez</t>
        </is>
      </c>
      <c r="BR391" t="n">
        <v>17</v>
      </c>
      <c r="BW391" t="inlineStr">
        <is>
          <t>Cobranzas_2026.csv</t>
        </is>
      </c>
      <c r="BX391" t="n">
        <v>2026</v>
      </c>
      <c r="BY391" t="inlineStr">
        <is>
          <t>01/01/2024</t>
        </is>
      </c>
      <c r="BZ391" t="inlineStr">
        <is>
          <t>30/06/2031</t>
        </is>
      </c>
    </row>
    <row r="392">
      <c r="A392" t="inlineStr">
        <is>
          <t>RESIDENCIAL PRADA</t>
        </is>
      </c>
      <c r="B392" t="inlineStr">
        <is>
          <t>Etapa 1</t>
        </is>
      </c>
      <c r="C392" t="inlineStr">
        <is>
          <t>Edificio</t>
        </is>
      </c>
      <c r="D392" t="inlineStr">
        <is>
          <t>A</t>
        </is>
      </c>
      <c r="E392" t="inlineStr">
        <is>
          <t>Departamento</t>
        </is>
      </c>
      <c r="F392" t="inlineStr">
        <is>
          <t>502</t>
        </is>
      </c>
      <c r="G392" s="39" t="n">
        <v>457000</v>
      </c>
      <c r="H392" s="39" t="n">
        <v>457000</v>
      </c>
      <c r="M392" s="39" t="n"/>
      <c r="N392" s="39" t="n"/>
      <c r="S392" s="39" t="n"/>
      <c r="T392" s="39" t="n"/>
      <c r="Y392" s="39" t="n"/>
      <c r="Z392" s="39" t="n"/>
      <c r="AA392" t="inlineStr">
        <is>
          <t xml:space="preserve">HONOFRE JUAN GONZALES ATAHUALPA </t>
        </is>
      </c>
      <c r="AB392" t="inlineStr">
        <is>
          <t>09518829</t>
        </is>
      </c>
      <c r="AC392" t="inlineStr">
        <is>
          <t xml:space="preserve">Av. 17 de noviembre 229 - 231 </t>
        </is>
      </c>
      <c r="AD392" t="n">
        <v>990889063</v>
      </c>
      <c r="AE392" t="inlineStr">
        <is>
          <t>990889063</t>
        </is>
      </c>
      <c r="AF392" t="inlineStr">
        <is>
          <t>juanga0420@hotmail.com</t>
        </is>
      </c>
      <c r="AG392" t="inlineStr">
        <is>
          <t>LIMA</t>
        </is>
      </c>
      <c r="AH392" t="inlineStr">
        <is>
          <t>INDEPENDENCIA</t>
        </is>
      </c>
      <c r="AI392" s="75" t="n">
        <v>46085</v>
      </c>
      <c r="AJ392" s="75" t="n">
        <v>46085</v>
      </c>
      <c r="AK392" t="inlineStr">
        <is>
          <t>SEPARACION</t>
        </is>
      </c>
      <c r="AL392" t="n">
        <v>1</v>
      </c>
      <c r="AM392" t="n">
        <v>3000</v>
      </c>
      <c r="AN392" t="n">
        <v>0</v>
      </c>
      <c r="AO392" t="n">
        <v>0</v>
      </c>
      <c r="AP392" s="39" t="n">
        <v>3000</v>
      </c>
      <c r="AQ392" s="39" t="n">
        <v>3000</v>
      </c>
      <c r="AR392" s="39" t="n">
        <v>0</v>
      </c>
      <c r="AS392" t="n">
        <v>0</v>
      </c>
      <c r="AT392" t="inlineStr">
        <is>
          <t>Crédito Hipotecario</t>
        </is>
      </c>
      <c r="AU392" t="inlineStr">
        <is>
          <t>Scotiabank Perú</t>
        </is>
      </c>
      <c r="AV392" t="inlineStr">
        <is>
          <t>000-2768484</t>
        </is>
      </c>
      <c r="AW392" t="inlineStr">
        <is>
          <t>POS VISA</t>
        </is>
      </c>
      <c r="AX392" t="n">
        <v>9518829</v>
      </c>
      <c r="AY392" t="inlineStr">
        <is>
          <t>0000606321425788</t>
        </is>
      </c>
      <c r="AZ392" t="inlineStr">
        <is>
          <t>No</t>
        </is>
      </c>
      <c r="BA392" t="inlineStr">
        <is>
          <t>NO PRECISA</t>
        </is>
      </c>
      <c r="BB392" t="n">
        <v>4</v>
      </c>
      <c r="BC392" t="inlineStr">
        <is>
          <t>CANCELADO</t>
        </is>
      </c>
      <c r="BN392" t="inlineStr">
        <is>
          <t>Si</t>
        </is>
      </c>
      <c r="BO392" s="76" t="n">
        <v>46134.40069444444</v>
      </c>
      <c r="BP392" t="inlineStr">
        <is>
          <t>Kenny Salazar S</t>
        </is>
      </c>
      <c r="BR392" t="n">
        <v>43</v>
      </c>
      <c r="BS392" t="inlineStr">
        <is>
          <t>03/06/2026 08:37</t>
        </is>
      </c>
      <c r="BW392" t="inlineStr">
        <is>
          <t>Cobranzas_2026.csv</t>
        </is>
      </c>
      <c r="BX392" t="n">
        <v>2026</v>
      </c>
      <c r="BY392" t="inlineStr">
        <is>
          <t>01/01/2024</t>
        </is>
      </c>
      <c r="BZ392" t="inlineStr">
        <is>
          <t>30/06/2031</t>
        </is>
      </c>
    </row>
    <row r="393">
      <c r="A393" t="inlineStr">
        <is>
          <t>RESIDENCIAL PRADA</t>
        </is>
      </c>
      <c r="B393" t="inlineStr">
        <is>
          <t>Etapa 1</t>
        </is>
      </c>
      <c r="C393" t="inlineStr">
        <is>
          <t>Edificio</t>
        </is>
      </c>
      <c r="D393" t="inlineStr">
        <is>
          <t>A</t>
        </is>
      </c>
      <c r="E393" t="inlineStr">
        <is>
          <t>Departamento</t>
        </is>
      </c>
      <c r="F393" t="inlineStr">
        <is>
          <t>502</t>
        </is>
      </c>
      <c r="G393" s="39" t="n">
        <v>457000</v>
      </c>
      <c r="H393" s="39" t="n">
        <v>457000</v>
      </c>
      <c r="M393" s="39" t="n"/>
      <c r="N393" s="39" t="n"/>
      <c r="S393" s="39" t="n"/>
      <c r="T393" s="39" t="n"/>
      <c r="Y393" s="39" t="n"/>
      <c r="Z393" s="39" t="n"/>
      <c r="AA393" t="inlineStr">
        <is>
          <t xml:space="preserve">HONOFRE JUAN GONZALES ATAHUALPA </t>
        </is>
      </c>
      <c r="AB393" t="inlineStr">
        <is>
          <t>09518829</t>
        </is>
      </c>
      <c r="AC393" t="inlineStr">
        <is>
          <t xml:space="preserve">Av. 17 de noviembre 229 - 231 </t>
        </is>
      </c>
      <c r="AD393" t="n">
        <v>990889063</v>
      </c>
      <c r="AE393" t="inlineStr">
        <is>
          <t>990889063</t>
        </is>
      </c>
      <c r="AF393" t="inlineStr">
        <is>
          <t>juanga0420@hotmail.com</t>
        </is>
      </c>
      <c r="AG393" t="inlineStr">
        <is>
          <t>LIMA</t>
        </is>
      </c>
      <c r="AH393" t="inlineStr">
        <is>
          <t>INDEPENDENCIA</t>
        </is>
      </c>
      <c r="AI393" s="75" t="n">
        <v>46134</v>
      </c>
      <c r="AJ393" s="75" t="n">
        <v>46134</v>
      </c>
      <c r="AK393" t="inlineStr">
        <is>
          <t>CUOTA INICIAL</t>
        </is>
      </c>
      <c r="AL393" t="n">
        <v>1</v>
      </c>
      <c r="AM393" t="n">
        <v>21350</v>
      </c>
      <c r="AN393" t="n">
        <v>0</v>
      </c>
      <c r="AO393" t="n">
        <v>0</v>
      </c>
      <c r="AP393" s="39" t="n">
        <v>21350</v>
      </c>
      <c r="AQ393" s="39" t="n">
        <v>21350</v>
      </c>
      <c r="AR393" s="39" t="n">
        <v>0</v>
      </c>
      <c r="AS393" t="n">
        <v>0</v>
      </c>
      <c r="AT393" t="inlineStr">
        <is>
          <t>Crédito Hipotecario</t>
        </is>
      </c>
      <c r="AU393" t="inlineStr">
        <is>
          <t>Scotiabank Perú</t>
        </is>
      </c>
      <c r="AV393" t="inlineStr">
        <is>
          <t>000-2768484</t>
        </is>
      </c>
      <c r="AW393" t="inlineStr">
        <is>
          <t>TRANSFERENCIA BANCARIA</t>
        </is>
      </c>
      <c r="AX393" t="n">
        <v>9518829</v>
      </c>
      <c r="AY393" t="inlineStr">
        <is>
          <t>0500010095</t>
        </is>
      </c>
      <c r="AZ393" t="inlineStr">
        <is>
          <t>No</t>
        </is>
      </c>
      <c r="BA393" t="inlineStr">
        <is>
          <t>NO PRECISA</t>
        </is>
      </c>
      <c r="BB393" t="n">
        <v>4</v>
      </c>
      <c r="BC393" t="inlineStr">
        <is>
          <t>CANCELADO</t>
        </is>
      </c>
      <c r="BN393" t="inlineStr">
        <is>
          <t>Si</t>
        </is>
      </c>
      <c r="BO393" s="76" t="n">
        <v>46134.40069444444</v>
      </c>
      <c r="BP393" t="inlineStr">
        <is>
          <t>Kenny Salazar S</t>
        </is>
      </c>
      <c r="BR393" t="n">
        <v>43</v>
      </c>
      <c r="BS393" t="inlineStr">
        <is>
          <t>05/06/2026 08:47</t>
        </is>
      </c>
      <c r="BW393" t="inlineStr">
        <is>
          <t>Cobranzas_2026.csv</t>
        </is>
      </c>
      <c r="BX393" t="n">
        <v>2026</v>
      </c>
      <c r="BY393" t="inlineStr">
        <is>
          <t>01/01/2024</t>
        </is>
      </c>
      <c r="BZ393" t="inlineStr">
        <is>
          <t>30/06/2031</t>
        </is>
      </c>
    </row>
    <row r="394">
      <c r="A394" t="inlineStr">
        <is>
          <t>RESIDENCIAL PRADA</t>
        </is>
      </c>
      <c r="B394" t="inlineStr">
        <is>
          <t>Etapa 1</t>
        </is>
      </c>
      <c r="C394" t="inlineStr">
        <is>
          <t>Edificio</t>
        </is>
      </c>
      <c r="D394" t="inlineStr">
        <is>
          <t>A</t>
        </is>
      </c>
      <c r="E394" t="inlineStr">
        <is>
          <t>Departamento</t>
        </is>
      </c>
      <c r="F394" t="inlineStr">
        <is>
          <t>502</t>
        </is>
      </c>
      <c r="G394" s="39" t="n">
        <v>457000</v>
      </c>
      <c r="H394" s="39" t="n">
        <v>457000</v>
      </c>
      <c r="M394" s="39" t="n"/>
      <c r="N394" s="39" t="n"/>
      <c r="S394" s="39" t="n"/>
      <c r="T394" s="39" t="n"/>
      <c r="Y394" s="39" t="n"/>
      <c r="Z394" s="39" t="n"/>
      <c r="AA394" t="inlineStr">
        <is>
          <t xml:space="preserve">HONOFRE JUAN GONZALES ATAHUALPA </t>
        </is>
      </c>
      <c r="AB394" t="inlineStr">
        <is>
          <t>09518829</t>
        </is>
      </c>
      <c r="AC394" t="inlineStr">
        <is>
          <t xml:space="preserve">Av. 17 de noviembre 229 - 231 </t>
        </is>
      </c>
      <c r="AD394" t="n">
        <v>990889063</v>
      </c>
      <c r="AE394" t="inlineStr">
        <is>
          <t>990889063</t>
        </is>
      </c>
      <c r="AF394" t="inlineStr">
        <is>
          <t>juanga0420@hotmail.com</t>
        </is>
      </c>
      <c r="AG394" t="inlineStr">
        <is>
          <t>LIMA</t>
        </is>
      </c>
      <c r="AH394" t="inlineStr">
        <is>
          <t>INDEPENDENCIA</t>
        </is>
      </c>
      <c r="AI394" s="75" t="n">
        <v>46137</v>
      </c>
      <c r="AJ394" s="75" t="n">
        <v>46137</v>
      </c>
      <c r="AK394" t="inlineStr">
        <is>
          <t>CUOTA INICIAL</t>
        </is>
      </c>
      <c r="AL394" t="n">
        <v>2</v>
      </c>
      <c r="AM394" t="n">
        <v>21350</v>
      </c>
      <c r="AN394" t="n">
        <v>0</v>
      </c>
      <c r="AO394" t="n">
        <v>0</v>
      </c>
      <c r="AP394" s="39" t="n">
        <v>21350</v>
      </c>
      <c r="AQ394" s="39" t="n">
        <v>21350</v>
      </c>
      <c r="AR394" s="39" t="n">
        <v>0</v>
      </c>
      <c r="AS394" t="n">
        <v>0</v>
      </c>
      <c r="AT394" t="inlineStr">
        <is>
          <t>Crédito Hipotecario</t>
        </is>
      </c>
      <c r="AU394" t="inlineStr">
        <is>
          <t>Scotiabank Perú</t>
        </is>
      </c>
      <c r="AV394" t="inlineStr">
        <is>
          <t>000-2768484</t>
        </is>
      </c>
      <c r="AW394" t="inlineStr">
        <is>
          <t>TRANSFERENCIA BANCARIA</t>
        </is>
      </c>
      <c r="AX394" t="n">
        <v>9518829</v>
      </c>
      <c r="AY394" t="inlineStr">
        <is>
          <t>0500010046</t>
        </is>
      </c>
      <c r="AZ394" t="inlineStr">
        <is>
          <t>No</t>
        </is>
      </c>
      <c r="BA394" t="inlineStr">
        <is>
          <t>NO PRECISA</t>
        </is>
      </c>
      <c r="BB394" t="n">
        <v>4</v>
      </c>
      <c r="BC394" t="inlineStr">
        <is>
          <t>CANCELADO</t>
        </is>
      </c>
      <c r="BN394" t="inlineStr">
        <is>
          <t>Si</t>
        </is>
      </c>
      <c r="BO394" s="76" t="n">
        <v>46134.40069444444</v>
      </c>
      <c r="BP394" t="inlineStr">
        <is>
          <t>Kenny Salazar S</t>
        </is>
      </c>
      <c r="BR394" t="n">
        <v>43</v>
      </c>
      <c r="BS394" t="inlineStr">
        <is>
          <t>05/06/2026 08:48</t>
        </is>
      </c>
      <c r="BW394" t="inlineStr">
        <is>
          <t>Cobranzas_2026.csv</t>
        </is>
      </c>
      <c r="BX394" t="n">
        <v>2026</v>
      </c>
      <c r="BY394" t="inlineStr">
        <is>
          <t>01/01/2024</t>
        </is>
      </c>
      <c r="BZ394" t="inlineStr">
        <is>
          <t>30/06/2031</t>
        </is>
      </c>
    </row>
    <row r="395">
      <c r="A395" t="inlineStr">
        <is>
          <t>RESIDENCIAL PRADA</t>
        </is>
      </c>
      <c r="B395" t="inlineStr">
        <is>
          <t>Etapa 1</t>
        </is>
      </c>
      <c r="C395" t="inlineStr">
        <is>
          <t>Edificio</t>
        </is>
      </c>
      <c r="D395" t="inlineStr">
        <is>
          <t>A</t>
        </is>
      </c>
      <c r="E395" t="inlineStr">
        <is>
          <t>Departamento</t>
        </is>
      </c>
      <c r="F395" t="inlineStr">
        <is>
          <t>502</t>
        </is>
      </c>
      <c r="G395" s="39" t="n">
        <v>457000</v>
      </c>
      <c r="H395" s="39" t="n">
        <v>457000</v>
      </c>
      <c r="M395" s="39" t="n"/>
      <c r="N395" s="39" t="n"/>
      <c r="S395" s="39" t="n"/>
      <c r="T395" s="39" t="n"/>
      <c r="Y395" s="39" t="n"/>
      <c r="Z395" s="39" t="n"/>
      <c r="AA395" t="inlineStr">
        <is>
          <t xml:space="preserve">HONOFRE JUAN GONZALES ATAHUALPA </t>
        </is>
      </c>
      <c r="AB395" t="inlineStr">
        <is>
          <t>09518829</t>
        </is>
      </c>
      <c r="AC395" t="inlineStr">
        <is>
          <t xml:space="preserve">Av. 17 de noviembre 229 - 231 </t>
        </is>
      </c>
      <c r="AD395" t="n">
        <v>990889063</v>
      </c>
      <c r="AE395" t="inlineStr">
        <is>
          <t>990889063</t>
        </is>
      </c>
      <c r="AF395" t="inlineStr">
        <is>
          <t>juanga0420@hotmail.com</t>
        </is>
      </c>
      <c r="AG395" t="inlineStr">
        <is>
          <t>LIMA</t>
        </is>
      </c>
      <c r="AH395" t="inlineStr">
        <is>
          <t>INDEPENDENCIA</t>
        </is>
      </c>
      <c r="AI395" s="75" t="n">
        <v>46203</v>
      </c>
      <c r="AJ395" s="75" t="n">
        <v>46171</v>
      </c>
      <c r="AK395" t="inlineStr">
        <is>
          <t>SALDO FINANCIAR</t>
        </is>
      </c>
      <c r="AL395" t="n">
        <v>1</v>
      </c>
      <c r="AM395" t="n">
        <v>411300</v>
      </c>
      <c r="AN395" t="n">
        <v>0</v>
      </c>
      <c r="AO395" t="n">
        <v>0</v>
      </c>
      <c r="AP395" s="39" t="n">
        <v>411300</v>
      </c>
      <c r="AQ395" s="39" t="n">
        <v>411300</v>
      </c>
      <c r="AR395" s="39" t="n">
        <v>0</v>
      </c>
      <c r="AS395" t="n">
        <v>0</v>
      </c>
      <c r="AT395" t="inlineStr">
        <is>
          <t>Crédito Hipotecario</t>
        </is>
      </c>
      <c r="AU395" t="inlineStr">
        <is>
          <t>Scotiabank Perú</t>
        </is>
      </c>
      <c r="AV395" t="inlineStr">
        <is>
          <t>000-2768484</t>
        </is>
      </c>
      <c r="AW395" t="inlineStr">
        <is>
          <t>TRANSFERENCIA BANCARIA</t>
        </is>
      </c>
      <c r="AY395" t="inlineStr">
        <is>
          <t>0270800024</t>
        </is>
      </c>
      <c r="AZ395" t="inlineStr">
        <is>
          <t>No</t>
        </is>
      </c>
      <c r="BB395" t="n">
        <v>4</v>
      </c>
      <c r="BC395" t="inlineStr">
        <is>
          <t>CANCELADO</t>
        </is>
      </c>
      <c r="BN395" t="inlineStr">
        <is>
          <t>Si</t>
        </is>
      </c>
      <c r="BO395" s="76" t="n">
        <v>46134.40069444444</v>
      </c>
      <c r="BP395" t="inlineStr">
        <is>
          <t>Kenny Salazar S</t>
        </is>
      </c>
      <c r="BR395" t="n">
        <v>43</v>
      </c>
      <c r="BS395" t="inlineStr">
        <is>
          <t>07/07/2026 09:38</t>
        </is>
      </c>
      <c r="BW395" t="inlineStr">
        <is>
          <t>Cobranzas_2026.csv</t>
        </is>
      </c>
      <c r="BX395" t="n">
        <v>2026</v>
      </c>
      <c r="BY395" t="inlineStr">
        <is>
          <t>01/01/2024</t>
        </is>
      </c>
      <c r="BZ395" t="inlineStr">
        <is>
          <t>30/06/2031</t>
        </is>
      </c>
    </row>
    <row r="396">
      <c r="A396" t="inlineStr">
        <is>
          <t>RESIDENCIAL VENECIA</t>
        </is>
      </c>
      <c r="B396" t="inlineStr">
        <is>
          <t>Etapa 1</t>
        </is>
      </c>
      <c r="C396" t="inlineStr">
        <is>
          <t>Edificio</t>
        </is>
      </c>
      <c r="D396" t="inlineStr">
        <is>
          <t>A</t>
        </is>
      </c>
      <c r="E396" t="inlineStr">
        <is>
          <t>Departamento</t>
        </is>
      </c>
      <c r="F396" t="inlineStr">
        <is>
          <t>701</t>
        </is>
      </c>
      <c r="G396" s="39" t="n">
        <v>561000</v>
      </c>
      <c r="H396" s="39" t="n">
        <v>561000</v>
      </c>
      <c r="M396" s="39" t="n"/>
      <c r="N396" s="39" t="n"/>
      <c r="S396" s="39" t="n"/>
      <c r="T396" s="39" t="n"/>
      <c r="Y396" s="39" t="n"/>
      <c r="Z396" s="39" t="n"/>
      <c r="AA396" t="inlineStr">
        <is>
          <t>Irma Paulina Palomino Huaman</t>
        </is>
      </c>
      <c r="AB396" t="inlineStr">
        <is>
          <t>76840101</t>
        </is>
      </c>
      <c r="AC396" t="inlineStr">
        <is>
          <t>Jr. Manco Segundo 2202 Dpto. 102</t>
        </is>
      </c>
      <c r="AD396" t="n">
        <v>0</v>
      </c>
      <c r="AE396" t="inlineStr">
        <is>
          <t>939315617</t>
        </is>
      </c>
      <c r="AF396" t="inlineStr">
        <is>
          <t>paulinapalomino8@gmail.com</t>
        </is>
      </c>
      <c r="AG396" t="inlineStr">
        <is>
          <t>LIMA</t>
        </is>
      </c>
      <c r="AH396" t="inlineStr">
        <is>
          <t>LINCE</t>
        </is>
      </c>
      <c r="AI396" s="75" t="n">
        <v>46039</v>
      </c>
      <c r="AJ396" s="75" t="n">
        <v>46039</v>
      </c>
      <c r="AK396" t="inlineStr">
        <is>
          <t>SEPARACION</t>
        </is>
      </c>
      <c r="AL396" t="n">
        <v>1</v>
      </c>
      <c r="AM396" t="n">
        <v>3000</v>
      </c>
      <c r="AN396" t="n">
        <v>0</v>
      </c>
      <c r="AO396" t="n">
        <v>0</v>
      </c>
      <c r="AP396" s="39" t="n">
        <v>3000</v>
      </c>
      <c r="AQ396" s="39" t="n">
        <v>3000</v>
      </c>
      <c r="AR396" s="39" t="n">
        <v>0</v>
      </c>
      <c r="AS396" t="n">
        <v>0</v>
      </c>
      <c r="AT396" t="inlineStr">
        <is>
          <t>Ahorro</t>
        </is>
      </c>
      <c r="AU396" t="inlineStr">
        <is>
          <t>Scotiabank Perú</t>
        </is>
      </c>
      <c r="AV396" t="inlineStr">
        <is>
          <t>0004071419</t>
        </is>
      </c>
      <c r="AW396" t="inlineStr">
        <is>
          <t>TRANSFERENCIA BANCARIA</t>
        </is>
      </c>
      <c r="AY396" t="inlineStr">
        <is>
          <t>04546375</t>
        </is>
      </c>
      <c r="AZ396" t="inlineStr">
        <is>
          <t>No</t>
        </is>
      </c>
      <c r="BB396" t="n">
        <v>4</v>
      </c>
      <c r="BC396" t="inlineStr">
        <is>
          <t>CANCELADO</t>
        </is>
      </c>
      <c r="BN396" t="inlineStr">
        <is>
          <t>No</t>
        </is>
      </c>
      <c r="BO396" s="76" t="n">
        <v>46178.34861111111</v>
      </c>
      <c r="BP396" t="inlineStr">
        <is>
          <t>Magaly Guevara Perez</t>
        </is>
      </c>
      <c r="BR396" t="n">
        <v>13</v>
      </c>
      <c r="BS396" t="inlineStr">
        <is>
          <t>24/05/2026 20:56</t>
        </is>
      </c>
      <c r="BW396" t="inlineStr">
        <is>
          <t>Cobranzas_2026.csv</t>
        </is>
      </c>
      <c r="BX396" t="n">
        <v>2026</v>
      </c>
      <c r="BY396" t="inlineStr">
        <is>
          <t>01/01/2024</t>
        </is>
      </c>
      <c r="BZ396" t="inlineStr">
        <is>
          <t>30/06/2031</t>
        </is>
      </c>
    </row>
    <row r="397">
      <c r="A397" t="inlineStr">
        <is>
          <t>RESIDENCIAL VENECIA</t>
        </is>
      </c>
      <c r="B397" t="inlineStr">
        <is>
          <t>Etapa 1</t>
        </is>
      </c>
      <c r="C397" t="inlineStr">
        <is>
          <t>Edificio</t>
        </is>
      </c>
      <c r="D397" t="inlineStr">
        <is>
          <t>A</t>
        </is>
      </c>
      <c r="E397" t="inlineStr">
        <is>
          <t>Departamento</t>
        </is>
      </c>
      <c r="F397" t="inlineStr">
        <is>
          <t>701</t>
        </is>
      </c>
      <c r="G397" s="39" t="n">
        <v>561000</v>
      </c>
      <c r="H397" s="39" t="n">
        <v>561000</v>
      </c>
      <c r="M397" s="39" t="n"/>
      <c r="N397" s="39" t="n"/>
      <c r="S397" s="39" t="n"/>
      <c r="T397" s="39" t="n"/>
      <c r="Y397" s="39" t="n"/>
      <c r="Z397" s="39" t="n"/>
      <c r="AA397" t="inlineStr">
        <is>
          <t>Irma Paulina Palomino Huaman</t>
        </is>
      </c>
      <c r="AB397" t="inlineStr">
        <is>
          <t>76840101</t>
        </is>
      </c>
      <c r="AC397" t="inlineStr">
        <is>
          <t>Jr. Manco Segundo 2202 Dpto. 102</t>
        </is>
      </c>
      <c r="AD397" t="n">
        <v>0</v>
      </c>
      <c r="AE397" t="inlineStr">
        <is>
          <t>939315617</t>
        </is>
      </c>
      <c r="AF397" t="inlineStr">
        <is>
          <t>paulinapalomino8@gmail.com</t>
        </is>
      </c>
      <c r="AG397" t="inlineStr">
        <is>
          <t>LIMA</t>
        </is>
      </c>
      <c r="AH397" t="inlineStr">
        <is>
          <t>LINCE</t>
        </is>
      </c>
      <c r="AI397" s="75" t="n">
        <v>46051</v>
      </c>
      <c r="AJ397" s="75" t="n">
        <v>46051</v>
      </c>
      <c r="AK397" t="inlineStr">
        <is>
          <t>CUOTA INICIAL</t>
        </is>
      </c>
      <c r="AL397" t="n">
        <v>1</v>
      </c>
      <c r="AM397" t="n">
        <v>18900</v>
      </c>
      <c r="AN397" t="n">
        <v>0</v>
      </c>
      <c r="AO397" t="n">
        <v>0</v>
      </c>
      <c r="AP397" s="39" t="n">
        <v>18900</v>
      </c>
      <c r="AQ397" s="39" t="n">
        <v>18900</v>
      </c>
      <c r="AR397" s="39" t="n">
        <v>0</v>
      </c>
      <c r="AS397" t="n">
        <v>0</v>
      </c>
      <c r="AT397" t="inlineStr">
        <is>
          <t>Ahorro</t>
        </is>
      </c>
      <c r="AU397" t="inlineStr">
        <is>
          <t>Scotiabank Perú</t>
        </is>
      </c>
      <c r="AV397" t="inlineStr">
        <is>
          <t>0004071419</t>
        </is>
      </c>
      <c r="AW397" t="inlineStr">
        <is>
          <t>TRANSFERENCIA BANCARIA</t>
        </is>
      </c>
      <c r="AY397" t="inlineStr">
        <is>
          <t>04640462</t>
        </is>
      </c>
      <c r="AZ397" t="inlineStr">
        <is>
          <t>No</t>
        </is>
      </c>
      <c r="BB397" t="n">
        <v>4</v>
      </c>
      <c r="BC397" t="inlineStr">
        <is>
          <t>CANCELADO</t>
        </is>
      </c>
      <c r="BN397" t="inlineStr">
        <is>
          <t>No</t>
        </is>
      </c>
      <c r="BO397" s="76" t="n">
        <v>46178.34861111111</v>
      </c>
      <c r="BP397" t="inlineStr">
        <is>
          <t>Magaly Guevara Perez</t>
        </is>
      </c>
      <c r="BR397" t="n">
        <v>13</v>
      </c>
      <c r="BS397" t="inlineStr">
        <is>
          <t>24/05/2026 20:58</t>
        </is>
      </c>
      <c r="BW397" t="inlineStr">
        <is>
          <t>Cobranzas_2026.csv</t>
        </is>
      </c>
      <c r="BX397" t="n">
        <v>2026</v>
      </c>
      <c r="BY397" t="inlineStr">
        <is>
          <t>01/01/2024</t>
        </is>
      </c>
      <c r="BZ397" t="inlineStr">
        <is>
          <t>30/06/2031</t>
        </is>
      </c>
    </row>
    <row r="398">
      <c r="A398" t="inlineStr">
        <is>
          <t>RESIDENCIAL VENECIA</t>
        </is>
      </c>
      <c r="B398" t="inlineStr">
        <is>
          <t>Etapa 1</t>
        </is>
      </c>
      <c r="C398" t="inlineStr">
        <is>
          <t>Edificio</t>
        </is>
      </c>
      <c r="D398" t="inlineStr">
        <is>
          <t>A</t>
        </is>
      </c>
      <c r="E398" t="inlineStr">
        <is>
          <t>Departamento</t>
        </is>
      </c>
      <c r="F398" t="inlineStr">
        <is>
          <t>701</t>
        </is>
      </c>
      <c r="G398" s="39" t="n">
        <v>561000</v>
      </c>
      <c r="H398" s="39" t="n">
        <v>561000</v>
      </c>
      <c r="M398" s="39" t="n"/>
      <c r="N398" s="39" t="n"/>
      <c r="S398" s="39" t="n"/>
      <c r="T398" s="39" t="n"/>
      <c r="Y398" s="39" t="n"/>
      <c r="Z398" s="39" t="n"/>
      <c r="AA398" t="inlineStr">
        <is>
          <t>Irma Paulina Palomino Huaman</t>
        </is>
      </c>
      <c r="AB398" t="inlineStr">
        <is>
          <t>76840101</t>
        </is>
      </c>
      <c r="AC398" t="inlineStr">
        <is>
          <t>Jr. Manco Segundo 2202 Dpto. 102</t>
        </is>
      </c>
      <c r="AD398" t="n">
        <v>0</v>
      </c>
      <c r="AE398" t="inlineStr">
        <is>
          <t>939315617</t>
        </is>
      </c>
      <c r="AF398" t="inlineStr">
        <is>
          <t>paulinapalomino8@gmail.com</t>
        </is>
      </c>
      <c r="AG398" t="inlineStr">
        <is>
          <t>LIMA</t>
        </is>
      </c>
      <c r="AH398" t="inlineStr">
        <is>
          <t>LINCE</t>
        </is>
      </c>
      <c r="AI398" s="75" t="n">
        <v>46234</v>
      </c>
      <c r="AJ398" s="75" t="n"/>
      <c r="AK398" t="inlineStr">
        <is>
          <t>AHORRO CASA</t>
        </is>
      </c>
      <c r="AL398" t="n">
        <v>2</v>
      </c>
      <c r="AM398" t="n">
        <v>34200</v>
      </c>
      <c r="AN398" t="n">
        <v>0</v>
      </c>
      <c r="AO398" t="n">
        <v>0</v>
      </c>
      <c r="AP398" s="39" t="n">
        <v>34200</v>
      </c>
      <c r="AQ398" s="39" t="n">
        <v>0</v>
      </c>
      <c r="AR398" s="39" t="n">
        <v>34200</v>
      </c>
      <c r="AT398" t="inlineStr">
        <is>
          <t>Ahorro</t>
        </is>
      </c>
      <c r="AZ398" t="inlineStr">
        <is>
          <t>No</t>
        </is>
      </c>
      <c r="BC398" t="inlineStr">
        <is>
          <t>PENDIENTE</t>
        </is>
      </c>
      <c r="BN398" t="inlineStr">
        <is>
          <t>No</t>
        </is>
      </c>
      <c r="BO398" s="76" t="n">
        <v>46178.34861111111</v>
      </c>
      <c r="BP398" t="inlineStr">
        <is>
          <t>Magaly Guevara Perez</t>
        </is>
      </c>
      <c r="BR398" t="n">
        <v>13</v>
      </c>
      <c r="BW398" t="inlineStr">
        <is>
          <t>Cobranzas_2026.csv</t>
        </is>
      </c>
      <c r="BX398" t="n">
        <v>2026</v>
      </c>
      <c r="BY398" t="inlineStr">
        <is>
          <t>01/01/2024</t>
        </is>
      </c>
      <c r="BZ398" t="inlineStr">
        <is>
          <t>30/06/2031</t>
        </is>
      </c>
    </row>
    <row r="399">
      <c r="A399" t="inlineStr">
        <is>
          <t>RESIDENCIAL VENECIA</t>
        </is>
      </c>
      <c r="B399" t="inlineStr">
        <is>
          <t>Etapa 1</t>
        </is>
      </c>
      <c r="C399" t="inlineStr">
        <is>
          <t>Edificio</t>
        </is>
      </c>
      <c r="D399" t="inlineStr">
        <is>
          <t>A</t>
        </is>
      </c>
      <c r="E399" t="inlineStr">
        <is>
          <t>Departamento</t>
        </is>
      </c>
      <c r="F399" t="inlineStr">
        <is>
          <t>701</t>
        </is>
      </c>
      <c r="G399" s="39" t="n">
        <v>561000</v>
      </c>
      <c r="H399" s="39" t="n">
        <v>561000</v>
      </c>
      <c r="M399" s="39" t="n"/>
      <c r="N399" s="39" t="n"/>
      <c r="S399" s="39" t="n"/>
      <c r="T399" s="39" t="n"/>
      <c r="Y399" s="39" t="n"/>
      <c r="Z399" s="39" t="n"/>
      <c r="AA399" t="inlineStr">
        <is>
          <t>Irma Paulina Palomino Huaman</t>
        </is>
      </c>
      <c r="AB399" t="inlineStr">
        <is>
          <t>76840101</t>
        </is>
      </c>
      <c r="AC399" t="inlineStr">
        <is>
          <t>Jr. Manco Segundo 2202 Dpto. 102</t>
        </is>
      </c>
      <c r="AD399" t="n">
        <v>0</v>
      </c>
      <c r="AE399" t="inlineStr">
        <is>
          <t>939315617</t>
        </is>
      </c>
      <c r="AF399" t="inlineStr">
        <is>
          <t>paulinapalomino8@gmail.com</t>
        </is>
      </c>
      <c r="AG399" t="inlineStr">
        <is>
          <t>LIMA</t>
        </is>
      </c>
      <c r="AH399" t="inlineStr">
        <is>
          <t>LINCE</t>
        </is>
      </c>
      <c r="AI399" s="75" t="n">
        <v>46295</v>
      </c>
      <c r="AJ399" s="75" t="n"/>
      <c r="AK399" t="inlineStr">
        <is>
          <t>SALDO FINANCIAR</t>
        </is>
      </c>
      <c r="AL399" t="n">
        <v>1</v>
      </c>
      <c r="AM399" t="n">
        <v>504900</v>
      </c>
      <c r="AN399" t="n">
        <v>0</v>
      </c>
      <c r="AO399" t="n">
        <v>0</v>
      </c>
      <c r="AP399" s="39" t="n">
        <v>504900</v>
      </c>
      <c r="AQ399" s="39" t="n">
        <v>0</v>
      </c>
      <c r="AR399" s="39" t="n">
        <v>504900</v>
      </c>
      <c r="AT399" t="inlineStr">
        <is>
          <t>Ahorro</t>
        </is>
      </c>
      <c r="AZ399" t="inlineStr">
        <is>
          <t>No</t>
        </is>
      </c>
      <c r="BC399" t="inlineStr">
        <is>
          <t>PENDIENTE</t>
        </is>
      </c>
      <c r="BN399" t="inlineStr">
        <is>
          <t>No</t>
        </is>
      </c>
      <c r="BO399" s="76" t="n">
        <v>46178.34861111111</v>
      </c>
      <c r="BP399" t="inlineStr">
        <is>
          <t>Magaly Guevara Perez</t>
        </is>
      </c>
      <c r="BR399" t="n">
        <v>13</v>
      </c>
      <c r="BW399" t="inlineStr">
        <is>
          <t>Cobranzas_2026.csv</t>
        </is>
      </c>
      <c r="BX399" t="n">
        <v>2026</v>
      </c>
      <c r="BY399" t="inlineStr">
        <is>
          <t>01/01/2024</t>
        </is>
      </c>
      <c r="BZ399" t="inlineStr">
        <is>
          <t>30/06/2031</t>
        </is>
      </c>
    </row>
    <row r="400">
      <c r="A400" t="inlineStr">
        <is>
          <t>RESIDENCIAL VENECIA</t>
        </is>
      </c>
      <c r="B400" t="inlineStr">
        <is>
          <t>Etapa 1</t>
        </is>
      </c>
      <c r="C400" t="inlineStr">
        <is>
          <t>Edificio</t>
        </is>
      </c>
      <c r="D400" t="inlineStr">
        <is>
          <t>A</t>
        </is>
      </c>
      <c r="E400" t="inlineStr">
        <is>
          <t>Departamento</t>
        </is>
      </c>
      <c r="F400" t="inlineStr">
        <is>
          <t>805</t>
        </is>
      </c>
      <c r="G400" s="39" t="n">
        <v>442000</v>
      </c>
      <c r="H400" s="39" t="n">
        <v>415000</v>
      </c>
      <c r="M400" s="39" t="n"/>
      <c r="N400" s="39" t="n"/>
      <c r="S400" s="39" t="n"/>
      <c r="T400" s="39" t="n"/>
      <c r="Y400" s="39" t="n"/>
      <c r="Z400" s="39" t="n"/>
      <c r="AA400" t="inlineStr">
        <is>
          <t>Isabel Cristina Franco Zegarra</t>
        </is>
      </c>
      <c r="AB400" t="inlineStr">
        <is>
          <t>09884970</t>
        </is>
      </c>
      <c r="AC400" t="inlineStr">
        <is>
          <t>Coop Union Mz D Lt 5</t>
        </is>
      </c>
      <c r="AD400" t="n">
        <v>959158450</v>
      </c>
      <c r="AE400" t="inlineStr">
        <is>
          <t>959158450</t>
        </is>
      </c>
      <c r="AF400" t="inlineStr">
        <is>
          <t>959158450@gmail.com</t>
        </is>
      </c>
      <c r="AG400" t="inlineStr">
        <is>
          <t>LIMA</t>
        </is>
      </c>
      <c r="AH400" t="inlineStr">
        <is>
          <t>SAN MARTIN DE PORRES</t>
        </is>
      </c>
      <c r="AI400" s="75" t="n">
        <v>46159</v>
      </c>
      <c r="AJ400" s="75" t="n">
        <v>46159</v>
      </c>
      <c r="AK400" t="inlineStr">
        <is>
          <t>SEPARACION</t>
        </is>
      </c>
      <c r="AL400" t="n">
        <v>1</v>
      </c>
      <c r="AM400" t="n">
        <v>3000</v>
      </c>
      <c r="AN400" t="n">
        <v>0</v>
      </c>
      <c r="AO400" t="n">
        <v>0</v>
      </c>
      <c r="AP400" s="39" t="n">
        <v>3000</v>
      </c>
      <c r="AQ400" s="39" t="n">
        <v>3000</v>
      </c>
      <c r="AR400" s="39" t="n">
        <v>0</v>
      </c>
      <c r="AS400" t="n">
        <v>0</v>
      </c>
      <c r="AT400" t="inlineStr">
        <is>
          <t>Crédito Hipotecario</t>
        </is>
      </c>
      <c r="AU400" t="inlineStr">
        <is>
          <t>Scotiabank Perú</t>
        </is>
      </c>
      <c r="AV400" t="inlineStr">
        <is>
          <t>0004071419</t>
        </is>
      </c>
      <c r="AW400" t="inlineStr">
        <is>
          <t>POS VISA</t>
        </is>
      </c>
      <c r="AY400" t="inlineStr">
        <is>
          <t>0038</t>
        </is>
      </c>
      <c r="AZ400" t="inlineStr">
        <is>
          <t>Si</t>
        </is>
      </c>
      <c r="BB400" t="n">
        <v>4</v>
      </c>
      <c r="BC400" t="inlineStr">
        <is>
          <t>CANCELADO</t>
        </is>
      </c>
      <c r="BN400" t="inlineStr">
        <is>
          <t>Si</t>
        </is>
      </c>
      <c r="BO400" s="76" t="n">
        <v>46168.40138888889</v>
      </c>
      <c r="BP400" t="inlineStr">
        <is>
          <t>Josue andres Perez Chamorro</t>
        </is>
      </c>
      <c r="BR400" t="n">
        <v>16</v>
      </c>
      <c r="BS400" t="inlineStr">
        <is>
          <t>17/05/2026 17:56</t>
        </is>
      </c>
      <c r="BW400" t="inlineStr">
        <is>
          <t>Cobranzas_2026.csv</t>
        </is>
      </c>
      <c r="BX400" t="n">
        <v>2026</v>
      </c>
      <c r="BY400" t="inlineStr">
        <is>
          <t>01/01/2024</t>
        </is>
      </c>
      <c r="BZ400" t="inlineStr">
        <is>
          <t>30/06/2031</t>
        </is>
      </c>
    </row>
    <row r="401">
      <c r="A401" t="inlineStr">
        <is>
          <t>RESIDENCIAL VENECIA</t>
        </is>
      </c>
      <c r="B401" t="inlineStr">
        <is>
          <t>Etapa 1</t>
        </is>
      </c>
      <c r="C401" t="inlineStr">
        <is>
          <t>Edificio</t>
        </is>
      </c>
      <c r="D401" t="inlineStr">
        <is>
          <t>A</t>
        </is>
      </c>
      <c r="E401" t="inlineStr">
        <is>
          <t>Departamento</t>
        </is>
      </c>
      <c r="F401" t="inlineStr">
        <is>
          <t>805</t>
        </is>
      </c>
      <c r="G401" s="39" t="n">
        <v>442000</v>
      </c>
      <c r="H401" s="39" t="n">
        <v>415000</v>
      </c>
      <c r="M401" s="39" t="n"/>
      <c r="N401" s="39" t="n"/>
      <c r="S401" s="39" t="n"/>
      <c r="T401" s="39" t="n"/>
      <c r="Y401" s="39" t="n"/>
      <c r="Z401" s="39" t="n"/>
      <c r="AA401" t="inlineStr">
        <is>
          <t>Isabel Cristina Franco Zegarra</t>
        </is>
      </c>
      <c r="AB401" t="inlineStr">
        <is>
          <t>09884970</t>
        </is>
      </c>
      <c r="AC401" t="inlineStr">
        <is>
          <t>Coop Union Mz D Lt 5</t>
        </is>
      </c>
      <c r="AD401" t="n">
        <v>959158450</v>
      </c>
      <c r="AE401" t="inlineStr">
        <is>
          <t>959158450</t>
        </is>
      </c>
      <c r="AF401" t="inlineStr">
        <is>
          <t>959158450@gmail.com</t>
        </is>
      </c>
      <c r="AG401" t="inlineStr">
        <is>
          <t>LIMA</t>
        </is>
      </c>
      <c r="AH401" t="inlineStr">
        <is>
          <t>SAN MARTIN DE PORRES</t>
        </is>
      </c>
      <c r="AI401" s="75" t="n">
        <v>46171</v>
      </c>
      <c r="AJ401" s="75" t="n">
        <v>46168</v>
      </c>
      <c r="AK401" t="inlineStr">
        <is>
          <t>CUOTA INICIAL</t>
        </is>
      </c>
      <c r="AL401" t="n">
        <v>1</v>
      </c>
      <c r="AM401" t="n">
        <v>30000</v>
      </c>
      <c r="AN401" t="n">
        <v>0</v>
      </c>
      <c r="AO401" t="n">
        <v>0</v>
      </c>
      <c r="AP401" s="39" t="n">
        <v>30000</v>
      </c>
      <c r="AQ401" s="39" t="n">
        <v>30000</v>
      </c>
      <c r="AR401" s="39" t="n">
        <v>0</v>
      </c>
      <c r="AS401" t="n">
        <v>0</v>
      </c>
      <c r="AT401" t="inlineStr">
        <is>
          <t>Crédito Hipotecario</t>
        </is>
      </c>
      <c r="AU401" t="inlineStr">
        <is>
          <t>Scotiabank Perú</t>
        </is>
      </c>
      <c r="AV401" t="inlineStr">
        <is>
          <t>0004071419</t>
        </is>
      </c>
      <c r="AW401" t="inlineStr">
        <is>
          <t>TRANSFERENCIA BANCARIA</t>
        </is>
      </c>
      <c r="AY401" t="inlineStr">
        <is>
          <t>109884970</t>
        </is>
      </c>
      <c r="AZ401" t="inlineStr">
        <is>
          <t>Si</t>
        </is>
      </c>
      <c r="BB401" t="n">
        <v>4</v>
      </c>
      <c r="BC401" t="inlineStr">
        <is>
          <t>CANCELADO</t>
        </is>
      </c>
      <c r="BN401" t="inlineStr">
        <is>
          <t>No</t>
        </is>
      </c>
      <c r="BO401" s="76" t="n">
        <v>46168.40138888889</v>
      </c>
      <c r="BP401" t="inlineStr">
        <is>
          <t>Josue andres Perez Chamorro</t>
        </is>
      </c>
      <c r="BR401" t="n">
        <v>16</v>
      </c>
      <c r="BS401" t="inlineStr">
        <is>
          <t>23/06/2026 10:59</t>
        </is>
      </c>
      <c r="BW401" t="inlineStr">
        <is>
          <t>Cobranzas_2026.csv</t>
        </is>
      </c>
      <c r="BX401" t="n">
        <v>2026</v>
      </c>
      <c r="BY401" t="inlineStr">
        <is>
          <t>01/01/2024</t>
        </is>
      </c>
      <c r="BZ401" t="inlineStr">
        <is>
          <t>30/06/2031</t>
        </is>
      </c>
    </row>
    <row r="402">
      <c r="A402" t="inlineStr">
        <is>
          <t>RESIDENCIAL VENECIA</t>
        </is>
      </c>
      <c r="B402" t="inlineStr">
        <is>
          <t>Etapa 1</t>
        </is>
      </c>
      <c r="C402" t="inlineStr">
        <is>
          <t>Edificio</t>
        </is>
      </c>
      <c r="D402" t="inlineStr">
        <is>
          <t>A</t>
        </is>
      </c>
      <c r="E402" t="inlineStr">
        <is>
          <t>Departamento</t>
        </is>
      </c>
      <c r="F402" t="inlineStr">
        <is>
          <t>805</t>
        </is>
      </c>
      <c r="G402" s="39" t="n">
        <v>442000</v>
      </c>
      <c r="H402" s="39" t="n">
        <v>415000</v>
      </c>
      <c r="M402" s="39" t="n"/>
      <c r="N402" s="39" t="n"/>
      <c r="S402" s="39" t="n"/>
      <c r="T402" s="39" t="n"/>
      <c r="Y402" s="39" t="n"/>
      <c r="Z402" s="39" t="n"/>
      <c r="AA402" t="inlineStr">
        <is>
          <t>Isabel Cristina Franco Zegarra</t>
        </is>
      </c>
      <c r="AB402" t="inlineStr">
        <is>
          <t>09884970</t>
        </is>
      </c>
      <c r="AC402" t="inlineStr">
        <is>
          <t>Coop Union Mz D Lt 5</t>
        </is>
      </c>
      <c r="AD402" t="n">
        <v>959158450</v>
      </c>
      <c r="AE402" t="inlineStr">
        <is>
          <t>959158450</t>
        </is>
      </c>
      <c r="AF402" t="inlineStr">
        <is>
          <t>959158450@gmail.com</t>
        </is>
      </c>
      <c r="AG402" t="inlineStr">
        <is>
          <t>LIMA</t>
        </is>
      </c>
      <c r="AH402" t="inlineStr">
        <is>
          <t>SAN MARTIN DE PORRES</t>
        </is>
      </c>
      <c r="AI402" s="75" t="n">
        <v>46171</v>
      </c>
      <c r="AJ402" s="75" t="n">
        <v>46168</v>
      </c>
      <c r="AK402" t="inlineStr">
        <is>
          <t>CUOTA INICIAL</t>
        </is>
      </c>
      <c r="AL402" t="n">
        <v>2</v>
      </c>
      <c r="AM402" t="n">
        <v>30000</v>
      </c>
      <c r="AN402" t="n">
        <v>0</v>
      </c>
      <c r="AO402" t="n">
        <v>0</v>
      </c>
      <c r="AP402" s="39" t="n">
        <v>30000</v>
      </c>
      <c r="AQ402" s="39" t="n">
        <v>30000</v>
      </c>
      <c r="AR402" s="39" t="n">
        <v>0</v>
      </c>
      <c r="AS402" t="n">
        <v>0</v>
      </c>
      <c r="AT402" t="inlineStr">
        <is>
          <t>Crédito Hipotecario</t>
        </is>
      </c>
      <c r="AU402" t="inlineStr">
        <is>
          <t>Scotiabank Perú</t>
        </is>
      </c>
      <c r="AV402" t="inlineStr">
        <is>
          <t>0004071419</t>
        </is>
      </c>
      <c r="AW402" t="inlineStr">
        <is>
          <t>TRANSFERENCIA BANCARIA</t>
        </is>
      </c>
      <c r="AY402" t="inlineStr">
        <is>
          <t>109884870</t>
        </is>
      </c>
      <c r="AZ402" t="inlineStr">
        <is>
          <t>Si</t>
        </is>
      </c>
      <c r="BA402" t="inlineStr">
        <is>
          <t>AHORROS PERSONALES</t>
        </is>
      </c>
      <c r="BB402" t="n">
        <v>4</v>
      </c>
      <c r="BC402" t="inlineStr">
        <is>
          <t>CANCELADO</t>
        </is>
      </c>
      <c r="BN402" t="inlineStr">
        <is>
          <t>No</t>
        </is>
      </c>
      <c r="BO402" s="76" t="n">
        <v>46168.40138888889</v>
      </c>
      <c r="BP402" t="inlineStr">
        <is>
          <t>Josue andres Perez Chamorro</t>
        </is>
      </c>
      <c r="BR402" t="n">
        <v>16</v>
      </c>
      <c r="BS402" t="inlineStr">
        <is>
          <t>23/06/2026 11:00</t>
        </is>
      </c>
      <c r="BW402" t="inlineStr">
        <is>
          <t>Cobranzas_2026.csv</t>
        </is>
      </c>
      <c r="BX402" t="n">
        <v>2026</v>
      </c>
      <c r="BY402" t="inlineStr">
        <is>
          <t>01/01/2024</t>
        </is>
      </c>
      <c r="BZ402" t="inlineStr">
        <is>
          <t>30/06/2031</t>
        </is>
      </c>
    </row>
    <row r="403">
      <c r="A403" t="inlineStr">
        <is>
          <t>RESIDENCIAL VENECIA</t>
        </is>
      </c>
      <c r="B403" t="inlineStr">
        <is>
          <t>Etapa 1</t>
        </is>
      </c>
      <c r="C403" t="inlineStr">
        <is>
          <t>Edificio</t>
        </is>
      </c>
      <c r="D403" t="inlineStr">
        <is>
          <t>A</t>
        </is>
      </c>
      <c r="E403" t="inlineStr">
        <is>
          <t>Departamento</t>
        </is>
      </c>
      <c r="F403" t="inlineStr">
        <is>
          <t>805</t>
        </is>
      </c>
      <c r="G403" s="39" t="n">
        <v>442000</v>
      </c>
      <c r="H403" s="39" t="n">
        <v>415000</v>
      </c>
      <c r="M403" s="39" t="n"/>
      <c r="N403" s="39" t="n"/>
      <c r="S403" s="39" t="n"/>
      <c r="T403" s="39" t="n"/>
      <c r="Y403" s="39" t="n"/>
      <c r="Z403" s="39" t="n"/>
      <c r="AA403" t="inlineStr">
        <is>
          <t>Isabel Cristina Franco Zegarra</t>
        </is>
      </c>
      <c r="AB403" t="inlineStr">
        <is>
          <t>09884970</t>
        </is>
      </c>
      <c r="AC403" t="inlineStr">
        <is>
          <t>Coop Union Mz D Lt 5</t>
        </is>
      </c>
      <c r="AD403" t="n">
        <v>959158450</v>
      </c>
      <c r="AE403" t="inlineStr">
        <is>
          <t>959158450</t>
        </is>
      </c>
      <c r="AF403" t="inlineStr">
        <is>
          <t>959158450@gmail.com</t>
        </is>
      </c>
      <c r="AG403" t="inlineStr">
        <is>
          <t>LIMA</t>
        </is>
      </c>
      <c r="AH403" t="inlineStr">
        <is>
          <t>SAN MARTIN DE PORRES</t>
        </is>
      </c>
      <c r="AI403" s="75" t="n">
        <v>46171</v>
      </c>
      <c r="AJ403" s="75" t="n">
        <v>46168</v>
      </c>
      <c r="AK403" t="inlineStr">
        <is>
          <t>CUOTA INICIAL</t>
        </is>
      </c>
      <c r="AL403" t="n">
        <v>3</v>
      </c>
      <c r="AM403" t="n">
        <v>20000</v>
      </c>
      <c r="AN403" t="n">
        <v>0</v>
      </c>
      <c r="AO403" t="n">
        <v>0</v>
      </c>
      <c r="AP403" s="39" t="n">
        <v>20000</v>
      </c>
      <c r="AQ403" s="39" t="n">
        <v>20000</v>
      </c>
      <c r="AR403" s="39" t="n">
        <v>0</v>
      </c>
      <c r="AS403" t="n">
        <v>0</v>
      </c>
      <c r="AT403" t="inlineStr">
        <is>
          <t>Crédito Hipotecario</t>
        </is>
      </c>
      <c r="AU403" t="inlineStr">
        <is>
          <t>Scotiabank Perú</t>
        </is>
      </c>
      <c r="AV403" t="inlineStr">
        <is>
          <t>0004071419</t>
        </is>
      </c>
      <c r="AW403" t="inlineStr">
        <is>
          <t>TRANSFERENCIA BANCARIA</t>
        </is>
      </c>
      <c r="AY403" t="inlineStr">
        <is>
          <t>109884970</t>
        </is>
      </c>
      <c r="AZ403" t="inlineStr">
        <is>
          <t>Si</t>
        </is>
      </c>
      <c r="BB403" t="n">
        <v>4</v>
      </c>
      <c r="BC403" t="inlineStr">
        <is>
          <t>CANCELADO</t>
        </is>
      </c>
      <c r="BN403" t="inlineStr">
        <is>
          <t>No</t>
        </is>
      </c>
      <c r="BO403" s="76" t="n">
        <v>46168.40138888889</v>
      </c>
      <c r="BP403" t="inlineStr">
        <is>
          <t>Josue andres Perez Chamorro</t>
        </is>
      </c>
      <c r="BR403" t="n">
        <v>16</v>
      </c>
      <c r="BS403" t="inlineStr">
        <is>
          <t>23/06/2026 11:01</t>
        </is>
      </c>
      <c r="BW403" t="inlineStr">
        <is>
          <t>Cobranzas_2026.csv</t>
        </is>
      </c>
      <c r="BX403" t="n">
        <v>2026</v>
      </c>
      <c r="BY403" t="inlineStr">
        <is>
          <t>01/01/2024</t>
        </is>
      </c>
      <c r="BZ403" t="inlineStr">
        <is>
          <t>30/06/2031</t>
        </is>
      </c>
    </row>
    <row r="404">
      <c r="A404" t="inlineStr">
        <is>
          <t>RESIDENCIAL VENECIA</t>
        </is>
      </c>
      <c r="B404" t="inlineStr">
        <is>
          <t>Etapa 1</t>
        </is>
      </c>
      <c r="C404" t="inlineStr">
        <is>
          <t>Edificio</t>
        </is>
      </c>
      <c r="D404" t="inlineStr">
        <is>
          <t>A</t>
        </is>
      </c>
      <c r="E404" t="inlineStr">
        <is>
          <t>Departamento</t>
        </is>
      </c>
      <c r="F404" t="inlineStr">
        <is>
          <t>805</t>
        </is>
      </c>
      <c r="G404" s="39" t="n">
        <v>442000</v>
      </c>
      <c r="H404" s="39" t="n">
        <v>415000</v>
      </c>
      <c r="M404" s="39" t="n"/>
      <c r="N404" s="39" t="n"/>
      <c r="S404" s="39" t="n"/>
      <c r="T404" s="39" t="n"/>
      <c r="Y404" s="39" t="n"/>
      <c r="Z404" s="39" t="n"/>
      <c r="AA404" t="inlineStr">
        <is>
          <t>Isabel Cristina Franco Zegarra</t>
        </is>
      </c>
      <c r="AB404" t="inlineStr">
        <is>
          <t>09884970</t>
        </is>
      </c>
      <c r="AC404" t="inlineStr">
        <is>
          <t>Coop Union Mz D Lt 5</t>
        </is>
      </c>
      <c r="AD404" t="n">
        <v>959158450</v>
      </c>
      <c r="AE404" t="inlineStr">
        <is>
          <t>959158450</t>
        </is>
      </c>
      <c r="AF404" t="inlineStr">
        <is>
          <t>959158450@gmail.com</t>
        </is>
      </c>
      <c r="AG404" t="inlineStr">
        <is>
          <t>LIMA</t>
        </is>
      </c>
      <c r="AH404" t="inlineStr">
        <is>
          <t>SAN MARTIN DE PORRES</t>
        </is>
      </c>
      <c r="AI404" s="75" t="n">
        <v>46199</v>
      </c>
      <c r="AJ404" s="75" t="n">
        <v>46195</v>
      </c>
      <c r="AK404" t="inlineStr">
        <is>
          <t>CUOTA INICIAL</t>
        </is>
      </c>
      <c r="AL404" t="n">
        <v>4</v>
      </c>
      <c r="AM404" t="n">
        <v>24000</v>
      </c>
      <c r="AN404" t="n">
        <v>0</v>
      </c>
      <c r="AO404" t="n">
        <v>0</v>
      </c>
      <c r="AP404" s="39" t="n">
        <v>24000</v>
      </c>
      <c r="AQ404" s="39" t="n">
        <v>24000</v>
      </c>
      <c r="AR404" s="39" t="n">
        <v>0</v>
      </c>
      <c r="AS404" t="n">
        <v>0</v>
      </c>
      <c r="AT404" t="inlineStr">
        <is>
          <t>Crédito Hipotecario</t>
        </is>
      </c>
      <c r="AU404" t="inlineStr">
        <is>
          <t>Scotiabank Perú</t>
        </is>
      </c>
      <c r="AV404" t="inlineStr">
        <is>
          <t>0004071419</t>
        </is>
      </c>
      <c r="AW404" t="inlineStr">
        <is>
          <t>TRANSFERENCIA BANCARIA</t>
        </is>
      </c>
      <c r="AY404" t="inlineStr">
        <is>
          <t>U100717</t>
        </is>
      </c>
      <c r="AZ404" t="inlineStr">
        <is>
          <t>Si</t>
        </is>
      </c>
      <c r="BB404" t="n">
        <v>4</v>
      </c>
      <c r="BC404" t="inlineStr">
        <is>
          <t>CANCELADO</t>
        </is>
      </c>
      <c r="BN404" t="inlineStr">
        <is>
          <t>No</t>
        </is>
      </c>
      <c r="BO404" s="76" t="n">
        <v>46168.40138888889</v>
      </c>
      <c r="BP404" t="inlineStr">
        <is>
          <t>Josue andres Perez Chamorro</t>
        </is>
      </c>
      <c r="BR404" t="n">
        <v>16</v>
      </c>
      <c r="BS404" t="inlineStr">
        <is>
          <t>23/06/2026 11:02</t>
        </is>
      </c>
      <c r="BW404" t="inlineStr">
        <is>
          <t>Cobranzas_2026.csv</t>
        </is>
      </c>
      <c r="BX404" t="n">
        <v>2026</v>
      </c>
      <c r="BY404" t="inlineStr">
        <is>
          <t>01/01/2024</t>
        </is>
      </c>
      <c r="BZ404" t="inlineStr">
        <is>
          <t>30/06/2031</t>
        </is>
      </c>
    </row>
    <row r="405">
      <c r="A405" t="inlineStr">
        <is>
          <t>RESIDENCIAL VENECIA</t>
        </is>
      </c>
      <c r="B405" t="inlineStr">
        <is>
          <t>Etapa 1</t>
        </is>
      </c>
      <c r="C405" t="inlineStr">
        <is>
          <t>Edificio</t>
        </is>
      </c>
      <c r="D405" t="inlineStr">
        <is>
          <t>A</t>
        </is>
      </c>
      <c r="E405" t="inlineStr">
        <is>
          <t>Departamento</t>
        </is>
      </c>
      <c r="F405" t="inlineStr">
        <is>
          <t>805</t>
        </is>
      </c>
      <c r="G405" s="39" t="n">
        <v>442000</v>
      </c>
      <c r="H405" s="39" t="n">
        <v>415000</v>
      </c>
      <c r="M405" s="39" t="n"/>
      <c r="N405" s="39" t="n"/>
      <c r="S405" s="39" t="n"/>
      <c r="T405" s="39" t="n"/>
      <c r="Y405" s="39" t="n"/>
      <c r="Z405" s="39" t="n"/>
      <c r="AA405" t="inlineStr">
        <is>
          <t>Isabel Cristina Franco Zegarra</t>
        </is>
      </c>
      <c r="AB405" t="inlineStr">
        <is>
          <t>09884970</t>
        </is>
      </c>
      <c r="AC405" t="inlineStr">
        <is>
          <t>Coop Union Mz D Lt 5</t>
        </is>
      </c>
      <c r="AD405" t="n">
        <v>959158450</v>
      </c>
      <c r="AE405" t="inlineStr">
        <is>
          <t>959158450</t>
        </is>
      </c>
      <c r="AF405" t="inlineStr">
        <is>
          <t>959158450@gmail.com</t>
        </is>
      </c>
      <c r="AG405" t="inlineStr">
        <is>
          <t>LIMA</t>
        </is>
      </c>
      <c r="AH405" t="inlineStr">
        <is>
          <t>SAN MARTIN DE PORRES</t>
        </is>
      </c>
      <c r="AI405" s="75" t="n">
        <v>46199</v>
      </c>
      <c r="AJ405" s="75" t="n">
        <v>46195</v>
      </c>
      <c r="AK405" t="inlineStr">
        <is>
          <t>CUOTA INICIAL</t>
        </is>
      </c>
      <c r="AL405" t="n">
        <v>5</v>
      </c>
      <c r="AM405" t="n">
        <v>17500</v>
      </c>
      <c r="AN405" t="n">
        <v>0</v>
      </c>
      <c r="AO405" t="n">
        <v>0</v>
      </c>
      <c r="AP405" s="39" t="n">
        <v>17500</v>
      </c>
      <c r="AQ405" s="39" t="n">
        <v>17500</v>
      </c>
      <c r="AR405" s="39" t="n">
        <v>0</v>
      </c>
      <c r="AS405" t="n">
        <v>0</v>
      </c>
      <c r="AT405" t="inlineStr">
        <is>
          <t>Crédito Hipotecario</t>
        </is>
      </c>
      <c r="AU405" t="inlineStr">
        <is>
          <t>Scotiabank Perú</t>
        </is>
      </c>
      <c r="AV405" t="inlineStr">
        <is>
          <t>0004071419</t>
        </is>
      </c>
      <c r="AW405" t="inlineStr">
        <is>
          <t>TRANSFERENCIA BANCARIA</t>
        </is>
      </c>
      <c r="AY405" t="inlineStr">
        <is>
          <t>0635520</t>
        </is>
      </c>
      <c r="AZ405" t="inlineStr">
        <is>
          <t>Si</t>
        </is>
      </c>
      <c r="BB405" t="n">
        <v>4</v>
      </c>
      <c r="BC405" t="inlineStr">
        <is>
          <t>CANCELADO</t>
        </is>
      </c>
      <c r="BN405" t="inlineStr">
        <is>
          <t>No</t>
        </is>
      </c>
      <c r="BO405" s="76" t="n">
        <v>46168.40138888889</v>
      </c>
      <c r="BP405" t="inlineStr">
        <is>
          <t>Josue andres Perez Chamorro</t>
        </is>
      </c>
      <c r="BR405" t="n">
        <v>16</v>
      </c>
      <c r="BS405" t="inlineStr">
        <is>
          <t>23/06/2026 11:03</t>
        </is>
      </c>
      <c r="BW405" t="inlineStr">
        <is>
          <t>Cobranzas_2026.csv</t>
        </is>
      </c>
      <c r="BX405" t="n">
        <v>2026</v>
      </c>
      <c r="BY405" t="inlineStr">
        <is>
          <t>01/01/2024</t>
        </is>
      </c>
      <c r="BZ405" t="inlineStr">
        <is>
          <t>30/06/2031</t>
        </is>
      </c>
    </row>
    <row r="406">
      <c r="A406" t="inlineStr">
        <is>
          <t>RESIDENCIAL VENECIA</t>
        </is>
      </c>
      <c r="B406" t="inlineStr">
        <is>
          <t>Etapa 1</t>
        </is>
      </c>
      <c r="C406" t="inlineStr">
        <is>
          <t>Edificio</t>
        </is>
      </c>
      <c r="D406" t="inlineStr">
        <is>
          <t>A</t>
        </is>
      </c>
      <c r="E406" t="inlineStr">
        <is>
          <t>Departamento</t>
        </is>
      </c>
      <c r="F406" t="inlineStr">
        <is>
          <t>805</t>
        </is>
      </c>
      <c r="G406" s="39" t="n">
        <v>442000</v>
      </c>
      <c r="H406" s="39" t="n">
        <v>415000</v>
      </c>
      <c r="M406" s="39" t="n"/>
      <c r="N406" s="39" t="n"/>
      <c r="S406" s="39" t="n"/>
      <c r="T406" s="39" t="n"/>
      <c r="Y406" s="39" t="n"/>
      <c r="Z406" s="39" t="n"/>
      <c r="AA406" t="inlineStr">
        <is>
          <t>Isabel Cristina Franco Zegarra</t>
        </is>
      </c>
      <c r="AB406" t="inlineStr">
        <is>
          <t>09884970</t>
        </is>
      </c>
      <c r="AC406" t="inlineStr">
        <is>
          <t>Coop Union Mz D Lt 5</t>
        </is>
      </c>
      <c r="AD406" t="n">
        <v>959158450</v>
      </c>
      <c r="AE406" t="inlineStr">
        <is>
          <t>959158450</t>
        </is>
      </c>
      <c r="AF406" t="inlineStr">
        <is>
          <t>959158450@gmail.com</t>
        </is>
      </c>
      <c r="AG406" t="inlineStr">
        <is>
          <t>LIMA</t>
        </is>
      </c>
      <c r="AH406" t="inlineStr">
        <is>
          <t>SAN MARTIN DE PORRES</t>
        </is>
      </c>
      <c r="AI406" s="75" t="n">
        <v>46203</v>
      </c>
      <c r="AJ406" s="75" t="n"/>
      <c r="AK406" t="inlineStr">
        <is>
          <t>SALDO FINANCIAR</t>
        </is>
      </c>
      <c r="AL406" t="n">
        <v>1</v>
      </c>
      <c r="AM406" t="n">
        <v>290500</v>
      </c>
      <c r="AN406" t="n">
        <v>0</v>
      </c>
      <c r="AO406" t="n">
        <v>0</v>
      </c>
      <c r="AP406" s="39" t="n">
        <v>290500</v>
      </c>
      <c r="AQ406" s="39" t="n">
        <v>0</v>
      </c>
      <c r="AR406" s="39" t="n">
        <v>290500</v>
      </c>
      <c r="AT406" t="inlineStr">
        <is>
          <t>Crédito Hipotecario</t>
        </is>
      </c>
      <c r="AZ406" t="inlineStr">
        <is>
          <t>No</t>
        </is>
      </c>
      <c r="BC406" t="inlineStr">
        <is>
          <t>VENCIDO</t>
        </is>
      </c>
      <c r="BN406" t="inlineStr">
        <is>
          <t>No</t>
        </is>
      </c>
      <c r="BO406" s="76" t="n">
        <v>46168.40138888889</v>
      </c>
      <c r="BP406" t="inlineStr">
        <is>
          <t>Josue andres Perez Chamorro</t>
        </is>
      </c>
      <c r="BR406" t="n">
        <v>16</v>
      </c>
      <c r="BW406" t="inlineStr">
        <is>
          <t>Cobranzas_2026.csv</t>
        </is>
      </c>
      <c r="BX406" t="n">
        <v>2026</v>
      </c>
      <c r="BY406" t="inlineStr">
        <is>
          <t>01/01/2024</t>
        </is>
      </c>
      <c r="BZ406" t="inlineStr">
        <is>
          <t>30/06/2031</t>
        </is>
      </c>
    </row>
    <row r="407">
      <c r="A407" t="inlineStr">
        <is>
          <t>RESIDENCIAL BEYOND</t>
        </is>
      </c>
      <c r="B407" t="inlineStr">
        <is>
          <t>Etapa 1</t>
        </is>
      </c>
      <c r="C407" t="inlineStr">
        <is>
          <t>Edificio</t>
        </is>
      </c>
      <c r="D407" t="inlineStr">
        <is>
          <t>A</t>
        </is>
      </c>
      <c r="E407" t="inlineStr">
        <is>
          <t>Departamento</t>
        </is>
      </c>
      <c r="F407" t="inlineStr">
        <is>
          <t>1401</t>
        </is>
      </c>
      <c r="G407" s="39" t="n">
        <v>531100</v>
      </c>
      <c r="H407" s="39" t="n">
        <v>483000</v>
      </c>
      <c r="M407" s="39" t="n"/>
      <c r="N407" s="39" t="n"/>
      <c r="S407" s="39" t="n"/>
      <c r="T407" s="39" t="n"/>
      <c r="Y407" s="39" t="n"/>
      <c r="Z407" s="39" t="n"/>
      <c r="AA407" t="inlineStr">
        <is>
          <t>Jacqueline Elsa Moreno Huaman</t>
        </is>
      </c>
      <c r="AB407" t="inlineStr">
        <is>
          <t>28276212</t>
        </is>
      </c>
      <c r="AC407" t="inlineStr">
        <is>
          <t>Calle Padr Urraca 111 Edifc. 6 - Dpto. 603</t>
        </is>
      </c>
      <c r="AD407" t="n">
        <v>0</v>
      </c>
      <c r="AE407" t="inlineStr">
        <is>
          <t>966689822</t>
        </is>
      </c>
      <c r="AF407" t="inlineStr">
        <is>
          <t>jmoreno.incorp@gmail.com</t>
        </is>
      </c>
      <c r="AG407" t="inlineStr">
        <is>
          <t>LIMA</t>
        </is>
      </c>
      <c r="AH407" t="inlineStr">
        <is>
          <t>SAN MIGUEL</t>
        </is>
      </c>
      <c r="AI407" s="75" t="n">
        <v>46165</v>
      </c>
      <c r="AJ407" s="75" t="n">
        <v>46165</v>
      </c>
      <c r="AK407" t="inlineStr">
        <is>
          <t>SEPARACION</t>
        </is>
      </c>
      <c r="AL407" t="n">
        <v>1</v>
      </c>
      <c r="AM407" t="n">
        <v>3000</v>
      </c>
      <c r="AN407" t="n">
        <v>0</v>
      </c>
      <c r="AO407" t="n">
        <v>0</v>
      </c>
      <c r="AP407" s="39" t="n">
        <v>3000</v>
      </c>
      <c r="AQ407" s="39" t="n">
        <v>3000</v>
      </c>
      <c r="AR407" s="39" t="n">
        <v>0</v>
      </c>
      <c r="AS407" t="n">
        <v>0</v>
      </c>
      <c r="AT407" t="inlineStr">
        <is>
          <t>Crédito Hipotecario</t>
        </is>
      </c>
      <c r="AU407" t="inlineStr">
        <is>
          <t>Banco de Credito del Perú</t>
        </is>
      </c>
      <c r="AV407" t="inlineStr">
        <is>
          <t>194-7325779-0-65</t>
        </is>
      </c>
      <c r="AW407" t="inlineStr">
        <is>
          <t>TRANSFERENCIA BANCARIA</t>
        </is>
      </c>
      <c r="AY407" t="inlineStr">
        <is>
          <t>00833460</t>
        </is>
      </c>
      <c r="AZ407" t="inlineStr">
        <is>
          <t>No</t>
        </is>
      </c>
      <c r="BB407" t="n">
        <v>4</v>
      </c>
      <c r="BC407" t="inlineStr">
        <is>
          <t>CANCELADO</t>
        </is>
      </c>
      <c r="BN407" t="inlineStr">
        <is>
          <t>Si</t>
        </is>
      </c>
      <c r="BO407" s="76" t="n">
        <v>46172.40138888889</v>
      </c>
      <c r="BP407" t="inlineStr">
        <is>
          <t>Carla Michue M</t>
        </is>
      </c>
      <c r="BR407" t="n">
        <v>46</v>
      </c>
      <c r="BS407" t="inlineStr">
        <is>
          <t>11/07/2026 09:36</t>
        </is>
      </c>
      <c r="BW407" t="inlineStr">
        <is>
          <t>Cobranzas_2026.csv</t>
        </is>
      </c>
      <c r="BX407" t="n">
        <v>2026</v>
      </c>
      <c r="BY407" t="inlineStr">
        <is>
          <t>01/01/2024</t>
        </is>
      </c>
      <c r="BZ407" t="inlineStr">
        <is>
          <t>30/06/2031</t>
        </is>
      </c>
    </row>
    <row r="408">
      <c r="A408" t="inlineStr">
        <is>
          <t>RESIDENCIAL BEYOND</t>
        </is>
      </c>
      <c r="B408" t="inlineStr">
        <is>
          <t>Etapa 1</t>
        </is>
      </c>
      <c r="C408" t="inlineStr">
        <is>
          <t>Edificio</t>
        </is>
      </c>
      <c r="D408" t="inlineStr">
        <is>
          <t>A</t>
        </is>
      </c>
      <c r="E408" t="inlineStr">
        <is>
          <t>Departamento</t>
        </is>
      </c>
      <c r="F408" t="inlineStr">
        <is>
          <t>1401</t>
        </is>
      </c>
      <c r="G408" s="39" t="n">
        <v>531100</v>
      </c>
      <c r="H408" s="39" t="n">
        <v>483000</v>
      </c>
      <c r="M408" s="39" t="n"/>
      <c r="N408" s="39" t="n"/>
      <c r="S408" s="39" t="n"/>
      <c r="T408" s="39" t="n"/>
      <c r="Y408" s="39" t="n"/>
      <c r="Z408" s="39" t="n"/>
      <c r="AA408" t="inlineStr">
        <is>
          <t>Jacqueline Elsa Moreno Huaman</t>
        </is>
      </c>
      <c r="AB408" t="inlineStr">
        <is>
          <t>28276212</t>
        </is>
      </c>
      <c r="AC408" t="inlineStr">
        <is>
          <t>Calle Padr Urraca 111 Edifc. 6 - Dpto. 603</t>
        </is>
      </c>
      <c r="AD408" t="n">
        <v>0</v>
      </c>
      <c r="AE408" t="inlineStr">
        <is>
          <t>966689822</t>
        </is>
      </c>
      <c r="AF408" t="inlineStr">
        <is>
          <t>jmoreno.incorp@gmail.com</t>
        </is>
      </c>
      <c r="AG408" t="inlineStr">
        <is>
          <t>LIMA</t>
        </is>
      </c>
      <c r="AH408" t="inlineStr">
        <is>
          <t>SAN MIGUEL</t>
        </is>
      </c>
      <c r="AI408" s="75" t="n">
        <v>46172</v>
      </c>
      <c r="AJ408" s="75" t="n">
        <v>46172</v>
      </c>
      <c r="AK408" t="inlineStr">
        <is>
          <t>CUOTA INICIAL</t>
        </is>
      </c>
      <c r="AL408" t="n">
        <v>1</v>
      </c>
      <c r="AM408" t="n">
        <v>7000</v>
      </c>
      <c r="AN408" t="n">
        <v>0</v>
      </c>
      <c r="AO408" t="n">
        <v>0</v>
      </c>
      <c r="AP408" s="39" t="n">
        <v>7000</v>
      </c>
      <c r="AQ408" s="39" t="n">
        <v>7000</v>
      </c>
      <c r="AR408" s="39" t="n">
        <v>0</v>
      </c>
      <c r="AS408" t="n">
        <v>0</v>
      </c>
      <c r="AT408" t="inlineStr">
        <is>
          <t>Crédito Hipotecario</t>
        </is>
      </c>
      <c r="AU408" t="inlineStr">
        <is>
          <t>Banco de Credito del Perú</t>
        </is>
      </c>
      <c r="AV408" t="inlineStr">
        <is>
          <t>194-7325779-0-65</t>
        </is>
      </c>
      <c r="AW408" t="inlineStr">
        <is>
          <t>TRANSFERENCIA BANCARIA</t>
        </is>
      </c>
      <c r="AY408" t="inlineStr">
        <is>
          <t>06218150</t>
        </is>
      </c>
      <c r="AZ408" t="inlineStr">
        <is>
          <t>No</t>
        </is>
      </c>
      <c r="BB408" t="n">
        <v>4</v>
      </c>
      <c r="BC408" t="inlineStr">
        <is>
          <t>CANCELADO</t>
        </is>
      </c>
      <c r="BN408" t="inlineStr">
        <is>
          <t>Si</t>
        </is>
      </c>
      <c r="BO408" s="76" t="n">
        <v>46172.40138888889</v>
      </c>
      <c r="BP408" t="inlineStr">
        <is>
          <t>Carla Michue M</t>
        </is>
      </c>
      <c r="BR408" t="n">
        <v>46</v>
      </c>
      <c r="BS408" t="inlineStr">
        <is>
          <t>11/07/2026 09:37</t>
        </is>
      </c>
      <c r="BW408" t="inlineStr">
        <is>
          <t>Cobranzas_2026.csv</t>
        </is>
      </c>
      <c r="BX408" t="n">
        <v>2026</v>
      </c>
      <c r="BY408" t="inlineStr">
        <is>
          <t>01/01/2024</t>
        </is>
      </c>
      <c r="BZ408" t="inlineStr">
        <is>
          <t>30/06/2031</t>
        </is>
      </c>
    </row>
    <row r="409">
      <c r="A409" t="inlineStr">
        <is>
          <t>RESIDENCIAL BEYOND</t>
        </is>
      </c>
      <c r="B409" t="inlineStr">
        <is>
          <t>Etapa 1</t>
        </is>
      </c>
      <c r="C409" t="inlineStr">
        <is>
          <t>Edificio</t>
        </is>
      </c>
      <c r="D409" t="inlineStr">
        <is>
          <t>A</t>
        </is>
      </c>
      <c r="E409" t="inlineStr">
        <is>
          <t>Departamento</t>
        </is>
      </c>
      <c r="F409" t="inlineStr">
        <is>
          <t>1401</t>
        </is>
      </c>
      <c r="G409" s="39" t="n">
        <v>531100</v>
      </c>
      <c r="H409" s="39" t="n">
        <v>483000</v>
      </c>
      <c r="M409" s="39" t="n"/>
      <c r="N409" s="39" t="n"/>
      <c r="S409" s="39" t="n"/>
      <c r="T409" s="39" t="n"/>
      <c r="Y409" s="39" t="n"/>
      <c r="Z409" s="39" t="n"/>
      <c r="AA409" t="inlineStr">
        <is>
          <t>Jacqueline Elsa Moreno Huaman</t>
        </is>
      </c>
      <c r="AB409" t="inlineStr">
        <is>
          <t>28276212</t>
        </is>
      </c>
      <c r="AC409" t="inlineStr">
        <is>
          <t>Calle Padr Urraca 111 Edifc. 6 - Dpto. 603</t>
        </is>
      </c>
      <c r="AD409" t="n">
        <v>0</v>
      </c>
      <c r="AE409" t="inlineStr">
        <is>
          <t>966689822</t>
        </is>
      </c>
      <c r="AF409" t="inlineStr">
        <is>
          <t>jmoreno.incorp@gmail.com</t>
        </is>
      </c>
      <c r="AG409" t="inlineStr">
        <is>
          <t>LIMA</t>
        </is>
      </c>
      <c r="AH409" t="inlineStr">
        <is>
          <t>SAN MIGUEL</t>
        </is>
      </c>
      <c r="AI409" s="75" t="n">
        <v>46203</v>
      </c>
      <c r="AJ409" s="75" t="n"/>
      <c r="AK409" t="inlineStr">
        <is>
          <t>CUOTA INICIAL</t>
        </is>
      </c>
      <c r="AL409" t="n">
        <v>2</v>
      </c>
      <c r="AM409" t="n">
        <v>55000</v>
      </c>
      <c r="AN409" t="n">
        <v>0</v>
      </c>
      <c r="AO409" t="n">
        <v>0</v>
      </c>
      <c r="AP409" s="39" t="n">
        <v>55000</v>
      </c>
      <c r="AQ409" s="39" t="n">
        <v>0</v>
      </c>
      <c r="AR409" s="39" t="n">
        <v>55000</v>
      </c>
      <c r="AT409" t="inlineStr">
        <is>
          <t>Crédito Hipotecario</t>
        </is>
      </c>
      <c r="AZ409" t="inlineStr">
        <is>
          <t>No</t>
        </is>
      </c>
      <c r="BC409" t="inlineStr">
        <is>
          <t>VENCIDO</t>
        </is>
      </c>
      <c r="BN409" t="inlineStr">
        <is>
          <t>No</t>
        </is>
      </c>
      <c r="BO409" s="76" t="n">
        <v>46172.40138888889</v>
      </c>
      <c r="BP409" t="inlineStr">
        <is>
          <t>Carla Michue M</t>
        </is>
      </c>
      <c r="BR409" t="n">
        <v>46</v>
      </c>
      <c r="BW409" t="inlineStr">
        <is>
          <t>Cobranzas_2026.csv</t>
        </is>
      </c>
      <c r="BX409" t="n">
        <v>2026</v>
      </c>
      <c r="BY409" t="inlineStr">
        <is>
          <t>01/01/2024</t>
        </is>
      </c>
      <c r="BZ409" t="inlineStr">
        <is>
          <t>30/06/2031</t>
        </is>
      </c>
    </row>
    <row r="410">
      <c r="A410" t="inlineStr">
        <is>
          <t>RESIDENCIAL BEYOND</t>
        </is>
      </c>
      <c r="B410" t="inlineStr">
        <is>
          <t>Etapa 1</t>
        </is>
      </c>
      <c r="C410" t="inlineStr">
        <is>
          <t>Edificio</t>
        </is>
      </c>
      <c r="D410" t="inlineStr">
        <is>
          <t>A</t>
        </is>
      </c>
      <c r="E410" t="inlineStr">
        <is>
          <t>Departamento</t>
        </is>
      </c>
      <c r="F410" t="inlineStr">
        <is>
          <t>1401</t>
        </is>
      </c>
      <c r="G410" s="39" t="n">
        <v>531100</v>
      </c>
      <c r="H410" s="39" t="n">
        <v>483000</v>
      </c>
      <c r="M410" s="39" t="n"/>
      <c r="N410" s="39" t="n"/>
      <c r="S410" s="39" t="n"/>
      <c r="T410" s="39" t="n"/>
      <c r="Y410" s="39" t="n"/>
      <c r="Z410" s="39" t="n"/>
      <c r="AA410" t="inlineStr">
        <is>
          <t>Jacqueline Elsa Moreno Huaman</t>
        </is>
      </c>
      <c r="AB410" t="inlineStr">
        <is>
          <t>28276212</t>
        </is>
      </c>
      <c r="AC410" t="inlineStr">
        <is>
          <t>Calle Padr Urraca 111 Edifc. 6 - Dpto. 603</t>
        </is>
      </c>
      <c r="AD410" t="n">
        <v>0</v>
      </c>
      <c r="AE410" t="inlineStr">
        <is>
          <t>966689822</t>
        </is>
      </c>
      <c r="AF410" t="inlineStr">
        <is>
          <t>jmoreno.incorp@gmail.com</t>
        </is>
      </c>
      <c r="AG410" t="inlineStr">
        <is>
          <t>LIMA</t>
        </is>
      </c>
      <c r="AH410" t="inlineStr">
        <is>
          <t>SAN MIGUEL</t>
        </is>
      </c>
      <c r="AI410" s="75" t="n">
        <v>46386</v>
      </c>
      <c r="AJ410" s="75" t="n"/>
      <c r="AK410" t="inlineStr">
        <is>
          <t>AHORRO CASA</t>
        </is>
      </c>
      <c r="AL410" t="n">
        <v>3</v>
      </c>
      <c r="AM410" t="n">
        <v>55000</v>
      </c>
      <c r="AN410" t="n">
        <v>0</v>
      </c>
      <c r="AO410" t="n">
        <v>0</v>
      </c>
      <c r="AP410" s="39" t="n">
        <v>55000</v>
      </c>
      <c r="AQ410" s="39" t="n">
        <v>0</v>
      </c>
      <c r="AR410" s="39" t="n">
        <v>55000</v>
      </c>
      <c r="AT410" t="inlineStr">
        <is>
          <t>Crédito Hipotecario</t>
        </is>
      </c>
      <c r="AZ410" t="inlineStr">
        <is>
          <t>No</t>
        </is>
      </c>
      <c r="BC410" t="inlineStr">
        <is>
          <t>PENDIENTE</t>
        </is>
      </c>
      <c r="BN410" t="inlineStr">
        <is>
          <t>No</t>
        </is>
      </c>
      <c r="BO410" s="76" t="n">
        <v>46172.40138888889</v>
      </c>
      <c r="BP410" t="inlineStr">
        <is>
          <t>Carla Michue M</t>
        </is>
      </c>
      <c r="BR410" t="n">
        <v>46</v>
      </c>
      <c r="BW410" t="inlineStr">
        <is>
          <t>Cobranzas_2026.csv</t>
        </is>
      </c>
      <c r="BX410" t="n">
        <v>2026</v>
      </c>
      <c r="BY410" t="inlineStr">
        <is>
          <t>01/01/2024</t>
        </is>
      </c>
      <c r="BZ410" t="inlineStr">
        <is>
          <t>30/06/2031</t>
        </is>
      </c>
    </row>
    <row r="411">
      <c r="A411" t="inlineStr">
        <is>
          <t>RESIDENCIAL BEYOND</t>
        </is>
      </c>
      <c r="B411" t="inlineStr">
        <is>
          <t>Etapa 1</t>
        </is>
      </c>
      <c r="C411" t="inlineStr">
        <is>
          <t>Edificio</t>
        </is>
      </c>
      <c r="D411" t="inlineStr">
        <is>
          <t>A</t>
        </is>
      </c>
      <c r="E411" t="inlineStr">
        <is>
          <t>Departamento</t>
        </is>
      </c>
      <c r="F411" t="inlineStr">
        <is>
          <t>802</t>
        </is>
      </c>
      <c r="G411" s="39" t="n">
        <v>430000</v>
      </c>
      <c r="H411" s="39" t="n">
        <v>400000</v>
      </c>
      <c r="I411" t="inlineStr">
        <is>
          <t>Edificio</t>
        </is>
      </c>
      <c r="J411" t="inlineStr">
        <is>
          <t>A</t>
        </is>
      </c>
      <c r="K411" t="inlineStr">
        <is>
          <t>Estacionamiento</t>
        </is>
      </c>
      <c r="L411" t="inlineStr">
        <is>
          <t>E 20 - D 15</t>
        </is>
      </c>
      <c r="M411" s="39" t="n">
        <v>50000</v>
      </c>
      <c r="N411" s="39" t="n">
        <v>50000</v>
      </c>
      <c r="S411" s="39" t="n"/>
      <c r="T411" s="39" t="n"/>
      <c r="Y411" s="39" t="n"/>
      <c r="Z411" s="39" t="n"/>
      <c r="AA411" t="inlineStr">
        <is>
          <t>Jazmin Elizabeth Ramirez Lazaro</t>
        </is>
      </c>
      <c r="AB411" t="inlineStr">
        <is>
          <t>75662644</t>
        </is>
      </c>
      <c r="AC411" t="inlineStr">
        <is>
          <t>Av. Arnaldo Marquez 1440 Dpto.906</t>
        </is>
      </c>
      <c r="AD411" t="n">
        <v>0</v>
      </c>
      <c r="AE411" t="inlineStr">
        <is>
          <t>915176274</t>
        </is>
      </c>
      <c r="AF411" t="inlineStr">
        <is>
          <t>jazmin.ramirez.lazaro8@gmail.com</t>
        </is>
      </c>
      <c r="AG411" t="inlineStr">
        <is>
          <t>LIMA</t>
        </is>
      </c>
      <c r="AH411" t="inlineStr">
        <is>
          <t>JESUS MARIA</t>
        </is>
      </c>
      <c r="AI411" s="75" t="n">
        <v>46155</v>
      </c>
      <c r="AJ411" s="75" t="n">
        <v>46155</v>
      </c>
      <c r="AK411" t="inlineStr">
        <is>
          <t>SEPARACION</t>
        </is>
      </c>
      <c r="AL411" t="n">
        <v>1</v>
      </c>
      <c r="AM411" t="n">
        <v>3000</v>
      </c>
      <c r="AN411" t="n">
        <v>0</v>
      </c>
      <c r="AO411" t="n">
        <v>0</v>
      </c>
      <c r="AP411" s="39" t="n">
        <v>3000</v>
      </c>
      <c r="AQ411" s="39" t="n">
        <v>3000</v>
      </c>
      <c r="AR411" s="39" t="n">
        <v>0</v>
      </c>
      <c r="AS411" t="n">
        <v>0</v>
      </c>
      <c r="AT411" t="inlineStr">
        <is>
          <t>Ahorro</t>
        </is>
      </c>
      <c r="AU411" t="inlineStr">
        <is>
          <t>Banco de Credito del Perú</t>
        </is>
      </c>
      <c r="AV411" t="inlineStr">
        <is>
          <t>194-7325779-0-65</t>
        </is>
      </c>
      <c r="AW411" t="inlineStr">
        <is>
          <t>DEPOSITO EN CUENTA</t>
        </is>
      </c>
      <c r="AY411" t="inlineStr">
        <is>
          <t>4969236</t>
        </is>
      </c>
      <c r="AZ411" t="inlineStr">
        <is>
          <t>No</t>
        </is>
      </c>
      <c r="BB411" t="n">
        <v>4</v>
      </c>
      <c r="BC411" t="inlineStr">
        <is>
          <t>CANCELADO</t>
        </is>
      </c>
      <c r="BN411" t="inlineStr">
        <is>
          <t>No</t>
        </is>
      </c>
      <c r="BO411" s="76" t="n">
        <v>46172.75902777778</v>
      </c>
      <c r="BP411" t="inlineStr">
        <is>
          <t>Carla Michue M</t>
        </is>
      </c>
      <c r="BR411" t="n">
        <v>42</v>
      </c>
      <c r="BS411" t="inlineStr">
        <is>
          <t>13/05/2026 17:12</t>
        </is>
      </c>
      <c r="BW411" t="inlineStr">
        <is>
          <t>Cobranzas_2026.csv</t>
        </is>
      </c>
      <c r="BX411" t="n">
        <v>2026</v>
      </c>
      <c r="BY411" t="inlineStr">
        <is>
          <t>01/01/2024</t>
        </is>
      </c>
      <c r="BZ411" t="inlineStr">
        <is>
          <t>30/06/2031</t>
        </is>
      </c>
    </row>
    <row r="412">
      <c r="A412" t="inlineStr">
        <is>
          <t>RESIDENCIAL BEYOND</t>
        </is>
      </c>
      <c r="B412" t="inlineStr">
        <is>
          <t>Etapa 1</t>
        </is>
      </c>
      <c r="C412" t="inlineStr">
        <is>
          <t>Edificio</t>
        </is>
      </c>
      <c r="D412" t="inlineStr">
        <is>
          <t>A</t>
        </is>
      </c>
      <c r="E412" t="inlineStr">
        <is>
          <t>Departamento</t>
        </is>
      </c>
      <c r="F412" t="inlineStr">
        <is>
          <t>802</t>
        </is>
      </c>
      <c r="G412" s="39" t="n">
        <v>430000</v>
      </c>
      <c r="H412" s="39" t="n">
        <v>400000</v>
      </c>
      <c r="I412" t="inlineStr">
        <is>
          <t>Edificio</t>
        </is>
      </c>
      <c r="J412" t="inlineStr">
        <is>
          <t>A</t>
        </is>
      </c>
      <c r="K412" t="inlineStr">
        <is>
          <t>Estacionamiento</t>
        </is>
      </c>
      <c r="L412" t="inlineStr">
        <is>
          <t>E 20 - D 15</t>
        </is>
      </c>
      <c r="M412" s="39" t="n">
        <v>50000</v>
      </c>
      <c r="N412" s="39" t="n">
        <v>50000</v>
      </c>
      <c r="S412" s="39" t="n"/>
      <c r="T412" s="39" t="n"/>
      <c r="Y412" s="39" t="n"/>
      <c r="Z412" s="39" t="n"/>
      <c r="AA412" t="inlineStr">
        <is>
          <t>Jazmin Elizabeth Ramirez Lazaro</t>
        </is>
      </c>
      <c r="AB412" t="inlineStr">
        <is>
          <t>75662644</t>
        </is>
      </c>
      <c r="AC412" t="inlineStr">
        <is>
          <t>Av. Arnaldo Marquez 1440 Dpto.906</t>
        </is>
      </c>
      <c r="AD412" t="n">
        <v>0</v>
      </c>
      <c r="AE412" t="inlineStr">
        <is>
          <t>915176274</t>
        </is>
      </c>
      <c r="AF412" t="inlineStr">
        <is>
          <t>jazmin.ramirez.lazaro8@gmail.com</t>
        </is>
      </c>
      <c r="AG412" t="inlineStr">
        <is>
          <t>LIMA</t>
        </is>
      </c>
      <c r="AH412" t="inlineStr">
        <is>
          <t>JESUS MARIA</t>
        </is>
      </c>
      <c r="AI412" s="75" t="n">
        <v>46172</v>
      </c>
      <c r="AJ412" s="75" t="n">
        <v>46172</v>
      </c>
      <c r="AK412" t="inlineStr">
        <is>
          <t>CUOTA INICIAL</t>
        </is>
      </c>
      <c r="AL412" t="n">
        <v>1</v>
      </c>
      <c r="AM412" t="n">
        <v>30000</v>
      </c>
      <c r="AN412" t="n">
        <v>0</v>
      </c>
      <c r="AO412" t="n">
        <v>0</v>
      </c>
      <c r="AP412" s="39" t="n">
        <v>30000</v>
      </c>
      <c r="AQ412" s="39" t="n">
        <v>30000</v>
      </c>
      <c r="AR412" s="39" t="n">
        <v>0</v>
      </c>
      <c r="AS412" t="n">
        <v>0</v>
      </c>
      <c r="AT412" t="inlineStr">
        <is>
          <t>Ahorro</t>
        </is>
      </c>
      <c r="AU412" t="inlineStr">
        <is>
          <t>Banco de Credito del Perú</t>
        </is>
      </c>
      <c r="AV412" t="inlineStr">
        <is>
          <t>194-7325779-0-65</t>
        </is>
      </c>
      <c r="AW412" t="inlineStr">
        <is>
          <t>TRANSFERENCIA BANCARIA</t>
        </is>
      </c>
      <c r="AY412" t="inlineStr">
        <is>
          <t>0319831</t>
        </is>
      </c>
      <c r="AZ412" t="inlineStr">
        <is>
          <t>No</t>
        </is>
      </c>
      <c r="BB412" t="n">
        <v>4</v>
      </c>
      <c r="BC412" t="inlineStr">
        <is>
          <t>CANCELADO</t>
        </is>
      </c>
      <c r="BN412" t="inlineStr">
        <is>
          <t>No</t>
        </is>
      </c>
      <c r="BO412" s="76" t="n">
        <v>46172.75902777778</v>
      </c>
      <c r="BP412" t="inlineStr">
        <is>
          <t>Carla Michue M</t>
        </is>
      </c>
      <c r="BR412" t="n">
        <v>42</v>
      </c>
      <c r="BS412" t="inlineStr">
        <is>
          <t>09/06/2026 18:11</t>
        </is>
      </c>
      <c r="BW412" t="inlineStr">
        <is>
          <t>Cobranzas_2026.csv</t>
        </is>
      </c>
      <c r="BX412" t="n">
        <v>2026</v>
      </c>
      <c r="BY412" t="inlineStr">
        <is>
          <t>01/01/2024</t>
        </is>
      </c>
      <c r="BZ412" t="inlineStr">
        <is>
          <t>30/06/2031</t>
        </is>
      </c>
    </row>
    <row r="413">
      <c r="A413" t="inlineStr">
        <is>
          <t>RESIDENCIAL BEYOND</t>
        </is>
      </c>
      <c r="B413" t="inlineStr">
        <is>
          <t>Etapa 1</t>
        </is>
      </c>
      <c r="C413" t="inlineStr">
        <is>
          <t>Edificio</t>
        </is>
      </c>
      <c r="D413" t="inlineStr">
        <is>
          <t>A</t>
        </is>
      </c>
      <c r="E413" t="inlineStr">
        <is>
          <t>Departamento</t>
        </is>
      </c>
      <c r="F413" t="inlineStr">
        <is>
          <t>802</t>
        </is>
      </c>
      <c r="G413" s="39" t="n">
        <v>430000</v>
      </c>
      <c r="H413" s="39" t="n">
        <v>400000</v>
      </c>
      <c r="I413" t="inlineStr">
        <is>
          <t>Edificio</t>
        </is>
      </c>
      <c r="J413" t="inlineStr">
        <is>
          <t>A</t>
        </is>
      </c>
      <c r="K413" t="inlineStr">
        <is>
          <t>Estacionamiento</t>
        </is>
      </c>
      <c r="L413" t="inlineStr">
        <is>
          <t>E 20 - D 15</t>
        </is>
      </c>
      <c r="M413" s="39" t="n">
        <v>50000</v>
      </c>
      <c r="N413" s="39" t="n">
        <v>50000</v>
      </c>
      <c r="S413" s="39" t="n"/>
      <c r="T413" s="39" t="n"/>
      <c r="Y413" s="39" t="n"/>
      <c r="Z413" s="39" t="n"/>
      <c r="AA413" t="inlineStr">
        <is>
          <t>Jazmin Elizabeth Ramirez Lazaro</t>
        </is>
      </c>
      <c r="AB413" t="inlineStr">
        <is>
          <t>75662644</t>
        </is>
      </c>
      <c r="AC413" t="inlineStr">
        <is>
          <t>Av. Arnaldo Marquez 1440 Dpto.906</t>
        </is>
      </c>
      <c r="AD413" t="n">
        <v>0</v>
      </c>
      <c r="AE413" t="inlineStr">
        <is>
          <t>915176274</t>
        </is>
      </c>
      <c r="AF413" t="inlineStr">
        <is>
          <t>jazmin.ramirez.lazaro8@gmail.com</t>
        </is>
      </c>
      <c r="AG413" t="inlineStr">
        <is>
          <t>LIMA</t>
        </is>
      </c>
      <c r="AH413" t="inlineStr">
        <is>
          <t>JESUS MARIA</t>
        </is>
      </c>
      <c r="AI413" s="75" t="n">
        <v>46325</v>
      </c>
      <c r="AJ413" s="75" t="n"/>
      <c r="AK413" t="inlineStr">
        <is>
          <t>CUOTA INICIAL</t>
        </is>
      </c>
      <c r="AL413" t="n">
        <v>2</v>
      </c>
      <c r="AM413" t="n">
        <v>57000</v>
      </c>
      <c r="AN413" t="n">
        <v>0</v>
      </c>
      <c r="AO413" t="n">
        <v>0</v>
      </c>
      <c r="AP413" s="39" t="n">
        <v>57000</v>
      </c>
      <c r="AQ413" s="39" t="n">
        <v>0</v>
      </c>
      <c r="AR413" s="39" t="n">
        <v>57000</v>
      </c>
      <c r="AT413" t="inlineStr">
        <is>
          <t>Ahorro</t>
        </is>
      </c>
      <c r="AZ413" t="inlineStr">
        <is>
          <t>No</t>
        </is>
      </c>
      <c r="BC413" t="inlineStr">
        <is>
          <t>PENDIENTE</t>
        </is>
      </c>
      <c r="BN413" t="inlineStr">
        <is>
          <t>No</t>
        </is>
      </c>
      <c r="BO413" s="76" t="n">
        <v>46172.75902777778</v>
      </c>
      <c r="BP413" t="inlineStr">
        <is>
          <t>Carla Michue M</t>
        </is>
      </c>
      <c r="BR413" t="n">
        <v>42</v>
      </c>
      <c r="BW413" t="inlineStr">
        <is>
          <t>Cobranzas_2026.csv</t>
        </is>
      </c>
      <c r="BX413" t="n">
        <v>2026</v>
      </c>
      <c r="BY413" t="inlineStr">
        <is>
          <t>01/01/2024</t>
        </is>
      </c>
      <c r="BZ413" t="inlineStr">
        <is>
          <t>30/06/2031</t>
        </is>
      </c>
    </row>
    <row r="414">
      <c r="A414" t="inlineStr">
        <is>
          <t>RESIDENCIAL BEYOND</t>
        </is>
      </c>
      <c r="B414" t="inlineStr">
        <is>
          <t>Etapa 1</t>
        </is>
      </c>
      <c r="C414" t="inlineStr">
        <is>
          <t>Edificio</t>
        </is>
      </c>
      <c r="D414" t="inlineStr">
        <is>
          <t>A</t>
        </is>
      </c>
      <c r="E414" t="inlineStr">
        <is>
          <t>Departamento</t>
        </is>
      </c>
      <c r="F414" t="inlineStr">
        <is>
          <t>802</t>
        </is>
      </c>
      <c r="G414" s="39" t="n">
        <v>430000</v>
      </c>
      <c r="H414" s="39" t="n">
        <v>400000</v>
      </c>
      <c r="I414" t="inlineStr">
        <is>
          <t>Edificio</t>
        </is>
      </c>
      <c r="J414" t="inlineStr">
        <is>
          <t>A</t>
        </is>
      </c>
      <c r="K414" t="inlineStr">
        <is>
          <t>Estacionamiento</t>
        </is>
      </c>
      <c r="L414" t="inlineStr">
        <is>
          <t>E 20 - D 15</t>
        </is>
      </c>
      <c r="M414" s="39" t="n">
        <v>50000</v>
      </c>
      <c r="N414" s="39" t="n">
        <v>50000</v>
      </c>
      <c r="S414" s="39" t="n"/>
      <c r="T414" s="39" t="n"/>
      <c r="Y414" s="39" t="n"/>
      <c r="Z414" s="39" t="n"/>
      <c r="AA414" t="inlineStr">
        <is>
          <t>Jazmin Elizabeth Ramirez Lazaro</t>
        </is>
      </c>
      <c r="AB414" t="inlineStr">
        <is>
          <t>75662644</t>
        </is>
      </c>
      <c r="AC414" t="inlineStr">
        <is>
          <t>Av. Arnaldo Marquez 1440 Dpto.906</t>
        </is>
      </c>
      <c r="AD414" t="n">
        <v>0</v>
      </c>
      <c r="AE414" t="inlineStr">
        <is>
          <t>915176274</t>
        </is>
      </c>
      <c r="AF414" t="inlineStr">
        <is>
          <t>jazmin.ramirez.lazaro8@gmail.com</t>
        </is>
      </c>
      <c r="AG414" t="inlineStr">
        <is>
          <t>LIMA</t>
        </is>
      </c>
      <c r="AH414" t="inlineStr">
        <is>
          <t>JESUS MARIA</t>
        </is>
      </c>
      <c r="AI414" s="75" t="n">
        <v>46386</v>
      </c>
      <c r="AJ414" s="75" t="n"/>
      <c r="AK414" t="inlineStr">
        <is>
          <t>SALDO FINANCIAR</t>
        </is>
      </c>
      <c r="AL414" t="n">
        <v>1</v>
      </c>
      <c r="AM414" t="n">
        <v>360000</v>
      </c>
      <c r="AN414" t="n">
        <v>0</v>
      </c>
      <c r="AO414" t="n">
        <v>0</v>
      </c>
      <c r="AP414" s="39" t="n">
        <v>360000</v>
      </c>
      <c r="AQ414" s="39" t="n">
        <v>0</v>
      </c>
      <c r="AR414" s="39" t="n">
        <v>360000</v>
      </c>
      <c r="AT414" t="inlineStr">
        <is>
          <t>Ahorro</t>
        </is>
      </c>
      <c r="AZ414" t="inlineStr">
        <is>
          <t>No</t>
        </is>
      </c>
      <c r="BC414" t="inlineStr">
        <is>
          <t>PENDIENTE</t>
        </is>
      </c>
      <c r="BN414" t="inlineStr">
        <is>
          <t>No</t>
        </is>
      </c>
      <c r="BO414" s="76" t="n">
        <v>46172.75902777778</v>
      </c>
      <c r="BP414" t="inlineStr">
        <is>
          <t>Carla Michue M</t>
        </is>
      </c>
      <c r="BR414" t="n">
        <v>42</v>
      </c>
      <c r="BW414" t="inlineStr">
        <is>
          <t>Cobranzas_2026.csv</t>
        </is>
      </c>
      <c r="BX414" t="n">
        <v>2026</v>
      </c>
      <c r="BY414" t="inlineStr">
        <is>
          <t>01/01/2024</t>
        </is>
      </c>
      <c r="BZ414" t="inlineStr">
        <is>
          <t>30/06/2031</t>
        </is>
      </c>
    </row>
    <row r="415">
      <c r="A415" t="inlineStr">
        <is>
          <t>RESIDENCIAL BEYOND</t>
        </is>
      </c>
      <c r="B415" t="inlineStr">
        <is>
          <t>Etapa 1</t>
        </is>
      </c>
      <c r="C415" t="inlineStr">
        <is>
          <t>Edificio</t>
        </is>
      </c>
      <c r="D415" t="inlineStr">
        <is>
          <t>A</t>
        </is>
      </c>
      <c r="E415" t="inlineStr">
        <is>
          <t>Departamento</t>
        </is>
      </c>
      <c r="F415" t="inlineStr">
        <is>
          <t>204</t>
        </is>
      </c>
      <c r="G415" s="39" t="n">
        <v>498000</v>
      </c>
      <c r="H415" s="39" t="n">
        <v>450000</v>
      </c>
      <c r="M415" s="39" t="n"/>
      <c r="N415" s="39" t="n"/>
      <c r="S415" s="39" t="n"/>
      <c r="T415" s="39" t="n"/>
      <c r="Y415" s="39" t="n"/>
      <c r="Z415" s="39" t="n"/>
      <c r="AA415" t="inlineStr">
        <is>
          <t>Jhoully Kattherine Moreno Saavedra</t>
        </is>
      </c>
      <c r="AB415" t="inlineStr">
        <is>
          <t>73600966</t>
        </is>
      </c>
      <c r="AC415" t="inlineStr">
        <is>
          <t>Emilio de la Barrera 264</t>
        </is>
      </c>
      <c r="AD415" t="n">
        <v>0</v>
      </c>
      <c r="AE415" t="inlineStr">
        <is>
          <t>934027061</t>
        </is>
      </c>
      <c r="AF415" t="inlineStr">
        <is>
          <t>jhoullym@gmail.com</t>
        </is>
      </c>
      <c r="AG415" t="inlineStr">
        <is>
          <t>LIMA</t>
        </is>
      </c>
      <c r="AH415" t="inlineStr">
        <is>
          <t>SAN MARTIN DE PORRES</t>
        </is>
      </c>
      <c r="AI415" s="75" t="n">
        <v>46081</v>
      </c>
      <c r="AJ415" s="75" t="n">
        <v>46051</v>
      </c>
      <c r="AK415" t="inlineStr">
        <is>
          <t>CUOTA INICIAL</t>
        </is>
      </c>
      <c r="AL415" t="n">
        <v>2</v>
      </c>
      <c r="AM415" t="n">
        <v>7500</v>
      </c>
      <c r="AN415" t="n">
        <v>0</v>
      </c>
      <c r="AO415" t="n">
        <v>0</v>
      </c>
      <c r="AP415" s="39" t="n">
        <v>7500</v>
      </c>
      <c r="AQ415" s="39" t="n">
        <v>7500</v>
      </c>
      <c r="AR415" s="39" t="n">
        <v>0</v>
      </c>
      <c r="AS415" t="n">
        <v>0</v>
      </c>
      <c r="AT415" t="inlineStr">
        <is>
          <t>Crédito Hipotecario</t>
        </is>
      </c>
      <c r="AU415" t="inlineStr">
        <is>
          <t>Banco de Credito del Perú</t>
        </is>
      </c>
      <c r="AV415" t="inlineStr">
        <is>
          <t>194-7325779-0-65</t>
        </is>
      </c>
      <c r="AW415" t="inlineStr">
        <is>
          <t>TRANSFERENCIA BANCARIA</t>
        </is>
      </c>
      <c r="AX415" t="n">
        <v>73600966</v>
      </c>
      <c r="AY415" t="inlineStr">
        <is>
          <t>00368899</t>
        </is>
      </c>
      <c r="AZ415" t="inlineStr">
        <is>
          <t>No</t>
        </is>
      </c>
      <c r="BA415" t="inlineStr">
        <is>
          <t>NO PRECISA</t>
        </is>
      </c>
      <c r="BB415" t="n">
        <v>4</v>
      </c>
      <c r="BC415" t="inlineStr">
        <is>
          <t>CANCELADO</t>
        </is>
      </c>
      <c r="BN415" t="inlineStr">
        <is>
          <t>Si</t>
        </is>
      </c>
      <c r="BO415" s="76" t="n">
        <v>45971.18472222222</v>
      </c>
      <c r="BP415" t="inlineStr">
        <is>
          <t>Carla Michue M</t>
        </is>
      </c>
      <c r="BR415" t="n">
        <v>3</v>
      </c>
      <c r="BS415" t="inlineStr">
        <is>
          <t>18/05/2026 04:33</t>
        </is>
      </c>
      <c r="BW415" t="inlineStr">
        <is>
          <t>Cobranzas_2026.csv</t>
        </is>
      </c>
      <c r="BX415" t="n">
        <v>2026</v>
      </c>
      <c r="BY415" t="inlineStr">
        <is>
          <t>01/01/2024</t>
        </is>
      </c>
      <c r="BZ415" t="inlineStr">
        <is>
          <t>30/06/2031</t>
        </is>
      </c>
    </row>
    <row r="416">
      <c r="A416" t="inlineStr">
        <is>
          <t>RESIDENCIAL BEYOND</t>
        </is>
      </c>
      <c r="B416" t="inlineStr">
        <is>
          <t>Etapa 1</t>
        </is>
      </c>
      <c r="C416" t="inlineStr">
        <is>
          <t>Edificio</t>
        </is>
      </c>
      <c r="D416" t="inlineStr">
        <is>
          <t>A</t>
        </is>
      </c>
      <c r="E416" t="inlineStr">
        <is>
          <t>Departamento</t>
        </is>
      </c>
      <c r="F416" t="inlineStr">
        <is>
          <t>204</t>
        </is>
      </c>
      <c r="G416" s="39" t="n">
        <v>498000</v>
      </c>
      <c r="H416" s="39" t="n">
        <v>450000</v>
      </c>
      <c r="M416" s="39" t="n"/>
      <c r="N416" s="39" t="n"/>
      <c r="S416" s="39" t="n"/>
      <c r="T416" s="39" t="n"/>
      <c r="Y416" s="39" t="n"/>
      <c r="Z416" s="39" t="n"/>
      <c r="AA416" t="inlineStr">
        <is>
          <t>Jhoully Kattherine Moreno Saavedra</t>
        </is>
      </c>
      <c r="AB416" t="inlineStr">
        <is>
          <t>73600966</t>
        </is>
      </c>
      <c r="AC416" t="inlineStr">
        <is>
          <t>Emilio de la Barrera 264</t>
        </is>
      </c>
      <c r="AD416" t="n">
        <v>0</v>
      </c>
      <c r="AE416" t="inlineStr">
        <is>
          <t>934027061</t>
        </is>
      </c>
      <c r="AF416" t="inlineStr">
        <is>
          <t>jhoullym@gmail.com</t>
        </is>
      </c>
      <c r="AG416" t="inlineStr">
        <is>
          <t>LIMA</t>
        </is>
      </c>
      <c r="AH416" t="inlineStr">
        <is>
          <t>SAN MARTIN DE PORRES</t>
        </is>
      </c>
      <c r="AI416" s="75" t="n">
        <v>46142</v>
      </c>
      <c r="AJ416" s="75" t="n">
        <v>46119</v>
      </c>
      <c r="AK416" t="inlineStr">
        <is>
          <t>CUOTA INICIAL</t>
        </is>
      </c>
      <c r="AL416" t="n">
        <v>3</v>
      </c>
      <c r="AM416" t="n">
        <v>15000</v>
      </c>
      <c r="AN416" t="n">
        <v>0</v>
      </c>
      <c r="AO416" t="n">
        <v>0</v>
      </c>
      <c r="AP416" s="39" t="n">
        <v>15000</v>
      </c>
      <c r="AQ416" s="39" t="n">
        <v>15000</v>
      </c>
      <c r="AR416" s="39" t="n">
        <v>0</v>
      </c>
      <c r="AS416" t="n">
        <v>0</v>
      </c>
      <c r="AT416" t="inlineStr">
        <is>
          <t>Crédito Hipotecario</t>
        </is>
      </c>
      <c r="AU416" t="inlineStr">
        <is>
          <t>Banco de Credito del Perú</t>
        </is>
      </c>
      <c r="AV416" t="inlineStr">
        <is>
          <t>194-7325779-0-65</t>
        </is>
      </c>
      <c r="AW416" t="inlineStr">
        <is>
          <t>TRANSFERENCIA BANCARIA</t>
        </is>
      </c>
      <c r="AX416" t="n">
        <v>73600966</v>
      </c>
      <c r="AY416" t="inlineStr">
        <is>
          <t>02476804</t>
        </is>
      </c>
      <c r="AZ416" t="inlineStr">
        <is>
          <t>No</t>
        </is>
      </c>
      <c r="BA416" t="inlineStr">
        <is>
          <t>NO PRECISA</t>
        </is>
      </c>
      <c r="BB416" t="n">
        <v>4</v>
      </c>
      <c r="BC416" t="inlineStr">
        <is>
          <t>CANCELADO</t>
        </is>
      </c>
      <c r="BN416" t="inlineStr">
        <is>
          <t>Si</t>
        </is>
      </c>
      <c r="BO416" s="76" t="n">
        <v>45971.18472222222</v>
      </c>
      <c r="BP416" t="inlineStr">
        <is>
          <t>Carla Michue M</t>
        </is>
      </c>
      <c r="BR416" t="n">
        <v>3</v>
      </c>
      <c r="BS416" t="inlineStr">
        <is>
          <t>18/05/2026 04:34</t>
        </is>
      </c>
      <c r="BW416" t="inlineStr">
        <is>
          <t>Cobranzas_2026.csv</t>
        </is>
      </c>
      <c r="BX416" t="n">
        <v>2026</v>
      </c>
      <c r="BY416" t="inlineStr">
        <is>
          <t>01/01/2024</t>
        </is>
      </c>
      <c r="BZ416" t="inlineStr">
        <is>
          <t>30/06/2031</t>
        </is>
      </c>
    </row>
    <row r="417">
      <c r="A417" t="inlineStr">
        <is>
          <t>RESIDENCIAL BEYOND</t>
        </is>
      </c>
      <c r="B417" t="inlineStr">
        <is>
          <t>Etapa 1</t>
        </is>
      </c>
      <c r="C417" t="inlineStr">
        <is>
          <t>Edificio</t>
        </is>
      </c>
      <c r="D417" t="inlineStr">
        <is>
          <t>A</t>
        </is>
      </c>
      <c r="E417" t="inlineStr">
        <is>
          <t>Departamento</t>
        </is>
      </c>
      <c r="F417" t="inlineStr">
        <is>
          <t>204</t>
        </is>
      </c>
      <c r="G417" s="39" t="n">
        <v>498000</v>
      </c>
      <c r="H417" s="39" t="n">
        <v>450000</v>
      </c>
      <c r="M417" s="39" t="n"/>
      <c r="N417" s="39" t="n"/>
      <c r="S417" s="39" t="n"/>
      <c r="T417" s="39" t="n"/>
      <c r="Y417" s="39" t="n"/>
      <c r="Z417" s="39" t="n"/>
      <c r="AA417" t="inlineStr">
        <is>
          <t>Jhoully Kattherine Moreno Saavedra</t>
        </is>
      </c>
      <c r="AB417" t="inlineStr">
        <is>
          <t>73600966</t>
        </is>
      </c>
      <c r="AC417" t="inlineStr">
        <is>
          <t>Emilio de la Barrera 264</t>
        </is>
      </c>
      <c r="AD417" t="n">
        <v>0</v>
      </c>
      <c r="AE417" t="inlineStr">
        <is>
          <t>934027061</t>
        </is>
      </c>
      <c r="AF417" t="inlineStr">
        <is>
          <t>jhoullym@gmail.com</t>
        </is>
      </c>
      <c r="AG417" t="inlineStr">
        <is>
          <t>LIMA</t>
        </is>
      </c>
      <c r="AH417" t="inlineStr">
        <is>
          <t>SAN MARTIN DE PORRES</t>
        </is>
      </c>
      <c r="AI417" s="75" t="n">
        <v>46203</v>
      </c>
      <c r="AJ417" s="75" t="n"/>
      <c r="AK417" t="inlineStr">
        <is>
          <t>SALDO FINANCIAR</t>
        </is>
      </c>
      <c r="AL417" t="n">
        <v>1</v>
      </c>
      <c r="AM417" t="n">
        <v>405000</v>
      </c>
      <c r="AN417" t="n">
        <v>0</v>
      </c>
      <c r="AO417" t="n">
        <v>0</v>
      </c>
      <c r="AP417" s="39" t="n">
        <v>405000</v>
      </c>
      <c r="AQ417" s="39" t="n">
        <v>0</v>
      </c>
      <c r="AR417" s="39" t="n">
        <v>405000</v>
      </c>
      <c r="AT417" t="inlineStr">
        <is>
          <t>Crédito Hipotecario</t>
        </is>
      </c>
      <c r="AZ417" t="inlineStr">
        <is>
          <t>No</t>
        </is>
      </c>
      <c r="BC417" t="inlineStr">
        <is>
          <t>VENCIDO</t>
        </is>
      </c>
      <c r="BN417" t="inlineStr">
        <is>
          <t>No</t>
        </is>
      </c>
      <c r="BO417" s="76" t="n">
        <v>45971.18472222222</v>
      </c>
      <c r="BP417" t="inlineStr">
        <is>
          <t>Carla Michue M</t>
        </is>
      </c>
      <c r="BR417" t="n">
        <v>3</v>
      </c>
      <c r="BW417" t="inlineStr">
        <is>
          <t>Cobranzas_2026.csv</t>
        </is>
      </c>
      <c r="BX417" t="n">
        <v>2026</v>
      </c>
      <c r="BY417" t="inlineStr">
        <is>
          <t>01/01/2024</t>
        </is>
      </c>
      <c r="BZ417" t="inlineStr">
        <is>
          <t>30/06/2031</t>
        </is>
      </c>
    </row>
    <row r="418">
      <c r="A418" t="inlineStr">
        <is>
          <t>RESIDENCIAL BEYOND</t>
        </is>
      </c>
      <c r="B418" t="inlineStr">
        <is>
          <t>Etapa 1</t>
        </is>
      </c>
      <c r="C418" t="inlineStr">
        <is>
          <t>Edificio</t>
        </is>
      </c>
      <c r="D418" t="inlineStr">
        <is>
          <t>A</t>
        </is>
      </c>
      <c r="E418" t="inlineStr">
        <is>
          <t>Departamento</t>
        </is>
      </c>
      <c r="F418" t="inlineStr">
        <is>
          <t>1303</t>
        </is>
      </c>
      <c r="G418" s="39" t="n">
        <v>504700</v>
      </c>
      <c r="H418" s="39" t="n">
        <v>453700</v>
      </c>
      <c r="I418" t="inlineStr">
        <is>
          <t>Edificio</t>
        </is>
      </c>
      <c r="J418" t="inlineStr">
        <is>
          <t>A</t>
        </is>
      </c>
      <c r="K418" t="inlineStr">
        <is>
          <t>Estacionamiento</t>
        </is>
      </c>
      <c r="L418" t="inlineStr">
        <is>
          <t>E 50 - D 30</t>
        </is>
      </c>
      <c r="M418" s="39" t="n">
        <v>50000</v>
      </c>
      <c r="N418" s="39" t="n">
        <v>50000</v>
      </c>
      <c r="S418" s="39" t="n"/>
      <c r="T418" s="39" t="n"/>
      <c r="Y418" s="39" t="n"/>
      <c r="Z418" s="39" t="n"/>
      <c r="AA418" t="inlineStr">
        <is>
          <t>Jimena Melissa Huayanca Lopez</t>
        </is>
      </c>
      <c r="AB418" t="inlineStr">
        <is>
          <t>73268311</t>
        </is>
      </c>
      <c r="AC418" t="inlineStr">
        <is>
          <t xml:space="preserve">Av. Cuba 560, Dpto N°1703 </t>
        </is>
      </c>
      <c r="AD418" t="n">
        <v>0</v>
      </c>
      <c r="AE418" t="inlineStr">
        <is>
          <t>923732315</t>
        </is>
      </c>
      <c r="AF418" t="inlineStr">
        <is>
          <t>jimelissahl@gmail.com</t>
        </is>
      </c>
      <c r="AG418" t="inlineStr">
        <is>
          <t>LIMA</t>
        </is>
      </c>
      <c r="AH418" t="inlineStr">
        <is>
          <t>JESUS MARIA</t>
        </is>
      </c>
      <c r="AI418" s="75" t="n">
        <v>46164</v>
      </c>
      <c r="AJ418" s="75" t="n">
        <v>46164</v>
      </c>
      <c r="AK418" t="inlineStr">
        <is>
          <t>SEPARACION</t>
        </is>
      </c>
      <c r="AL418" t="n">
        <v>1</v>
      </c>
      <c r="AM418" t="n">
        <v>3000</v>
      </c>
      <c r="AN418" t="n">
        <v>0</v>
      </c>
      <c r="AO418" t="n">
        <v>0</v>
      </c>
      <c r="AP418" s="39" t="n">
        <v>3000</v>
      </c>
      <c r="AQ418" s="39" t="n">
        <v>3000</v>
      </c>
      <c r="AR418" s="39" t="n">
        <v>0</v>
      </c>
      <c r="AS418" t="n">
        <v>0</v>
      </c>
      <c r="AT418" t="inlineStr">
        <is>
          <t>Ahorro</t>
        </is>
      </c>
      <c r="AU418" t="inlineStr">
        <is>
          <t>Banco de Credito del Perú</t>
        </is>
      </c>
      <c r="AV418" t="inlineStr">
        <is>
          <t>194-7325779-0-65</t>
        </is>
      </c>
      <c r="AW418" t="inlineStr">
        <is>
          <t>POS VISA</t>
        </is>
      </c>
      <c r="AY418" t="inlineStr">
        <is>
          <t>008557</t>
        </is>
      </c>
      <c r="AZ418" t="inlineStr">
        <is>
          <t>Si</t>
        </is>
      </c>
      <c r="BB418" t="n">
        <v>4</v>
      </c>
      <c r="BC418" t="inlineStr">
        <is>
          <t>CANCELADO</t>
        </is>
      </c>
      <c r="BN418" t="inlineStr">
        <is>
          <t>No</t>
        </is>
      </c>
      <c r="BO418" s="76" t="n">
        <v>46170.44652777778</v>
      </c>
      <c r="BP418" t="inlineStr">
        <is>
          <t>Kenny Salazar S</t>
        </is>
      </c>
      <c r="BR418" t="n">
        <v>40</v>
      </c>
      <c r="BS418" t="inlineStr">
        <is>
          <t>22/05/2026 12:08</t>
        </is>
      </c>
      <c r="BW418" t="inlineStr">
        <is>
          <t>Cobranzas_2026.csv</t>
        </is>
      </c>
      <c r="BX418" t="n">
        <v>2026</v>
      </c>
      <c r="BY418" t="inlineStr">
        <is>
          <t>01/01/2024</t>
        </is>
      </c>
      <c r="BZ418" t="inlineStr">
        <is>
          <t>30/06/2031</t>
        </is>
      </c>
    </row>
    <row r="419">
      <c r="A419" t="inlineStr">
        <is>
          <t>RESIDENCIAL BEYOND</t>
        </is>
      </c>
      <c r="B419" t="inlineStr">
        <is>
          <t>Etapa 1</t>
        </is>
      </c>
      <c r="C419" t="inlineStr">
        <is>
          <t>Edificio</t>
        </is>
      </c>
      <c r="D419" t="inlineStr">
        <is>
          <t>A</t>
        </is>
      </c>
      <c r="E419" t="inlineStr">
        <is>
          <t>Departamento</t>
        </is>
      </c>
      <c r="F419" t="inlineStr">
        <is>
          <t>1303</t>
        </is>
      </c>
      <c r="G419" s="39" t="n">
        <v>504700</v>
      </c>
      <c r="H419" s="39" t="n">
        <v>453700</v>
      </c>
      <c r="I419" t="inlineStr">
        <is>
          <t>Edificio</t>
        </is>
      </c>
      <c r="J419" t="inlineStr">
        <is>
          <t>A</t>
        </is>
      </c>
      <c r="K419" t="inlineStr">
        <is>
          <t>Estacionamiento</t>
        </is>
      </c>
      <c r="L419" t="inlineStr">
        <is>
          <t>E 50 - D 30</t>
        </is>
      </c>
      <c r="M419" s="39" t="n">
        <v>50000</v>
      </c>
      <c r="N419" s="39" t="n">
        <v>50000</v>
      </c>
      <c r="S419" s="39" t="n"/>
      <c r="T419" s="39" t="n"/>
      <c r="Y419" s="39" t="n"/>
      <c r="Z419" s="39" t="n"/>
      <c r="AA419" t="inlineStr">
        <is>
          <t>Jimena Melissa Huayanca Lopez</t>
        </is>
      </c>
      <c r="AB419" t="inlineStr">
        <is>
          <t>73268311</t>
        </is>
      </c>
      <c r="AC419" t="inlineStr">
        <is>
          <t xml:space="preserve">Av. Cuba 560, Dpto N°1703 </t>
        </is>
      </c>
      <c r="AD419" t="n">
        <v>0</v>
      </c>
      <c r="AE419" t="inlineStr">
        <is>
          <t>923732315</t>
        </is>
      </c>
      <c r="AF419" t="inlineStr">
        <is>
          <t>jimelissahl@gmail.com</t>
        </is>
      </c>
      <c r="AG419" t="inlineStr">
        <is>
          <t>LIMA</t>
        </is>
      </c>
      <c r="AH419" t="inlineStr">
        <is>
          <t>JESUS MARIA</t>
        </is>
      </c>
      <c r="AI419" s="75" t="n">
        <v>46205.70972222222</v>
      </c>
      <c r="AJ419" s="75" t="n">
        <v>46170</v>
      </c>
      <c r="AK419" t="inlineStr">
        <is>
          <t>CUOTA INICIAL</t>
        </is>
      </c>
      <c r="AL419" t="n">
        <v>1</v>
      </c>
      <c r="AM419" t="n">
        <v>47670</v>
      </c>
      <c r="AN419" t="n">
        <v>0</v>
      </c>
      <c r="AO419" t="n">
        <v>0</v>
      </c>
      <c r="AP419" s="39" t="n">
        <v>47670</v>
      </c>
      <c r="AQ419" s="39" t="n">
        <v>22185</v>
      </c>
      <c r="AR419" s="39" t="n">
        <v>25485</v>
      </c>
      <c r="AS419" t="n">
        <v>0</v>
      </c>
      <c r="AT419" t="inlineStr">
        <is>
          <t>Ahorro</t>
        </is>
      </c>
      <c r="AU419" t="inlineStr">
        <is>
          <t>Banco de Credito del Perú</t>
        </is>
      </c>
      <c r="AV419" t="inlineStr">
        <is>
          <t>194-7325779-0-65</t>
        </is>
      </c>
      <c r="AW419" t="inlineStr">
        <is>
          <t>TRANSFERENCIA BANCARIA</t>
        </is>
      </c>
      <c r="AY419" t="inlineStr">
        <is>
          <t>01474178</t>
        </is>
      </c>
      <c r="AZ419" t="inlineStr">
        <is>
          <t>Si</t>
        </is>
      </c>
      <c r="BB419" t="n">
        <v>4</v>
      </c>
      <c r="BC419" t="inlineStr">
        <is>
          <t>PENDIENTE - PARC. CANCELADO</t>
        </is>
      </c>
      <c r="BN419" t="inlineStr">
        <is>
          <t>No</t>
        </is>
      </c>
      <c r="BO419" s="76" t="n">
        <v>46170.44652777778</v>
      </c>
      <c r="BP419" t="inlineStr">
        <is>
          <t>Kenny Salazar S</t>
        </is>
      </c>
      <c r="BR419" t="n">
        <v>40</v>
      </c>
      <c r="BS419" t="inlineStr">
        <is>
          <t>02/06/2026 17:11</t>
        </is>
      </c>
      <c r="BW419" t="inlineStr">
        <is>
          <t>Cobranzas_2026.csv</t>
        </is>
      </c>
      <c r="BX419" t="n">
        <v>2026</v>
      </c>
      <c r="BY419" t="inlineStr">
        <is>
          <t>01/01/2024</t>
        </is>
      </c>
      <c r="BZ419" t="inlineStr">
        <is>
          <t>30/06/2031</t>
        </is>
      </c>
    </row>
    <row r="420">
      <c r="A420" t="inlineStr">
        <is>
          <t>RESIDENCIAL BEYOND</t>
        </is>
      </c>
      <c r="B420" t="inlineStr">
        <is>
          <t>Etapa 1</t>
        </is>
      </c>
      <c r="C420" t="inlineStr">
        <is>
          <t>Edificio</t>
        </is>
      </c>
      <c r="D420" t="inlineStr">
        <is>
          <t>A</t>
        </is>
      </c>
      <c r="E420" t="inlineStr">
        <is>
          <t>Departamento</t>
        </is>
      </c>
      <c r="F420" t="inlineStr">
        <is>
          <t>1303</t>
        </is>
      </c>
      <c r="G420" s="39" t="n">
        <v>504700</v>
      </c>
      <c r="H420" s="39" t="n">
        <v>453700</v>
      </c>
      <c r="I420" t="inlineStr">
        <is>
          <t>Edificio</t>
        </is>
      </c>
      <c r="J420" t="inlineStr">
        <is>
          <t>A</t>
        </is>
      </c>
      <c r="K420" t="inlineStr">
        <is>
          <t>Estacionamiento</t>
        </is>
      </c>
      <c r="L420" t="inlineStr">
        <is>
          <t>E 50 - D 30</t>
        </is>
      </c>
      <c r="M420" s="39" t="n">
        <v>50000</v>
      </c>
      <c r="N420" s="39" t="n">
        <v>50000</v>
      </c>
      <c r="S420" s="39" t="n"/>
      <c r="T420" s="39" t="n"/>
      <c r="Y420" s="39" t="n"/>
      <c r="Z420" s="39" t="n"/>
      <c r="AA420" t="inlineStr">
        <is>
          <t>Jimena Melissa Huayanca Lopez</t>
        </is>
      </c>
      <c r="AB420" t="inlineStr">
        <is>
          <t>73268311</t>
        </is>
      </c>
      <c r="AC420" t="inlineStr">
        <is>
          <t xml:space="preserve">Av. Cuba 560, Dpto N°1703 </t>
        </is>
      </c>
      <c r="AD420" t="n">
        <v>0</v>
      </c>
      <c r="AE420" t="inlineStr">
        <is>
          <t>923732315</t>
        </is>
      </c>
      <c r="AF420" t="inlineStr">
        <is>
          <t>jimelissahl@gmail.com</t>
        </is>
      </c>
      <c r="AG420" t="inlineStr">
        <is>
          <t>LIMA</t>
        </is>
      </c>
      <c r="AH420" t="inlineStr">
        <is>
          <t>JESUS MARIA</t>
        </is>
      </c>
      <c r="AI420" s="75" t="n">
        <v>46236.70972222222</v>
      </c>
      <c r="AJ420" s="75" t="n"/>
      <c r="AK420" t="inlineStr">
        <is>
          <t>SALDO FINANCIAR</t>
        </is>
      </c>
      <c r="AL420" t="n">
        <v>1</v>
      </c>
      <c r="AM420" t="n">
        <v>453030</v>
      </c>
      <c r="AN420" t="n">
        <v>0</v>
      </c>
      <c r="AO420" t="n">
        <v>0</v>
      </c>
      <c r="AP420" s="39" t="n">
        <v>453030</v>
      </c>
      <c r="AQ420" s="39" t="n">
        <v>0</v>
      </c>
      <c r="AR420" s="39" t="n">
        <v>453030</v>
      </c>
      <c r="AT420" t="inlineStr">
        <is>
          <t>Ahorro</t>
        </is>
      </c>
      <c r="AZ420" t="inlineStr">
        <is>
          <t>No</t>
        </is>
      </c>
      <c r="BC420" t="inlineStr">
        <is>
          <t>PENDIENTE</t>
        </is>
      </c>
      <c r="BN420" t="inlineStr">
        <is>
          <t>No</t>
        </is>
      </c>
      <c r="BO420" s="76" t="n">
        <v>46170.44652777778</v>
      </c>
      <c r="BP420" t="inlineStr">
        <is>
          <t>Kenny Salazar S</t>
        </is>
      </c>
      <c r="BR420" t="n">
        <v>40</v>
      </c>
      <c r="BW420" t="inlineStr">
        <is>
          <t>Cobranzas_2026.csv</t>
        </is>
      </c>
      <c r="BX420" t="n">
        <v>2026</v>
      </c>
      <c r="BY420" t="inlineStr">
        <is>
          <t>01/01/2024</t>
        </is>
      </c>
      <c r="BZ420" t="inlineStr">
        <is>
          <t>30/06/2031</t>
        </is>
      </c>
    </row>
    <row r="421">
      <c r="A421" t="inlineStr">
        <is>
          <t>RESIDENCIAL BEYOND</t>
        </is>
      </c>
      <c r="B421" t="inlineStr">
        <is>
          <t>Etapa 1</t>
        </is>
      </c>
      <c r="C421" t="inlineStr">
        <is>
          <t>Edificio</t>
        </is>
      </c>
      <c r="D421" t="inlineStr">
        <is>
          <t>A</t>
        </is>
      </c>
      <c r="E421" t="inlineStr">
        <is>
          <t>Departamento</t>
        </is>
      </c>
      <c r="F421" t="inlineStr">
        <is>
          <t>601</t>
        </is>
      </c>
      <c r="G421" s="39" t="n">
        <v>518500</v>
      </c>
      <c r="H421" s="39" t="n">
        <v>470000</v>
      </c>
      <c r="M421" s="39" t="n"/>
      <c r="N421" s="39" t="n"/>
      <c r="S421" s="39" t="n"/>
      <c r="T421" s="39" t="n"/>
      <c r="Y421" s="39" t="n"/>
      <c r="Z421" s="39" t="n"/>
      <c r="AA421" t="inlineStr">
        <is>
          <t>Jimmy Luis Andrade Morveli</t>
        </is>
      </c>
      <c r="AB421" t="inlineStr">
        <is>
          <t>40071918</t>
        </is>
      </c>
      <c r="AC421" t="inlineStr">
        <is>
          <t>Av. Brasil 1836 Edif Bh South Dpto. 409</t>
        </is>
      </c>
      <c r="AD421" t="n">
        <v>0</v>
      </c>
      <c r="AE421" t="inlineStr">
        <is>
          <t>924430158</t>
        </is>
      </c>
      <c r="AF421" t="inlineStr">
        <is>
          <t>Jimmyandrademorveli@gmail.com</t>
        </is>
      </c>
      <c r="AG421" t="inlineStr">
        <is>
          <t>LIMA</t>
        </is>
      </c>
      <c r="AH421" t="inlineStr">
        <is>
          <t>PUEBLO LIBRE</t>
        </is>
      </c>
      <c r="AI421" s="75" t="n">
        <v>46081</v>
      </c>
      <c r="AJ421" s="75" t="n"/>
      <c r="AK421" t="inlineStr">
        <is>
          <t>CUOTA INICIAL</t>
        </is>
      </c>
      <c r="AL421" t="n">
        <v>1</v>
      </c>
      <c r="AM421" t="n">
        <v>44000</v>
      </c>
      <c r="AN421" t="n">
        <v>0</v>
      </c>
      <c r="AO421" t="n">
        <v>0</v>
      </c>
      <c r="AP421" s="39" t="n">
        <v>44000</v>
      </c>
      <c r="AQ421" s="39" t="n">
        <v>0</v>
      </c>
      <c r="AR421" s="39" t="n">
        <v>44000</v>
      </c>
      <c r="AT421" t="inlineStr">
        <is>
          <t>Crédito Hipotecario</t>
        </is>
      </c>
      <c r="AZ421" t="inlineStr">
        <is>
          <t>No</t>
        </is>
      </c>
      <c r="BC421" t="inlineStr">
        <is>
          <t>VENCIDO</t>
        </is>
      </c>
      <c r="BN421" t="inlineStr">
        <is>
          <t>No</t>
        </is>
      </c>
      <c r="BO421" s="76" t="n">
        <v>46028.40416666667</v>
      </c>
      <c r="BP421" t="inlineStr">
        <is>
          <t>Magaly Guevara Perez</t>
        </is>
      </c>
      <c r="BR421" t="n">
        <v>33</v>
      </c>
      <c r="BW421" t="inlineStr">
        <is>
          <t>Cobranzas_2026.csv</t>
        </is>
      </c>
      <c r="BX421" t="n">
        <v>2026</v>
      </c>
      <c r="BY421" t="inlineStr">
        <is>
          <t>01/01/2024</t>
        </is>
      </c>
      <c r="BZ421" t="inlineStr">
        <is>
          <t>30/06/2031</t>
        </is>
      </c>
    </row>
    <row r="422">
      <c r="A422" t="inlineStr">
        <is>
          <t>RESIDENCIAL BEYOND</t>
        </is>
      </c>
      <c r="B422" t="inlineStr">
        <is>
          <t>Etapa 1</t>
        </is>
      </c>
      <c r="C422" t="inlineStr">
        <is>
          <t>Edificio</t>
        </is>
      </c>
      <c r="D422" t="inlineStr">
        <is>
          <t>A</t>
        </is>
      </c>
      <c r="E422" t="inlineStr">
        <is>
          <t>Departamento</t>
        </is>
      </c>
      <c r="F422" t="inlineStr">
        <is>
          <t>601</t>
        </is>
      </c>
      <c r="G422" s="39" t="n">
        <v>518500</v>
      </c>
      <c r="H422" s="39" t="n">
        <v>470000</v>
      </c>
      <c r="M422" s="39" t="n"/>
      <c r="N422" s="39" t="n"/>
      <c r="S422" s="39" t="n"/>
      <c r="T422" s="39" t="n"/>
      <c r="Y422" s="39" t="n"/>
      <c r="Z422" s="39" t="n"/>
      <c r="AA422" t="inlineStr">
        <is>
          <t>Jimmy Luis Andrade Morveli</t>
        </is>
      </c>
      <c r="AB422" t="inlineStr">
        <is>
          <t>40071918</t>
        </is>
      </c>
      <c r="AC422" t="inlineStr">
        <is>
          <t>Av. Brasil 1836 Edif Bh South Dpto. 409</t>
        </is>
      </c>
      <c r="AD422" t="n">
        <v>0</v>
      </c>
      <c r="AE422" t="inlineStr">
        <is>
          <t>924430158</t>
        </is>
      </c>
      <c r="AF422" t="inlineStr">
        <is>
          <t>Jimmyandrademorveli@gmail.com</t>
        </is>
      </c>
      <c r="AG422" t="inlineStr">
        <is>
          <t>LIMA</t>
        </is>
      </c>
      <c r="AH422" t="inlineStr">
        <is>
          <t>PUEBLO LIBRE</t>
        </is>
      </c>
      <c r="AI422" s="75" t="n">
        <v>46111</v>
      </c>
      <c r="AJ422" s="75" t="n"/>
      <c r="AK422" t="inlineStr">
        <is>
          <t>SALDO FINANCIAR</t>
        </is>
      </c>
      <c r="AL422" t="n">
        <v>1</v>
      </c>
      <c r="AM422" t="n">
        <v>423000</v>
      </c>
      <c r="AN422" t="n">
        <v>0</v>
      </c>
      <c r="AO422" t="n">
        <v>0</v>
      </c>
      <c r="AP422" s="39" t="n">
        <v>423000</v>
      </c>
      <c r="AQ422" s="39" t="n">
        <v>0</v>
      </c>
      <c r="AR422" s="39" t="n">
        <v>423000</v>
      </c>
      <c r="AT422" t="inlineStr">
        <is>
          <t>Crédito Hipotecario</t>
        </is>
      </c>
      <c r="AZ422" t="inlineStr">
        <is>
          <t>No</t>
        </is>
      </c>
      <c r="BC422" t="inlineStr">
        <is>
          <t>VENCIDO</t>
        </is>
      </c>
      <c r="BN422" t="inlineStr">
        <is>
          <t>No</t>
        </is>
      </c>
      <c r="BO422" s="76" t="n">
        <v>46028.40416666667</v>
      </c>
      <c r="BP422" t="inlineStr">
        <is>
          <t>Magaly Guevara Perez</t>
        </is>
      </c>
      <c r="BR422" t="n">
        <v>33</v>
      </c>
      <c r="BW422" t="inlineStr">
        <is>
          <t>Cobranzas_2026.csv</t>
        </is>
      </c>
      <c r="BX422" t="n">
        <v>2026</v>
      </c>
      <c r="BY422" t="inlineStr">
        <is>
          <t>01/01/2024</t>
        </is>
      </c>
      <c r="BZ422" t="inlineStr">
        <is>
          <t>30/06/2031</t>
        </is>
      </c>
    </row>
    <row r="423">
      <c r="A423" t="inlineStr">
        <is>
          <t>RESIDENCIAL BEYOND</t>
        </is>
      </c>
      <c r="B423" t="inlineStr">
        <is>
          <t>Etapa 1</t>
        </is>
      </c>
      <c r="C423" t="inlineStr">
        <is>
          <t>Edificio</t>
        </is>
      </c>
      <c r="D423" t="inlineStr">
        <is>
          <t>A</t>
        </is>
      </c>
      <c r="E423" t="inlineStr">
        <is>
          <t>Departamento</t>
        </is>
      </c>
      <c r="F423" t="inlineStr">
        <is>
          <t>405</t>
        </is>
      </c>
      <c r="G423" s="39" t="n">
        <v>532100</v>
      </c>
      <c r="H423" s="39" t="n">
        <v>501100</v>
      </c>
      <c r="M423" s="39" t="n"/>
      <c r="N423" s="39" t="n"/>
      <c r="S423" s="39" t="n"/>
      <c r="T423" s="39" t="n"/>
      <c r="Y423" s="39" t="n"/>
      <c r="Z423" s="39" t="n"/>
      <c r="AA423" t="inlineStr">
        <is>
          <t>Jiri Ruzicka R</t>
        </is>
      </c>
      <c r="AB423" t="inlineStr">
        <is>
          <t>001831906</t>
        </is>
      </c>
      <c r="AC423" t="inlineStr">
        <is>
          <t xml:space="preserve">Calle Los Mirtos 230 Edificio Live Lima Flats Torre C </t>
        </is>
      </c>
      <c r="AD423" t="n">
        <v>0</v>
      </c>
      <c r="AE423" t="inlineStr">
        <is>
          <t>943541529</t>
        </is>
      </c>
      <c r="AF423" t="inlineStr">
        <is>
          <t>jiriruzicka@web.de</t>
        </is>
      </c>
      <c r="AG423" t="inlineStr">
        <is>
          <t>LIMA</t>
        </is>
      </c>
      <c r="AH423" t="inlineStr">
        <is>
          <t>LINCE</t>
        </is>
      </c>
      <c r="AI423" s="75" t="n">
        <v>46159</v>
      </c>
      <c r="AJ423" s="75" t="n">
        <v>46159</v>
      </c>
      <c r="AK423" t="inlineStr">
        <is>
          <t>SEPARACION</t>
        </is>
      </c>
      <c r="AL423" t="n">
        <v>1</v>
      </c>
      <c r="AM423" t="n">
        <v>3000</v>
      </c>
      <c r="AN423" t="n">
        <v>0</v>
      </c>
      <c r="AO423" t="n">
        <v>0</v>
      </c>
      <c r="AP423" s="39" t="n">
        <v>3000</v>
      </c>
      <c r="AQ423" s="39" t="n">
        <v>3000</v>
      </c>
      <c r="AR423" s="39" t="n">
        <v>0</v>
      </c>
      <c r="AS423" t="n">
        <v>0</v>
      </c>
      <c r="AT423" t="inlineStr">
        <is>
          <t>Ahorro</t>
        </is>
      </c>
      <c r="AU423" t="inlineStr">
        <is>
          <t>Banco de Credito del Perú</t>
        </is>
      </c>
      <c r="AV423" t="inlineStr">
        <is>
          <t>194-7325779-0-65</t>
        </is>
      </c>
      <c r="AW423" t="inlineStr">
        <is>
          <t>POS VISA</t>
        </is>
      </c>
      <c r="AY423" t="inlineStr">
        <is>
          <t>0083</t>
        </is>
      </c>
      <c r="AZ423" t="inlineStr">
        <is>
          <t>Si</t>
        </is>
      </c>
      <c r="BB423" t="n">
        <v>4</v>
      </c>
      <c r="BC423" t="inlineStr">
        <is>
          <t>CANCELADO</t>
        </is>
      </c>
      <c r="BN423" t="inlineStr">
        <is>
          <t>No</t>
        </is>
      </c>
      <c r="BO423" s="76" t="n">
        <v>46164.38958333333</v>
      </c>
      <c r="BP423" t="inlineStr">
        <is>
          <t>Josue andres Perez Chamorro</t>
        </is>
      </c>
      <c r="BR423" t="n">
        <v>8</v>
      </c>
      <c r="BS423" t="inlineStr">
        <is>
          <t>17/05/2026 16:35</t>
        </is>
      </c>
      <c r="BW423" t="inlineStr">
        <is>
          <t>Cobranzas_2026.csv</t>
        </is>
      </c>
      <c r="BX423" t="n">
        <v>2026</v>
      </c>
      <c r="BY423" t="inlineStr">
        <is>
          <t>01/01/2024</t>
        </is>
      </c>
      <c r="BZ423" t="inlineStr">
        <is>
          <t>30/06/2031</t>
        </is>
      </c>
    </row>
    <row r="424">
      <c r="A424" t="inlineStr">
        <is>
          <t>RESIDENCIAL BEYOND</t>
        </is>
      </c>
      <c r="B424" t="inlineStr">
        <is>
          <t>Etapa 1</t>
        </is>
      </c>
      <c r="C424" t="inlineStr">
        <is>
          <t>Edificio</t>
        </is>
      </c>
      <c r="D424" t="inlineStr">
        <is>
          <t>A</t>
        </is>
      </c>
      <c r="E424" t="inlineStr">
        <is>
          <t>Departamento</t>
        </is>
      </c>
      <c r="F424" t="inlineStr">
        <is>
          <t>405</t>
        </is>
      </c>
      <c r="G424" s="39" t="n">
        <v>532100</v>
      </c>
      <c r="H424" s="39" t="n">
        <v>501100</v>
      </c>
      <c r="M424" s="39" t="n"/>
      <c r="N424" s="39" t="n"/>
      <c r="S424" s="39" t="n"/>
      <c r="T424" s="39" t="n"/>
      <c r="Y424" s="39" t="n"/>
      <c r="Z424" s="39" t="n"/>
      <c r="AA424" t="inlineStr">
        <is>
          <t>Jiri Ruzicka R</t>
        </is>
      </c>
      <c r="AB424" t="inlineStr">
        <is>
          <t>001831906</t>
        </is>
      </c>
      <c r="AC424" t="inlineStr">
        <is>
          <t xml:space="preserve">Calle Los Mirtos 230 Edificio Live Lima Flats Torre C </t>
        </is>
      </c>
      <c r="AD424" t="n">
        <v>0</v>
      </c>
      <c r="AE424" t="inlineStr">
        <is>
          <t>943541529</t>
        </is>
      </c>
      <c r="AF424" t="inlineStr">
        <is>
          <t>jiriruzicka@web.de</t>
        </is>
      </c>
      <c r="AG424" t="inlineStr">
        <is>
          <t>LIMA</t>
        </is>
      </c>
      <c r="AH424" t="inlineStr">
        <is>
          <t>LINCE</t>
        </is>
      </c>
      <c r="AI424" s="75" t="n">
        <v>46163</v>
      </c>
      <c r="AJ424" s="75" t="n">
        <v>46164</v>
      </c>
      <c r="AK424" t="inlineStr">
        <is>
          <t>CUOTA INICIAL</t>
        </is>
      </c>
      <c r="AL424" t="n">
        <v>1</v>
      </c>
      <c r="AM424" t="n">
        <v>22055</v>
      </c>
      <c r="AN424" t="n">
        <v>0</v>
      </c>
      <c r="AO424" t="n">
        <v>0</v>
      </c>
      <c r="AP424" s="39" t="n">
        <v>22055</v>
      </c>
      <c r="AQ424" s="39" t="n">
        <v>22055</v>
      </c>
      <c r="AR424" s="39" t="n">
        <v>0</v>
      </c>
      <c r="AS424" t="n">
        <v>0</v>
      </c>
      <c r="AT424" t="inlineStr">
        <is>
          <t>Ahorro</t>
        </is>
      </c>
      <c r="AU424" t="inlineStr">
        <is>
          <t>Banco de Credito del Perú</t>
        </is>
      </c>
      <c r="AV424" t="inlineStr">
        <is>
          <t>194-7325779-0-65</t>
        </is>
      </c>
      <c r="AW424" t="inlineStr">
        <is>
          <t>TRANSFERENCIA BANCARIA</t>
        </is>
      </c>
      <c r="AY424" t="inlineStr">
        <is>
          <t>046664</t>
        </is>
      </c>
      <c r="AZ424" t="inlineStr">
        <is>
          <t>Si</t>
        </is>
      </c>
      <c r="BB424" t="n">
        <v>4</v>
      </c>
      <c r="BC424" t="inlineStr">
        <is>
          <t>CANCELADO</t>
        </is>
      </c>
      <c r="BN424" t="inlineStr">
        <is>
          <t>No</t>
        </is>
      </c>
      <c r="BO424" s="76" t="n">
        <v>46164.38958333333</v>
      </c>
      <c r="BP424" t="inlineStr">
        <is>
          <t>Josue andres Perez Chamorro</t>
        </is>
      </c>
      <c r="BR424" t="n">
        <v>8</v>
      </c>
      <c r="BS424" t="inlineStr">
        <is>
          <t>02/06/2026 16:38</t>
        </is>
      </c>
      <c r="BW424" t="inlineStr">
        <is>
          <t>Cobranzas_2026.csv</t>
        </is>
      </c>
      <c r="BX424" t="n">
        <v>2026</v>
      </c>
      <c r="BY424" t="inlineStr">
        <is>
          <t>01/01/2024</t>
        </is>
      </c>
      <c r="BZ424" t="inlineStr">
        <is>
          <t>30/06/2031</t>
        </is>
      </c>
    </row>
    <row r="425">
      <c r="A425" t="inlineStr">
        <is>
          <t>RESIDENCIAL BEYOND</t>
        </is>
      </c>
      <c r="B425" t="inlineStr">
        <is>
          <t>Etapa 1</t>
        </is>
      </c>
      <c r="C425" t="inlineStr">
        <is>
          <t>Edificio</t>
        </is>
      </c>
      <c r="D425" t="inlineStr">
        <is>
          <t>A</t>
        </is>
      </c>
      <c r="E425" t="inlineStr">
        <is>
          <t>Departamento</t>
        </is>
      </c>
      <c r="F425" t="inlineStr">
        <is>
          <t>803</t>
        </is>
      </c>
      <c r="G425" s="39" t="n">
        <v>510000</v>
      </c>
      <c r="H425" s="39" t="n">
        <v>476700</v>
      </c>
      <c r="I425" t="inlineStr">
        <is>
          <t>Edificio</t>
        </is>
      </c>
      <c r="J425" t="inlineStr">
        <is>
          <t>A</t>
        </is>
      </c>
      <c r="K425" t="inlineStr">
        <is>
          <t>Estacionamiento</t>
        </is>
      </c>
      <c r="L425" t="inlineStr">
        <is>
          <t>E 28 - D 18</t>
        </is>
      </c>
      <c r="M425" s="39" t="n">
        <v>48600</v>
      </c>
      <c r="N425" s="39" t="n">
        <v>48600</v>
      </c>
      <c r="S425" s="39" t="n"/>
      <c r="T425" s="39" t="n"/>
      <c r="Y425" s="39" t="n"/>
      <c r="Z425" s="39" t="n"/>
      <c r="AA425" t="inlineStr">
        <is>
          <t>Jorge Luis Montoya Mendoza</t>
        </is>
      </c>
      <c r="AB425" t="inlineStr">
        <is>
          <t>21458250</t>
        </is>
      </c>
      <c r="AC425" t="inlineStr">
        <is>
          <t>luismm65@hotmail.com</t>
        </is>
      </c>
      <c r="AD425" t="n">
        <v>0</v>
      </c>
      <c r="AE425" t="inlineStr">
        <is>
          <t>962673705</t>
        </is>
      </c>
      <c r="AF425" t="inlineStr">
        <is>
          <t>luismm65@hotmail.com</t>
        </is>
      </c>
      <c r="AG425" t="inlineStr">
        <is>
          <t>LIMA</t>
        </is>
      </c>
      <c r="AH425" t="inlineStr">
        <is>
          <t>PUEBLO LIBRE</t>
        </is>
      </c>
      <c r="AI425" s="75" t="n">
        <v>46095</v>
      </c>
      <c r="AJ425" s="75" t="n">
        <v>46095</v>
      </c>
      <c r="AK425" t="inlineStr">
        <is>
          <t>SEPARACION</t>
        </is>
      </c>
      <c r="AL425" t="n">
        <v>1</v>
      </c>
      <c r="AM425" t="n">
        <v>3000</v>
      </c>
      <c r="AN425" t="n">
        <v>0</v>
      </c>
      <c r="AO425" t="n">
        <v>0</v>
      </c>
      <c r="AP425" s="39" t="n">
        <v>3000</v>
      </c>
      <c r="AQ425" s="39" t="n">
        <v>3000</v>
      </c>
      <c r="AR425" s="39" t="n">
        <v>0</v>
      </c>
      <c r="AS425" t="n">
        <v>0</v>
      </c>
      <c r="AT425" t="inlineStr">
        <is>
          <t>Crédito Directo</t>
        </is>
      </c>
      <c r="AU425" t="inlineStr">
        <is>
          <t>Banco de Credito del Perú</t>
        </is>
      </c>
      <c r="AV425" t="inlineStr">
        <is>
          <t>194-7325779-0-65</t>
        </is>
      </c>
      <c r="AW425" t="inlineStr">
        <is>
          <t>TRANSFERENCIA BANCARIA</t>
        </is>
      </c>
      <c r="AY425" t="inlineStr">
        <is>
          <t>14032026</t>
        </is>
      </c>
      <c r="AZ425" t="inlineStr">
        <is>
          <t>No</t>
        </is>
      </c>
      <c r="BB425" t="n">
        <v>4</v>
      </c>
      <c r="BC425" t="inlineStr">
        <is>
          <t>CANCELADO</t>
        </is>
      </c>
      <c r="BN425" t="inlineStr">
        <is>
          <t>No</t>
        </is>
      </c>
      <c r="BO425" s="76" t="n">
        <v>46142.41805555556</v>
      </c>
      <c r="BP425" t="inlineStr">
        <is>
          <t>Magaly Guevara Perez</t>
        </is>
      </c>
      <c r="BR425" t="n">
        <v>18</v>
      </c>
      <c r="BS425" t="inlineStr">
        <is>
          <t>23/05/2026 23:39</t>
        </is>
      </c>
      <c r="BW425" t="inlineStr">
        <is>
          <t>Cobranzas_2026.csv</t>
        </is>
      </c>
      <c r="BX425" t="n">
        <v>2026</v>
      </c>
      <c r="BY425" t="inlineStr">
        <is>
          <t>01/01/2024</t>
        </is>
      </c>
      <c r="BZ425" t="inlineStr">
        <is>
          <t>30/06/2031</t>
        </is>
      </c>
    </row>
    <row r="426">
      <c r="A426" t="inlineStr">
        <is>
          <t>RESIDENCIAL BEYOND</t>
        </is>
      </c>
      <c r="B426" t="inlineStr">
        <is>
          <t>Etapa 1</t>
        </is>
      </c>
      <c r="C426" t="inlineStr">
        <is>
          <t>Edificio</t>
        </is>
      </c>
      <c r="D426" t="inlineStr">
        <is>
          <t>A</t>
        </is>
      </c>
      <c r="E426" t="inlineStr">
        <is>
          <t>Departamento</t>
        </is>
      </c>
      <c r="F426" t="inlineStr">
        <is>
          <t>803</t>
        </is>
      </c>
      <c r="G426" s="39" t="n">
        <v>510000</v>
      </c>
      <c r="H426" s="39" t="n">
        <v>476700</v>
      </c>
      <c r="I426" t="inlineStr">
        <is>
          <t>Edificio</t>
        </is>
      </c>
      <c r="J426" t="inlineStr">
        <is>
          <t>A</t>
        </is>
      </c>
      <c r="K426" t="inlineStr">
        <is>
          <t>Estacionamiento</t>
        </is>
      </c>
      <c r="L426" t="inlineStr">
        <is>
          <t>E 28 - D 18</t>
        </is>
      </c>
      <c r="M426" s="39" t="n">
        <v>48600</v>
      </c>
      <c r="N426" s="39" t="n">
        <v>48600</v>
      </c>
      <c r="S426" s="39" t="n"/>
      <c r="T426" s="39" t="n"/>
      <c r="Y426" s="39" t="n"/>
      <c r="Z426" s="39" t="n"/>
      <c r="AA426" t="inlineStr">
        <is>
          <t>Jorge Luis Montoya Mendoza</t>
        </is>
      </c>
      <c r="AB426" t="inlineStr">
        <is>
          <t>21458250</t>
        </is>
      </c>
      <c r="AC426" t="inlineStr">
        <is>
          <t>luismm65@hotmail.com</t>
        </is>
      </c>
      <c r="AD426" t="n">
        <v>0</v>
      </c>
      <c r="AE426" t="inlineStr">
        <is>
          <t>962673705</t>
        </is>
      </c>
      <c r="AF426" t="inlineStr">
        <is>
          <t>luismm65@hotmail.com</t>
        </is>
      </c>
      <c r="AG426" t="inlineStr">
        <is>
          <t>LIMA</t>
        </is>
      </c>
      <c r="AH426" t="inlineStr">
        <is>
          <t>PUEBLO LIBRE</t>
        </is>
      </c>
      <c r="AI426" s="75" t="n">
        <v>46111</v>
      </c>
      <c r="AJ426" s="75" t="n">
        <v>46111</v>
      </c>
      <c r="AK426" t="inlineStr">
        <is>
          <t>CUOTA INICIAL</t>
        </is>
      </c>
      <c r="AL426" t="n">
        <v>1</v>
      </c>
      <c r="AM426" t="n">
        <v>154590</v>
      </c>
      <c r="AN426" t="n">
        <v>0</v>
      </c>
      <c r="AO426" t="n">
        <v>0</v>
      </c>
      <c r="AP426" s="39" t="n">
        <v>154590</v>
      </c>
      <c r="AQ426" s="39" t="n">
        <v>154590</v>
      </c>
      <c r="AR426" s="39" t="n">
        <v>0</v>
      </c>
      <c r="AS426" t="n">
        <v>0</v>
      </c>
      <c r="AT426" t="inlineStr">
        <is>
          <t>Crédito Directo</t>
        </is>
      </c>
      <c r="AU426" t="inlineStr">
        <is>
          <t>Banco de Credito del Perú</t>
        </is>
      </c>
      <c r="AV426" t="inlineStr">
        <is>
          <t>194-7325779-0-65</t>
        </is>
      </c>
      <c r="AW426" t="inlineStr">
        <is>
          <t>TRANSFERENCIA BANCARIA</t>
        </is>
      </c>
      <c r="AY426" t="inlineStr">
        <is>
          <t>00119</t>
        </is>
      </c>
      <c r="AZ426" t="inlineStr">
        <is>
          <t>No</t>
        </is>
      </c>
      <c r="BB426" t="n">
        <v>4</v>
      </c>
      <c r="BC426" t="inlineStr">
        <is>
          <t>CANCELADO</t>
        </is>
      </c>
      <c r="BN426" t="inlineStr">
        <is>
          <t>No</t>
        </is>
      </c>
      <c r="BO426" s="76" t="n">
        <v>46142.41805555556</v>
      </c>
      <c r="BP426" t="inlineStr">
        <is>
          <t>Magaly Guevara Perez</t>
        </is>
      </c>
      <c r="BR426" t="n">
        <v>18</v>
      </c>
      <c r="BS426" t="inlineStr">
        <is>
          <t>23/05/2026 23:43</t>
        </is>
      </c>
      <c r="BW426" t="inlineStr">
        <is>
          <t>Cobranzas_2026.csv</t>
        </is>
      </c>
      <c r="BX426" t="n">
        <v>2026</v>
      </c>
      <c r="BY426" t="inlineStr">
        <is>
          <t>01/01/2024</t>
        </is>
      </c>
      <c r="BZ426" t="inlineStr">
        <is>
          <t>30/06/2031</t>
        </is>
      </c>
    </row>
    <row r="427">
      <c r="A427" t="inlineStr">
        <is>
          <t>RESIDENCIAL BEYOND</t>
        </is>
      </c>
      <c r="B427" t="inlineStr">
        <is>
          <t>Etapa 1</t>
        </is>
      </c>
      <c r="C427" t="inlineStr">
        <is>
          <t>Edificio</t>
        </is>
      </c>
      <c r="D427" t="inlineStr">
        <is>
          <t>A</t>
        </is>
      </c>
      <c r="E427" t="inlineStr">
        <is>
          <t>Departamento</t>
        </is>
      </c>
      <c r="F427" t="inlineStr">
        <is>
          <t>803</t>
        </is>
      </c>
      <c r="G427" s="39" t="n">
        <v>510000</v>
      </c>
      <c r="H427" s="39" t="n">
        <v>476700</v>
      </c>
      <c r="I427" t="inlineStr">
        <is>
          <t>Edificio</t>
        </is>
      </c>
      <c r="J427" t="inlineStr">
        <is>
          <t>A</t>
        </is>
      </c>
      <c r="K427" t="inlineStr">
        <is>
          <t>Estacionamiento</t>
        </is>
      </c>
      <c r="L427" t="inlineStr">
        <is>
          <t>E 28 - D 18</t>
        </is>
      </c>
      <c r="M427" s="39" t="n">
        <v>48600</v>
      </c>
      <c r="N427" s="39" t="n">
        <v>48600</v>
      </c>
      <c r="S427" s="39" t="n"/>
      <c r="T427" s="39" t="n"/>
      <c r="Y427" s="39" t="n"/>
      <c r="Z427" s="39" t="n"/>
      <c r="AA427" t="inlineStr">
        <is>
          <t>Jorge Luis Montoya Mendoza</t>
        </is>
      </c>
      <c r="AB427" t="inlineStr">
        <is>
          <t>21458250</t>
        </is>
      </c>
      <c r="AC427" t="inlineStr">
        <is>
          <t>luismm65@hotmail.com</t>
        </is>
      </c>
      <c r="AD427" t="n">
        <v>0</v>
      </c>
      <c r="AE427" t="inlineStr">
        <is>
          <t>962673705</t>
        </is>
      </c>
      <c r="AF427" t="inlineStr">
        <is>
          <t>luismm65@hotmail.com</t>
        </is>
      </c>
      <c r="AG427" t="inlineStr">
        <is>
          <t>LIMA</t>
        </is>
      </c>
      <c r="AH427" t="inlineStr">
        <is>
          <t>PUEBLO LIBRE</t>
        </is>
      </c>
      <c r="AI427" s="75" t="n">
        <v>46386</v>
      </c>
      <c r="AJ427" s="75" t="n"/>
      <c r="AK427" t="inlineStr">
        <is>
          <t>SALDO FINANCIAR</t>
        </is>
      </c>
      <c r="AL427" t="n">
        <v>1</v>
      </c>
      <c r="AM427" t="n">
        <v>105060</v>
      </c>
      <c r="AN427" t="n">
        <v>0</v>
      </c>
      <c r="AO427" t="n">
        <v>0</v>
      </c>
      <c r="AP427" s="39" t="n">
        <v>105060</v>
      </c>
      <c r="AQ427" s="39" t="n">
        <v>0</v>
      </c>
      <c r="AR427" s="39" t="n">
        <v>105060</v>
      </c>
      <c r="AT427" t="inlineStr">
        <is>
          <t>Crédito Directo</t>
        </is>
      </c>
      <c r="AZ427" t="inlineStr">
        <is>
          <t>No</t>
        </is>
      </c>
      <c r="BC427" t="inlineStr">
        <is>
          <t>PENDIENTE</t>
        </is>
      </c>
      <c r="BN427" t="inlineStr">
        <is>
          <t>No</t>
        </is>
      </c>
      <c r="BO427" s="76" t="n">
        <v>46142.41805555556</v>
      </c>
      <c r="BP427" t="inlineStr">
        <is>
          <t>Magaly Guevara Perez</t>
        </is>
      </c>
      <c r="BR427" t="n">
        <v>18</v>
      </c>
      <c r="BW427" t="inlineStr">
        <is>
          <t>Cobranzas_2026.csv</t>
        </is>
      </c>
      <c r="BX427" t="n">
        <v>2026</v>
      </c>
      <c r="BY427" t="inlineStr">
        <is>
          <t>01/01/2024</t>
        </is>
      </c>
      <c r="BZ427" t="inlineStr">
        <is>
          <t>30/06/2031</t>
        </is>
      </c>
    </row>
    <row r="428">
      <c r="A428" t="inlineStr">
        <is>
          <t>RESIDENCIAL VENECIA</t>
        </is>
      </c>
      <c r="B428" t="inlineStr">
        <is>
          <t>Etapa 1</t>
        </is>
      </c>
      <c r="C428" t="inlineStr">
        <is>
          <t>Edificio</t>
        </is>
      </c>
      <c r="D428" t="inlineStr">
        <is>
          <t>A</t>
        </is>
      </c>
      <c r="E428" t="inlineStr">
        <is>
          <t>Departamento</t>
        </is>
      </c>
      <c r="F428" t="inlineStr">
        <is>
          <t>504</t>
        </is>
      </c>
      <c r="G428" s="39" t="n">
        <v>428000</v>
      </c>
      <c r="H428" s="39" t="n">
        <v>428000</v>
      </c>
      <c r="M428" s="39" t="n"/>
      <c r="N428" s="39" t="n"/>
      <c r="S428" s="39" t="n"/>
      <c r="T428" s="39" t="n"/>
      <c r="Y428" s="39" t="n"/>
      <c r="Z428" s="39" t="n"/>
      <c r="AA428" t="inlineStr">
        <is>
          <t>Jose Edgardo Camacho Cespedes</t>
        </is>
      </c>
      <c r="AB428" t="inlineStr">
        <is>
          <t>16631860</t>
        </is>
      </c>
      <c r="AC428" t="inlineStr">
        <is>
          <t>Jr. Huamachuco 1961Urb.Fundo Oyague</t>
        </is>
      </c>
      <c r="AD428" t="n">
        <v>0</v>
      </c>
      <c r="AE428" t="inlineStr">
        <is>
          <t>985758164</t>
        </is>
      </c>
      <c r="AF428" t="inlineStr">
        <is>
          <t>edgardocc1ro@gmail.com</t>
        </is>
      </c>
      <c r="AG428" t="inlineStr">
        <is>
          <t>LIMA</t>
        </is>
      </c>
      <c r="AH428" t="inlineStr">
        <is>
          <t>JESUS MARIA</t>
        </is>
      </c>
      <c r="AI428" s="75" t="n">
        <v>46049</v>
      </c>
      <c r="AJ428" s="75" t="n">
        <v>46049</v>
      </c>
      <c r="AK428" t="inlineStr">
        <is>
          <t>CUOTA INICIAL</t>
        </is>
      </c>
      <c r="AL428" t="n">
        <v>1</v>
      </c>
      <c r="AM428" t="n">
        <v>18680</v>
      </c>
      <c r="AN428" t="n">
        <v>0</v>
      </c>
      <c r="AO428" t="n">
        <v>0</v>
      </c>
      <c r="AP428" s="39" t="n">
        <v>18680</v>
      </c>
      <c r="AQ428" s="39" t="n">
        <v>18680</v>
      </c>
      <c r="AR428" s="39" t="n">
        <v>0</v>
      </c>
      <c r="AS428" t="n">
        <v>0</v>
      </c>
      <c r="AT428" t="inlineStr">
        <is>
          <t>Crédito Hipotecario</t>
        </is>
      </c>
      <c r="AU428" t="inlineStr">
        <is>
          <t>Scotiabank Perú</t>
        </is>
      </c>
      <c r="AV428" t="inlineStr">
        <is>
          <t>0004071419</t>
        </is>
      </c>
      <c r="AW428" t="inlineStr">
        <is>
          <t>TRANSFERENCIA BANCARIA</t>
        </is>
      </c>
      <c r="AY428" t="inlineStr">
        <is>
          <t>5535877</t>
        </is>
      </c>
      <c r="AZ428" t="inlineStr">
        <is>
          <t>No</t>
        </is>
      </c>
      <c r="BB428" t="n">
        <v>4</v>
      </c>
      <c r="BC428" t="inlineStr">
        <is>
          <t>CANCELADO</t>
        </is>
      </c>
      <c r="BN428" t="inlineStr">
        <is>
          <t>No</t>
        </is>
      </c>
      <c r="BO428" s="76" t="n">
        <v>46049.34444444445</v>
      </c>
      <c r="BP428" t="inlineStr">
        <is>
          <t>Magaly Guevara Perez</t>
        </is>
      </c>
      <c r="BR428" t="n">
        <v>10</v>
      </c>
      <c r="BS428" t="inlineStr">
        <is>
          <t>24/05/2026 20:06</t>
        </is>
      </c>
      <c r="BW428" t="inlineStr">
        <is>
          <t>Cobranzas_2026.csv</t>
        </is>
      </c>
      <c r="BX428" t="n">
        <v>2026</v>
      </c>
      <c r="BY428" t="inlineStr">
        <is>
          <t>01/01/2024</t>
        </is>
      </c>
      <c r="BZ428" t="inlineStr">
        <is>
          <t>30/06/2031</t>
        </is>
      </c>
    </row>
    <row r="429">
      <c r="A429" t="inlineStr">
        <is>
          <t>RESIDENCIAL VENECIA</t>
        </is>
      </c>
      <c r="B429" t="inlineStr">
        <is>
          <t>Etapa 1</t>
        </is>
      </c>
      <c r="C429" t="inlineStr">
        <is>
          <t>Edificio</t>
        </is>
      </c>
      <c r="D429" t="inlineStr">
        <is>
          <t>A</t>
        </is>
      </c>
      <c r="E429" t="inlineStr">
        <is>
          <t>Departamento</t>
        </is>
      </c>
      <c r="F429" t="inlineStr">
        <is>
          <t>504</t>
        </is>
      </c>
      <c r="G429" s="39" t="n">
        <v>428000</v>
      </c>
      <c r="H429" s="39" t="n">
        <v>428000</v>
      </c>
      <c r="M429" s="39" t="n"/>
      <c r="N429" s="39" t="n"/>
      <c r="S429" s="39" t="n"/>
      <c r="T429" s="39" t="n"/>
      <c r="Y429" s="39" t="n"/>
      <c r="Z429" s="39" t="n"/>
      <c r="AA429" t="inlineStr">
        <is>
          <t>Jose Edgardo Camacho Cespedes</t>
        </is>
      </c>
      <c r="AB429" t="inlineStr">
        <is>
          <t>16631860</t>
        </is>
      </c>
      <c r="AC429" t="inlineStr">
        <is>
          <t>Jr. Huamachuco 1961Urb.Fundo Oyague</t>
        </is>
      </c>
      <c r="AD429" t="n">
        <v>0</v>
      </c>
      <c r="AE429" t="inlineStr">
        <is>
          <t>985758164</t>
        </is>
      </c>
      <c r="AF429" t="inlineStr">
        <is>
          <t>edgardocc1ro@gmail.com</t>
        </is>
      </c>
      <c r="AG429" t="inlineStr">
        <is>
          <t>LIMA</t>
        </is>
      </c>
      <c r="AH429" t="inlineStr">
        <is>
          <t>JESUS MARIA</t>
        </is>
      </c>
      <c r="AI429" s="75" t="n">
        <v>46107</v>
      </c>
      <c r="AJ429" s="75" t="n">
        <v>46107</v>
      </c>
      <c r="AK429" t="inlineStr">
        <is>
          <t>CUOTA INICIAL</t>
        </is>
      </c>
      <c r="AL429" t="n">
        <v>2</v>
      </c>
      <c r="AM429" t="n">
        <v>20520</v>
      </c>
      <c r="AN429" t="n">
        <v>0</v>
      </c>
      <c r="AO429" t="n">
        <v>0</v>
      </c>
      <c r="AP429" s="39" t="n">
        <v>20520</v>
      </c>
      <c r="AQ429" s="39" t="n">
        <v>20520</v>
      </c>
      <c r="AR429" s="39" t="n">
        <v>0</v>
      </c>
      <c r="AS429" t="n">
        <v>0</v>
      </c>
      <c r="AT429" t="inlineStr">
        <is>
          <t>Crédito Hipotecario</t>
        </is>
      </c>
      <c r="AU429" t="inlineStr">
        <is>
          <t>Scotiabank Perú</t>
        </is>
      </c>
      <c r="AV429" t="inlineStr">
        <is>
          <t>0004071419</t>
        </is>
      </c>
      <c r="AW429" t="inlineStr">
        <is>
          <t>TRANSFERENCIA BANCARIA</t>
        </is>
      </c>
      <c r="AY429" t="inlineStr">
        <is>
          <t>5527318</t>
        </is>
      </c>
      <c r="AZ429" t="inlineStr">
        <is>
          <t>No</t>
        </is>
      </c>
      <c r="BB429" t="n">
        <v>4</v>
      </c>
      <c r="BC429" t="inlineStr">
        <is>
          <t>CANCELADO</t>
        </is>
      </c>
      <c r="BN429" t="inlineStr">
        <is>
          <t>No</t>
        </is>
      </c>
      <c r="BO429" s="76" t="n">
        <v>46049.34444444445</v>
      </c>
      <c r="BP429" t="inlineStr">
        <is>
          <t>Magaly Guevara Perez</t>
        </is>
      </c>
      <c r="BR429" t="n">
        <v>10</v>
      </c>
      <c r="BS429" t="inlineStr">
        <is>
          <t>24/05/2026 20:06</t>
        </is>
      </c>
      <c r="BW429" t="inlineStr">
        <is>
          <t>Cobranzas_2026.csv</t>
        </is>
      </c>
      <c r="BX429" t="n">
        <v>2026</v>
      </c>
      <c r="BY429" t="inlineStr">
        <is>
          <t>01/01/2024</t>
        </is>
      </c>
      <c r="BZ429" t="inlineStr">
        <is>
          <t>30/06/2031</t>
        </is>
      </c>
    </row>
    <row r="430">
      <c r="A430" t="inlineStr">
        <is>
          <t>RESIDENCIAL VENECIA</t>
        </is>
      </c>
      <c r="B430" t="inlineStr">
        <is>
          <t>Etapa 1</t>
        </is>
      </c>
      <c r="C430" t="inlineStr">
        <is>
          <t>Edificio</t>
        </is>
      </c>
      <c r="D430" t="inlineStr">
        <is>
          <t>A</t>
        </is>
      </c>
      <c r="E430" t="inlineStr">
        <is>
          <t>Departamento</t>
        </is>
      </c>
      <c r="F430" t="inlineStr">
        <is>
          <t>504</t>
        </is>
      </c>
      <c r="G430" s="39" t="n">
        <v>428000</v>
      </c>
      <c r="H430" s="39" t="n">
        <v>428000</v>
      </c>
      <c r="M430" s="39" t="n"/>
      <c r="N430" s="39" t="n"/>
      <c r="S430" s="39" t="n"/>
      <c r="T430" s="39" t="n"/>
      <c r="Y430" s="39" t="n"/>
      <c r="Z430" s="39" t="n"/>
      <c r="AA430" t="inlineStr">
        <is>
          <t>Jose Edgardo Camacho Cespedes</t>
        </is>
      </c>
      <c r="AB430" t="inlineStr">
        <is>
          <t>16631860</t>
        </is>
      </c>
      <c r="AC430" t="inlineStr">
        <is>
          <t>Jr. Huamachuco 1961Urb.Fundo Oyague</t>
        </is>
      </c>
      <c r="AD430" t="n">
        <v>0</v>
      </c>
      <c r="AE430" t="inlineStr">
        <is>
          <t>985758164</t>
        </is>
      </c>
      <c r="AF430" t="inlineStr">
        <is>
          <t>edgardocc1ro@gmail.com</t>
        </is>
      </c>
      <c r="AG430" t="inlineStr">
        <is>
          <t>LIMA</t>
        </is>
      </c>
      <c r="AH430" t="inlineStr">
        <is>
          <t>JESUS MARIA</t>
        </is>
      </c>
      <c r="AI430" s="75" t="n">
        <v>46232.38680555556</v>
      </c>
      <c r="AJ430" s="75" t="n"/>
      <c r="AK430" t="inlineStr">
        <is>
          <t>SALDO FINANCIAR</t>
        </is>
      </c>
      <c r="AL430" t="n">
        <v>1</v>
      </c>
      <c r="AM430" t="n">
        <v>385800</v>
      </c>
      <c r="AN430" t="n">
        <v>0</v>
      </c>
      <c r="AO430" t="n">
        <v>0</v>
      </c>
      <c r="AP430" s="39" t="n">
        <v>385800</v>
      </c>
      <c r="AQ430" s="39" t="n">
        <v>0</v>
      </c>
      <c r="AR430" s="39" t="n">
        <v>385800</v>
      </c>
      <c r="AT430" t="inlineStr">
        <is>
          <t>Crédito Hipotecario</t>
        </is>
      </c>
      <c r="AZ430" t="inlineStr">
        <is>
          <t>No</t>
        </is>
      </c>
      <c r="BC430" t="inlineStr">
        <is>
          <t>PENDIENTE</t>
        </is>
      </c>
      <c r="BN430" t="inlineStr">
        <is>
          <t>No</t>
        </is>
      </c>
      <c r="BO430" s="76" t="n">
        <v>46049.34444444445</v>
      </c>
      <c r="BP430" t="inlineStr">
        <is>
          <t>Magaly Guevara Perez</t>
        </is>
      </c>
      <c r="BR430" t="n">
        <v>10</v>
      </c>
      <c r="BW430" t="inlineStr">
        <is>
          <t>Cobranzas_2026.csv</t>
        </is>
      </c>
      <c r="BX430" t="n">
        <v>2026</v>
      </c>
      <c r="BY430" t="inlineStr">
        <is>
          <t>01/01/2024</t>
        </is>
      </c>
      <c r="BZ430" t="inlineStr">
        <is>
          <t>30/06/2031</t>
        </is>
      </c>
    </row>
    <row r="431">
      <c r="A431" t="inlineStr">
        <is>
          <t>RESIDENCIAL VENECIA</t>
        </is>
      </c>
      <c r="B431" t="inlineStr">
        <is>
          <t>Etapa 1</t>
        </is>
      </c>
      <c r="C431" t="inlineStr">
        <is>
          <t>Edificio</t>
        </is>
      </c>
      <c r="D431" t="inlineStr">
        <is>
          <t>A</t>
        </is>
      </c>
      <c r="E431" t="inlineStr">
        <is>
          <t>Estacionamiento</t>
        </is>
      </c>
      <c r="F431" t="inlineStr">
        <is>
          <t>E 10 - D 1</t>
        </is>
      </c>
      <c r="G431" s="39" t="n">
        <v>54000</v>
      </c>
      <c r="H431" s="39" t="n">
        <v>54000</v>
      </c>
      <c r="M431" s="39" t="n"/>
      <c r="N431" s="39" t="n"/>
      <c r="S431" s="39" t="n"/>
      <c r="T431" s="39" t="n"/>
      <c r="Y431" s="39" t="n"/>
      <c r="Z431" s="39" t="n"/>
      <c r="AA431" t="inlineStr">
        <is>
          <t>Jose Edgardo Cespedes Camacho</t>
        </is>
      </c>
      <c r="AB431" t="inlineStr">
        <is>
          <t>16631860</t>
        </is>
      </c>
      <c r="AC431" t="inlineStr">
        <is>
          <t>Jr. Huamachuco 1961Urb.Fundo Oyague</t>
        </is>
      </c>
      <c r="AD431" t="n">
        <v>0</v>
      </c>
      <c r="AE431" t="inlineStr">
        <is>
          <t>985758164</t>
        </is>
      </c>
      <c r="AF431" t="inlineStr">
        <is>
          <t>edgardocc1ro@gmail.com</t>
        </is>
      </c>
      <c r="AG431" t="inlineStr">
        <is>
          <t>LIMA</t>
        </is>
      </c>
      <c r="AH431" t="inlineStr">
        <is>
          <t>JESUS MARIA</t>
        </is>
      </c>
      <c r="AI431" s="75" t="n">
        <v>46079</v>
      </c>
      <c r="AJ431" s="75" t="n">
        <v>46079</v>
      </c>
      <c r="AK431" t="inlineStr">
        <is>
          <t>SEPARACION</t>
        </is>
      </c>
      <c r="AL431" t="n">
        <v>1</v>
      </c>
      <c r="AM431" t="n">
        <v>3000</v>
      </c>
      <c r="AN431" t="n">
        <v>0</v>
      </c>
      <c r="AO431" t="n">
        <v>0</v>
      </c>
      <c r="AP431" s="39" t="n">
        <v>3000</v>
      </c>
      <c r="AQ431" s="39" t="n">
        <v>3000</v>
      </c>
      <c r="AR431" s="39" t="n">
        <v>0</v>
      </c>
      <c r="AS431" t="n">
        <v>0</v>
      </c>
      <c r="AT431" t="inlineStr">
        <is>
          <t>Crédito Directo</t>
        </is>
      </c>
      <c r="AU431" t="inlineStr">
        <is>
          <t>Scotiabank Perú</t>
        </is>
      </c>
      <c r="AV431" t="inlineStr">
        <is>
          <t>0004071419</t>
        </is>
      </c>
      <c r="AW431" t="inlineStr">
        <is>
          <t>TRANSFERENCIA BANCARIA</t>
        </is>
      </c>
      <c r="AY431" t="inlineStr">
        <is>
          <t>7844655558963</t>
        </is>
      </c>
      <c r="AZ431" t="inlineStr">
        <is>
          <t>No</t>
        </is>
      </c>
      <c r="BB431" t="n">
        <v>4</v>
      </c>
      <c r="BC431" t="inlineStr">
        <is>
          <t>CANCELADO</t>
        </is>
      </c>
      <c r="BN431" t="inlineStr">
        <is>
          <t>No</t>
        </is>
      </c>
      <c r="BO431" s="76" t="n">
        <v>46079.41944444444</v>
      </c>
      <c r="BP431" t="inlineStr">
        <is>
          <t>Magaly Guevara Perez</t>
        </is>
      </c>
      <c r="BR431" t="n">
        <v>17</v>
      </c>
      <c r="BS431" t="inlineStr">
        <is>
          <t>08/06/2026 10:02</t>
        </is>
      </c>
      <c r="BW431" t="inlineStr">
        <is>
          <t>Cobranzas_2026.csv</t>
        </is>
      </c>
      <c r="BX431" t="n">
        <v>2026</v>
      </c>
      <c r="BY431" t="inlineStr">
        <is>
          <t>01/01/2024</t>
        </is>
      </c>
      <c r="BZ431" t="inlineStr">
        <is>
          <t>30/06/2031</t>
        </is>
      </c>
    </row>
    <row r="432">
      <c r="A432" t="inlineStr">
        <is>
          <t>RESIDENCIAL VENECIA</t>
        </is>
      </c>
      <c r="B432" t="inlineStr">
        <is>
          <t>Etapa 1</t>
        </is>
      </c>
      <c r="C432" t="inlineStr">
        <is>
          <t>Edificio</t>
        </is>
      </c>
      <c r="D432" t="inlineStr">
        <is>
          <t>A</t>
        </is>
      </c>
      <c r="E432" t="inlineStr">
        <is>
          <t>Estacionamiento</t>
        </is>
      </c>
      <c r="F432" t="inlineStr">
        <is>
          <t>E 10 - D 1</t>
        </is>
      </c>
      <c r="G432" s="39" t="n">
        <v>54000</v>
      </c>
      <c r="H432" s="39" t="n">
        <v>54000</v>
      </c>
      <c r="M432" s="39" t="n"/>
      <c r="N432" s="39" t="n"/>
      <c r="S432" s="39" t="n"/>
      <c r="T432" s="39" t="n"/>
      <c r="Y432" s="39" t="n"/>
      <c r="Z432" s="39" t="n"/>
      <c r="AA432" t="inlineStr">
        <is>
          <t>Jose Edgardo Cespedes Camacho</t>
        </is>
      </c>
      <c r="AB432" t="inlineStr">
        <is>
          <t>16631860</t>
        </is>
      </c>
      <c r="AC432" t="inlineStr">
        <is>
          <t>Jr. Huamachuco 1961Urb.Fundo Oyague</t>
        </is>
      </c>
      <c r="AD432" t="n">
        <v>0</v>
      </c>
      <c r="AE432" t="inlineStr">
        <is>
          <t>985758164</t>
        </is>
      </c>
      <c r="AF432" t="inlineStr">
        <is>
          <t>edgardocc1ro@gmail.com</t>
        </is>
      </c>
      <c r="AG432" t="inlineStr">
        <is>
          <t>LIMA</t>
        </is>
      </c>
      <c r="AH432" t="inlineStr">
        <is>
          <t>JESUS MARIA</t>
        </is>
      </c>
      <c r="AI432" s="75" t="n">
        <v>46079</v>
      </c>
      <c r="AJ432" s="75" t="n">
        <v>46079</v>
      </c>
      <c r="AK432" t="inlineStr">
        <is>
          <t>CUOTA INICIAL</t>
        </is>
      </c>
      <c r="AL432" t="n">
        <v>1</v>
      </c>
      <c r="AM432" t="n">
        <v>7000</v>
      </c>
      <c r="AN432" t="n">
        <v>0</v>
      </c>
      <c r="AO432" t="n">
        <v>0</v>
      </c>
      <c r="AP432" s="39" t="n">
        <v>7000</v>
      </c>
      <c r="AQ432" s="39" t="n">
        <v>7000</v>
      </c>
      <c r="AR432" s="39" t="n">
        <v>0</v>
      </c>
      <c r="AS432" t="n">
        <v>0</v>
      </c>
      <c r="AT432" t="inlineStr">
        <is>
          <t>Crédito Directo</t>
        </is>
      </c>
      <c r="AU432" t="inlineStr">
        <is>
          <t>Scotiabank Perú</t>
        </is>
      </c>
      <c r="AV432" t="inlineStr">
        <is>
          <t>0004071419</t>
        </is>
      </c>
      <c r="AW432" t="inlineStr">
        <is>
          <t>TRANSFERENCIA BANCARIA</t>
        </is>
      </c>
      <c r="AY432" t="inlineStr">
        <is>
          <t>784465558963</t>
        </is>
      </c>
      <c r="AZ432" t="inlineStr">
        <is>
          <t>No</t>
        </is>
      </c>
      <c r="BB432" t="n">
        <v>4</v>
      </c>
      <c r="BC432" t="inlineStr">
        <is>
          <t>CANCELADO</t>
        </is>
      </c>
      <c r="BN432" t="inlineStr">
        <is>
          <t>Si</t>
        </is>
      </c>
      <c r="BO432" s="76" t="n">
        <v>46079.41944444444</v>
      </c>
      <c r="BP432" t="inlineStr">
        <is>
          <t>Magaly Guevara Perez</t>
        </is>
      </c>
      <c r="BR432" t="n">
        <v>17</v>
      </c>
      <c r="BS432" t="inlineStr">
        <is>
          <t>02/07/2026 11:51</t>
        </is>
      </c>
      <c r="BW432" t="inlineStr">
        <is>
          <t>Cobranzas_2026.csv</t>
        </is>
      </c>
      <c r="BX432" t="n">
        <v>2026</v>
      </c>
      <c r="BY432" t="inlineStr">
        <is>
          <t>01/01/2024</t>
        </is>
      </c>
      <c r="BZ432" t="inlineStr">
        <is>
          <t>30/06/2031</t>
        </is>
      </c>
    </row>
    <row r="433">
      <c r="A433" t="inlineStr">
        <is>
          <t>RESIDENCIAL VENECIA</t>
        </is>
      </c>
      <c r="B433" t="inlineStr">
        <is>
          <t>Etapa 1</t>
        </is>
      </c>
      <c r="C433" t="inlineStr">
        <is>
          <t>Edificio</t>
        </is>
      </c>
      <c r="D433" t="inlineStr">
        <is>
          <t>A</t>
        </is>
      </c>
      <c r="E433" t="inlineStr">
        <is>
          <t>Estacionamiento</t>
        </is>
      </c>
      <c r="F433" t="inlineStr">
        <is>
          <t>E 10 - D 1</t>
        </is>
      </c>
      <c r="G433" s="39" t="n">
        <v>54000</v>
      </c>
      <c r="H433" s="39" t="n">
        <v>54000</v>
      </c>
      <c r="M433" s="39" t="n"/>
      <c r="N433" s="39" t="n"/>
      <c r="S433" s="39" t="n"/>
      <c r="T433" s="39" t="n"/>
      <c r="Y433" s="39" t="n"/>
      <c r="Z433" s="39" t="n"/>
      <c r="AA433" t="inlineStr">
        <is>
          <t>Jose Edgardo Cespedes Camacho</t>
        </is>
      </c>
      <c r="AB433" t="inlineStr">
        <is>
          <t>16631860</t>
        </is>
      </c>
      <c r="AC433" t="inlineStr">
        <is>
          <t>Jr. Huamachuco 1961Urb.Fundo Oyague</t>
        </is>
      </c>
      <c r="AD433" t="n">
        <v>0</v>
      </c>
      <c r="AE433" t="inlineStr">
        <is>
          <t>985758164</t>
        </is>
      </c>
      <c r="AF433" t="inlineStr">
        <is>
          <t>edgardocc1ro@gmail.com</t>
        </is>
      </c>
      <c r="AG433" t="inlineStr">
        <is>
          <t>LIMA</t>
        </is>
      </c>
      <c r="AH433" t="inlineStr">
        <is>
          <t>JESUS MARIA</t>
        </is>
      </c>
      <c r="AI433" s="75" t="n">
        <v>46203</v>
      </c>
      <c r="AJ433" s="75" t="n">
        <v>46197</v>
      </c>
      <c r="AK433" t="inlineStr">
        <is>
          <t>SALDO FINANCIAR</t>
        </is>
      </c>
      <c r="AL433" t="n">
        <v>1</v>
      </c>
      <c r="AM433" t="n">
        <v>3666.67</v>
      </c>
      <c r="AN433" t="n">
        <v>0</v>
      </c>
      <c r="AO433" t="n">
        <v>0</v>
      </c>
      <c r="AP433" s="39" t="n">
        <v>3666.67</v>
      </c>
      <c r="AQ433" s="39" t="n">
        <v>3666.67</v>
      </c>
      <c r="AR433" s="39" t="n">
        <v>0</v>
      </c>
      <c r="AS433" t="n">
        <v>0</v>
      </c>
      <c r="AT433" t="inlineStr">
        <is>
          <t>Crédito Directo</t>
        </is>
      </c>
      <c r="AU433" t="inlineStr">
        <is>
          <t>Scotiabank Perú</t>
        </is>
      </c>
      <c r="AV433" t="inlineStr">
        <is>
          <t>0004071419</t>
        </is>
      </c>
      <c r="AW433" t="inlineStr">
        <is>
          <t>TRANSFERENCIA BANCARIA</t>
        </is>
      </c>
      <c r="AY433" t="inlineStr">
        <is>
          <t>7844655521396</t>
        </is>
      </c>
      <c r="AZ433" t="inlineStr">
        <is>
          <t>No</t>
        </is>
      </c>
      <c r="BB433" t="n">
        <v>4</v>
      </c>
      <c r="BC433" t="inlineStr">
        <is>
          <t>CANCELADO</t>
        </is>
      </c>
      <c r="BN433" t="inlineStr">
        <is>
          <t>Si</t>
        </is>
      </c>
      <c r="BO433" s="76" t="n">
        <v>46079.41944444444</v>
      </c>
      <c r="BP433" t="inlineStr">
        <is>
          <t>Magaly Guevara Perez</t>
        </is>
      </c>
      <c r="BR433" t="n">
        <v>17</v>
      </c>
      <c r="BS433" t="inlineStr">
        <is>
          <t>02/07/2026 11:50</t>
        </is>
      </c>
      <c r="BW433" t="inlineStr">
        <is>
          <t>Cobranzas_2026.csv</t>
        </is>
      </c>
      <c r="BX433" t="n">
        <v>2026</v>
      </c>
      <c r="BY433" t="inlineStr">
        <is>
          <t>01/01/2024</t>
        </is>
      </c>
      <c r="BZ433" t="inlineStr">
        <is>
          <t>30/06/2031</t>
        </is>
      </c>
    </row>
    <row r="434">
      <c r="A434" t="inlineStr">
        <is>
          <t>RESIDENCIAL VENECIA</t>
        </is>
      </c>
      <c r="B434" t="inlineStr">
        <is>
          <t>Etapa 1</t>
        </is>
      </c>
      <c r="C434" t="inlineStr">
        <is>
          <t>Edificio</t>
        </is>
      </c>
      <c r="D434" t="inlineStr">
        <is>
          <t>A</t>
        </is>
      </c>
      <c r="E434" t="inlineStr">
        <is>
          <t>Estacionamiento</t>
        </is>
      </c>
      <c r="F434" t="inlineStr">
        <is>
          <t>E 10 - D 1</t>
        </is>
      </c>
      <c r="G434" s="39" t="n">
        <v>54000</v>
      </c>
      <c r="H434" s="39" t="n">
        <v>54000</v>
      </c>
      <c r="M434" s="39" t="n"/>
      <c r="N434" s="39" t="n"/>
      <c r="S434" s="39" t="n"/>
      <c r="T434" s="39" t="n"/>
      <c r="Y434" s="39" t="n"/>
      <c r="Z434" s="39" t="n"/>
      <c r="AA434" t="inlineStr">
        <is>
          <t>Jose Edgardo Cespedes Camacho</t>
        </is>
      </c>
      <c r="AB434" t="inlineStr">
        <is>
          <t>16631860</t>
        </is>
      </c>
      <c r="AC434" t="inlineStr">
        <is>
          <t>Jr. Huamachuco 1961Urb.Fundo Oyague</t>
        </is>
      </c>
      <c r="AD434" t="n">
        <v>0</v>
      </c>
      <c r="AE434" t="inlineStr">
        <is>
          <t>985758164</t>
        </is>
      </c>
      <c r="AF434" t="inlineStr">
        <is>
          <t>edgardocc1ro@gmail.com</t>
        </is>
      </c>
      <c r="AG434" t="inlineStr">
        <is>
          <t>LIMA</t>
        </is>
      </c>
      <c r="AH434" t="inlineStr">
        <is>
          <t>JESUS MARIA</t>
        </is>
      </c>
      <c r="AI434" s="75" t="n">
        <v>46233</v>
      </c>
      <c r="AJ434" s="75" t="n">
        <v>46197</v>
      </c>
      <c r="AK434" t="inlineStr">
        <is>
          <t>SALDO FINANCIAR</t>
        </is>
      </c>
      <c r="AL434" t="n">
        <v>2</v>
      </c>
      <c r="AM434" t="n">
        <v>3666.67</v>
      </c>
      <c r="AN434" t="n">
        <v>0</v>
      </c>
      <c r="AO434" t="n">
        <v>0</v>
      </c>
      <c r="AP434" s="39" t="n">
        <v>3666.67</v>
      </c>
      <c r="AQ434" s="39" t="n">
        <v>3666.67</v>
      </c>
      <c r="AR434" s="39" t="n">
        <v>0</v>
      </c>
      <c r="AS434" t="n">
        <v>0</v>
      </c>
      <c r="AT434" t="inlineStr">
        <is>
          <t>Crédito Directo</t>
        </is>
      </c>
      <c r="AU434" t="inlineStr">
        <is>
          <t>Scotiabank Perú</t>
        </is>
      </c>
      <c r="AV434" t="inlineStr">
        <is>
          <t>0004071419</t>
        </is>
      </c>
      <c r="AW434" t="inlineStr">
        <is>
          <t>TRANSFERENCIA BANCARIA</t>
        </is>
      </c>
      <c r="AY434" t="inlineStr">
        <is>
          <t>7844655521516</t>
        </is>
      </c>
      <c r="AZ434" t="inlineStr">
        <is>
          <t>No</t>
        </is>
      </c>
      <c r="BB434" t="n">
        <v>4</v>
      </c>
      <c r="BC434" t="inlineStr">
        <is>
          <t>CANCELADO</t>
        </is>
      </c>
      <c r="BN434" t="inlineStr">
        <is>
          <t>Si</t>
        </is>
      </c>
      <c r="BO434" s="76" t="n">
        <v>46079.41944444444</v>
      </c>
      <c r="BP434" t="inlineStr">
        <is>
          <t>Magaly Guevara Perez</t>
        </is>
      </c>
      <c r="BR434" t="n">
        <v>17</v>
      </c>
      <c r="BS434" t="inlineStr">
        <is>
          <t>02/07/2026 11:52</t>
        </is>
      </c>
      <c r="BW434" t="inlineStr">
        <is>
          <t>Cobranzas_2026.csv</t>
        </is>
      </c>
      <c r="BX434" t="n">
        <v>2026</v>
      </c>
      <c r="BY434" t="inlineStr">
        <is>
          <t>01/01/2024</t>
        </is>
      </c>
      <c r="BZ434" t="inlineStr">
        <is>
          <t>30/06/2031</t>
        </is>
      </c>
    </row>
    <row r="435">
      <c r="A435" t="inlineStr">
        <is>
          <t>RESIDENCIAL VENECIA</t>
        </is>
      </c>
      <c r="B435" t="inlineStr">
        <is>
          <t>Etapa 1</t>
        </is>
      </c>
      <c r="C435" t="inlineStr">
        <is>
          <t>Edificio</t>
        </is>
      </c>
      <c r="D435" t="inlineStr">
        <is>
          <t>A</t>
        </is>
      </c>
      <c r="E435" t="inlineStr">
        <is>
          <t>Estacionamiento</t>
        </is>
      </c>
      <c r="F435" t="inlineStr">
        <is>
          <t>E 10 - D 1</t>
        </is>
      </c>
      <c r="G435" s="39" t="n">
        <v>54000</v>
      </c>
      <c r="H435" s="39" t="n">
        <v>54000</v>
      </c>
      <c r="M435" s="39" t="n"/>
      <c r="N435" s="39" t="n"/>
      <c r="S435" s="39" t="n"/>
      <c r="T435" s="39" t="n"/>
      <c r="Y435" s="39" t="n"/>
      <c r="Z435" s="39" t="n"/>
      <c r="AA435" t="inlineStr">
        <is>
          <t>Jose Edgardo Cespedes Camacho</t>
        </is>
      </c>
      <c r="AB435" t="inlineStr">
        <is>
          <t>16631860</t>
        </is>
      </c>
      <c r="AC435" t="inlineStr">
        <is>
          <t>Jr. Huamachuco 1961Urb.Fundo Oyague</t>
        </is>
      </c>
      <c r="AD435" t="n">
        <v>0</v>
      </c>
      <c r="AE435" t="inlineStr">
        <is>
          <t>985758164</t>
        </is>
      </c>
      <c r="AF435" t="inlineStr">
        <is>
          <t>edgardocc1ro@gmail.com</t>
        </is>
      </c>
      <c r="AG435" t="inlineStr">
        <is>
          <t>LIMA</t>
        </is>
      </c>
      <c r="AH435" t="inlineStr">
        <is>
          <t>JESUS MARIA</t>
        </is>
      </c>
      <c r="AI435" s="75" t="n">
        <v>46264</v>
      </c>
      <c r="AJ435" s="75" t="n"/>
      <c r="AK435" t="inlineStr">
        <is>
          <t>SALDO FINANCIAR</t>
        </is>
      </c>
      <c r="AL435" t="n">
        <v>3</v>
      </c>
      <c r="AM435" t="n">
        <v>3666.67</v>
      </c>
      <c r="AN435" t="n">
        <v>0</v>
      </c>
      <c r="AO435" t="n">
        <v>0</v>
      </c>
      <c r="AP435" s="39" t="n">
        <v>3666.67</v>
      </c>
      <c r="AQ435" s="39" t="n">
        <v>0</v>
      </c>
      <c r="AR435" s="39" t="n">
        <v>3666.67</v>
      </c>
      <c r="AT435" t="inlineStr">
        <is>
          <t>Crédito Directo</t>
        </is>
      </c>
      <c r="AZ435" t="inlineStr">
        <is>
          <t>No</t>
        </is>
      </c>
      <c r="BC435" t="inlineStr">
        <is>
          <t>PENDIENTE</t>
        </is>
      </c>
      <c r="BN435" t="inlineStr">
        <is>
          <t>No</t>
        </is>
      </c>
      <c r="BO435" s="76" t="n">
        <v>46079.41944444444</v>
      </c>
      <c r="BP435" t="inlineStr">
        <is>
          <t>Magaly Guevara Perez</t>
        </is>
      </c>
      <c r="BR435" t="n">
        <v>17</v>
      </c>
      <c r="BW435" t="inlineStr">
        <is>
          <t>Cobranzas_2026.csv</t>
        </is>
      </c>
      <c r="BX435" t="n">
        <v>2026</v>
      </c>
      <c r="BY435" t="inlineStr">
        <is>
          <t>01/01/2024</t>
        </is>
      </c>
      <c r="BZ435" t="inlineStr">
        <is>
          <t>30/06/2031</t>
        </is>
      </c>
    </row>
    <row r="436">
      <c r="A436" t="inlineStr">
        <is>
          <t>RESIDENCIAL VENECIA</t>
        </is>
      </c>
      <c r="B436" t="inlineStr">
        <is>
          <t>Etapa 1</t>
        </is>
      </c>
      <c r="C436" t="inlineStr">
        <is>
          <t>Edificio</t>
        </is>
      </c>
      <c r="D436" t="inlineStr">
        <is>
          <t>A</t>
        </is>
      </c>
      <c r="E436" t="inlineStr">
        <is>
          <t>Estacionamiento</t>
        </is>
      </c>
      <c r="F436" t="inlineStr">
        <is>
          <t>E 10 - D 1</t>
        </is>
      </c>
      <c r="G436" s="39" t="n">
        <v>54000</v>
      </c>
      <c r="H436" s="39" t="n">
        <v>54000</v>
      </c>
      <c r="M436" s="39" t="n"/>
      <c r="N436" s="39" t="n"/>
      <c r="S436" s="39" t="n"/>
      <c r="T436" s="39" t="n"/>
      <c r="Y436" s="39" t="n"/>
      <c r="Z436" s="39" t="n"/>
      <c r="AA436" t="inlineStr">
        <is>
          <t>Jose Edgardo Cespedes Camacho</t>
        </is>
      </c>
      <c r="AB436" t="inlineStr">
        <is>
          <t>16631860</t>
        </is>
      </c>
      <c r="AC436" t="inlineStr">
        <is>
          <t>Jr. Huamachuco 1961Urb.Fundo Oyague</t>
        </is>
      </c>
      <c r="AD436" t="n">
        <v>0</v>
      </c>
      <c r="AE436" t="inlineStr">
        <is>
          <t>985758164</t>
        </is>
      </c>
      <c r="AF436" t="inlineStr">
        <is>
          <t>edgardocc1ro@gmail.com</t>
        </is>
      </c>
      <c r="AG436" t="inlineStr">
        <is>
          <t>LIMA</t>
        </is>
      </c>
      <c r="AH436" t="inlineStr">
        <is>
          <t>JESUS MARIA</t>
        </is>
      </c>
      <c r="AI436" s="75" t="n">
        <v>46295</v>
      </c>
      <c r="AJ436" s="75" t="n"/>
      <c r="AK436" t="inlineStr">
        <is>
          <t>SALDO FINANCIAR</t>
        </is>
      </c>
      <c r="AL436" t="n">
        <v>4</v>
      </c>
      <c r="AM436" t="n">
        <v>3666.67</v>
      </c>
      <c r="AN436" t="n">
        <v>0</v>
      </c>
      <c r="AO436" t="n">
        <v>0</v>
      </c>
      <c r="AP436" s="39" t="n">
        <v>3666.67</v>
      </c>
      <c r="AQ436" s="39" t="n">
        <v>0</v>
      </c>
      <c r="AR436" s="39" t="n">
        <v>3666.67</v>
      </c>
      <c r="AT436" t="inlineStr">
        <is>
          <t>Crédito Directo</t>
        </is>
      </c>
      <c r="AZ436" t="inlineStr">
        <is>
          <t>No</t>
        </is>
      </c>
      <c r="BC436" t="inlineStr">
        <is>
          <t>PENDIENTE</t>
        </is>
      </c>
      <c r="BN436" t="inlineStr">
        <is>
          <t>No</t>
        </is>
      </c>
      <c r="BO436" s="76" t="n">
        <v>46079.41944444444</v>
      </c>
      <c r="BP436" t="inlineStr">
        <is>
          <t>Magaly Guevara Perez</t>
        </is>
      </c>
      <c r="BR436" t="n">
        <v>17</v>
      </c>
      <c r="BW436" t="inlineStr">
        <is>
          <t>Cobranzas_2026.csv</t>
        </is>
      </c>
      <c r="BX436" t="n">
        <v>2026</v>
      </c>
      <c r="BY436" t="inlineStr">
        <is>
          <t>01/01/2024</t>
        </is>
      </c>
      <c r="BZ436" t="inlineStr">
        <is>
          <t>30/06/2031</t>
        </is>
      </c>
    </row>
    <row r="437">
      <c r="A437" t="inlineStr">
        <is>
          <t>RESIDENCIAL VENECIA</t>
        </is>
      </c>
      <c r="B437" t="inlineStr">
        <is>
          <t>Etapa 1</t>
        </is>
      </c>
      <c r="C437" t="inlineStr">
        <is>
          <t>Edificio</t>
        </is>
      </c>
      <c r="D437" t="inlineStr">
        <is>
          <t>A</t>
        </is>
      </c>
      <c r="E437" t="inlineStr">
        <is>
          <t>Estacionamiento</t>
        </is>
      </c>
      <c r="F437" t="inlineStr">
        <is>
          <t>E 10 - D 1</t>
        </is>
      </c>
      <c r="G437" s="39" t="n">
        <v>54000</v>
      </c>
      <c r="H437" s="39" t="n">
        <v>54000</v>
      </c>
      <c r="M437" s="39" t="n"/>
      <c r="N437" s="39" t="n"/>
      <c r="S437" s="39" t="n"/>
      <c r="T437" s="39" t="n"/>
      <c r="Y437" s="39" t="n"/>
      <c r="Z437" s="39" t="n"/>
      <c r="AA437" t="inlineStr">
        <is>
          <t>Jose Edgardo Cespedes Camacho</t>
        </is>
      </c>
      <c r="AB437" t="inlineStr">
        <is>
          <t>16631860</t>
        </is>
      </c>
      <c r="AC437" t="inlineStr">
        <is>
          <t>Jr. Huamachuco 1961Urb.Fundo Oyague</t>
        </is>
      </c>
      <c r="AD437" t="n">
        <v>0</v>
      </c>
      <c r="AE437" t="inlineStr">
        <is>
          <t>985758164</t>
        </is>
      </c>
      <c r="AF437" t="inlineStr">
        <is>
          <t>edgardocc1ro@gmail.com</t>
        </is>
      </c>
      <c r="AG437" t="inlineStr">
        <is>
          <t>LIMA</t>
        </is>
      </c>
      <c r="AH437" t="inlineStr">
        <is>
          <t>JESUS MARIA</t>
        </is>
      </c>
      <c r="AI437" s="75" t="n">
        <v>46325</v>
      </c>
      <c r="AJ437" s="75" t="n"/>
      <c r="AK437" t="inlineStr">
        <is>
          <t>SALDO FINANCIAR</t>
        </is>
      </c>
      <c r="AL437" t="n">
        <v>5</v>
      </c>
      <c r="AM437" t="n">
        <v>3666.67</v>
      </c>
      <c r="AN437" t="n">
        <v>0</v>
      </c>
      <c r="AO437" t="n">
        <v>0</v>
      </c>
      <c r="AP437" s="39" t="n">
        <v>3666.67</v>
      </c>
      <c r="AQ437" s="39" t="n">
        <v>0</v>
      </c>
      <c r="AR437" s="39" t="n">
        <v>3666.67</v>
      </c>
      <c r="AT437" t="inlineStr">
        <is>
          <t>Crédito Directo</t>
        </is>
      </c>
      <c r="AZ437" t="inlineStr">
        <is>
          <t>No</t>
        </is>
      </c>
      <c r="BC437" t="inlineStr">
        <is>
          <t>PENDIENTE</t>
        </is>
      </c>
      <c r="BN437" t="inlineStr">
        <is>
          <t>No</t>
        </is>
      </c>
      <c r="BO437" s="76" t="n">
        <v>46079.41944444444</v>
      </c>
      <c r="BP437" t="inlineStr">
        <is>
          <t>Magaly Guevara Perez</t>
        </is>
      </c>
      <c r="BR437" t="n">
        <v>17</v>
      </c>
      <c r="BW437" t="inlineStr">
        <is>
          <t>Cobranzas_2026.csv</t>
        </is>
      </c>
      <c r="BX437" t="n">
        <v>2026</v>
      </c>
      <c r="BY437" t="inlineStr">
        <is>
          <t>01/01/2024</t>
        </is>
      </c>
      <c r="BZ437" t="inlineStr">
        <is>
          <t>30/06/2031</t>
        </is>
      </c>
    </row>
    <row r="438">
      <c r="A438" t="inlineStr">
        <is>
          <t>RESIDENCIAL VENECIA</t>
        </is>
      </c>
      <c r="B438" t="inlineStr">
        <is>
          <t>Etapa 1</t>
        </is>
      </c>
      <c r="C438" t="inlineStr">
        <is>
          <t>Edificio</t>
        </is>
      </c>
      <c r="D438" t="inlineStr">
        <is>
          <t>A</t>
        </is>
      </c>
      <c r="E438" t="inlineStr">
        <is>
          <t>Estacionamiento</t>
        </is>
      </c>
      <c r="F438" t="inlineStr">
        <is>
          <t>E 10 - D 1</t>
        </is>
      </c>
      <c r="G438" s="39" t="n">
        <v>54000</v>
      </c>
      <c r="H438" s="39" t="n">
        <v>54000</v>
      </c>
      <c r="M438" s="39" t="n"/>
      <c r="N438" s="39" t="n"/>
      <c r="S438" s="39" t="n"/>
      <c r="T438" s="39" t="n"/>
      <c r="Y438" s="39" t="n"/>
      <c r="Z438" s="39" t="n"/>
      <c r="AA438" t="inlineStr">
        <is>
          <t>Jose Edgardo Cespedes Camacho</t>
        </is>
      </c>
      <c r="AB438" t="inlineStr">
        <is>
          <t>16631860</t>
        </is>
      </c>
      <c r="AC438" t="inlineStr">
        <is>
          <t>Jr. Huamachuco 1961Urb.Fundo Oyague</t>
        </is>
      </c>
      <c r="AD438" t="n">
        <v>0</v>
      </c>
      <c r="AE438" t="inlineStr">
        <is>
          <t>985758164</t>
        </is>
      </c>
      <c r="AF438" t="inlineStr">
        <is>
          <t>edgardocc1ro@gmail.com</t>
        </is>
      </c>
      <c r="AG438" t="inlineStr">
        <is>
          <t>LIMA</t>
        </is>
      </c>
      <c r="AH438" t="inlineStr">
        <is>
          <t>JESUS MARIA</t>
        </is>
      </c>
      <c r="AI438" s="75" t="n">
        <v>46356</v>
      </c>
      <c r="AJ438" s="75" t="n"/>
      <c r="AK438" t="inlineStr">
        <is>
          <t>SALDO FINANCIAR</t>
        </is>
      </c>
      <c r="AL438" t="n">
        <v>6</v>
      </c>
      <c r="AM438" t="n">
        <v>3666.67</v>
      </c>
      <c r="AN438" t="n">
        <v>0</v>
      </c>
      <c r="AO438" t="n">
        <v>0</v>
      </c>
      <c r="AP438" s="39" t="n">
        <v>3666.67</v>
      </c>
      <c r="AQ438" s="39" t="n">
        <v>0</v>
      </c>
      <c r="AR438" s="39" t="n">
        <v>3666.67</v>
      </c>
      <c r="AT438" t="inlineStr">
        <is>
          <t>Crédito Directo</t>
        </is>
      </c>
      <c r="AZ438" t="inlineStr">
        <is>
          <t>No</t>
        </is>
      </c>
      <c r="BC438" t="inlineStr">
        <is>
          <t>PENDIENTE</t>
        </is>
      </c>
      <c r="BN438" t="inlineStr">
        <is>
          <t>No</t>
        </is>
      </c>
      <c r="BO438" s="76" t="n">
        <v>46079.41944444444</v>
      </c>
      <c r="BP438" t="inlineStr">
        <is>
          <t>Magaly Guevara Perez</t>
        </is>
      </c>
      <c r="BR438" t="n">
        <v>17</v>
      </c>
      <c r="BW438" t="inlineStr">
        <is>
          <t>Cobranzas_2026.csv</t>
        </is>
      </c>
      <c r="BX438" t="n">
        <v>2026</v>
      </c>
      <c r="BY438" t="inlineStr">
        <is>
          <t>01/01/2024</t>
        </is>
      </c>
      <c r="BZ438" t="inlineStr">
        <is>
          <t>30/06/2031</t>
        </is>
      </c>
    </row>
    <row r="439">
      <c r="A439" t="inlineStr">
        <is>
          <t>RESIDENCIAL VENECIA</t>
        </is>
      </c>
      <c r="B439" t="inlineStr">
        <is>
          <t>Etapa 1</t>
        </is>
      </c>
      <c r="C439" t="inlineStr">
        <is>
          <t>Edificio</t>
        </is>
      </c>
      <c r="D439" t="inlineStr">
        <is>
          <t>A</t>
        </is>
      </c>
      <c r="E439" t="inlineStr">
        <is>
          <t>Estacionamiento</t>
        </is>
      </c>
      <c r="F439" t="inlineStr">
        <is>
          <t>E 10 - D 1</t>
        </is>
      </c>
      <c r="G439" s="39" t="n">
        <v>54000</v>
      </c>
      <c r="H439" s="39" t="n">
        <v>54000</v>
      </c>
      <c r="M439" s="39" t="n"/>
      <c r="N439" s="39" t="n"/>
      <c r="S439" s="39" t="n"/>
      <c r="T439" s="39" t="n"/>
      <c r="Y439" s="39" t="n"/>
      <c r="Z439" s="39" t="n"/>
      <c r="AA439" t="inlineStr">
        <is>
          <t>Jose Edgardo Cespedes Camacho</t>
        </is>
      </c>
      <c r="AB439" t="inlineStr">
        <is>
          <t>16631860</t>
        </is>
      </c>
      <c r="AC439" t="inlineStr">
        <is>
          <t>Jr. Huamachuco 1961Urb.Fundo Oyague</t>
        </is>
      </c>
      <c r="AD439" t="n">
        <v>0</v>
      </c>
      <c r="AE439" t="inlineStr">
        <is>
          <t>985758164</t>
        </is>
      </c>
      <c r="AF439" t="inlineStr">
        <is>
          <t>edgardocc1ro@gmail.com</t>
        </is>
      </c>
      <c r="AG439" t="inlineStr">
        <is>
          <t>LIMA</t>
        </is>
      </c>
      <c r="AH439" t="inlineStr">
        <is>
          <t>JESUS MARIA</t>
        </is>
      </c>
      <c r="AI439" s="75" t="n">
        <v>46386</v>
      </c>
      <c r="AJ439" s="75" t="n"/>
      <c r="AK439" t="inlineStr">
        <is>
          <t>SALDO FINANCIAR</t>
        </is>
      </c>
      <c r="AL439" t="n">
        <v>7</v>
      </c>
      <c r="AM439" t="n">
        <v>3666.67</v>
      </c>
      <c r="AN439" t="n">
        <v>0</v>
      </c>
      <c r="AO439" t="n">
        <v>0</v>
      </c>
      <c r="AP439" s="39" t="n">
        <v>3666.67</v>
      </c>
      <c r="AQ439" s="39" t="n">
        <v>0</v>
      </c>
      <c r="AR439" s="39" t="n">
        <v>3666.67</v>
      </c>
      <c r="AT439" t="inlineStr">
        <is>
          <t>Crédito Directo</t>
        </is>
      </c>
      <c r="AZ439" t="inlineStr">
        <is>
          <t>No</t>
        </is>
      </c>
      <c r="BC439" t="inlineStr">
        <is>
          <t>PENDIENTE</t>
        </is>
      </c>
      <c r="BN439" t="inlineStr">
        <is>
          <t>No</t>
        </is>
      </c>
      <c r="BO439" s="76" t="n">
        <v>46079.41944444444</v>
      </c>
      <c r="BP439" t="inlineStr">
        <is>
          <t>Magaly Guevara Perez</t>
        </is>
      </c>
      <c r="BR439" t="n">
        <v>17</v>
      </c>
      <c r="BW439" t="inlineStr">
        <is>
          <t>Cobranzas_2026.csv</t>
        </is>
      </c>
      <c r="BX439" t="n">
        <v>2026</v>
      </c>
      <c r="BY439" t="inlineStr">
        <is>
          <t>01/01/2024</t>
        </is>
      </c>
      <c r="BZ439" t="inlineStr">
        <is>
          <t>30/06/2031</t>
        </is>
      </c>
    </row>
    <row r="440">
      <c r="A440" t="inlineStr">
        <is>
          <t>RESIDENCIAL BEYOND</t>
        </is>
      </c>
      <c r="B440" t="inlineStr">
        <is>
          <t>Etapa 1</t>
        </is>
      </c>
      <c r="C440" t="inlineStr">
        <is>
          <t>Edificio</t>
        </is>
      </c>
      <c r="D440" t="inlineStr">
        <is>
          <t>A</t>
        </is>
      </c>
      <c r="E440" t="inlineStr">
        <is>
          <t>Departamento</t>
        </is>
      </c>
      <c r="F440" t="inlineStr">
        <is>
          <t>404</t>
        </is>
      </c>
      <c r="G440" s="39" t="n">
        <v>498000</v>
      </c>
      <c r="H440" s="39" t="n">
        <v>460000</v>
      </c>
      <c r="M440" s="39" t="n"/>
      <c r="N440" s="39" t="n"/>
      <c r="S440" s="39" t="n"/>
      <c r="T440" s="39" t="n"/>
      <c r="Y440" s="39" t="n"/>
      <c r="Z440" s="39" t="n"/>
      <c r="AA440" t="inlineStr">
        <is>
          <t>Juana Mercedes Moran Peralta</t>
        </is>
      </c>
      <c r="AB440" t="inlineStr">
        <is>
          <t>03495726</t>
        </is>
      </c>
      <c r="AC440" t="inlineStr">
        <is>
          <t>Jr. Ignacio Álvarez Thomas 1573 - Dpto. 302</t>
        </is>
      </c>
      <c r="AD440" t="n">
        <v>0</v>
      </c>
      <c r="AE440" t="inlineStr">
        <is>
          <t>978122557</t>
        </is>
      </c>
      <c r="AF440" t="inlineStr">
        <is>
          <t>Juanamoran2371@gmail.com</t>
        </is>
      </c>
      <c r="AG440" t="inlineStr">
        <is>
          <t>LIMA</t>
        </is>
      </c>
      <c r="AH440" t="inlineStr">
        <is>
          <t>CERCADO DE LIMA</t>
        </is>
      </c>
      <c r="AI440" s="75" t="n">
        <v>46250.6625</v>
      </c>
      <c r="AJ440" s="75" t="n"/>
      <c r="AK440" t="inlineStr">
        <is>
          <t>CUOTA INICIAL</t>
        </is>
      </c>
      <c r="AL440" t="n">
        <v>1</v>
      </c>
      <c r="AM440" t="n">
        <v>43000</v>
      </c>
      <c r="AN440" t="n">
        <v>0</v>
      </c>
      <c r="AO440" t="n">
        <v>0</v>
      </c>
      <c r="AP440" s="39" t="n">
        <v>43000</v>
      </c>
      <c r="AQ440" s="39" t="n">
        <v>0</v>
      </c>
      <c r="AR440" s="39" t="n">
        <v>43000</v>
      </c>
      <c r="AT440" t="inlineStr">
        <is>
          <t>Ahorro</t>
        </is>
      </c>
      <c r="AZ440" t="inlineStr">
        <is>
          <t>No</t>
        </is>
      </c>
      <c r="BC440" t="inlineStr">
        <is>
          <t>PENDIENTE</t>
        </is>
      </c>
      <c r="BN440" t="inlineStr">
        <is>
          <t>No</t>
        </is>
      </c>
      <c r="BO440" s="76" t="n">
        <v>46178.42777777778</v>
      </c>
      <c r="BP440" t="inlineStr">
        <is>
          <t>Magaly Guevara Perez</t>
        </is>
      </c>
      <c r="BR440" t="n">
        <v>29</v>
      </c>
      <c r="BW440" t="inlineStr">
        <is>
          <t>Cobranzas_2026.csv</t>
        </is>
      </c>
      <c r="BX440" t="n">
        <v>2026</v>
      </c>
      <c r="BY440" t="inlineStr">
        <is>
          <t>01/01/2024</t>
        </is>
      </c>
      <c r="BZ440" t="inlineStr">
        <is>
          <t>30/06/2031</t>
        </is>
      </c>
    </row>
    <row r="441">
      <c r="A441" t="inlineStr">
        <is>
          <t>RESIDENCIAL BEYOND</t>
        </is>
      </c>
      <c r="B441" t="inlineStr">
        <is>
          <t>Etapa 1</t>
        </is>
      </c>
      <c r="C441" t="inlineStr">
        <is>
          <t>Edificio</t>
        </is>
      </c>
      <c r="D441" t="inlineStr">
        <is>
          <t>A</t>
        </is>
      </c>
      <c r="E441" t="inlineStr">
        <is>
          <t>Departamento</t>
        </is>
      </c>
      <c r="F441" t="inlineStr">
        <is>
          <t>404</t>
        </is>
      </c>
      <c r="G441" s="39" t="n">
        <v>498000</v>
      </c>
      <c r="H441" s="39" t="n">
        <v>460000</v>
      </c>
      <c r="M441" s="39" t="n"/>
      <c r="N441" s="39" t="n"/>
      <c r="S441" s="39" t="n"/>
      <c r="T441" s="39" t="n"/>
      <c r="Y441" s="39" t="n"/>
      <c r="Z441" s="39" t="n"/>
      <c r="AA441" t="inlineStr">
        <is>
          <t>Juana Mercedes Moran Peralta</t>
        </is>
      </c>
      <c r="AB441" t="inlineStr">
        <is>
          <t>03495726</t>
        </is>
      </c>
      <c r="AC441" t="inlineStr">
        <is>
          <t>Jr. Ignacio Álvarez Thomas 1573 - Dpto. 302</t>
        </is>
      </c>
      <c r="AD441" t="n">
        <v>0</v>
      </c>
      <c r="AE441" t="inlineStr">
        <is>
          <t>978122557</t>
        </is>
      </c>
      <c r="AF441" t="inlineStr">
        <is>
          <t>Juanamoran2371@gmail.com</t>
        </is>
      </c>
      <c r="AG441" t="inlineStr">
        <is>
          <t>LIMA</t>
        </is>
      </c>
      <c r="AH441" t="inlineStr">
        <is>
          <t>CERCADO DE LIMA</t>
        </is>
      </c>
      <c r="AI441" s="75" t="n">
        <v>46281.6625</v>
      </c>
      <c r="AJ441" s="75" t="n"/>
      <c r="AK441" t="inlineStr">
        <is>
          <t>SALDO FINANCIAR</t>
        </is>
      </c>
      <c r="AL441" t="n">
        <v>1</v>
      </c>
      <c r="AM441" t="n">
        <v>414000</v>
      </c>
      <c r="AN441" t="n">
        <v>0</v>
      </c>
      <c r="AO441" t="n">
        <v>0</v>
      </c>
      <c r="AP441" s="39" t="n">
        <v>414000</v>
      </c>
      <c r="AQ441" s="39" t="n">
        <v>0</v>
      </c>
      <c r="AR441" s="39" t="n">
        <v>414000</v>
      </c>
      <c r="AT441" t="inlineStr">
        <is>
          <t>Ahorro</t>
        </is>
      </c>
      <c r="AZ441" t="inlineStr">
        <is>
          <t>No</t>
        </is>
      </c>
      <c r="BC441" t="inlineStr">
        <is>
          <t>PENDIENTE</t>
        </is>
      </c>
      <c r="BN441" t="inlineStr">
        <is>
          <t>No</t>
        </is>
      </c>
      <c r="BO441" s="76" t="n">
        <v>46178.42777777778</v>
      </c>
      <c r="BP441" t="inlineStr">
        <is>
          <t>Magaly Guevara Perez</t>
        </is>
      </c>
      <c r="BR441" t="n">
        <v>29</v>
      </c>
      <c r="BW441" t="inlineStr">
        <is>
          <t>Cobranzas_2026.csv</t>
        </is>
      </c>
      <c r="BX441" t="n">
        <v>2026</v>
      </c>
      <c r="BY441" t="inlineStr">
        <is>
          <t>01/01/2024</t>
        </is>
      </c>
      <c r="BZ441" t="inlineStr">
        <is>
          <t>30/06/2031</t>
        </is>
      </c>
    </row>
    <row r="442">
      <c r="A442" t="inlineStr">
        <is>
          <t>RESIDENCIAL PRADA</t>
        </is>
      </c>
      <c r="B442" t="inlineStr">
        <is>
          <t>Etapa 1</t>
        </is>
      </c>
      <c r="C442" t="inlineStr">
        <is>
          <t>Edificio</t>
        </is>
      </c>
      <c r="D442" t="inlineStr">
        <is>
          <t>A</t>
        </is>
      </c>
      <c r="E442" t="inlineStr">
        <is>
          <t>Departamento</t>
        </is>
      </c>
      <c r="F442" t="inlineStr">
        <is>
          <t>604</t>
        </is>
      </c>
      <c r="G442" s="39" t="n">
        <v>423000</v>
      </c>
      <c r="H442" s="39" t="n">
        <v>423000</v>
      </c>
      <c r="I442" t="inlineStr">
        <is>
          <t>Edificio</t>
        </is>
      </c>
      <c r="J442" t="inlineStr">
        <is>
          <t>A</t>
        </is>
      </c>
      <c r="K442" t="inlineStr">
        <is>
          <t>Estacionamiento</t>
        </is>
      </c>
      <c r="L442" t="inlineStr">
        <is>
          <t>E 51 - D 39</t>
        </is>
      </c>
      <c r="M442" s="39" t="n">
        <v>50000</v>
      </c>
      <c r="N442" s="39" t="n">
        <v>50000</v>
      </c>
      <c r="S442" s="39" t="n"/>
      <c r="T442" s="39" t="n"/>
      <c r="Y442" s="39" t="n"/>
      <c r="Z442" s="39" t="n"/>
      <c r="AA442" t="inlineStr">
        <is>
          <t>JUDITH MEDINA ALVAREZ</t>
        </is>
      </c>
      <c r="AB442" t="inlineStr">
        <is>
          <t>45149889</t>
        </is>
      </c>
      <c r="AC442" t="inlineStr">
        <is>
          <t>Calle Union 212 SubLt 2 Seccion 3 Dpto. 301</t>
        </is>
      </c>
      <c r="AE442" t="inlineStr">
        <is>
          <t>959555038</t>
        </is>
      </c>
      <c r="AF442" t="inlineStr">
        <is>
          <t>Judith_2588@hotmail.com</t>
        </is>
      </c>
      <c r="AG442" t="inlineStr">
        <is>
          <t>AREQUIPA</t>
        </is>
      </c>
      <c r="AH442" t="inlineStr">
        <is>
          <t>YANAHUARA</t>
        </is>
      </c>
      <c r="AI442" s="75" t="n">
        <v>46096</v>
      </c>
      <c r="AJ442" s="75" t="n">
        <v>46096</v>
      </c>
      <c r="AK442" t="inlineStr">
        <is>
          <t>SEPARACION</t>
        </is>
      </c>
      <c r="AL442" t="n">
        <v>1</v>
      </c>
      <c r="AM442" t="n">
        <v>3000</v>
      </c>
      <c r="AN442" t="n">
        <v>0</v>
      </c>
      <c r="AO442" t="n">
        <v>0</v>
      </c>
      <c r="AP442" s="39" t="n">
        <v>3000</v>
      </c>
      <c r="AQ442" s="39" t="n">
        <v>3000</v>
      </c>
      <c r="AR442" s="39" t="n">
        <v>0</v>
      </c>
      <c r="AS442" t="n">
        <v>0</v>
      </c>
      <c r="AT442" t="inlineStr">
        <is>
          <t>Crédito Hipotecario</t>
        </is>
      </c>
      <c r="AU442" t="inlineStr">
        <is>
          <t>Scotiabank Perú</t>
        </is>
      </c>
      <c r="AV442" t="inlineStr">
        <is>
          <t>000-2768484</t>
        </is>
      </c>
      <c r="AW442" t="inlineStr">
        <is>
          <t>TRANSFERENCIA BANCARIA</t>
        </is>
      </c>
      <c r="AX442" t="n">
        <v>45149889</v>
      </c>
      <c r="AY442" t="inlineStr">
        <is>
          <t>0000607419191558</t>
        </is>
      </c>
      <c r="AZ442" t="inlineStr">
        <is>
          <t>No</t>
        </is>
      </c>
      <c r="BA442" t="inlineStr">
        <is>
          <t>NO PRECISA</t>
        </is>
      </c>
      <c r="BB442" t="n">
        <v>4</v>
      </c>
      <c r="BC442" t="inlineStr">
        <is>
          <t>CANCELADO</t>
        </is>
      </c>
      <c r="BN442" t="inlineStr">
        <is>
          <t>Si</t>
        </is>
      </c>
      <c r="BO442" s="76" t="n">
        <v>46142.69583333333</v>
      </c>
      <c r="BP442" t="inlineStr">
        <is>
          <t>Carla Michue M</t>
        </is>
      </c>
      <c r="BR442" t="n">
        <v>22</v>
      </c>
      <c r="BS442" t="inlineStr">
        <is>
          <t>05/06/2026 09:50</t>
        </is>
      </c>
      <c r="BW442" t="inlineStr">
        <is>
          <t>Cobranzas_2026.csv</t>
        </is>
      </c>
      <c r="BX442" t="n">
        <v>2026</v>
      </c>
      <c r="BY442" t="inlineStr">
        <is>
          <t>01/01/2024</t>
        </is>
      </c>
      <c r="BZ442" t="inlineStr">
        <is>
          <t>30/06/2031</t>
        </is>
      </c>
    </row>
    <row r="443">
      <c r="A443" t="inlineStr">
        <is>
          <t>RESIDENCIAL PRADA</t>
        </is>
      </c>
      <c r="B443" t="inlineStr">
        <is>
          <t>Etapa 1</t>
        </is>
      </c>
      <c r="C443" t="inlineStr">
        <is>
          <t>Edificio</t>
        </is>
      </c>
      <c r="D443" t="inlineStr">
        <is>
          <t>A</t>
        </is>
      </c>
      <c r="E443" t="inlineStr">
        <is>
          <t>Departamento</t>
        </is>
      </c>
      <c r="F443" t="inlineStr">
        <is>
          <t>604</t>
        </is>
      </c>
      <c r="G443" s="39" t="n">
        <v>423000</v>
      </c>
      <c r="H443" s="39" t="n">
        <v>423000</v>
      </c>
      <c r="I443" t="inlineStr">
        <is>
          <t>Edificio</t>
        </is>
      </c>
      <c r="J443" t="inlineStr">
        <is>
          <t>A</t>
        </is>
      </c>
      <c r="K443" t="inlineStr">
        <is>
          <t>Estacionamiento</t>
        </is>
      </c>
      <c r="L443" t="inlineStr">
        <is>
          <t>E 51 - D 39</t>
        </is>
      </c>
      <c r="M443" s="39" t="n">
        <v>50000</v>
      </c>
      <c r="N443" s="39" t="n">
        <v>50000</v>
      </c>
      <c r="S443" s="39" t="n"/>
      <c r="T443" s="39" t="n"/>
      <c r="Y443" s="39" t="n"/>
      <c r="Z443" s="39" t="n"/>
      <c r="AA443" t="inlineStr">
        <is>
          <t>JUDITH MEDINA ALVAREZ</t>
        </is>
      </c>
      <c r="AB443" t="inlineStr">
        <is>
          <t>45149889</t>
        </is>
      </c>
      <c r="AC443" t="inlineStr">
        <is>
          <t>Calle Union 212 SubLt 2 Seccion 3 Dpto. 301</t>
        </is>
      </c>
      <c r="AE443" t="inlineStr">
        <is>
          <t>959555038</t>
        </is>
      </c>
      <c r="AF443" t="inlineStr">
        <is>
          <t>Judith_2588@hotmail.com</t>
        </is>
      </c>
      <c r="AG443" t="inlineStr">
        <is>
          <t>AREQUIPA</t>
        </is>
      </c>
      <c r="AH443" t="inlineStr">
        <is>
          <t>YANAHUARA</t>
        </is>
      </c>
      <c r="AI443" s="75" t="n">
        <v>46142</v>
      </c>
      <c r="AJ443" s="75" t="n">
        <v>46142</v>
      </c>
      <c r="AK443" t="inlineStr">
        <is>
          <t>CUOTA INICIAL</t>
        </is>
      </c>
      <c r="AL443" t="n">
        <v>2</v>
      </c>
      <c r="AM443" t="n">
        <v>44300</v>
      </c>
      <c r="AN443" t="n">
        <v>0</v>
      </c>
      <c r="AO443" t="n">
        <v>0</v>
      </c>
      <c r="AP443" s="39" t="n">
        <v>44300</v>
      </c>
      <c r="AQ443" s="39" t="n">
        <v>44300</v>
      </c>
      <c r="AR443" s="39" t="n">
        <v>0</v>
      </c>
      <c r="AS443" t="n">
        <v>0</v>
      </c>
      <c r="AT443" t="inlineStr">
        <is>
          <t>Crédito Hipotecario</t>
        </is>
      </c>
      <c r="AU443" t="inlineStr">
        <is>
          <t>Scotiabank Perú</t>
        </is>
      </c>
      <c r="AV443" t="inlineStr">
        <is>
          <t>000-2768484</t>
        </is>
      </c>
      <c r="AW443" t="inlineStr">
        <is>
          <t>TRANSFERENCIA BANCARIA</t>
        </is>
      </c>
      <c r="AY443" t="inlineStr">
        <is>
          <t>00063</t>
        </is>
      </c>
      <c r="AZ443" t="inlineStr">
        <is>
          <t>No</t>
        </is>
      </c>
      <c r="BB443" t="n">
        <v>4</v>
      </c>
      <c r="BC443" t="inlineStr">
        <is>
          <t>CANCELADO</t>
        </is>
      </c>
      <c r="BN443" t="inlineStr">
        <is>
          <t>Si</t>
        </is>
      </c>
      <c r="BO443" s="76" t="n">
        <v>46142.69583333333</v>
      </c>
      <c r="BP443" t="inlineStr">
        <is>
          <t>Carla Michue M</t>
        </is>
      </c>
      <c r="BR443" t="n">
        <v>22</v>
      </c>
      <c r="BS443" t="inlineStr">
        <is>
          <t>07/07/2026 11:24</t>
        </is>
      </c>
      <c r="BW443" t="inlineStr">
        <is>
          <t>Cobranzas_2026.csv</t>
        </is>
      </c>
      <c r="BX443" t="n">
        <v>2026</v>
      </c>
      <c r="BY443" t="inlineStr">
        <is>
          <t>01/01/2024</t>
        </is>
      </c>
      <c r="BZ443" t="inlineStr">
        <is>
          <t>30/06/2031</t>
        </is>
      </c>
    </row>
    <row r="444">
      <c r="A444" t="inlineStr">
        <is>
          <t>RESIDENCIAL PRADA</t>
        </is>
      </c>
      <c r="B444" t="inlineStr">
        <is>
          <t>Etapa 1</t>
        </is>
      </c>
      <c r="C444" t="inlineStr">
        <is>
          <t>Edificio</t>
        </is>
      </c>
      <c r="D444" t="inlineStr">
        <is>
          <t>A</t>
        </is>
      </c>
      <c r="E444" t="inlineStr">
        <is>
          <t>Departamento</t>
        </is>
      </c>
      <c r="F444" t="inlineStr">
        <is>
          <t>604</t>
        </is>
      </c>
      <c r="G444" s="39" t="n">
        <v>423000</v>
      </c>
      <c r="H444" s="39" t="n">
        <v>423000</v>
      </c>
      <c r="I444" t="inlineStr">
        <is>
          <t>Edificio</t>
        </is>
      </c>
      <c r="J444" t="inlineStr">
        <is>
          <t>A</t>
        </is>
      </c>
      <c r="K444" t="inlineStr">
        <is>
          <t>Estacionamiento</t>
        </is>
      </c>
      <c r="L444" t="inlineStr">
        <is>
          <t>E 51 - D 39</t>
        </is>
      </c>
      <c r="M444" s="39" t="n">
        <v>50000</v>
      </c>
      <c r="N444" s="39" t="n">
        <v>50000</v>
      </c>
      <c r="S444" s="39" t="n"/>
      <c r="T444" s="39" t="n"/>
      <c r="Y444" s="39" t="n"/>
      <c r="Z444" s="39" t="n"/>
      <c r="AA444" t="inlineStr">
        <is>
          <t>JUDITH MEDINA ALVAREZ</t>
        </is>
      </c>
      <c r="AB444" t="inlineStr">
        <is>
          <t>45149889</t>
        </is>
      </c>
      <c r="AC444" t="inlineStr">
        <is>
          <t>Calle Union 212 SubLt 2 Seccion 3 Dpto. 301</t>
        </is>
      </c>
      <c r="AE444" t="inlineStr">
        <is>
          <t>959555038</t>
        </is>
      </c>
      <c r="AF444" t="inlineStr">
        <is>
          <t>Judith_2588@hotmail.com</t>
        </is>
      </c>
      <c r="AG444" t="inlineStr">
        <is>
          <t>AREQUIPA</t>
        </is>
      </c>
      <c r="AH444" t="inlineStr">
        <is>
          <t>YANAHUARA</t>
        </is>
      </c>
      <c r="AI444" s="75" t="n">
        <v>46203</v>
      </c>
      <c r="AJ444" s="75" t="n">
        <v>46211</v>
      </c>
      <c r="AK444" t="inlineStr">
        <is>
          <t>SALDO FINANCIAR</t>
        </is>
      </c>
      <c r="AL444" t="n">
        <v>2</v>
      </c>
      <c r="AM444" t="n">
        <v>397000</v>
      </c>
      <c r="AN444" t="n">
        <v>0</v>
      </c>
      <c r="AO444" t="n">
        <v>0</v>
      </c>
      <c r="AP444" s="39" t="n">
        <v>397000</v>
      </c>
      <c r="AQ444" s="39" t="n">
        <v>0</v>
      </c>
      <c r="AR444" s="39" t="n">
        <v>397000</v>
      </c>
      <c r="AS444" t="n">
        <v>0</v>
      </c>
      <c r="AT444" t="inlineStr">
        <is>
          <t>Crédito Hipotecario</t>
        </is>
      </c>
      <c r="AU444" t="inlineStr">
        <is>
          <t>Scotiabank Perú</t>
        </is>
      </c>
      <c r="AV444" t="inlineStr">
        <is>
          <t>000-2768484</t>
        </is>
      </c>
      <c r="AW444" t="inlineStr">
        <is>
          <t>TRANSFERENCIA BANCARIA</t>
        </is>
      </c>
      <c r="AY444" t="inlineStr">
        <is>
          <t>0270800003</t>
        </is>
      </c>
      <c r="AZ444" t="inlineStr">
        <is>
          <t>No</t>
        </is>
      </c>
      <c r="BB444" t="n">
        <v>4</v>
      </c>
      <c r="BC444" t="inlineStr">
        <is>
          <t>VENCIDO</t>
        </is>
      </c>
      <c r="BN444" t="inlineStr">
        <is>
          <t>Si</t>
        </is>
      </c>
      <c r="BO444" s="76" t="n">
        <v>46142.69583333333</v>
      </c>
      <c r="BP444" t="inlineStr">
        <is>
          <t>Carla Michue M</t>
        </is>
      </c>
      <c r="BR444" t="n">
        <v>22</v>
      </c>
      <c r="BS444" t="inlineStr">
        <is>
          <t>09/07/2026 13:49</t>
        </is>
      </c>
      <c r="BW444" t="inlineStr">
        <is>
          <t>Cobranzas_2026.csv</t>
        </is>
      </c>
      <c r="BX444" t="n">
        <v>2026</v>
      </c>
      <c r="BY444" t="inlineStr">
        <is>
          <t>01/01/2024</t>
        </is>
      </c>
      <c r="BZ444" t="inlineStr">
        <is>
          <t>30/06/2031</t>
        </is>
      </c>
    </row>
    <row r="445">
      <c r="A445" t="inlineStr">
        <is>
          <t>RESIDENCIAL PRADA</t>
        </is>
      </c>
      <c r="B445" t="inlineStr">
        <is>
          <t>Etapa 1</t>
        </is>
      </c>
      <c r="C445" t="inlineStr">
        <is>
          <t>Edificio</t>
        </is>
      </c>
      <c r="D445" t="inlineStr">
        <is>
          <t>A</t>
        </is>
      </c>
      <c r="E445" t="inlineStr">
        <is>
          <t>Departamento</t>
        </is>
      </c>
      <c r="F445" t="inlineStr">
        <is>
          <t>604</t>
        </is>
      </c>
      <c r="G445" s="39" t="n">
        <v>423000</v>
      </c>
      <c r="H445" s="39" t="n">
        <v>423000</v>
      </c>
      <c r="I445" t="inlineStr">
        <is>
          <t>Edificio</t>
        </is>
      </c>
      <c r="J445" t="inlineStr">
        <is>
          <t>A</t>
        </is>
      </c>
      <c r="K445" t="inlineStr">
        <is>
          <t>Estacionamiento</t>
        </is>
      </c>
      <c r="L445" t="inlineStr">
        <is>
          <t>E 51 - D 39</t>
        </is>
      </c>
      <c r="M445" s="39" t="n">
        <v>50000</v>
      </c>
      <c r="N445" s="39" t="n">
        <v>50000</v>
      </c>
      <c r="S445" s="39" t="n"/>
      <c r="T445" s="39" t="n"/>
      <c r="Y445" s="39" t="n"/>
      <c r="Z445" s="39" t="n"/>
      <c r="AA445" t="inlineStr">
        <is>
          <t>JUDITH MEDINA ALVAREZ</t>
        </is>
      </c>
      <c r="AB445" t="inlineStr">
        <is>
          <t>45149889</t>
        </is>
      </c>
      <c r="AC445" t="inlineStr">
        <is>
          <t>Calle Union 212 SubLt 2 Seccion 3 Dpto. 301</t>
        </is>
      </c>
      <c r="AE445" t="inlineStr">
        <is>
          <t>959555038</t>
        </is>
      </c>
      <c r="AF445" t="inlineStr">
        <is>
          <t>Judith_2588@hotmail.com</t>
        </is>
      </c>
      <c r="AG445" t="inlineStr">
        <is>
          <t>AREQUIPA</t>
        </is>
      </c>
      <c r="AH445" t="inlineStr">
        <is>
          <t>YANAHUARA</t>
        </is>
      </c>
      <c r="AI445" s="75" t="n">
        <v>46142</v>
      </c>
      <c r="AJ445" s="75" t="n">
        <v>46142</v>
      </c>
      <c r="AK445" t="inlineStr">
        <is>
          <t>SALDO FINANCIAR</t>
        </is>
      </c>
      <c r="AL445" t="n">
        <v>3</v>
      </c>
      <c r="AM445" t="n">
        <v>28700</v>
      </c>
      <c r="AN445" t="n">
        <v>0</v>
      </c>
      <c r="AO445" t="n">
        <v>0</v>
      </c>
      <c r="AP445" s="39" t="n">
        <v>28700</v>
      </c>
      <c r="AQ445" s="39" t="n">
        <v>28700</v>
      </c>
      <c r="AR445" s="39" t="n">
        <v>0</v>
      </c>
      <c r="AS445" t="n">
        <v>0</v>
      </c>
      <c r="AT445" t="inlineStr">
        <is>
          <t>Crédito Hipotecario</t>
        </is>
      </c>
      <c r="AU445" t="inlineStr">
        <is>
          <t>Scotiabank Perú</t>
        </is>
      </c>
      <c r="AV445" t="inlineStr">
        <is>
          <t>000-2768484</t>
        </is>
      </c>
      <c r="AW445" t="inlineStr">
        <is>
          <t>TRANSFERENCIA BANCARIA</t>
        </is>
      </c>
      <c r="AY445" t="inlineStr">
        <is>
          <t>00063</t>
        </is>
      </c>
      <c r="AZ445" t="inlineStr">
        <is>
          <t>No</t>
        </is>
      </c>
      <c r="BB445" t="n">
        <v>4</v>
      </c>
      <c r="BC445" t="inlineStr">
        <is>
          <t>CANCELADO</t>
        </is>
      </c>
      <c r="BN445" t="inlineStr">
        <is>
          <t>Si</t>
        </is>
      </c>
      <c r="BO445" s="76" t="n">
        <v>46142.69583333333</v>
      </c>
      <c r="BP445" t="inlineStr">
        <is>
          <t>Carla Michue M</t>
        </is>
      </c>
      <c r="BR445" t="n">
        <v>22</v>
      </c>
      <c r="BS445" t="inlineStr">
        <is>
          <t>07/07/2026 11:24</t>
        </is>
      </c>
      <c r="BW445" t="inlineStr">
        <is>
          <t>Cobranzas_2026.csv</t>
        </is>
      </c>
      <c r="BX445" t="n">
        <v>2026</v>
      </c>
      <c r="BY445" t="inlineStr">
        <is>
          <t>01/01/2024</t>
        </is>
      </c>
      <c r="BZ445" t="inlineStr">
        <is>
          <t>30/06/2031</t>
        </is>
      </c>
    </row>
    <row r="446">
      <c r="A446" t="inlineStr">
        <is>
          <t>RESIDENCIAL BEYOND</t>
        </is>
      </c>
      <c r="B446" t="inlineStr">
        <is>
          <t>Etapa 1</t>
        </is>
      </c>
      <c r="C446" t="inlineStr">
        <is>
          <t>Edificio</t>
        </is>
      </c>
      <c r="D446" t="inlineStr">
        <is>
          <t>A</t>
        </is>
      </c>
      <c r="E446" t="inlineStr">
        <is>
          <t>Departamento</t>
        </is>
      </c>
      <c r="F446" t="inlineStr">
        <is>
          <t>305</t>
        </is>
      </c>
      <c r="G446" s="39" t="n">
        <v>532100</v>
      </c>
      <c r="H446" s="39" t="n">
        <v>495000</v>
      </c>
      <c r="M446" s="39" t="n"/>
      <c r="N446" s="39" t="n"/>
      <c r="S446" s="39" t="n"/>
      <c r="T446" s="39" t="n"/>
      <c r="Y446" s="39" t="n"/>
      <c r="Z446" s="39" t="n"/>
      <c r="AA446" t="inlineStr">
        <is>
          <t>Karla Ivette Necochea Lopezv</t>
        </is>
      </c>
      <c r="AB446" t="inlineStr">
        <is>
          <t>71128732</t>
        </is>
      </c>
      <c r="AC446" t="inlineStr">
        <is>
          <t>Av. Venezuela 1036 Dpto. 301</t>
        </is>
      </c>
      <c r="AD446" t="n">
        <v>0</v>
      </c>
      <c r="AE446" t="inlineStr">
        <is>
          <t>+19145079719</t>
        </is>
      </c>
      <c r="AF446" t="inlineStr">
        <is>
          <t>karlanecoche_lo@hotmail.com</t>
        </is>
      </c>
      <c r="AG446" t="inlineStr">
        <is>
          <t>LIMA</t>
        </is>
      </c>
      <c r="AH446" t="inlineStr">
        <is>
          <t>BREÑA</t>
        </is>
      </c>
      <c r="AI446" s="75" t="n">
        <v>46135</v>
      </c>
      <c r="AJ446" s="75" t="n">
        <v>46135</v>
      </c>
      <c r="AK446" t="inlineStr">
        <is>
          <t>SEPARACION</t>
        </is>
      </c>
      <c r="AL446" t="n">
        <v>1</v>
      </c>
      <c r="AM446" t="n">
        <v>3000</v>
      </c>
      <c r="AN446" t="n">
        <v>0</v>
      </c>
      <c r="AO446" t="n">
        <v>0</v>
      </c>
      <c r="AP446" s="39" t="n">
        <v>3000</v>
      </c>
      <c r="AQ446" s="39" t="n">
        <v>3000</v>
      </c>
      <c r="AR446" s="39" t="n">
        <v>0</v>
      </c>
      <c r="AS446" t="n">
        <v>0</v>
      </c>
      <c r="AT446" t="inlineStr">
        <is>
          <t>Ahorro</t>
        </is>
      </c>
      <c r="AU446" t="inlineStr">
        <is>
          <t>Banco de Credito del Perú</t>
        </is>
      </c>
      <c r="AV446" t="inlineStr">
        <is>
          <t>194-7325779-0-65</t>
        </is>
      </c>
      <c r="AW446" t="inlineStr">
        <is>
          <t>TRANSFERENCIA BANCARIA</t>
        </is>
      </c>
      <c r="AY446" t="inlineStr">
        <is>
          <t>04157602</t>
        </is>
      </c>
      <c r="AZ446" t="inlineStr">
        <is>
          <t>No</t>
        </is>
      </c>
      <c r="BB446" t="n">
        <v>4</v>
      </c>
      <c r="BC446" t="inlineStr">
        <is>
          <t>CANCELADO</t>
        </is>
      </c>
      <c r="BN446" t="inlineStr">
        <is>
          <t>No</t>
        </is>
      </c>
      <c r="BO446" s="76" t="n">
        <v>46172.36041666667</v>
      </c>
      <c r="BP446" t="inlineStr">
        <is>
          <t>Magaly Guevara Perez</t>
        </is>
      </c>
      <c r="BR446" t="n">
        <v>44</v>
      </c>
      <c r="BS446" t="inlineStr">
        <is>
          <t>01/05/2026 16:39</t>
        </is>
      </c>
      <c r="BW446" t="inlineStr">
        <is>
          <t>Cobranzas_2026.csv</t>
        </is>
      </c>
      <c r="BX446" t="n">
        <v>2026</v>
      </c>
      <c r="BY446" t="inlineStr">
        <is>
          <t>01/01/2024</t>
        </is>
      </c>
      <c r="BZ446" t="inlineStr">
        <is>
          <t>30/06/2031</t>
        </is>
      </c>
    </row>
    <row r="447">
      <c r="A447" t="inlineStr">
        <is>
          <t>RESIDENCIAL BEYOND</t>
        </is>
      </c>
      <c r="B447" t="inlineStr">
        <is>
          <t>Etapa 1</t>
        </is>
      </c>
      <c r="C447" t="inlineStr">
        <is>
          <t>Edificio</t>
        </is>
      </c>
      <c r="D447" t="inlineStr">
        <is>
          <t>A</t>
        </is>
      </c>
      <c r="E447" t="inlineStr">
        <is>
          <t>Departamento</t>
        </is>
      </c>
      <c r="F447" t="inlineStr">
        <is>
          <t>305</t>
        </is>
      </c>
      <c r="G447" s="39" t="n">
        <v>532100</v>
      </c>
      <c r="H447" s="39" t="n">
        <v>495000</v>
      </c>
      <c r="M447" s="39" t="n"/>
      <c r="N447" s="39" t="n"/>
      <c r="S447" s="39" t="n"/>
      <c r="T447" s="39" t="n"/>
      <c r="Y447" s="39" t="n"/>
      <c r="Z447" s="39" t="n"/>
      <c r="AA447" t="inlineStr">
        <is>
          <t>Karla Ivette Necochea Lopezv</t>
        </is>
      </c>
      <c r="AB447" t="inlineStr">
        <is>
          <t>71128732</t>
        </is>
      </c>
      <c r="AC447" t="inlineStr">
        <is>
          <t>Av. Venezuela 1036 Dpto. 301</t>
        </is>
      </c>
      <c r="AD447" t="n">
        <v>0</v>
      </c>
      <c r="AE447" t="inlineStr">
        <is>
          <t>+19145079719</t>
        </is>
      </c>
      <c r="AF447" t="inlineStr">
        <is>
          <t>karlanecoche_lo@hotmail.com</t>
        </is>
      </c>
      <c r="AG447" t="inlineStr">
        <is>
          <t>LIMA</t>
        </is>
      </c>
      <c r="AH447" t="inlineStr">
        <is>
          <t>BREÑA</t>
        </is>
      </c>
      <c r="AI447" s="75" t="n">
        <v>46172</v>
      </c>
      <c r="AJ447" s="75" t="n"/>
      <c r="AK447" t="inlineStr">
        <is>
          <t>CUOTA INICIAL</t>
        </is>
      </c>
      <c r="AL447" t="n">
        <v>1</v>
      </c>
      <c r="AM447" t="n">
        <v>45880</v>
      </c>
      <c r="AN447" t="n">
        <v>0</v>
      </c>
      <c r="AO447" t="n">
        <v>0</v>
      </c>
      <c r="AP447" s="39" t="n">
        <v>45880</v>
      </c>
      <c r="AQ447" s="39" t="n">
        <v>0</v>
      </c>
      <c r="AR447" s="39" t="n">
        <v>45880</v>
      </c>
      <c r="AT447" t="inlineStr">
        <is>
          <t>Ahorro</t>
        </is>
      </c>
      <c r="AZ447" t="inlineStr">
        <is>
          <t>No</t>
        </is>
      </c>
      <c r="BC447" t="inlineStr">
        <is>
          <t>VENCIDO</t>
        </is>
      </c>
      <c r="BN447" t="inlineStr">
        <is>
          <t>No</t>
        </is>
      </c>
      <c r="BO447" s="76" t="n">
        <v>46172.36041666667</v>
      </c>
      <c r="BP447" t="inlineStr">
        <is>
          <t>Magaly Guevara Perez</t>
        </is>
      </c>
      <c r="BR447" t="n">
        <v>44</v>
      </c>
      <c r="BW447" t="inlineStr">
        <is>
          <t>Cobranzas_2026.csv</t>
        </is>
      </c>
      <c r="BX447" t="n">
        <v>2026</v>
      </c>
      <c r="BY447" t="inlineStr">
        <is>
          <t>01/01/2024</t>
        </is>
      </c>
      <c r="BZ447" t="inlineStr">
        <is>
          <t>30/06/2031</t>
        </is>
      </c>
    </row>
    <row r="448">
      <c r="A448" t="inlineStr">
        <is>
          <t>RESIDENCIAL BEYOND</t>
        </is>
      </c>
      <c r="B448" t="inlineStr">
        <is>
          <t>Etapa 1</t>
        </is>
      </c>
      <c r="C448" t="inlineStr">
        <is>
          <t>Edificio</t>
        </is>
      </c>
      <c r="D448" t="inlineStr">
        <is>
          <t>A</t>
        </is>
      </c>
      <c r="E448" t="inlineStr">
        <is>
          <t>Departamento</t>
        </is>
      </c>
      <c r="F448" t="inlineStr">
        <is>
          <t>305</t>
        </is>
      </c>
      <c r="G448" s="39" t="n">
        <v>532100</v>
      </c>
      <c r="H448" s="39" t="n">
        <v>495000</v>
      </c>
      <c r="M448" s="39" t="n"/>
      <c r="N448" s="39" t="n"/>
      <c r="S448" s="39" t="n"/>
      <c r="T448" s="39" t="n"/>
      <c r="Y448" s="39" t="n"/>
      <c r="Z448" s="39" t="n"/>
      <c r="AA448" t="inlineStr">
        <is>
          <t>Karla Ivette Necochea Lopezv</t>
        </is>
      </c>
      <c r="AB448" t="inlineStr">
        <is>
          <t>71128732</t>
        </is>
      </c>
      <c r="AC448" t="inlineStr">
        <is>
          <t>Av. Venezuela 1036 Dpto. 301</t>
        </is>
      </c>
      <c r="AD448" t="n">
        <v>0</v>
      </c>
      <c r="AE448" t="inlineStr">
        <is>
          <t>+19145079719</t>
        </is>
      </c>
      <c r="AF448" t="inlineStr">
        <is>
          <t>karlanecoche_lo@hotmail.com</t>
        </is>
      </c>
      <c r="AG448" t="inlineStr">
        <is>
          <t>LIMA</t>
        </is>
      </c>
      <c r="AH448" t="inlineStr">
        <is>
          <t>BREÑA</t>
        </is>
      </c>
      <c r="AI448" s="75" t="n">
        <v>46325</v>
      </c>
      <c r="AJ448" s="75" t="n"/>
      <c r="AK448" t="inlineStr">
        <is>
          <t>CUOTA INICIAL</t>
        </is>
      </c>
      <c r="AL448" t="n">
        <v>2</v>
      </c>
      <c r="AM448" t="n">
        <v>48880</v>
      </c>
      <c r="AN448" t="n">
        <v>0</v>
      </c>
      <c r="AO448" t="n">
        <v>0</v>
      </c>
      <c r="AP448" s="39" t="n">
        <v>48880</v>
      </c>
      <c r="AQ448" s="39" t="n">
        <v>0</v>
      </c>
      <c r="AR448" s="39" t="n">
        <v>48880</v>
      </c>
      <c r="AT448" t="inlineStr">
        <is>
          <t>Ahorro</t>
        </is>
      </c>
      <c r="AZ448" t="inlineStr">
        <is>
          <t>No</t>
        </is>
      </c>
      <c r="BC448" t="inlineStr">
        <is>
          <t>PENDIENTE</t>
        </is>
      </c>
      <c r="BN448" t="inlineStr">
        <is>
          <t>No</t>
        </is>
      </c>
      <c r="BO448" s="76" t="n">
        <v>46172.36041666667</v>
      </c>
      <c r="BP448" t="inlineStr">
        <is>
          <t>Magaly Guevara Perez</t>
        </is>
      </c>
      <c r="BR448" t="n">
        <v>44</v>
      </c>
      <c r="BW448" t="inlineStr">
        <is>
          <t>Cobranzas_2026.csv</t>
        </is>
      </c>
      <c r="BX448" t="n">
        <v>2026</v>
      </c>
      <c r="BY448" t="inlineStr">
        <is>
          <t>01/01/2024</t>
        </is>
      </c>
      <c r="BZ448" t="inlineStr">
        <is>
          <t>30/06/2031</t>
        </is>
      </c>
    </row>
    <row r="449">
      <c r="A449" t="inlineStr">
        <is>
          <t>RESIDENCIAL BEYOND</t>
        </is>
      </c>
      <c r="B449" t="inlineStr">
        <is>
          <t>Etapa 1</t>
        </is>
      </c>
      <c r="C449" t="inlineStr">
        <is>
          <t>Edificio</t>
        </is>
      </c>
      <c r="D449" t="inlineStr">
        <is>
          <t>A</t>
        </is>
      </c>
      <c r="E449" t="inlineStr">
        <is>
          <t>Departamento</t>
        </is>
      </c>
      <c r="F449" t="inlineStr">
        <is>
          <t>305</t>
        </is>
      </c>
      <c r="G449" s="39" t="n">
        <v>532100</v>
      </c>
      <c r="H449" s="39" t="n">
        <v>495000</v>
      </c>
      <c r="M449" s="39" t="n"/>
      <c r="N449" s="39" t="n"/>
      <c r="S449" s="39" t="n"/>
      <c r="T449" s="39" t="n"/>
      <c r="Y449" s="39" t="n"/>
      <c r="Z449" s="39" t="n"/>
      <c r="AA449" t="inlineStr">
        <is>
          <t>Karla Ivette Necochea Lopezv</t>
        </is>
      </c>
      <c r="AB449" t="inlineStr">
        <is>
          <t>71128732</t>
        </is>
      </c>
      <c r="AC449" t="inlineStr">
        <is>
          <t>Av. Venezuela 1036 Dpto. 301</t>
        </is>
      </c>
      <c r="AD449" t="n">
        <v>0</v>
      </c>
      <c r="AE449" t="inlineStr">
        <is>
          <t>+19145079719</t>
        </is>
      </c>
      <c r="AF449" t="inlineStr">
        <is>
          <t>karlanecoche_lo@hotmail.com</t>
        </is>
      </c>
      <c r="AG449" t="inlineStr">
        <is>
          <t>LIMA</t>
        </is>
      </c>
      <c r="AH449" t="inlineStr">
        <is>
          <t>BREÑA</t>
        </is>
      </c>
      <c r="AI449" s="75" t="n">
        <v>46188</v>
      </c>
      <c r="AJ449" s="75" t="n"/>
      <c r="AK449" t="inlineStr">
        <is>
          <t>SALDO FINANCIAR</t>
        </is>
      </c>
      <c r="AL449" t="n">
        <v>1</v>
      </c>
      <c r="AM449" t="n">
        <v>198620</v>
      </c>
      <c r="AN449" t="n">
        <v>0</v>
      </c>
      <c r="AO449" t="n">
        <v>0</v>
      </c>
      <c r="AP449" s="39" t="n">
        <v>198620</v>
      </c>
      <c r="AQ449" s="39" t="n">
        <v>0</v>
      </c>
      <c r="AR449" s="39" t="n">
        <v>198620</v>
      </c>
      <c r="AT449" t="inlineStr">
        <is>
          <t>Ahorro</t>
        </is>
      </c>
      <c r="AZ449" t="inlineStr">
        <is>
          <t>No</t>
        </is>
      </c>
      <c r="BC449" t="inlineStr">
        <is>
          <t>VENCIDO</t>
        </is>
      </c>
      <c r="BN449" t="inlineStr">
        <is>
          <t>No</t>
        </is>
      </c>
      <c r="BO449" s="76" t="n">
        <v>46172.36041666667</v>
      </c>
      <c r="BP449" t="inlineStr">
        <is>
          <t>Magaly Guevara Perez</t>
        </is>
      </c>
      <c r="BR449" t="n">
        <v>44</v>
      </c>
      <c r="BW449" t="inlineStr">
        <is>
          <t>Cobranzas_2026.csv</t>
        </is>
      </c>
      <c r="BX449" t="n">
        <v>2026</v>
      </c>
      <c r="BY449" t="inlineStr">
        <is>
          <t>01/01/2024</t>
        </is>
      </c>
      <c r="BZ449" t="inlineStr">
        <is>
          <t>30/06/2031</t>
        </is>
      </c>
    </row>
    <row r="450">
      <c r="A450" t="inlineStr">
        <is>
          <t>RESIDENCIAL BEYOND</t>
        </is>
      </c>
      <c r="B450" t="inlineStr">
        <is>
          <t>Etapa 1</t>
        </is>
      </c>
      <c r="C450" t="inlineStr">
        <is>
          <t>Edificio</t>
        </is>
      </c>
      <c r="D450" t="inlineStr">
        <is>
          <t>A</t>
        </is>
      </c>
      <c r="E450" t="inlineStr">
        <is>
          <t>Departamento</t>
        </is>
      </c>
      <c r="F450" t="inlineStr">
        <is>
          <t>305</t>
        </is>
      </c>
      <c r="G450" s="39" t="n">
        <v>532100</v>
      </c>
      <c r="H450" s="39" t="n">
        <v>495000</v>
      </c>
      <c r="M450" s="39" t="n"/>
      <c r="N450" s="39" t="n"/>
      <c r="S450" s="39" t="n"/>
      <c r="T450" s="39" t="n"/>
      <c r="Y450" s="39" t="n"/>
      <c r="Z450" s="39" t="n"/>
      <c r="AA450" t="inlineStr">
        <is>
          <t>Karla Ivette Necochea Lopezv</t>
        </is>
      </c>
      <c r="AB450" t="inlineStr">
        <is>
          <t>71128732</t>
        </is>
      </c>
      <c r="AC450" t="inlineStr">
        <is>
          <t>Av. Venezuela 1036 Dpto. 301</t>
        </is>
      </c>
      <c r="AD450" t="n">
        <v>0</v>
      </c>
      <c r="AE450" t="inlineStr">
        <is>
          <t>+19145079719</t>
        </is>
      </c>
      <c r="AF450" t="inlineStr">
        <is>
          <t>karlanecoche_lo@hotmail.com</t>
        </is>
      </c>
      <c r="AG450" t="inlineStr">
        <is>
          <t>LIMA</t>
        </is>
      </c>
      <c r="AH450" t="inlineStr">
        <is>
          <t>BREÑA</t>
        </is>
      </c>
      <c r="AI450" s="75" t="n">
        <v>46386</v>
      </c>
      <c r="AJ450" s="75" t="n"/>
      <c r="AK450" t="inlineStr">
        <is>
          <t>SALDO FINANCIAR</t>
        </is>
      </c>
      <c r="AL450" t="n">
        <v>2</v>
      </c>
      <c r="AM450" t="n">
        <v>198620</v>
      </c>
      <c r="AN450" t="n">
        <v>0</v>
      </c>
      <c r="AO450" t="n">
        <v>0</v>
      </c>
      <c r="AP450" s="39" t="n">
        <v>198620</v>
      </c>
      <c r="AQ450" s="39" t="n">
        <v>0</v>
      </c>
      <c r="AR450" s="39" t="n">
        <v>198620</v>
      </c>
      <c r="AT450" t="inlineStr">
        <is>
          <t>Ahorro</t>
        </is>
      </c>
      <c r="AZ450" t="inlineStr">
        <is>
          <t>No</t>
        </is>
      </c>
      <c r="BC450" t="inlineStr">
        <is>
          <t>PENDIENTE</t>
        </is>
      </c>
      <c r="BN450" t="inlineStr">
        <is>
          <t>No</t>
        </is>
      </c>
      <c r="BO450" s="76" t="n">
        <v>46172.36041666667</v>
      </c>
      <c r="BP450" t="inlineStr">
        <is>
          <t>Magaly Guevara Perez</t>
        </is>
      </c>
      <c r="BR450" t="n">
        <v>44</v>
      </c>
      <c r="BW450" t="inlineStr">
        <is>
          <t>Cobranzas_2026.csv</t>
        </is>
      </c>
      <c r="BX450" t="n">
        <v>2026</v>
      </c>
      <c r="BY450" t="inlineStr">
        <is>
          <t>01/01/2024</t>
        </is>
      </c>
      <c r="BZ450" t="inlineStr">
        <is>
          <t>30/06/2031</t>
        </is>
      </c>
    </row>
    <row r="451">
      <c r="A451" t="inlineStr">
        <is>
          <t>RESIDENCIAL BEYOND</t>
        </is>
      </c>
      <c r="B451" t="inlineStr">
        <is>
          <t>Etapa 1</t>
        </is>
      </c>
      <c r="C451" t="inlineStr">
        <is>
          <t>Edificio</t>
        </is>
      </c>
      <c r="D451" t="inlineStr">
        <is>
          <t>A</t>
        </is>
      </c>
      <c r="E451" t="inlineStr">
        <is>
          <t>Departamento</t>
        </is>
      </c>
      <c r="F451" t="inlineStr">
        <is>
          <t>303</t>
        </is>
      </c>
      <c r="G451" s="39" t="n">
        <v>504700</v>
      </c>
      <c r="H451" s="39" t="n">
        <v>458000</v>
      </c>
      <c r="M451" s="39" t="n"/>
      <c r="N451" s="39" t="n"/>
      <c r="S451" s="39" t="n"/>
      <c r="T451" s="39" t="n"/>
      <c r="Y451" s="39" t="n"/>
      <c r="Z451" s="39" t="n"/>
      <c r="AA451" t="inlineStr">
        <is>
          <t>Leidy Lucero Espíritu Zabarburu</t>
        </is>
      </c>
      <c r="AB451" t="inlineStr">
        <is>
          <t>76936857</t>
        </is>
      </c>
      <c r="AC451" t="inlineStr">
        <is>
          <t>Av. José Arnaldo Márquez Nº 1655 – Dpto.403</t>
        </is>
      </c>
      <c r="AD451" t="n">
        <v>0</v>
      </c>
      <c r="AE451" t="inlineStr">
        <is>
          <t>966435253</t>
        </is>
      </c>
      <c r="AF451" t="inlineStr">
        <is>
          <t>lespiritu@zgroup.com.pe</t>
        </is>
      </c>
      <c r="AG451" t="inlineStr">
        <is>
          <t>LIMA</t>
        </is>
      </c>
      <c r="AH451" t="inlineStr">
        <is>
          <t>JESUS MARIA</t>
        </is>
      </c>
      <c r="AI451" s="75" t="n">
        <v>46057</v>
      </c>
      <c r="AJ451" s="75" t="n"/>
      <c r="AK451" t="inlineStr">
        <is>
          <t>CUOTA INICIAL</t>
        </is>
      </c>
      <c r="AL451" t="n">
        <v>1</v>
      </c>
      <c r="AM451" t="n">
        <v>19900</v>
      </c>
      <c r="AN451" t="n">
        <v>0</v>
      </c>
      <c r="AO451" t="n">
        <v>0</v>
      </c>
      <c r="AP451" s="39" t="n">
        <v>19900</v>
      </c>
      <c r="AQ451" s="39" t="n">
        <v>0</v>
      </c>
      <c r="AR451" s="39" t="n">
        <v>19900</v>
      </c>
      <c r="AT451" t="inlineStr">
        <is>
          <t>Ahorro</t>
        </is>
      </c>
      <c r="AZ451" t="inlineStr">
        <is>
          <t>No</t>
        </is>
      </c>
      <c r="BC451" t="inlineStr">
        <is>
          <t>VENCIDO</t>
        </is>
      </c>
      <c r="BN451" t="inlineStr">
        <is>
          <t>No</t>
        </is>
      </c>
      <c r="BO451" s="76" t="n">
        <v>46057.42013888889</v>
      </c>
      <c r="BP451" t="inlineStr">
        <is>
          <t>Magaly Guevara Perez</t>
        </is>
      </c>
      <c r="BR451" t="n">
        <v>25</v>
      </c>
      <c r="BW451" t="inlineStr">
        <is>
          <t>Cobranzas_2026.csv</t>
        </is>
      </c>
      <c r="BX451" t="n">
        <v>2026</v>
      </c>
      <c r="BY451" t="inlineStr">
        <is>
          <t>01/01/2024</t>
        </is>
      </c>
      <c r="BZ451" t="inlineStr">
        <is>
          <t>30/06/2031</t>
        </is>
      </c>
    </row>
    <row r="452">
      <c r="A452" t="inlineStr">
        <is>
          <t>RESIDENCIAL BEYOND</t>
        </is>
      </c>
      <c r="B452" t="inlineStr">
        <is>
          <t>Etapa 1</t>
        </is>
      </c>
      <c r="C452" t="inlineStr">
        <is>
          <t>Edificio</t>
        </is>
      </c>
      <c r="D452" t="inlineStr">
        <is>
          <t>A</t>
        </is>
      </c>
      <c r="E452" t="inlineStr">
        <is>
          <t>Departamento</t>
        </is>
      </c>
      <c r="F452" t="inlineStr">
        <is>
          <t>303</t>
        </is>
      </c>
      <c r="G452" s="39" t="n">
        <v>504700</v>
      </c>
      <c r="H452" s="39" t="n">
        <v>458000</v>
      </c>
      <c r="M452" s="39" t="n"/>
      <c r="N452" s="39" t="n"/>
      <c r="S452" s="39" t="n"/>
      <c r="T452" s="39" t="n"/>
      <c r="Y452" s="39" t="n"/>
      <c r="Z452" s="39" t="n"/>
      <c r="AA452" t="inlineStr">
        <is>
          <t>Leidy Lucero Espíritu Zabarburu</t>
        </is>
      </c>
      <c r="AB452" t="inlineStr">
        <is>
          <t>76936857</t>
        </is>
      </c>
      <c r="AC452" t="inlineStr">
        <is>
          <t>Av. José Arnaldo Márquez Nº 1655 – Dpto.403</t>
        </is>
      </c>
      <c r="AD452" t="n">
        <v>0</v>
      </c>
      <c r="AE452" t="inlineStr">
        <is>
          <t>966435253</t>
        </is>
      </c>
      <c r="AF452" t="inlineStr">
        <is>
          <t>lespiritu@zgroup.com.pe</t>
        </is>
      </c>
      <c r="AG452" t="inlineStr">
        <is>
          <t>LIMA</t>
        </is>
      </c>
      <c r="AH452" t="inlineStr">
        <is>
          <t>JESUS MARIA</t>
        </is>
      </c>
      <c r="AI452" s="75" t="n">
        <v>46189</v>
      </c>
      <c r="AJ452" s="75" t="n"/>
      <c r="AK452" t="inlineStr">
        <is>
          <t>CUOTA INICIAL</t>
        </is>
      </c>
      <c r="AL452" t="n">
        <v>2</v>
      </c>
      <c r="AM452" t="n">
        <v>45800</v>
      </c>
      <c r="AN452" t="n">
        <v>0</v>
      </c>
      <c r="AO452" t="n">
        <v>0</v>
      </c>
      <c r="AP452" s="39" t="n">
        <v>45800</v>
      </c>
      <c r="AQ452" s="39" t="n">
        <v>0</v>
      </c>
      <c r="AR452" s="39" t="n">
        <v>45800</v>
      </c>
      <c r="AT452" t="inlineStr">
        <is>
          <t>Ahorro</t>
        </is>
      </c>
      <c r="AZ452" t="inlineStr">
        <is>
          <t>No</t>
        </is>
      </c>
      <c r="BC452" t="inlineStr">
        <is>
          <t>VENCIDO</t>
        </is>
      </c>
      <c r="BN452" t="inlineStr">
        <is>
          <t>No</t>
        </is>
      </c>
      <c r="BO452" s="76" t="n">
        <v>46057.42013888889</v>
      </c>
      <c r="BP452" t="inlineStr">
        <is>
          <t>Magaly Guevara Perez</t>
        </is>
      </c>
      <c r="BR452" t="n">
        <v>25</v>
      </c>
      <c r="BW452" t="inlineStr">
        <is>
          <t>Cobranzas_2026.csv</t>
        </is>
      </c>
      <c r="BX452" t="n">
        <v>2026</v>
      </c>
      <c r="BY452" t="inlineStr">
        <is>
          <t>01/01/2024</t>
        </is>
      </c>
      <c r="BZ452" t="inlineStr">
        <is>
          <t>30/06/2031</t>
        </is>
      </c>
    </row>
    <row r="453">
      <c r="A453" t="inlineStr">
        <is>
          <t>RESIDENCIAL BEYOND</t>
        </is>
      </c>
      <c r="B453" t="inlineStr">
        <is>
          <t>Etapa 1</t>
        </is>
      </c>
      <c r="C453" t="inlineStr">
        <is>
          <t>Edificio</t>
        </is>
      </c>
      <c r="D453" t="inlineStr">
        <is>
          <t>A</t>
        </is>
      </c>
      <c r="E453" t="inlineStr">
        <is>
          <t>Departamento</t>
        </is>
      </c>
      <c r="F453" t="inlineStr">
        <is>
          <t>303</t>
        </is>
      </c>
      <c r="G453" s="39" t="n">
        <v>504700</v>
      </c>
      <c r="H453" s="39" t="n">
        <v>458000</v>
      </c>
      <c r="M453" s="39" t="n"/>
      <c r="N453" s="39" t="n"/>
      <c r="S453" s="39" t="n"/>
      <c r="T453" s="39" t="n"/>
      <c r="Y453" s="39" t="n"/>
      <c r="Z453" s="39" t="n"/>
      <c r="AA453" t="inlineStr">
        <is>
          <t>Leidy Lucero Espíritu Zabarburu</t>
        </is>
      </c>
      <c r="AB453" t="inlineStr">
        <is>
          <t>76936857</t>
        </is>
      </c>
      <c r="AC453" t="inlineStr">
        <is>
          <t>Av. José Arnaldo Márquez Nº 1655 – Dpto.403</t>
        </is>
      </c>
      <c r="AD453" t="n">
        <v>0</v>
      </c>
      <c r="AE453" t="inlineStr">
        <is>
          <t>966435253</t>
        </is>
      </c>
      <c r="AF453" t="inlineStr">
        <is>
          <t>lespiritu@zgroup.com.pe</t>
        </is>
      </c>
      <c r="AG453" t="inlineStr">
        <is>
          <t>LIMA</t>
        </is>
      </c>
      <c r="AH453" t="inlineStr">
        <is>
          <t>JESUS MARIA</t>
        </is>
      </c>
      <c r="AI453" s="75" t="n">
        <v>46234</v>
      </c>
      <c r="AJ453" s="75" t="n"/>
      <c r="AK453" t="inlineStr">
        <is>
          <t>SALDO FINANCIAR</t>
        </is>
      </c>
      <c r="AL453" t="n">
        <v>1</v>
      </c>
      <c r="AM453" t="n">
        <v>389300</v>
      </c>
      <c r="AN453" t="n">
        <v>0</v>
      </c>
      <c r="AO453" t="n">
        <v>0</v>
      </c>
      <c r="AP453" s="39" t="n">
        <v>389300</v>
      </c>
      <c r="AQ453" s="39" t="n">
        <v>0</v>
      </c>
      <c r="AR453" s="39" t="n">
        <v>389300</v>
      </c>
      <c r="AT453" t="inlineStr">
        <is>
          <t>Ahorro</t>
        </is>
      </c>
      <c r="AZ453" t="inlineStr">
        <is>
          <t>No</t>
        </is>
      </c>
      <c r="BC453" t="inlineStr">
        <is>
          <t>PENDIENTE</t>
        </is>
      </c>
      <c r="BN453" t="inlineStr">
        <is>
          <t>No</t>
        </is>
      </c>
      <c r="BO453" s="76" t="n">
        <v>46057.42013888889</v>
      </c>
      <c r="BP453" t="inlineStr">
        <is>
          <t>Magaly Guevara Perez</t>
        </is>
      </c>
      <c r="BR453" t="n">
        <v>25</v>
      </c>
      <c r="BW453" t="inlineStr">
        <is>
          <t>Cobranzas_2026.csv</t>
        </is>
      </c>
      <c r="BX453" t="n">
        <v>2026</v>
      </c>
      <c r="BY453" t="inlineStr">
        <is>
          <t>01/01/2024</t>
        </is>
      </c>
      <c r="BZ453" t="inlineStr">
        <is>
          <t>30/06/2031</t>
        </is>
      </c>
    </row>
    <row r="454">
      <c r="A454" t="inlineStr">
        <is>
          <t>RESIDENCIAL VENECIA</t>
        </is>
      </c>
      <c r="B454" t="inlineStr">
        <is>
          <t>Etapa 1</t>
        </is>
      </c>
      <c r="C454" t="inlineStr">
        <is>
          <t>Edificio</t>
        </is>
      </c>
      <c r="D454" t="inlineStr">
        <is>
          <t>A</t>
        </is>
      </c>
      <c r="E454" t="inlineStr">
        <is>
          <t>Departamento</t>
        </is>
      </c>
      <c r="F454" t="inlineStr">
        <is>
          <t>301</t>
        </is>
      </c>
      <c r="G454" s="39" t="n">
        <v>534000</v>
      </c>
      <c r="H454" s="39" t="n">
        <v>534000</v>
      </c>
      <c r="I454" t="inlineStr">
        <is>
          <t>Edificio</t>
        </is>
      </c>
      <c r="J454" t="inlineStr">
        <is>
          <t>A</t>
        </is>
      </c>
      <c r="K454" t="inlineStr">
        <is>
          <t>Estacionamiento</t>
        </is>
      </c>
      <c r="L454" t="inlineStr">
        <is>
          <t>E 17</t>
        </is>
      </c>
      <c r="M454" s="39" t="n">
        <v>43000</v>
      </c>
      <c r="N454" s="39" t="n">
        <v>43000</v>
      </c>
      <c r="S454" s="39" t="n"/>
      <c r="T454" s="39" t="n"/>
      <c r="Y454" s="39" t="n"/>
      <c r="Z454" s="39" t="n"/>
      <c r="AA454" t="inlineStr">
        <is>
          <t>Leidy Pilar Espinoza Mariño</t>
        </is>
      </c>
      <c r="AB454" t="inlineStr">
        <is>
          <t>46546054</t>
        </is>
      </c>
      <c r="AC454" t="inlineStr">
        <is>
          <t>LAS AZUCENAS LT-34 MZ-F- HUMAYA</t>
        </is>
      </c>
      <c r="AD454" t="n">
        <v>0</v>
      </c>
      <c r="AE454" t="inlineStr">
        <is>
          <t>945411554</t>
        </is>
      </c>
      <c r="AF454" t="inlineStr">
        <is>
          <t>leidyespinoza30@gmail.com</t>
        </is>
      </c>
      <c r="AG454" t="inlineStr">
        <is>
          <t>HUAURA</t>
        </is>
      </c>
      <c r="AH454" t="inlineStr">
        <is>
          <t>HUAURA</t>
        </is>
      </c>
      <c r="AI454" s="75" t="n">
        <v>46053</v>
      </c>
      <c r="AJ454" s="75" t="n">
        <v>46105</v>
      </c>
      <c r="AK454" t="inlineStr">
        <is>
          <t>AHORRO CASA</t>
        </is>
      </c>
      <c r="AL454" t="n">
        <v>2</v>
      </c>
      <c r="AM454" t="n">
        <v>28850</v>
      </c>
      <c r="AN454" t="n">
        <v>0</v>
      </c>
      <c r="AO454" t="n">
        <v>0</v>
      </c>
      <c r="AP454" s="39" t="n">
        <v>28850</v>
      </c>
      <c r="AQ454" s="39" t="n">
        <v>28850</v>
      </c>
      <c r="AR454" s="39" t="n">
        <v>0</v>
      </c>
      <c r="AS454" t="n">
        <v>0</v>
      </c>
      <c r="AT454" t="inlineStr">
        <is>
          <t>Crédito Hipotecario</t>
        </is>
      </c>
      <c r="AU454" t="inlineStr">
        <is>
          <t>Scotiabank Perú</t>
        </is>
      </c>
      <c r="AV454" t="inlineStr">
        <is>
          <t>0004071419</t>
        </is>
      </c>
      <c r="AW454" t="inlineStr">
        <is>
          <t>TRANSFERENCIA BANCARIA</t>
        </is>
      </c>
      <c r="AX454" t="n">
        <v>46546054</v>
      </c>
      <c r="AY454" t="inlineStr">
        <is>
          <t>7844655508247</t>
        </is>
      </c>
      <c r="AZ454" t="inlineStr">
        <is>
          <t>No</t>
        </is>
      </c>
      <c r="BB454" t="n">
        <v>4</v>
      </c>
      <c r="BC454" t="inlineStr">
        <is>
          <t>CANCELADO</t>
        </is>
      </c>
      <c r="BN454" t="inlineStr">
        <is>
          <t>Si</t>
        </is>
      </c>
      <c r="BO454" s="76" t="n">
        <v>45922.33680555555</v>
      </c>
      <c r="BP454" t="inlineStr">
        <is>
          <t>Magaly Guevara Perez</t>
        </is>
      </c>
      <c r="BR454" t="n">
        <v>5</v>
      </c>
      <c r="BS454" t="inlineStr">
        <is>
          <t>04/06/2026 08:34</t>
        </is>
      </c>
      <c r="BW454" t="inlineStr">
        <is>
          <t>Cobranzas_2026.csv</t>
        </is>
      </c>
      <c r="BX454" t="n">
        <v>2026</v>
      </c>
      <c r="BY454" t="inlineStr">
        <is>
          <t>01/01/2024</t>
        </is>
      </c>
      <c r="BZ454" t="inlineStr">
        <is>
          <t>30/06/2031</t>
        </is>
      </c>
    </row>
    <row r="455">
      <c r="A455" t="inlineStr">
        <is>
          <t>RESIDENCIAL VENECIA</t>
        </is>
      </c>
      <c r="B455" t="inlineStr">
        <is>
          <t>Etapa 1</t>
        </is>
      </c>
      <c r="C455" t="inlineStr">
        <is>
          <t>Edificio</t>
        </is>
      </c>
      <c r="D455" t="inlineStr">
        <is>
          <t>A</t>
        </is>
      </c>
      <c r="E455" t="inlineStr">
        <is>
          <t>Departamento</t>
        </is>
      </c>
      <c r="F455" t="inlineStr">
        <is>
          <t>301</t>
        </is>
      </c>
      <c r="G455" s="39" t="n">
        <v>534000</v>
      </c>
      <c r="H455" s="39" t="n">
        <v>534000</v>
      </c>
      <c r="I455" t="inlineStr">
        <is>
          <t>Edificio</t>
        </is>
      </c>
      <c r="J455" t="inlineStr">
        <is>
          <t>A</t>
        </is>
      </c>
      <c r="K455" t="inlineStr">
        <is>
          <t>Estacionamiento</t>
        </is>
      </c>
      <c r="L455" t="inlineStr">
        <is>
          <t>E 17</t>
        </is>
      </c>
      <c r="M455" s="39" t="n">
        <v>43000</v>
      </c>
      <c r="N455" s="39" t="n">
        <v>43000</v>
      </c>
      <c r="S455" s="39" t="n"/>
      <c r="T455" s="39" t="n"/>
      <c r="Y455" s="39" t="n"/>
      <c r="Z455" s="39" t="n"/>
      <c r="AA455" t="inlineStr">
        <is>
          <t>Leidy Pilar Espinoza Mariño</t>
        </is>
      </c>
      <c r="AB455" t="inlineStr">
        <is>
          <t>46546054</t>
        </is>
      </c>
      <c r="AC455" t="inlineStr">
        <is>
          <t>LAS AZUCENAS LT-34 MZ-F- HUMAYA</t>
        </is>
      </c>
      <c r="AD455" t="n">
        <v>0</v>
      </c>
      <c r="AE455" t="inlineStr">
        <is>
          <t>945411554</t>
        </is>
      </c>
      <c r="AF455" t="inlineStr">
        <is>
          <t>leidyespinoza30@gmail.com</t>
        </is>
      </c>
      <c r="AG455" t="inlineStr">
        <is>
          <t>HUAURA</t>
        </is>
      </c>
      <c r="AH455" t="inlineStr">
        <is>
          <t>HUAURA</t>
        </is>
      </c>
      <c r="AI455" s="75" t="n">
        <v>46203</v>
      </c>
      <c r="AJ455" s="75" t="n"/>
      <c r="AK455" t="inlineStr">
        <is>
          <t>SALDO FINANCIAR</t>
        </is>
      </c>
      <c r="AL455" t="n">
        <v>1</v>
      </c>
      <c r="AM455" t="n">
        <v>519300</v>
      </c>
      <c r="AN455" t="n">
        <v>0</v>
      </c>
      <c r="AO455" t="n">
        <v>0</v>
      </c>
      <c r="AP455" s="39" t="n">
        <v>519300</v>
      </c>
      <c r="AQ455" s="39" t="n">
        <v>0</v>
      </c>
      <c r="AR455" s="39" t="n">
        <v>519300</v>
      </c>
      <c r="AT455" t="inlineStr">
        <is>
          <t>Crédito Hipotecario</t>
        </is>
      </c>
      <c r="AZ455" t="inlineStr">
        <is>
          <t>No</t>
        </is>
      </c>
      <c r="BC455" t="inlineStr">
        <is>
          <t>VENCIDO</t>
        </is>
      </c>
      <c r="BN455" t="inlineStr">
        <is>
          <t>No</t>
        </is>
      </c>
      <c r="BO455" s="76" t="n">
        <v>45922.33680555555</v>
      </c>
      <c r="BP455" t="inlineStr">
        <is>
          <t>Magaly Guevara Perez</t>
        </is>
      </c>
      <c r="BR455" t="n">
        <v>5</v>
      </c>
      <c r="BW455" t="inlineStr">
        <is>
          <t>Cobranzas_2026.csv</t>
        </is>
      </c>
      <c r="BX455" t="n">
        <v>2026</v>
      </c>
      <c r="BY455" t="inlineStr">
        <is>
          <t>01/01/2024</t>
        </is>
      </c>
      <c r="BZ455" t="inlineStr">
        <is>
          <t>30/06/2031</t>
        </is>
      </c>
    </row>
    <row r="456">
      <c r="A456" t="inlineStr">
        <is>
          <t>RESIDENCIAL PRADA</t>
        </is>
      </c>
      <c r="B456" t="inlineStr">
        <is>
          <t>Etapa 1</t>
        </is>
      </c>
      <c r="C456" t="inlineStr">
        <is>
          <t>Edificio</t>
        </is>
      </c>
      <c r="D456" t="inlineStr">
        <is>
          <t>A</t>
        </is>
      </c>
      <c r="E456" t="inlineStr">
        <is>
          <t>Departamento</t>
        </is>
      </c>
      <c r="F456" t="inlineStr">
        <is>
          <t>904</t>
        </is>
      </c>
      <c r="G456" s="39" t="n">
        <v>417700</v>
      </c>
      <c r="H456" s="39" t="n">
        <v>417700</v>
      </c>
      <c r="M456" s="39" t="n"/>
      <c r="N456" s="39" t="n"/>
      <c r="S456" s="39" t="n"/>
      <c r="T456" s="39" t="n"/>
      <c r="Y456" s="39" t="n"/>
      <c r="Z456" s="39" t="n"/>
      <c r="AA456" t="inlineStr">
        <is>
          <t xml:space="preserve">Lizet Lopez Paucar </t>
        </is>
      </c>
      <c r="AB456" t="inlineStr">
        <is>
          <t>42459734</t>
        </is>
      </c>
      <c r="AC456" t="inlineStr">
        <is>
          <t>Av. Arnaldo Márquez 1526 Dpto. 34 - Jesús María - Lima</t>
        </is>
      </c>
      <c r="AD456" t="n">
        <v>999889061</v>
      </c>
      <c r="AE456" t="inlineStr">
        <is>
          <t>999889061</t>
        </is>
      </c>
      <c r="AF456" t="inlineStr">
        <is>
          <t>lizetlopezp@gmail.com</t>
        </is>
      </c>
      <c r="AG456" t="inlineStr">
        <is>
          <t>LIMA</t>
        </is>
      </c>
      <c r="AH456" t="inlineStr">
        <is>
          <t>JESUS MARIA</t>
        </is>
      </c>
      <c r="AI456" s="75" t="n">
        <v>46027</v>
      </c>
      <c r="AJ456" s="75" t="n">
        <v>46027</v>
      </c>
      <c r="AK456" t="inlineStr">
        <is>
          <t>SEPARACION</t>
        </is>
      </c>
      <c r="AL456" t="n">
        <v>1</v>
      </c>
      <c r="AM456" t="n">
        <v>3000</v>
      </c>
      <c r="AN456" t="n">
        <v>0</v>
      </c>
      <c r="AO456" t="n">
        <v>0</v>
      </c>
      <c r="AP456" s="39" t="n">
        <v>3000</v>
      </c>
      <c r="AQ456" s="39" t="n">
        <v>3000</v>
      </c>
      <c r="AR456" s="39" t="n">
        <v>0</v>
      </c>
      <c r="AS456" t="n">
        <v>0</v>
      </c>
      <c r="AT456" t="inlineStr">
        <is>
          <t>Ahorro</t>
        </is>
      </c>
      <c r="AU456" t="inlineStr">
        <is>
          <t>Scotiabank Perú</t>
        </is>
      </c>
      <c r="AV456" t="inlineStr">
        <is>
          <t>000-2768484</t>
        </is>
      </c>
      <c r="AW456" t="inlineStr">
        <is>
          <t>POS VISA</t>
        </is>
      </c>
      <c r="AY456" t="inlineStr">
        <is>
          <t>0000600519140030</t>
        </is>
      </c>
      <c r="AZ456" t="inlineStr">
        <is>
          <t>No</t>
        </is>
      </c>
      <c r="BA456" t="inlineStr">
        <is>
          <t>AHORROS PERSONALES</t>
        </is>
      </c>
      <c r="BB456" t="n">
        <v>4</v>
      </c>
      <c r="BC456" t="inlineStr">
        <is>
          <t>CANCELADO</t>
        </is>
      </c>
      <c r="BN456" t="inlineStr">
        <is>
          <t>Si</t>
        </is>
      </c>
      <c r="BO456" s="76" t="n">
        <v>46053.58055555556</v>
      </c>
      <c r="BP456" t="inlineStr">
        <is>
          <t>Kenny Salazar S</t>
        </is>
      </c>
      <c r="BR456" t="n">
        <v>46</v>
      </c>
      <c r="BS456" t="inlineStr">
        <is>
          <t>03/06/2026 10:04</t>
        </is>
      </c>
      <c r="BW456" t="inlineStr">
        <is>
          <t>Cobranzas_2026.csv</t>
        </is>
      </c>
      <c r="BX456" t="n">
        <v>2026</v>
      </c>
      <c r="BY456" t="inlineStr">
        <is>
          <t>01/01/2024</t>
        </is>
      </c>
      <c r="BZ456" t="inlineStr">
        <is>
          <t>30/06/2031</t>
        </is>
      </c>
    </row>
    <row r="457">
      <c r="A457" t="inlineStr">
        <is>
          <t>RESIDENCIAL PRADA</t>
        </is>
      </c>
      <c r="B457" t="inlineStr">
        <is>
          <t>Etapa 1</t>
        </is>
      </c>
      <c r="C457" t="inlineStr">
        <is>
          <t>Edificio</t>
        </is>
      </c>
      <c r="D457" t="inlineStr">
        <is>
          <t>A</t>
        </is>
      </c>
      <c r="E457" t="inlineStr">
        <is>
          <t>Departamento</t>
        </is>
      </c>
      <c r="F457" t="inlineStr">
        <is>
          <t>904</t>
        </is>
      </c>
      <c r="G457" s="39" t="n">
        <v>417700</v>
      </c>
      <c r="H457" s="39" t="n">
        <v>417700</v>
      </c>
      <c r="M457" s="39" t="n"/>
      <c r="N457" s="39" t="n"/>
      <c r="S457" s="39" t="n"/>
      <c r="T457" s="39" t="n"/>
      <c r="Y457" s="39" t="n"/>
      <c r="Z457" s="39" t="n"/>
      <c r="AA457" t="inlineStr">
        <is>
          <t xml:space="preserve">Lizet Lopez Paucar </t>
        </is>
      </c>
      <c r="AB457" t="inlineStr">
        <is>
          <t>42459734</t>
        </is>
      </c>
      <c r="AC457" t="inlineStr">
        <is>
          <t>Av. Arnaldo Márquez 1526 Dpto. 34 - Jesús María - Lima</t>
        </is>
      </c>
      <c r="AD457" t="n">
        <v>999889061</v>
      </c>
      <c r="AE457" t="inlineStr">
        <is>
          <t>999889061</t>
        </is>
      </c>
      <c r="AF457" t="inlineStr">
        <is>
          <t>lizetlopezp@gmail.com</t>
        </is>
      </c>
      <c r="AG457" t="inlineStr">
        <is>
          <t>LIMA</t>
        </is>
      </c>
      <c r="AH457" t="inlineStr">
        <is>
          <t>JESUS MARIA</t>
        </is>
      </c>
      <c r="AI457" s="75" t="n">
        <v>46052</v>
      </c>
      <c r="AJ457" s="75" t="n">
        <v>46053</v>
      </c>
      <c r="AK457" t="inlineStr">
        <is>
          <t>CUOTA INICIAL</t>
        </is>
      </c>
      <c r="AL457" t="n">
        <v>1</v>
      </c>
      <c r="AM457" t="n">
        <v>0</v>
      </c>
      <c r="AN457" t="n">
        <v>0</v>
      </c>
      <c r="AO457" t="n">
        <v>0</v>
      </c>
      <c r="AP457" s="39" t="n">
        <v>30000</v>
      </c>
      <c r="AQ457" s="39" t="n">
        <v>29650</v>
      </c>
      <c r="AR457" s="39" t="n">
        <v>0</v>
      </c>
      <c r="AS457" t="n">
        <v>0</v>
      </c>
      <c r="AT457" t="inlineStr">
        <is>
          <t>Ahorro</t>
        </is>
      </c>
      <c r="AU457" t="inlineStr">
        <is>
          <t>Scotiabank Perú</t>
        </is>
      </c>
      <c r="AV457" t="inlineStr">
        <is>
          <t>000-2768484</t>
        </is>
      </c>
      <c r="AW457" t="inlineStr">
        <is>
          <t>TRANSFERENCIA BANCARIA</t>
        </is>
      </c>
      <c r="AY457" t="inlineStr">
        <is>
          <t>02462401</t>
        </is>
      </c>
      <c r="AZ457" t="inlineStr">
        <is>
          <t>No</t>
        </is>
      </c>
      <c r="BB457" t="n">
        <v>4</v>
      </c>
      <c r="BC457" t="inlineStr">
        <is>
          <t>CANCELADO</t>
        </is>
      </c>
      <c r="BN457" t="inlineStr">
        <is>
          <t>Si</t>
        </is>
      </c>
      <c r="BO457" s="76" t="n">
        <v>46053.58055555556</v>
      </c>
      <c r="BP457" t="inlineStr">
        <is>
          <t>Kenny Salazar S</t>
        </is>
      </c>
      <c r="BR457" t="n">
        <v>46</v>
      </c>
      <c r="BS457" t="inlineStr">
        <is>
          <t>07/07/2026 13:49</t>
        </is>
      </c>
      <c r="BW457" t="inlineStr">
        <is>
          <t>Cobranzas_2026.csv</t>
        </is>
      </c>
      <c r="BX457" t="n">
        <v>2026</v>
      </c>
      <c r="BY457" t="inlineStr">
        <is>
          <t>01/01/2024</t>
        </is>
      </c>
      <c r="BZ457" t="inlineStr">
        <is>
          <t>30/06/2031</t>
        </is>
      </c>
    </row>
    <row r="458">
      <c r="A458" t="inlineStr">
        <is>
          <t>RESIDENCIAL PRADA</t>
        </is>
      </c>
      <c r="B458" t="inlineStr">
        <is>
          <t>Etapa 1</t>
        </is>
      </c>
      <c r="C458" t="inlineStr">
        <is>
          <t>Edificio</t>
        </is>
      </c>
      <c r="D458" t="inlineStr">
        <is>
          <t>A</t>
        </is>
      </c>
      <c r="E458" t="inlineStr">
        <is>
          <t>Departamento</t>
        </is>
      </c>
      <c r="F458" t="inlineStr">
        <is>
          <t>904</t>
        </is>
      </c>
      <c r="G458" s="39" t="n">
        <v>417700</v>
      </c>
      <c r="H458" s="39" t="n">
        <v>417700</v>
      </c>
      <c r="M458" s="39" t="n"/>
      <c r="N458" s="39" t="n"/>
      <c r="S458" s="39" t="n"/>
      <c r="T458" s="39" t="n"/>
      <c r="Y458" s="39" t="n"/>
      <c r="Z458" s="39" t="n"/>
      <c r="AA458" t="inlineStr">
        <is>
          <t xml:space="preserve">Lizet Lopez Paucar </t>
        </is>
      </c>
      <c r="AB458" t="inlineStr">
        <is>
          <t>42459734</t>
        </is>
      </c>
      <c r="AC458" t="inlineStr">
        <is>
          <t>Av. Arnaldo Márquez 1526 Dpto. 34 - Jesús María - Lima</t>
        </is>
      </c>
      <c r="AD458" t="n">
        <v>999889061</v>
      </c>
      <c r="AE458" t="inlineStr">
        <is>
          <t>999889061</t>
        </is>
      </c>
      <c r="AF458" t="inlineStr">
        <is>
          <t>lizetlopezp@gmail.com</t>
        </is>
      </c>
      <c r="AG458" t="inlineStr">
        <is>
          <t>LIMA</t>
        </is>
      </c>
      <c r="AH458" t="inlineStr">
        <is>
          <t>JESUS MARIA</t>
        </is>
      </c>
      <c r="AI458" s="75" t="n">
        <v>46052</v>
      </c>
      <c r="AJ458" s="75" t="n">
        <v>46054</v>
      </c>
      <c r="AK458" t="inlineStr">
        <is>
          <t>CUOTA INICIAL</t>
        </is>
      </c>
      <c r="AL458" t="n">
        <v>1</v>
      </c>
      <c r="AM458" t="n">
        <v>30000</v>
      </c>
      <c r="AN458" t="n">
        <v>0</v>
      </c>
      <c r="AO458" t="n">
        <v>0</v>
      </c>
      <c r="AP458" s="39" t="n">
        <v>0</v>
      </c>
      <c r="AQ458" s="39" t="n">
        <v>350</v>
      </c>
      <c r="AR458" s="39" t="n">
        <v>0</v>
      </c>
      <c r="AS458" t="n">
        <v>0</v>
      </c>
      <c r="AT458" t="inlineStr">
        <is>
          <t>Ahorro</t>
        </is>
      </c>
      <c r="AU458" t="inlineStr">
        <is>
          <t>Scotiabank Perú</t>
        </is>
      </c>
      <c r="AV458" t="inlineStr">
        <is>
          <t>000-2768484</t>
        </is>
      </c>
      <c r="AW458" t="inlineStr">
        <is>
          <t>TRANSFERENCIA BANCARIA</t>
        </is>
      </c>
      <c r="AY458" t="inlineStr">
        <is>
          <t>02011578</t>
        </is>
      </c>
      <c r="AZ458" t="inlineStr">
        <is>
          <t>No</t>
        </is>
      </c>
      <c r="BB458" t="n">
        <v>4</v>
      </c>
      <c r="BC458" t="inlineStr">
        <is>
          <t>CANCELADO</t>
        </is>
      </c>
      <c r="BN458" t="inlineStr">
        <is>
          <t>Si</t>
        </is>
      </c>
      <c r="BO458" s="76" t="n">
        <v>46053.58055555556</v>
      </c>
      <c r="BP458" t="inlineStr">
        <is>
          <t>Kenny Salazar S</t>
        </is>
      </c>
      <c r="BR458" t="n">
        <v>46</v>
      </c>
      <c r="BS458" t="inlineStr">
        <is>
          <t>07/07/2026 13:50</t>
        </is>
      </c>
      <c r="BW458" t="inlineStr">
        <is>
          <t>Cobranzas_2026.csv</t>
        </is>
      </c>
      <c r="BX458" t="n">
        <v>2026</v>
      </c>
      <c r="BY458" t="inlineStr">
        <is>
          <t>01/01/2024</t>
        </is>
      </c>
      <c r="BZ458" t="inlineStr">
        <is>
          <t>30/06/2031</t>
        </is>
      </c>
    </row>
    <row r="459">
      <c r="A459" t="inlineStr">
        <is>
          <t>RESIDENCIAL PRADA</t>
        </is>
      </c>
      <c r="B459" t="inlineStr">
        <is>
          <t>Etapa 1</t>
        </is>
      </c>
      <c r="C459" t="inlineStr">
        <is>
          <t>Edificio</t>
        </is>
      </c>
      <c r="D459" t="inlineStr">
        <is>
          <t>A</t>
        </is>
      </c>
      <c r="E459" t="inlineStr">
        <is>
          <t>Departamento</t>
        </is>
      </c>
      <c r="F459" t="inlineStr">
        <is>
          <t>904</t>
        </is>
      </c>
      <c r="G459" s="39" t="n">
        <v>417700</v>
      </c>
      <c r="H459" s="39" t="n">
        <v>417700</v>
      </c>
      <c r="M459" s="39" t="n"/>
      <c r="N459" s="39" t="n"/>
      <c r="S459" s="39" t="n"/>
      <c r="T459" s="39" t="n"/>
      <c r="Y459" s="39" t="n"/>
      <c r="Z459" s="39" t="n"/>
      <c r="AA459" t="inlineStr">
        <is>
          <t xml:space="preserve">Lizet Lopez Paucar </t>
        </is>
      </c>
      <c r="AB459" t="inlineStr">
        <is>
          <t>42459734</t>
        </is>
      </c>
      <c r="AC459" t="inlineStr">
        <is>
          <t>Av. Arnaldo Márquez 1526 Dpto. 34 - Jesús María - Lima</t>
        </is>
      </c>
      <c r="AD459" t="n">
        <v>999889061</v>
      </c>
      <c r="AE459" t="inlineStr">
        <is>
          <t>999889061</t>
        </is>
      </c>
      <c r="AF459" t="inlineStr">
        <is>
          <t>lizetlopezp@gmail.com</t>
        </is>
      </c>
      <c r="AG459" t="inlineStr">
        <is>
          <t>LIMA</t>
        </is>
      </c>
      <c r="AH459" t="inlineStr">
        <is>
          <t>JESUS MARIA</t>
        </is>
      </c>
      <c r="AI459" s="75" t="n">
        <v>46157</v>
      </c>
      <c r="AJ459" s="75" t="n">
        <v>46185</v>
      </c>
      <c r="AK459" t="inlineStr">
        <is>
          <t>CUOTA INICIAL</t>
        </is>
      </c>
      <c r="AL459" t="n">
        <v>2</v>
      </c>
      <c r="AM459" t="n">
        <v>0</v>
      </c>
      <c r="AN459" t="n">
        <v>0</v>
      </c>
      <c r="AO459" t="n">
        <v>0</v>
      </c>
      <c r="AP459" s="39" t="n">
        <v>20700</v>
      </c>
      <c r="AQ459" s="39" t="n">
        <v>17498.37</v>
      </c>
      <c r="AR459" s="39" t="n">
        <v>0</v>
      </c>
      <c r="AS459" t="n">
        <v>0</v>
      </c>
      <c r="AT459" t="inlineStr">
        <is>
          <t>Ahorro</t>
        </is>
      </c>
      <c r="AU459" t="inlineStr">
        <is>
          <t>Scotiabank Perú</t>
        </is>
      </c>
      <c r="AV459" t="inlineStr">
        <is>
          <t>000-2768484</t>
        </is>
      </c>
      <c r="AW459" t="inlineStr">
        <is>
          <t>TRANSFERENCIA BANCARIA</t>
        </is>
      </c>
      <c r="AY459" t="inlineStr">
        <is>
          <t>7844655529167</t>
        </is>
      </c>
      <c r="AZ459" t="inlineStr">
        <is>
          <t>No</t>
        </is>
      </c>
      <c r="BB459" t="n">
        <v>4</v>
      </c>
      <c r="BC459" t="inlineStr">
        <is>
          <t>CANCELADO</t>
        </is>
      </c>
      <c r="BN459" t="inlineStr">
        <is>
          <t>Si</t>
        </is>
      </c>
      <c r="BO459" s="76" t="n">
        <v>46053.58055555556</v>
      </c>
      <c r="BP459" t="inlineStr">
        <is>
          <t>Kenny Salazar S</t>
        </is>
      </c>
      <c r="BR459" t="n">
        <v>46</v>
      </c>
      <c r="BS459" t="inlineStr">
        <is>
          <t>07/07/2026 13:54</t>
        </is>
      </c>
      <c r="BW459" t="inlineStr">
        <is>
          <t>Cobranzas_2026.csv</t>
        </is>
      </c>
      <c r="BX459" t="n">
        <v>2026</v>
      </c>
      <c r="BY459" t="inlineStr">
        <is>
          <t>01/01/2024</t>
        </is>
      </c>
      <c r="BZ459" t="inlineStr">
        <is>
          <t>30/06/2031</t>
        </is>
      </c>
    </row>
    <row r="460">
      <c r="A460" t="inlineStr">
        <is>
          <t>RESIDENCIAL PRADA</t>
        </is>
      </c>
      <c r="B460" t="inlineStr">
        <is>
          <t>Etapa 1</t>
        </is>
      </c>
      <c r="C460" t="inlineStr">
        <is>
          <t>Edificio</t>
        </is>
      </c>
      <c r="D460" t="inlineStr">
        <is>
          <t>A</t>
        </is>
      </c>
      <c r="E460" t="inlineStr">
        <is>
          <t>Departamento</t>
        </is>
      </c>
      <c r="F460" t="inlineStr">
        <is>
          <t>904</t>
        </is>
      </c>
      <c r="G460" s="39" t="n">
        <v>417700</v>
      </c>
      <c r="H460" s="39" t="n">
        <v>417700</v>
      </c>
      <c r="M460" s="39" t="n"/>
      <c r="N460" s="39" t="n"/>
      <c r="S460" s="39" t="n"/>
      <c r="T460" s="39" t="n"/>
      <c r="Y460" s="39" t="n"/>
      <c r="Z460" s="39" t="n"/>
      <c r="AA460" t="inlineStr">
        <is>
          <t xml:space="preserve">Lizet Lopez Paucar </t>
        </is>
      </c>
      <c r="AB460" t="inlineStr">
        <is>
          <t>42459734</t>
        </is>
      </c>
      <c r="AC460" t="inlineStr">
        <is>
          <t>Av. Arnaldo Márquez 1526 Dpto. 34 - Jesús María - Lima</t>
        </is>
      </c>
      <c r="AD460" t="n">
        <v>999889061</v>
      </c>
      <c r="AE460" t="inlineStr">
        <is>
          <t>999889061</t>
        </is>
      </c>
      <c r="AF460" t="inlineStr">
        <is>
          <t>lizetlopezp@gmail.com</t>
        </is>
      </c>
      <c r="AG460" t="inlineStr">
        <is>
          <t>LIMA</t>
        </is>
      </c>
      <c r="AH460" t="inlineStr">
        <is>
          <t>JESUS MARIA</t>
        </is>
      </c>
      <c r="AI460" s="75" t="n">
        <v>46157</v>
      </c>
      <c r="AJ460" s="75" t="n">
        <v>46186</v>
      </c>
      <c r="AK460" t="inlineStr">
        <is>
          <t>CUOTA INICIAL</t>
        </is>
      </c>
      <c r="AL460" t="n">
        <v>2</v>
      </c>
      <c r="AM460" t="n">
        <v>20700</v>
      </c>
      <c r="AN460" t="n">
        <v>0</v>
      </c>
      <c r="AO460" t="n">
        <v>0</v>
      </c>
      <c r="AP460" s="39" t="n">
        <v>0</v>
      </c>
      <c r="AQ460" s="39" t="n">
        <v>3201.63</v>
      </c>
      <c r="AR460" s="39" t="n">
        <v>0</v>
      </c>
      <c r="AS460" t="n">
        <v>0</v>
      </c>
      <c r="AT460" t="inlineStr">
        <is>
          <t>Ahorro</t>
        </is>
      </c>
      <c r="AU460" t="inlineStr">
        <is>
          <t>Scotiabank Perú</t>
        </is>
      </c>
      <c r="AV460" t="inlineStr">
        <is>
          <t>000-2768484</t>
        </is>
      </c>
      <c r="AW460" t="inlineStr">
        <is>
          <t>TRANSFERENCIA BANCARIA</t>
        </is>
      </c>
      <c r="AY460" t="inlineStr">
        <is>
          <t>7844655513571</t>
        </is>
      </c>
      <c r="AZ460" t="inlineStr">
        <is>
          <t>No</t>
        </is>
      </c>
      <c r="BB460" t="n">
        <v>4</v>
      </c>
      <c r="BC460" t="inlineStr">
        <is>
          <t>CANCELADO</t>
        </is>
      </c>
      <c r="BN460" t="inlineStr">
        <is>
          <t>Si</t>
        </is>
      </c>
      <c r="BO460" s="76" t="n">
        <v>46053.58055555556</v>
      </c>
      <c r="BP460" t="inlineStr">
        <is>
          <t>Kenny Salazar S</t>
        </is>
      </c>
      <c r="BR460" t="n">
        <v>46</v>
      </c>
      <c r="BS460" t="inlineStr">
        <is>
          <t>07/07/2026 13:56</t>
        </is>
      </c>
      <c r="BW460" t="inlineStr">
        <is>
          <t>Cobranzas_2026.csv</t>
        </is>
      </c>
      <c r="BX460" t="n">
        <v>2026</v>
      </c>
      <c r="BY460" t="inlineStr">
        <is>
          <t>01/01/2024</t>
        </is>
      </c>
      <c r="BZ460" t="inlineStr">
        <is>
          <t>30/06/2031</t>
        </is>
      </c>
    </row>
    <row r="461">
      <c r="A461" t="inlineStr">
        <is>
          <t>RESIDENCIAL PRADA</t>
        </is>
      </c>
      <c r="B461" t="inlineStr">
        <is>
          <t>Etapa 1</t>
        </is>
      </c>
      <c r="C461" t="inlineStr">
        <is>
          <t>Edificio</t>
        </is>
      </c>
      <c r="D461" t="inlineStr">
        <is>
          <t>A</t>
        </is>
      </c>
      <c r="E461" t="inlineStr">
        <is>
          <t>Departamento</t>
        </is>
      </c>
      <c r="F461" t="inlineStr">
        <is>
          <t>904</t>
        </is>
      </c>
      <c r="G461" s="39" t="n">
        <v>417700</v>
      </c>
      <c r="H461" s="39" t="n">
        <v>417700</v>
      </c>
      <c r="M461" s="39" t="n"/>
      <c r="N461" s="39" t="n"/>
      <c r="S461" s="39" t="n"/>
      <c r="T461" s="39" t="n"/>
      <c r="Y461" s="39" t="n"/>
      <c r="Z461" s="39" t="n"/>
      <c r="AA461" t="inlineStr">
        <is>
          <t xml:space="preserve">Lizet Lopez Paucar </t>
        </is>
      </c>
      <c r="AB461" t="inlineStr">
        <is>
          <t>42459734</t>
        </is>
      </c>
      <c r="AC461" t="inlineStr">
        <is>
          <t>Av. Arnaldo Márquez 1526 Dpto. 34 - Jesús María - Lima</t>
        </is>
      </c>
      <c r="AD461" t="n">
        <v>999889061</v>
      </c>
      <c r="AE461" t="inlineStr">
        <is>
          <t>999889061</t>
        </is>
      </c>
      <c r="AF461" t="inlineStr">
        <is>
          <t>lizetlopezp@gmail.com</t>
        </is>
      </c>
      <c r="AG461" t="inlineStr">
        <is>
          <t>LIMA</t>
        </is>
      </c>
      <c r="AH461" t="inlineStr">
        <is>
          <t>JESUS MARIA</t>
        </is>
      </c>
      <c r="AI461" s="75" t="n">
        <v>46172</v>
      </c>
      <c r="AJ461" s="75" t="n">
        <v>46186</v>
      </c>
      <c r="AK461" t="inlineStr">
        <is>
          <t>CUOTA INICIAL</t>
        </is>
      </c>
      <c r="AL461" t="n">
        <v>3</v>
      </c>
      <c r="AM461" t="n">
        <v>14000</v>
      </c>
      <c r="AN461" t="n">
        <v>0</v>
      </c>
      <c r="AO461" t="n">
        <v>0</v>
      </c>
      <c r="AP461" s="39" t="n">
        <v>14000</v>
      </c>
      <c r="AQ461" s="39" t="n">
        <v>14000</v>
      </c>
      <c r="AR461" s="39" t="n">
        <v>0</v>
      </c>
      <c r="AS461" t="n">
        <v>0</v>
      </c>
      <c r="AT461" t="inlineStr">
        <is>
          <t>Ahorro</t>
        </is>
      </c>
      <c r="AU461" t="inlineStr">
        <is>
          <t>Scotiabank Perú</t>
        </is>
      </c>
      <c r="AV461" t="inlineStr">
        <is>
          <t>000-2768484</t>
        </is>
      </c>
      <c r="AW461" t="inlineStr">
        <is>
          <t>TRANSFERENCIA BANCARIA</t>
        </is>
      </c>
      <c r="AY461" t="inlineStr">
        <is>
          <t>7844655513571</t>
        </is>
      </c>
      <c r="AZ461" t="inlineStr">
        <is>
          <t>No</t>
        </is>
      </c>
      <c r="BB461" t="n">
        <v>4</v>
      </c>
      <c r="BC461" t="inlineStr">
        <is>
          <t>CANCELADO</t>
        </is>
      </c>
      <c r="BN461" t="inlineStr">
        <is>
          <t>Si</t>
        </is>
      </c>
      <c r="BO461" s="76" t="n">
        <v>46053.58055555556</v>
      </c>
      <c r="BP461" t="inlineStr">
        <is>
          <t>Kenny Salazar S</t>
        </is>
      </c>
      <c r="BR461" t="n">
        <v>46</v>
      </c>
      <c r="BS461" t="inlineStr">
        <is>
          <t>07/07/2026 13:56</t>
        </is>
      </c>
      <c r="BW461" t="inlineStr">
        <is>
          <t>Cobranzas_2026.csv</t>
        </is>
      </c>
      <c r="BX461" t="n">
        <v>2026</v>
      </c>
      <c r="BY461" t="inlineStr">
        <is>
          <t>01/01/2024</t>
        </is>
      </c>
      <c r="BZ461" t="inlineStr">
        <is>
          <t>30/06/2031</t>
        </is>
      </c>
    </row>
    <row r="462">
      <c r="A462" t="inlineStr">
        <is>
          <t>RESIDENCIAL PRADA</t>
        </is>
      </c>
      <c r="B462" t="inlineStr">
        <is>
          <t>Etapa 1</t>
        </is>
      </c>
      <c r="C462" t="inlineStr">
        <is>
          <t>Edificio</t>
        </is>
      </c>
      <c r="D462" t="inlineStr">
        <is>
          <t>A</t>
        </is>
      </c>
      <c r="E462" t="inlineStr">
        <is>
          <t>Departamento</t>
        </is>
      </c>
      <c r="F462" t="inlineStr">
        <is>
          <t>904</t>
        </is>
      </c>
      <c r="G462" s="39" t="n">
        <v>417700</v>
      </c>
      <c r="H462" s="39" t="n">
        <v>417700</v>
      </c>
      <c r="M462" s="39" t="n"/>
      <c r="N462" s="39" t="n"/>
      <c r="S462" s="39" t="n"/>
      <c r="T462" s="39" t="n"/>
      <c r="Y462" s="39" t="n"/>
      <c r="Z462" s="39" t="n"/>
      <c r="AA462" t="inlineStr">
        <is>
          <t xml:space="preserve">Lizet Lopez Paucar </t>
        </is>
      </c>
      <c r="AB462" t="inlineStr">
        <is>
          <t>42459734</t>
        </is>
      </c>
      <c r="AC462" t="inlineStr">
        <is>
          <t>Av. Arnaldo Márquez 1526 Dpto. 34 - Jesús María - Lima</t>
        </is>
      </c>
      <c r="AD462" t="n">
        <v>999889061</v>
      </c>
      <c r="AE462" t="inlineStr">
        <is>
          <t>999889061</t>
        </is>
      </c>
      <c r="AF462" t="inlineStr">
        <is>
          <t>lizetlopezp@gmail.com</t>
        </is>
      </c>
      <c r="AG462" t="inlineStr">
        <is>
          <t>LIMA</t>
        </is>
      </c>
      <c r="AH462" t="inlineStr">
        <is>
          <t>JESUS MARIA</t>
        </is>
      </c>
      <c r="AI462" s="75" t="n">
        <v>46203</v>
      </c>
      <c r="AJ462" s="75" t="n"/>
      <c r="AK462" t="inlineStr">
        <is>
          <t>SALDO FINANCIAR</t>
        </is>
      </c>
      <c r="AL462" t="n">
        <v>1</v>
      </c>
      <c r="AM462" t="n">
        <v>350000</v>
      </c>
      <c r="AN462" t="n">
        <v>0</v>
      </c>
      <c r="AO462" t="n">
        <v>0</v>
      </c>
      <c r="AP462" s="39" t="n">
        <v>350000</v>
      </c>
      <c r="AQ462" s="39" t="n">
        <v>0</v>
      </c>
      <c r="AR462" s="39" t="n">
        <v>350000</v>
      </c>
      <c r="AT462" t="inlineStr">
        <is>
          <t>Ahorro</t>
        </is>
      </c>
      <c r="AZ462" t="inlineStr">
        <is>
          <t>No</t>
        </is>
      </c>
      <c r="BC462" t="inlineStr">
        <is>
          <t>VENCIDO</t>
        </is>
      </c>
      <c r="BN462" t="inlineStr">
        <is>
          <t>No</t>
        </is>
      </c>
      <c r="BO462" s="76" t="n">
        <v>46053.58055555556</v>
      </c>
      <c r="BP462" t="inlineStr">
        <is>
          <t>Kenny Salazar S</t>
        </is>
      </c>
      <c r="BR462" t="n">
        <v>46</v>
      </c>
      <c r="BW462" t="inlineStr">
        <is>
          <t>Cobranzas_2026.csv</t>
        </is>
      </c>
      <c r="BX462" t="n">
        <v>2026</v>
      </c>
      <c r="BY462" t="inlineStr">
        <is>
          <t>01/01/2024</t>
        </is>
      </c>
      <c r="BZ462" t="inlineStr">
        <is>
          <t>30/06/2031</t>
        </is>
      </c>
    </row>
    <row r="463">
      <c r="A463" t="inlineStr">
        <is>
          <t>RESIDENCIAL BEYOND</t>
        </is>
      </c>
      <c r="B463" t="inlineStr">
        <is>
          <t>Etapa 1</t>
        </is>
      </c>
      <c r="C463" t="inlineStr">
        <is>
          <t>Edificio</t>
        </is>
      </c>
      <c r="D463" t="inlineStr">
        <is>
          <t>A</t>
        </is>
      </c>
      <c r="E463" t="inlineStr">
        <is>
          <t>Departamento</t>
        </is>
      </c>
      <c r="F463" t="inlineStr">
        <is>
          <t>401</t>
        </is>
      </c>
      <c r="G463" s="39" t="n">
        <v>518500</v>
      </c>
      <c r="H463" s="39" t="n">
        <v>470000</v>
      </c>
      <c r="M463" s="39" t="n"/>
      <c r="N463" s="39" t="n"/>
      <c r="S463" s="39" t="n"/>
      <c r="T463" s="39" t="n"/>
      <c r="Y463" s="39" t="n"/>
      <c r="Z463" s="39" t="n"/>
      <c r="AA463" t="inlineStr">
        <is>
          <t>Luis Alberto Vargas Chacaltana</t>
        </is>
      </c>
      <c r="AB463" t="inlineStr">
        <is>
          <t>09389936</t>
        </is>
      </c>
      <c r="AC463" t="inlineStr">
        <is>
          <t>Los Tilos 388 – 392</t>
        </is>
      </c>
      <c r="AD463" t="n">
        <v>0</v>
      </c>
      <c r="AE463" t="inlineStr">
        <is>
          <t>946890596</t>
        </is>
      </c>
      <c r="AF463" t="inlineStr">
        <is>
          <t>nicolle1095@gmail.com</t>
        </is>
      </c>
      <c r="AG463" t="inlineStr">
        <is>
          <t>LIMA</t>
        </is>
      </c>
      <c r="AH463" t="inlineStr">
        <is>
          <t>SANTIAGO DE SURCO</t>
        </is>
      </c>
      <c r="AI463" s="75" t="n">
        <v>46250.62986111111</v>
      </c>
      <c r="AJ463" s="75" t="n"/>
      <c r="AK463" t="inlineStr">
        <is>
          <t>CUOTA INICIAL</t>
        </is>
      </c>
      <c r="AL463" t="n">
        <v>1</v>
      </c>
      <c r="AM463" t="n">
        <v>148000</v>
      </c>
      <c r="AN463" t="n">
        <v>0</v>
      </c>
      <c r="AO463" t="n">
        <v>0</v>
      </c>
      <c r="AP463" s="39" t="n">
        <v>148000</v>
      </c>
      <c r="AQ463" s="39" t="n">
        <v>0</v>
      </c>
      <c r="AR463" s="39" t="n">
        <v>148000</v>
      </c>
      <c r="AT463" t="inlineStr">
        <is>
          <t>Crédito Directo</t>
        </is>
      </c>
      <c r="AZ463" t="inlineStr">
        <is>
          <t>No</t>
        </is>
      </c>
      <c r="BC463" t="inlineStr">
        <is>
          <t>PENDIENTE</t>
        </is>
      </c>
      <c r="BN463" t="inlineStr">
        <is>
          <t>No</t>
        </is>
      </c>
      <c r="BO463" s="76" t="n">
        <v>45932.42222222222</v>
      </c>
      <c r="BP463" t="inlineStr">
        <is>
          <t>Magaly Guevara Perez</t>
        </is>
      </c>
      <c r="BR463" t="n">
        <v>26</v>
      </c>
      <c r="BW463" t="inlineStr">
        <is>
          <t>Cobranzas_2026.csv</t>
        </is>
      </c>
      <c r="BX463" t="n">
        <v>2026</v>
      </c>
      <c r="BY463" t="inlineStr">
        <is>
          <t>01/01/2024</t>
        </is>
      </c>
      <c r="BZ463" t="inlineStr">
        <is>
          <t>30/06/2031</t>
        </is>
      </c>
    </row>
    <row r="464">
      <c r="A464" t="inlineStr">
        <is>
          <t>RESIDENCIAL BEYOND</t>
        </is>
      </c>
      <c r="B464" t="inlineStr">
        <is>
          <t>Etapa 1</t>
        </is>
      </c>
      <c r="C464" t="inlineStr">
        <is>
          <t>Edificio</t>
        </is>
      </c>
      <c r="D464" t="inlineStr">
        <is>
          <t>A</t>
        </is>
      </c>
      <c r="E464" t="inlineStr">
        <is>
          <t>Departamento</t>
        </is>
      </c>
      <c r="F464" t="inlineStr">
        <is>
          <t>401</t>
        </is>
      </c>
      <c r="G464" s="39" t="n">
        <v>518500</v>
      </c>
      <c r="H464" s="39" t="n">
        <v>470000</v>
      </c>
      <c r="M464" s="39" t="n"/>
      <c r="N464" s="39" t="n"/>
      <c r="S464" s="39" t="n"/>
      <c r="T464" s="39" t="n"/>
      <c r="Y464" s="39" t="n"/>
      <c r="Z464" s="39" t="n"/>
      <c r="AA464" t="inlineStr">
        <is>
          <t>Luis Alberto Vargas Chacaltana</t>
        </is>
      </c>
      <c r="AB464" t="inlineStr">
        <is>
          <t>09389936</t>
        </is>
      </c>
      <c r="AC464" t="inlineStr">
        <is>
          <t>Los Tilos 388 – 392</t>
        </is>
      </c>
      <c r="AD464" t="n">
        <v>0</v>
      </c>
      <c r="AE464" t="inlineStr">
        <is>
          <t>946890596</t>
        </is>
      </c>
      <c r="AF464" t="inlineStr">
        <is>
          <t>nicolle1095@gmail.com</t>
        </is>
      </c>
      <c r="AG464" t="inlineStr">
        <is>
          <t>LIMA</t>
        </is>
      </c>
      <c r="AH464" t="inlineStr">
        <is>
          <t>SANTIAGO DE SURCO</t>
        </is>
      </c>
      <c r="AI464" s="75" t="n">
        <v>46281.62986111111</v>
      </c>
      <c r="AJ464" s="75" t="n"/>
      <c r="AK464" t="inlineStr">
        <is>
          <t>SALDO FINANCIAR</t>
        </is>
      </c>
      <c r="AL464" t="n">
        <v>1</v>
      </c>
      <c r="AM464" t="n">
        <v>319000</v>
      </c>
      <c r="AN464" t="n">
        <v>0</v>
      </c>
      <c r="AO464" t="n">
        <v>0</v>
      </c>
      <c r="AP464" s="39" t="n">
        <v>319000</v>
      </c>
      <c r="AQ464" s="39" t="n">
        <v>0</v>
      </c>
      <c r="AR464" s="39" t="n">
        <v>319000</v>
      </c>
      <c r="AT464" t="inlineStr">
        <is>
          <t>Crédito Directo</t>
        </is>
      </c>
      <c r="AZ464" t="inlineStr">
        <is>
          <t>No</t>
        </is>
      </c>
      <c r="BC464" t="inlineStr">
        <is>
          <t>PENDIENTE</t>
        </is>
      </c>
      <c r="BN464" t="inlineStr">
        <is>
          <t>No</t>
        </is>
      </c>
      <c r="BO464" s="76" t="n">
        <v>45932.42222222222</v>
      </c>
      <c r="BP464" t="inlineStr">
        <is>
          <t>Magaly Guevara Perez</t>
        </is>
      </c>
      <c r="BR464" t="n">
        <v>26</v>
      </c>
      <c r="BW464" t="inlineStr">
        <is>
          <t>Cobranzas_2026.csv</t>
        </is>
      </c>
      <c r="BX464" t="n">
        <v>2026</v>
      </c>
      <c r="BY464" t="inlineStr">
        <is>
          <t>01/01/2024</t>
        </is>
      </c>
      <c r="BZ464" t="inlineStr">
        <is>
          <t>30/06/2031</t>
        </is>
      </c>
    </row>
    <row r="465">
      <c r="A465" t="inlineStr">
        <is>
          <t>RESIDENCIAL VENECIA</t>
        </is>
      </c>
      <c r="B465" t="inlineStr">
        <is>
          <t>Etapa 1</t>
        </is>
      </c>
      <c r="C465" t="inlineStr">
        <is>
          <t>Edificio</t>
        </is>
      </c>
      <c r="D465" t="inlineStr">
        <is>
          <t>A</t>
        </is>
      </c>
      <c r="E465" t="inlineStr">
        <is>
          <t>Departamento</t>
        </is>
      </c>
      <c r="F465" t="inlineStr">
        <is>
          <t>104</t>
        </is>
      </c>
      <c r="G465" s="39" t="n">
        <v>553000</v>
      </c>
      <c r="H465" s="39" t="n">
        <v>497000</v>
      </c>
      <c r="M465" s="39" t="n"/>
      <c r="N465" s="39" t="n"/>
      <c r="S465" s="39" t="n"/>
      <c r="T465" s="39" t="n"/>
      <c r="Y465" s="39" t="n"/>
      <c r="Z465" s="39" t="n"/>
      <c r="AA465" t="inlineStr">
        <is>
          <t>Luis Miguel Montero Monteza</t>
        </is>
      </c>
      <c r="AB465" t="inlineStr">
        <is>
          <t>45611107</t>
        </is>
      </c>
      <c r="AC465" t="inlineStr">
        <is>
          <t>calle los rosales 128</t>
        </is>
      </c>
      <c r="AD465" t="n">
        <v>0</v>
      </c>
      <c r="AE465" t="inlineStr">
        <is>
          <t>970277190</t>
        </is>
      </c>
      <c r="AF465" t="inlineStr">
        <is>
          <t>monter25@hotmail.com</t>
        </is>
      </c>
      <c r="AG465" t="inlineStr">
        <is>
          <t>JAEN</t>
        </is>
      </c>
      <c r="AH465" t="inlineStr">
        <is>
          <t>JAEN</t>
        </is>
      </c>
      <c r="AI465" s="75" t="n">
        <v>46203</v>
      </c>
      <c r="AJ465" s="75" t="n"/>
      <c r="AK465" t="inlineStr">
        <is>
          <t>CUOTA INICIAL</t>
        </is>
      </c>
      <c r="AL465" t="n">
        <v>2</v>
      </c>
      <c r="AM465" t="n">
        <v>5100</v>
      </c>
      <c r="AN465" t="n">
        <v>0</v>
      </c>
      <c r="AO465" t="n">
        <v>0</v>
      </c>
      <c r="AP465" s="39" t="n">
        <v>5100</v>
      </c>
      <c r="AQ465" s="39" t="n">
        <v>0</v>
      </c>
      <c r="AR465" s="39" t="n">
        <v>5100</v>
      </c>
      <c r="AT465" t="inlineStr">
        <is>
          <t>Ahorro</t>
        </is>
      </c>
      <c r="AZ465" t="inlineStr">
        <is>
          <t>No</t>
        </is>
      </c>
      <c r="BC465" t="inlineStr">
        <is>
          <t>VENCIDO</t>
        </is>
      </c>
      <c r="BN465" t="inlineStr">
        <is>
          <t>No</t>
        </is>
      </c>
      <c r="BO465" s="76" t="n">
        <v>45988.33333333334</v>
      </c>
      <c r="BP465" t="inlineStr">
        <is>
          <t>Magaly Guevara Perez</t>
        </is>
      </c>
      <c r="BR465" t="n">
        <v>3</v>
      </c>
      <c r="BW465" t="inlineStr">
        <is>
          <t>Cobranzas_2026.csv</t>
        </is>
      </c>
      <c r="BX465" t="n">
        <v>2026</v>
      </c>
      <c r="BY465" t="inlineStr">
        <is>
          <t>01/01/2024</t>
        </is>
      </c>
      <c r="BZ465" t="inlineStr">
        <is>
          <t>30/06/2031</t>
        </is>
      </c>
    </row>
    <row r="466">
      <c r="A466" t="inlineStr">
        <is>
          <t>RESIDENCIAL VENECIA</t>
        </is>
      </c>
      <c r="B466" t="inlineStr">
        <is>
          <t>Etapa 1</t>
        </is>
      </c>
      <c r="C466" t="inlineStr">
        <is>
          <t>Edificio</t>
        </is>
      </c>
      <c r="D466" t="inlineStr">
        <is>
          <t>A</t>
        </is>
      </c>
      <c r="E466" t="inlineStr">
        <is>
          <t>Departamento</t>
        </is>
      </c>
      <c r="F466" t="inlineStr">
        <is>
          <t>104</t>
        </is>
      </c>
      <c r="G466" s="39" t="n">
        <v>553000</v>
      </c>
      <c r="H466" s="39" t="n">
        <v>497000</v>
      </c>
      <c r="M466" s="39" t="n"/>
      <c r="N466" s="39" t="n"/>
      <c r="S466" s="39" t="n"/>
      <c r="T466" s="39" t="n"/>
      <c r="Y466" s="39" t="n"/>
      <c r="Z466" s="39" t="n"/>
      <c r="AA466" t="inlineStr">
        <is>
          <t>Luis Miguel Montero Monteza</t>
        </is>
      </c>
      <c r="AB466" t="inlineStr">
        <is>
          <t>45611107</t>
        </is>
      </c>
      <c r="AC466" t="inlineStr">
        <is>
          <t>calle los rosales 128</t>
        </is>
      </c>
      <c r="AD466" t="n">
        <v>0</v>
      </c>
      <c r="AE466" t="inlineStr">
        <is>
          <t>970277190</t>
        </is>
      </c>
      <c r="AF466" t="inlineStr">
        <is>
          <t>monter25@hotmail.com</t>
        </is>
      </c>
      <c r="AG466" t="inlineStr">
        <is>
          <t>JAEN</t>
        </is>
      </c>
      <c r="AH466" t="inlineStr">
        <is>
          <t>JAEN</t>
        </is>
      </c>
      <c r="AI466" s="75" t="n">
        <v>46295</v>
      </c>
      <c r="AJ466" s="75" t="n"/>
      <c r="AK466" t="inlineStr">
        <is>
          <t>AHORRO CASA</t>
        </is>
      </c>
      <c r="AL466" t="n">
        <v>3</v>
      </c>
      <c r="AM466" t="n">
        <v>24600</v>
      </c>
      <c r="AN466" t="n">
        <v>0</v>
      </c>
      <c r="AO466" t="n">
        <v>0</v>
      </c>
      <c r="AP466" s="39" t="n">
        <v>24600</v>
      </c>
      <c r="AQ466" s="39" t="n">
        <v>0</v>
      </c>
      <c r="AR466" s="39" t="n">
        <v>24600</v>
      </c>
      <c r="AT466" t="inlineStr">
        <is>
          <t>Ahorro</t>
        </is>
      </c>
      <c r="AZ466" t="inlineStr">
        <is>
          <t>No</t>
        </is>
      </c>
      <c r="BC466" t="inlineStr">
        <is>
          <t>PENDIENTE</t>
        </is>
      </c>
      <c r="BN466" t="inlineStr">
        <is>
          <t>No</t>
        </is>
      </c>
      <c r="BO466" s="76" t="n">
        <v>45988.33333333334</v>
      </c>
      <c r="BP466" t="inlineStr">
        <is>
          <t>Magaly Guevara Perez</t>
        </is>
      </c>
      <c r="BR466" t="n">
        <v>3</v>
      </c>
      <c r="BW466" t="inlineStr">
        <is>
          <t>Cobranzas_2026.csv</t>
        </is>
      </c>
      <c r="BX466" t="n">
        <v>2026</v>
      </c>
      <c r="BY466" t="inlineStr">
        <is>
          <t>01/01/2024</t>
        </is>
      </c>
      <c r="BZ466" t="inlineStr">
        <is>
          <t>30/06/2031</t>
        </is>
      </c>
    </row>
    <row r="467">
      <c r="A467" t="inlineStr">
        <is>
          <t>RESIDENCIAL VENECIA</t>
        </is>
      </c>
      <c r="B467" t="inlineStr">
        <is>
          <t>Etapa 1</t>
        </is>
      </c>
      <c r="C467" t="inlineStr">
        <is>
          <t>Edificio</t>
        </is>
      </c>
      <c r="D467" t="inlineStr">
        <is>
          <t>A</t>
        </is>
      </c>
      <c r="E467" t="inlineStr">
        <is>
          <t>Departamento</t>
        </is>
      </c>
      <c r="F467" t="inlineStr">
        <is>
          <t>104</t>
        </is>
      </c>
      <c r="G467" s="39" t="n">
        <v>553000</v>
      </c>
      <c r="H467" s="39" t="n">
        <v>497000</v>
      </c>
      <c r="M467" s="39" t="n"/>
      <c r="N467" s="39" t="n"/>
      <c r="S467" s="39" t="n"/>
      <c r="T467" s="39" t="n"/>
      <c r="Y467" s="39" t="n"/>
      <c r="Z467" s="39" t="n"/>
      <c r="AA467" t="inlineStr">
        <is>
          <t>Luis Miguel Montero Monteza</t>
        </is>
      </c>
      <c r="AB467" t="inlineStr">
        <is>
          <t>45611107</t>
        </is>
      </c>
      <c r="AC467" t="inlineStr">
        <is>
          <t>calle los rosales 128</t>
        </is>
      </c>
      <c r="AD467" t="n">
        <v>0</v>
      </c>
      <c r="AE467" t="inlineStr">
        <is>
          <t>970277190</t>
        </is>
      </c>
      <c r="AF467" t="inlineStr">
        <is>
          <t>monter25@hotmail.com</t>
        </is>
      </c>
      <c r="AG467" t="inlineStr">
        <is>
          <t>JAEN</t>
        </is>
      </c>
      <c r="AH467" t="inlineStr">
        <is>
          <t>JAEN</t>
        </is>
      </c>
      <c r="AI467" s="75" t="n">
        <v>46356</v>
      </c>
      <c r="AJ467" s="75" t="n"/>
      <c r="AK467" t="inlineStr">
        <is>
          <t>SALDO FINANCIAR</t>
        </is>
      </c>
      <c r="AL467" t="n">
        <v>1</v>
      </c>
      <c r="AM467" t="n">
        <v>447300</v>
      </c>
      <c r="AN467" t="n">
        <v>0</v>
      </c>
      <c r="AO467" t="n">
        <v>0</v>
      </c>
      <c r="AP467" s="39" t="n">
        <v>447300</v>
      </c>
      <c r="AQ467" s="39" t="n">
        <v>0</v>
      </c>
      <c r="AR467" s="39" t="n">
        <v>447300</v>
      </c>
      <c r="AT467" t="inlineStr">
        <is>
          <t>Ahorro</t>
        </is>
      </c>
      <c r="AZ467" t="inlineStr">
        <is>
          <t>No</t>
        </is>
      </c>
      <c r="BC467" t="inlineStr">
        <is>
          <t>PENDIENTE</t>
        </is>
      </c>
      <c r="BN467" t="inlineStr">
        <is>
          <t>No</t>
        </is>
      </c>
      <c r="BO467" s="76" t="n">
        <v>45988.33333333334</v>
      </c>
      <c r="BP467" t="inlineStr">
        <is>
          <t>Magaly Guevara Perez</t>
        </is>
      </c>
      <c r="BR467" t="n">
        <v>3</v>
      </c>
      <c r="BW467" t="inlineStr">
        <is>
          <t>Cobranzas_2026.csv</t>
        </is>
      </c>
      <c r="BX467" t="n">
        <v>2026</v>
      </c>
      <c r="BY467" t="inlineStr">
        <is>
          <t>01/01/2024</t>
        </is>
      </c>
      <c r="BZ467" t="inlineStr">
        <is>
          <t>30/06/2031</t>
        </is>
      </c>
    </row>
    <row r="468">
      <c r="A468" t="inlineStr">
        <is>
          <t>RESIDENCIAL BEYOND</t>
        </is>
      </c>
      <c r="B468" t="inlineStr">
        <is>
          <t>Etapa 1</t>
        </is>
      </c>
      <c r="C468" t="inlineStr">
        <is>
          <t>Edificio</t>
        </is>
      </c>
      <c r="D468" t="inlineStr">
        <is>
          <t>A</t>
        </is>
      </c>
      <c r="E468" t="inlineStr">
        <is>
          <t>Departamento</t>
        </is>
      </c>
      <c r="F468" t="inlineStr">
        <is>
          <t>602</t>
        </is>
      </c>
      <c r="G468" s="39" t="n">
        <v>430000</v>
      </c>
      <c r="H468" s="39" t="n">
        <v>400000</v>
      </c>
      <c r="M468" s="39" t="n"/>
      <c r="N468" s="39" t="n"/>
      <c r="S468" s="39" t="n"/>
      <c r="T468" s="39" t="n"/>
      <c r="Y468" s="39" t="n"/>
      <c r="Z468" s="39" t="n"/>
      <c r="AA468" t="inlineStr">
        <is>
          <t>Luisa Liliana Esther Erazo Medina</t>
        </is>
      </c>
      <c r="AB468" t="inlineStr">
        <is>
          <t>74477120</t>
        </is>
      </c>
      <c r="AC468" t="inlineStr">
        <is>
          <t>Jr. Lastenia Larriva Se Llona 526 Urb. Esmeralda</t>
        </is>
      </c>
      <c r="AD468" t="n">
        <v>0</v>
      </c>
      <c r="AE468" t="inlineStr">
        <is>
          <t>922975710</t>
        </is>
      </c>
      <c r="AF468" t="inlineStr">
        <is>
          <t>lulleem95@gmail.com</t>
        </is>
      </c>
      <c r="AG468" t="inlineStr">
        <is>
          <t>LIMA</t>
        </is>
      </c>
      <c r="AH468" t="inlineStr">
        <is>
          <t>BREÑA</t>
        </is>
      </c>
      <c r="AI468" s="75" t="n">
        <v>46101</v>
      </c>
      <c r="AJ468" s="75" t="n">
        <v>46104</v>
      </c>
      <c r="AK468" t="inlineStr">
        <is>
          <t>SEPARACION</t>
        </is>
      </c>
      <c r="AL468" t="n">
        <v>1</v>
      </c>
      <c r="AM468" t="n">
        <v>3000</v>
      </c>
      <c r="AN468" t="n">
        <v>0</v>
      </c>
      <c r="AO468" t="n">
        <v>0</v>
      </c>
      <c r="AP468" s="39" t="n">
        <v>3000</v>
      </c>
      <c r="AQ468" s="39" t="n">
        <v>3000</v>
      </c>
      <c r="AR468" s="39" t="n">
        <v>0</v>
      </c>
      <c r="AS468" t="n">
        <v>0</v>
      </c>
      <c r="AT468" t="inlineStr">
        <is>
          <t>Ahorro</t>
        </is>
      </c>
      <c r="AU468" t="inlineStr">
        <is>
          <t>Banco de Credito del Perú</t>
        </is>
      </c>
      <c r="AV468" t="inlineStr">
        <is>
          <t>194-7325779-0-65</t>
        </is>
      </c>
      <c r="AW468" t="inlineStr">
        <is>
          <t>TRANSFERENCIA BANCARIA</t>
        </is>
      </c>
      <c r="AY468" t="inlineStr">
        <is>
          <t>4280825</t>
        </is>
      </c>
      <c r="AZ468" t="inlineStr">
        <is>
          <t>Si</t>
        </is>
      </c>
      <c r="BB468" t="n">
        <v>4</v>
      </c>
      <c r="BC468" t="inlineStr">
        <is>
          <t>CANCELADO</t>
        </is>
      </c>
      <c r="BN468" t="inlineStr">
        <is>
          <t>No</t>
        </is>
      </c>
      <c r="BO468" s="76" t="n">
        <v>46122.40486111111</v>
      </c>
      <c r="BP468" t="inlineStr">
        <is>
          <t>Magaly Guevara Perez</t>
        </is>
      </c>
      <c r="BR468" t="n">
        <v>24</v>
      </c>
      <c r="BS468" t="inlineStr">
        <is>
          <t>01/05/2026 20:15</t>
        </is>
      </c>
      <c r="BW468" t="inlineStr">
        <is>
          <t>Cobranzas_2026.csv</t>
        </is>
      </c>
      <c r="BX468" t="n">
        <v>2026</v>
      </c>
      <c r="BY468" t="inlineStr">
        <is>
          <t>01/01/2024</t>
        </is>
      </c>
      <c r="BZ468" t="inlineStr">
        <is>
          <t>30/06/2031</t>
        </is>
      </c>
    </row>
    <row r="469">
      <c r="A469" t="inlineStr">
        <is>
          <t>RESIDENCIAL BEYOND</t>
        </is>
      </c>
      <c r="B469" t="inlineStr">
        <is>
          <t>Etapa 1</t>
        </is>
      </c>
      <c r="C469" t="inlineStr">
        <is>
          <t>Edificio</t>
        </is>
      </c>
      <c r="D469" t="inlineStr">
        <is>
          <t>A</t>
        </is>
      </c>
      <c r="E469" t="inlineStr">
        <is>
          <t>Departamento</t>
        </is>
      </c>
      <c r="F469" t="inlineStr">
        <is>
          <t>602</t>
        </is>
      </c>
      <c r="G469" s="39" t="n">
        <v>430000</v>
      </c>
      <c r="H469" s="39" t="n">
        <v>400000</v>
      </c>
      <c r="M469" s="39" t="n"/>
      <c r="N469" s="39" t="n"/>
      <c r="S469" s="39" t="n"/>
      <c r="T469" s="39" t="n"/>
      <c r="Y469" s="39" t="n"/>
      <c r="Z469" s="39" t="n"/>
      <c r="AA469" t="inlineStr">
        <is>
          <t>Luisa Liliana Esther Erazo Medina</t>
        </is>
      </c>
      <c r="AB469" t="inlineStr">
        <is>
          <t>74477120</t>
        </is>
      </c>
      <c r="AC469" t="inlineStr">
        <is>
          <t>Jr. Lastenia Larriva Se Llona 526 Urb. Esmeralda</t>
        </is>
      </c>
      <c r="AD469" t="n">
        <v>0</v>
      </c>
      <c r="AE469" t="inlineStr">
        <is>
          <t>922975710</t>
        </is>
      </c>
      <c r="AF469" t="inlineStr">
        <is>
          <t>lulleem95@gmail.com</t>
        </is>
      </c>
      <c r="AG469" t="inlineStr">
        <is>
          <t>LIMA</t>
        </is>
      </c>
      <c r="AH469" t="inlineStr">
        <is>
          <t>BREÑA</t>
        </is>
      </c>
      <c r="AI469" s="75" t="n">
        <v>46122</v>
      </c>
      <c r="AJ469" s="75" t="n">
        <v>46122</v>
      </c>
      <c r="AK469" t="inlineStr">
        <is>
          <t>CUOTA INICIAL</t>
        </is>
      </c>
      <c r="AL469" t="n">
        <v>1</v>
      </c>
      <c r="AM469" t="n">
        <v>20000</v>
      </c>
      <c r="AN469" t="n">
        <v>0</v>
      </c>
      <c r="AO469" t="n">
        <v>0</v>
      </c>
      <c r="AP469" s="39" t="n">
        <v>20000</v>
      </c>
      <c r="AQ469" s="39" t="n">
        <v>20000</v>
      </c>
      <c r="AR469" s="39" t="n">
        <v>0</v>
      </c>
      <c r="AS469" t="n">
        <v>0</v>
      </c>
      <c r="AT469" t="inlineStr">
        <is>
          <t>Ahorro</t>
        </is>
      </c>
      <c r="AU469" t="inlineStr">
        <is>
          <t>Banco de Credito del Perú</t>
        </is>
      </c>
      <c r="AV469" t="inlineStr">
        <is>
          <t>194-7325779-0-65</t>
        </is>
      </c>
      <c r="AW469" t="inlineStr">
        <is>
          <t>TRANSFERENCIA BANCARIA</t>
        </is>
      </c>
      <c r="AY469" t="inlineStr">
        <is>
          <t>03954028</t>
        </is>
      </c>
      <c r="AZ469" t="inlineStr">
        <is>
          <t>No</t>
        </is>
      </c>
      <c r="BB469" t="n">
        <v>4</v>
      </c>
      <c r="BC469" t="inlineStr">
        <is>
          <t>CANCELADO</t>
        </is>
      </c>
      <c r="BN469" t="inlineStr">
        <is>
          <t>No</t>
        </is>
      </c>
      <c r="BO469" s="76" t="n">
        <v>46122.40486111111</v>
      </c>
      <c r="BP469" t="inlineStr">
        <is>
          <t>Magaly Guevara Perez</t>
        </is>
      </c>
      <c r="BR469" t="n">
        <v>24</v>
      </c>
      <c r="BS469" t="inlineStr">
        <is>
          <t>24/05/2026 14:32</t>
        </is>
      </c>
      <c r="BW469" t="inlineStr">
        <is>
          <t>Cobranzas_2026.csv</t>
        </is>
      </c>
      <c r="BX469" t="n">
        <v>2026</v>
      </c>
      <c r="BY469" t="inlineStr">
        <is>
          <t>01/01/2024</t>
        </is>
      </c>
      <c r="BZ469" t="inlineStr">
        <is>
          <t>30/06/2031</t>
        </is>
      </c>
    </row>
    <row r="470">
      <c r="A470" t="inlineStr">
        <is>
          <t>RESIDENCIAL BEYOND</t>
        </is>
      </c>
      <c r="B470" t="inlineStr">
        <is>
          <t>Etapa 1</t>
        </is>
      </c>
      <c r="C470" t="inlineStr">
        <is>
          <t>Edificio</t>
        </is>
      </c>
      <c r="D470" t="inlineStr">
        <is>
          <t>A</t>
        </is>
      </c>
      <c r="E470" t="inlineStr">
        <is>
          <t>Departamento</t>
        </is>
      </c>
      <c r="F470" t="inlineStr">
        <is>
          <t>602</t>
        </is>
      </c>
      <c r="G470" s="39" t="n">
        <v>430000</v>
      </c>
      <c r="H470" s="39" t="n">
        <v>400000</v>
      </c>
      <c r="M470" s="39" t="n"/>
      <c r="N470" s="39" t="n"/>
      <c r="S470" s="39" t="n"/>
      <c r="T470" s="39" t="n"/>
      <c r="Y470" s="39" t="n"/>
      <c r="Z470" s="39" t="n"/>
      <c r="AA470" t="inlineStr">
        <is>
          <t>Luisa Liliana Esther Erazo Medina</t>
        </is>
      </c>
      <c r="AB470" t="inlineStr">
        <is>
          <t>74477120</t>
        </is>
      </c>
      <c r="AC470" t="inlineStr">
        <is>
          <t>Jr. Lastenia Larriva Se Llona 526 Urb. Esmeralda</t>
        </is>
      </c>
      <c r="AD470" t="n">
        <v>0</v>
      </c>
      <c r="AE470" t="inlineStr">
        <is>
          <t>922975710</t>
        </is>
      </c>
      <c r="AF470" t="inlineStr">
        <is>
          <t>lulleem95@gmail.com</t>
        </is>
      </c>
      <c r="AG470" t="inlineStr">
        <is>
          <t>LIMA</t>
        </is>
      </c>
      <c r="AH470" t="inlineStr">
        <is>
          <t>BREÑA</t>
        </is>
      </c>
      <c r="AI470" s="75" t="n">
        <v>46234</v>
      </c>
      <c r="AJ470" s="75" t="n"/>
      <c r="AK470" t="inlineStr">
        <is>
          <t>CUOTA INICIAL</t>
        </is>
      </c>
      <c r="AL470" t="n">
        <v>2</v>
      </c>
      <c r="AM470" t="n">
        <v>30000</v>
      </c>
      <c r="AN470" t="n">
        <v>0</v>
      </c>
      <c r="AO470" t="n">
        <v>0</v>
      </c>
      <c r="AP470" s="39" t="n">
        <v>30000</v>
      </c>
      <c r="AQ470" s="39" t="n">
        <v>0</v>
      </c>
      <c r="AR470" s="39" t="n">
        <v>30000</v>
      </c>
      <c r="AT470" t="inlineStr">
        <is>
          <t>Ahorro</t>
        </is>
      </c>
      <c r="AZ470" t="inlineStr">
        <is>
          <t>No</t>
        </is>
      </c>
      <c r="BC470" t="inlineStr">
        <is>
          <t>PENDIENTE</t>
        </is>
      </c>
      <c r="BN470" t="inlineStr">
        <is>
          <t>No</t>
        </is>
      </c>
      <c r="BO470" s="76" t="n">
        <v>46122.40486111111</v>
      </c>
      <c r="BP470" t="inlineStr">
        <is>
          <t>Magaly Guevara Perez</t>
        </is>
      </c>
      <c r="BR470" t="n">
        <v>24</v>
      </c>
      <c r="BW470" t="inlineStr">
        <is>
          <t>Cobranzas_2026.csv</t>
        </is>
      </c>
      <c r="BX470" t="n">
        <v>2026</v>
      </c>
      <c r="BY470" t="inlineStr">
        <is>
          <t>01/01/2024</t>
        </is>
      </c>
      <c r="BZ470" t="inlineStr">
        <is>
          <t>30/06/2031</t>
        </is>
      </c>
    </row>
    <row r="471">
      <c r="A471" t="inlineStr">
        <is>
          <t>RESIDENCIAL BEYOND</t>
        </is>
      </c>
      <c r="B471" t="inlineStr">
        <is>
          <t>Etapa 1</t>
        </is>
      </c>
      <c r="C471" t="inlineStr">
        <is>
          <t>Edificio</t>
        </is>
      </c>
      <c r="D471" t="inlineStr">
        <is>
          <t>A</t>
        </is>
      </c>
      <c r="E471" t="inlineStr">
        <is>
          <t>Departamento</t>
        </is>
      </c>
      <c r="F471" t="inlineStr">
        <is>
          <t>602</t>
        </is>
      </c>
      <c r="G471" s="39" t="n">
        <v>430000</v>
      </c>
      <c r="H471" s="39" t="n">
        <v>400000</v>
      </c>
      <c r="M471" s="39" t="n"/>
      <c r="N471" s="39" t="n"/>
      <c r="S471" s="39" t="n"/>
      <c r="T471" s="39" t="n"/>
      <c r="Y471" s="39" t="n"/>
      <c r="Z471" s="39" t="n"/>
      <c r="AA471" t="inlineStr">
        <is>
          <t>Luisa Liliana Esther Erazo Medina</t>
        </is>
      </c>
      <c r="AB471" t="inlineStr">
        <is>
          <t>74477120</t>
        </is>
      </c>
      <c r="AC471" t="inlineStr">
        <is>
          <t>Jr. Lastenia Larriva Se Llona 526 Urb. Esmeralda</t>
        </is>
      </c>
      <c r="AD471" t="n">
        <v>0</v>
      </c>
      <c r="AE471" t="inlineStr">
        <is>
          <t>922975710</t>
        </is>
      </c>
      <c r="AF471" t="inlineStr">
        <is>
          <t>lulleem95@gmail.com</t>
        </is>
      </c>
      <c r="AG471" t="inlineStr">
        <is>
          <t>LIMA</t>
        </is>
      </c>
      <c r="AH471" t="inlineStr">
        <is>
          <t>BREÑA</t>
        </is>
      </c>
      <c r="AI471" s="75" t="n">
        <v>46265</v>
      </c>
      <c r="AJ471" s="75" t="n"/>
      <c r="AK471" t="inlineStr">
        <is>
          <t>SALDO FINANCIAR</t>
        </is>
      </c>
      <c r="AL471" t="n">
        <v>1</v>
      </c>
      <c r="AM471" t="n">
        <v>347000</v>
      </c>
      <c r="AN471" t="n">
        <v>0</v>
      </c>
      <c r="AO471" t="n">
        <v>0</v>
      </c>
      <c r="AP471" s="39" t="n">
        <v>347000</v>
      </c>
      <c r="AQ471" s="39" t="n">
        <v>0</v>
      </c>
      <c r="AR471" s="39" t="n">
        <v>347000</v>
      </c>
      <c r="AT471" t="inlineStr">
        <is>
          <t>Ahorro</t>
        </is>
      </c>
      <c r="AZ471" t="inlineStr">
        <is>
          <t>No</t>
        </is>
      </c>
      <c r="BC471" t="inlineStr">
        <is>
          <t>PENDIENTE</t>
        </is>
      </c>
      <c r="BN471" t="inlineStr">
        <is>
          <t>No</t>
        </is>
      </c>
      <c r="BO471" s="76" t="n">
        <v>46122.40486111111</v>
      </c>
      <c r="BP471" t="inlineStr">
        <is>
          <t>Magaly Guevara Perez</t>
        </is>
      </c>
      <c r="BR471" t="n">
        <v>24</v>
      </c>
      <c r="BW471" t="inlineStr">
        <is>
          <t>Cobranzas_2026.csv</t>
        </is>
      </c>
      <c r="BX471" t="n">
        <v>2026</v>
      </c>
      <c r="BY471" t="inlineStr">
        <is>
          <t>01/01/2024</t>
        </is>
      </c>
      <c r="BZ471" t="inlineStr">
        <is>
          <t>30/06/2031</t>
        </is>
      </c>
    </row>
    <row r="472">
      <c r="A472" t="inlineStr">
        <is>
          <t>RESIDENCIAL BEYOND</t>
        </is>
      </c>
      <c r="B472" t="inlineStr">
        <is>
          <t>Etapa 1</t>
        </is>
      </c>
      <c r="C472" t="inlineStr">
        <is>
          <t>Edificio</t>
        </is>
      </c>
      <c r="D472" t="inlineStr">
        <is>
          <t>A</t>
        </is>
      </c>
      <c r="E472" t="inlineStr">
        <is>
          <t>Departamento</t>
        </is>
      </c>
      <c r="F472" t="inlineStr">
        <is>
          <t>201</t>
        </is>
      </c>
      <c r="G472" s="39" t="n">
        <v>518500</v>
      </c>
      <c r="H472" s="39" t="n">
        <v>469500</v>
      </c>
      <c r="I472" t="inlineStr">
        <is>
          <t>Edificio</t>
        </is>
      </c>
      <c r="J472" t="inlineStr">
        <is>
          <t>A</t>
        </is>
      </c>
      <c r="K472" t="inlineStr">
        <is>
          <t>Estacionamiento</t>
        </is>
      </c>
      <c r="L472" t="inlineStr">
        <is>
          <t>E 16</t>
        </is>
      </c>
      <c r="M472" s="39" t="n">
        <v>50400</v>
      </c>
      <c r="N472" s="39" t="n">
        <v>50400</v>
      </c>
      <c r="S472" s="39" t="n"/>
      <c r="T472" s="39" t="n"/>
      <c r="Y472" s="39" t="n"/>
      <c r="Z472" s="39" t="n"/>
      <c r="AA472" t="inlineStr">
        <is>
          <t>Marco Antonio Cordova Oropeza</t>
        </is>
      </c>
      <c r="AB472" t="inlineStr">
        <is>
          <t>22079563</t>
        </is>
      </c>
      <c r="AC472" t="inlineStr">
        <is>
          <t>Av.Cayetano Heredia 435 Int.1 Urb Fundo Oyague</t>
        </is>
      </c>
      <c r="AD472" t="n">
        <v>0</v>
      </c>
      <c r="AE472" t="inlineStr">
        <is>
          <t>1513-257-6062</t>
        </is>
      </c>
      <c r="AF472" t="inlineStr">
        <is>
          <t>maancoor@gmail.com</t>
        </is>
      </c>
      <c r="AG472" t="inlineStr">
        <is>
          <t>LIMA</t>
        </is>
      </c>
      <c r="AH472" t="inlineStr">
        <is>
          <t>JESUS MARIA</t>
        </is>
      </c>
      <c r="AI472" s="75" t="n">
        <v>46134</v>
      </c>
      <c r="AJ472" s="75" t="n">
        <v>46134</v>
      </c>
      <c r="AK472" t="inlineStr">
        <is>
          <t>CUOTA INICIAL</t>
        </is>
      </c>
      <c r="AL472" t="n">
        <v>1</v>
      </c>
      <c r="AM472" t="n">
        <v>89920</v>
      </c>
      <c r="AN472" t="n">
        <v>0</v>
      </c>
      <c r="AO472" t="n">
        <v>0</v>
      </c>
      <c r="AP472" s="39" t="n">
        <v>89920</v>
      </c>
      <c r="AQ472" s="39" t="n">
        <v>89920</v>
      </c>
      <c r="AR472" s="39" t="n">
        <v>0</v>
      </c>
      <c r="AS472" t="n">
        <v>0</v>
      </c>
      <c r="AT472" t="inlineStr">
        <is>
          <t>Crédito Directo</t>
        </is>
      </c>
      <c r="AU472" t="inlineStr">
        <is>
          <t>Banco de Credito del Perú</t>
        </is>
      </c>
      <c r="AV472" t="inlineStr">
        <is>
          <t>194-7325779-0-65</t>
        </is>
      </c>
      <c r="AW472" t="inlineStr">
        <is>
          <t>TRANSFERENCIA BANCARIA</t>
        </is>
      </c>
      <c r="AX472" t="n">
        <v>22079563</v>
      </c>
      <c r="AY472" t="inlineStr">
        <is>
          <t>0697429</t>
        </is>
      </c>
      <c r="AZ472" t="inlineStr">
        <is>
          <t>No</t>
        </is>
      </c>
      <c r="BA472" t="inlineStr">
        <is>
          <t>NO PRECISA</t>
        </is>
      </c>
      <c r="BB472" t="n">
        <v>4</v>
      </c>
      <c r="BC472" t="inlineStr">
        <is>
          <t>CANCELADO</t>
        </is>
      </c>
      <c r="BH472" t="inlineStr">
        <is>
          <t>18/05/2026 00:00</t>
        </is>
      </c>
      <c r="BI472" t="n">
        <v>89920</v>
      </c>
      <c r="BJ472" t="n">
        <v>100</v>
      </c>
      <c r="BL472" t="inlineStr">
        <is>
          <t>18/05/2026 03:48</t>
        </is>
      </c>
      <c r="BM472" t="inlineStr">
        <is>
          <t>Magaly Guevara Perez</t>
        </is>
      </c>
      <c r="BN472" t="inlineStr">
        <is>
          <t>Si</t>
        </is>
      </c>
      <c r="BO472" s="76" t="n">
        <v>45986.54513888889</v>
      </c>
      <c r="BP472" t="inlineStr">
        <is>
          <t>Magaly Guevara Perez</t>
        </is>
      </c>
      <c r="BR472" t="n">
        <v>1</v>
      </c>
      <c r="BS472" t="inlineStr">
        <is>
          <t>18/05/2026 03:51</t>
        </is>
      </c>
      <c r="BW472" t="inlineStr">
        <is>
          <t>Cobranzas_2026.csv</t>
        </is>
      </c>
      <c r="BX472" t="n">
        <v>2026</v>
      </c>
      <c r="BY472" t="inlineStr">
        <is>
          <t>01/01/2024</t>
        </is>
      </c>
      <c r="BZ472" t="inlineStr">
        <is>
          <t>30/06/2031</t>
        </is>
      </c>
    </row>
    <row r="473">
      <c r="A473" t="inlineStr">
        <is>
          <t>RESIDENCIAL BEYOND</t>
        </is>
      </c>
      <c r="B473" t="inlineStr">
        <is>
          <t>Etapa 1</t>
        </is>
      </c>
      <c r="C473" t="inlineStr">
        <is>
          <t>Edificio</t>
        </is>
      </c>
      <c r="D473" t="inlineStr">
        <is>
          <t>A</t>
        </is>
      </c>
      <c r="E473" t="inlineStr">
        <is>
          <t>Departamento</t>
        </is>
      </c>
      <c r="F473" t="inlineStr">
        <is>
          <t>201</t>
        </is>
      </c>
      <c r="G473" s="39" t="n">
        <v>518500</v>
      </c>
      <c r="H473" s="39" t="n">
        <v>469500</v>
      </c>
      <c r="I473" t="inlineStr">
        <is>
          <t>Edificio</t>
        </is>
      </c>
      <c r="J473" t="inlineStr">
        <is>
          <t>A</t>
        </is>
      </c>
      <c r="K473" t="inlineStr">
        <is>
          <t>Estacionamiento</t>
        </is>
      </c>
      <c r="L473" t="inlineStr">
        <is>
          <t>E 16</t>
        </is>
      </c>
      <c r="M473" s="39" t="n">
        <v>50400</v>
      </c>
      <c r="N473" s="39" t="n">
        <v>50400</v>
      </c>
      <c r="S473" s="39" t="n"/>
      <c r="T473" s="39" t="n"/>
      <c r="Y473" s="39" t="n"/>
      <c r="Z473" s="39" t="n"/>
      <c r="AA473" t="inlineStr">
        <is>
          <t>Marco Antonio Cordova Oropeza</t>
        </is>
      </c>
      <c r="AB473" t="inlineStr">
        <is>
          <t>22079563</t>
        </is>
      </c>
      <c r="AC473" t="inlineStr">
        <is>
          <t>Av.Cayetano Heredia 435 Int.1 Urb Fundo Oyague</t>
        </is>
      </c>
      <c r="AD473" t="n">
        <v>0</v>
      </c>
      <c r="AE473" t="inlineStr">
        <is>
          <t>1513-257-6062</t>
        </is>
      </c>
      <c r="AF473" t="inlineStr">
        <is>
          <t>maancoor@gmail.com</t>
        </is>
      </c>
      <c r="AG473" t="inlineStr">
        <is>
          <t>LIMA</t>
        </is>
      </c>
      <c r="AH473" t="inlineStr">
        <is>
          <t>JESUS MARIA</t>
        </is>
      </c>
      <c r="AI473" s="75" t="n">
        <v>46231</v>
      </c>
      <c r="AJ473" s="75" t="n"/>
      <c r="AK473" t="inlineStr">
        <is>
          <t>SALDO FINANCIAR</t>
        </is>
      </c>
      <c r="AL473" t="n">
        <v>1</v>
      </c>
      <c r="AM473" t="n">
        <v>37270.91</v>
      </c>
      <c r="AN473" t="n">
        <v>0</v>
      </c>
      <c r="AO473" t="n">
        <v>0</v>
      </c>
      <c r="AP473" s="39" t="n">
        <v>37270.91</v>
      </c>
      <c r="AQ473" s="39" t="n">
        <v>0</v>
      </c>
      <c r="AR473" s="39" t="n">
        <v>37270.91</v>
      </c>
      <c r="AT473" t="inlineStr">
        <is>
          <t>Crédito Directo</t>
        </is>
      </c>
      <c r="AZ473" t="inlineStr">
        <is>
          <t>No</t>
        </is>
      </c>
      <c r="BC473" t="inlineStr">
        <is>
          <t>PENDIENTE</t>
        </is>
      </c>
      <c r="BN473" t="inlineStr">
        <is>
          <t>No</t>
        </is>
      </c>
      <c r="BO473" s="76" t="n">
        <v>45986.54513888889</v>
      </c>
      <c r="BP473" t="inlineStr">
        <is>
          <t>Magaly Guevara Perez</t>
        </is>
      </c>
      <c r="BR473" t="n">
        <v>1</v>
      </c>
      <c r="BW473" t="inlineStr">
        <is>
          <t>Cobranzas_2026.csv</t>
        </is>
      </c>
      <c r="BX473" t="n">
        <v>2026</v>
      </c>
      <c r="BY473" t="inlineStr">
        <is>
          <t>01/01/2024</t>
        </is>
      </c>
      <c r="BZ473" t="inlineStr">
        <is>
          <t>30/06/2031</t>
        </is>
      </c>
    </row>
    <row r="474">
      <c r="A474" t="inlineStr">
        <is>
          <t>RESIDENCIAL BEYOND</t>
        </is>
      </c>
      <c r="B474" t="inlineStr">
        <is>
          <t>Etapa 1</t>
        </is>
      </c>
      <c r="C474" t="inlineStr">
        <is>
          <t>Edificio</t>
        </is>
      </c>
      <c r="D474" t="inlineStr">
        <is>
          <t>A</t>
        </is>
      </c>
      <c r="E474" t="inlineStr">
        <is>
          <t>Departamento</t>
        </is>
      </c>
      <c r="F474" t="inlineStr">
        <is>
          <t>201</t>
        </is>
      </c>
      <c r="G474" s="39" t="n">
        <v>518500</v>
      </c>
      <c r="H474" s="39" t="n">
        <v>469500</v>
      </c>
      <c r="I474" t="inlineStr">
        <is>
          <t>Edificio</t>
        </is>
      </c>
      <c r="J474" t="inlineStr">
        <is>
          <t>A</t>
        </is>
      </c>
      <c r="K474" t="inlineStr">
        <is>
          <t>Estacionamiento</t>
        </is>
      </c>
      <c r="L474" t="inlineStr">
        <is>
          <t>E 16</t>
        </is>
      </c>
      <c r="M474" s="39" t="n">
        <v>50400</v>
      </c>
      <c r="N474" s="39" t="n">
        <v>50400</v>
      </c>
      <c r="S474" s="39" t="n"/>
      <c r="T474" s="39" t="n"/>
      <c r="Y474" s="39" t="n"/>
      <c r="Z474" s="39" t="n"/>
      <c r="AA474" t="inlineStr">
        <is>
          <t>Marco Antonio Cordova Oropeza</t>
        </is>
      </c>
      <c r="AB474" t="inlineStr">
        <is>
          <t>22079563</t>
        </is>
      </c>
      <c r="AC474" t="inlineStr">
        <is>
          <t>Av.Cayetano Heredia 435 Int.1 Urb Fundo Oyague</t>
        </is>
      </c>
      <c r="AD474" t="n">
        <v>0</v>
      </c>
      <c r="AE474" t="inlineStr">
        <is>
          <t>1513-257-6062</t>
        </is>
      </c>
      <c r="AF474" t="inlineStr">
        <is>
          <t>maancoor@gmail.com</t>
        </is>
      </c>
      <c r="AG474" t="inlineStr">
        <is>
          <t>LIMA</t>
        </is>
      </c>
      <c r="AH474" t="inlineStr">
        <is>
          <t>JESUS MARIA</t>
        </is>
      </c>
      <c r="AI474" s="75" t="n">
        <v>46262</v>
      </c>
      <c r="AJ474" s="75" t="n"/>
      <c r="AK474" t="inlineStr">
        <is>
          <t>SALDO FINANCIAR</t>
        </is>
      </c>
      <c r="AL474" t="n">
        <v>2</v>
      </c>
      <c r="AM474" t="n">
        <v>37270.91</v>
      </c>
      <c r="AN474" t="n">
        <v>0</v>
      </c>
      <c r="AO474" t="n">
        <v>0</v>
      </c>
      <c r="AP474" s="39" t="n">
        <v>37270.91</v>
      </c>
      <c r="AQ474" s="39" t="n">
        <v>0</v>
      </c>
      <c r="AR474" s="39" t="n">
        <v>37270.91</v>
      </c>
      <c r="AT474" t="inlineStr">
        <is>
          <t>Crédito Directo</t>
        </is>
      </c>
      <c r="AZ474" t="inlineStr">
        <is>
          <t>No</t>
        </is>
      </c>
      <c r="BC474" t="inlineStr">
        <is>
          <t>PENDIENTE</t>
        </is>
      </c>
      <c r="BN474" t="inlineStr">
        <is>
          <t>No</t>
        </is>
      </c>
      <c r="BO474" s="76" t="n">
        <v>45986.54513888889</v>
      </c>
      <c r="BP474" t="inlineStr">
        <is>
          <t>Magaly Guevara Perez</t>
        </is>
      </c>
      <c r="BR474" t="n">
        <v>1</v>
      </c>
      <c r="BW474" t="inlineStr">
        <is>
          <t>Cobranzas_2026.csv</t>
        </is>
      </c>
      <c r="BX474" t="n">
        <v>2026</v>
      </c>
      <c r="BY474" t="inlineStr">
        <is>
          <t>01/01/2024</t>
        </is>
      </c>
      <c r="BZ474" t="inlineStr">
        <is>
          <t>30/06/2031</t>
        </is>
      </c>
    </row>
    <row r="475">
      <c r="A475" t="inlineStr">
        <is>
          <t>RESIDENCIAL BEYOND</t>
        </is>
      </c>
      <c r="B475" t="inlineStr">
        <is>
          <t>Etapa 1</t>
        </is>
      </c>
      <c r="C475" t="inlineStr">
        <is>
          <t>Edificio</t>
        </is>
      </c>
      <c r="D475" t="inlineStr">
        <is>
          <t>A</t>
        </is>
      </c>
      <c r="E475" t="inlineStr">
        <is>
          <t>Departamento</t>
        </is>
      </c>
      <c r="F475" t="inlineStr">
        <is>
          <t>201</t>
        </is>
      </c>
      <c r="G475" s="39" t="n">
        <v>518500</v>
      </c>
      <c r="H475" s="39" t="n">
        <v>469500</v>
      </c>
      <c r="I475" t="inlineStr">
        <is>
          <t>Edificio</t>
        </is>
      </c>
      <c r="J475" t="inlineStr">
        <is>
          <t>A</t>
        </is>
      </c>
      <c r="K475" t="inlineStr">
        <is>
          <t>Estacionamiento</t>
        </is>
      </c>
      <c r="L475" t="inlineStr">
        <is>
          <t>E 16</t>
        </is>
      </c>
      <c r="M475" s="39" t="n">
        <v>50400</v>
      </c>
      <c r="N475" s="39" t="n">
        <v>50400</v>
      </c>
      <c r="S475" s="39" t="n"/>
      <c r="T475" s="39" t="n"/>
      <c r="Y475" s="39" t="n"/>
      <c r="Z475" s="39" t="n"/>
      <c r="AA475" t="inlineStr">
        <is>
          <t>Marco Antonio Cordova Oropeza</t>
        </is>
      </c>
      <c r="AB475" t="inlineStr">
        <is>
          <t>22079563</t>
        </is>
      </c>
      <c r="AC475" t="inlineStr">
        <is>
          <t>Av.Cayetano Heredia 435 Int.1 Urb Fundo Oyague</t>
        </is>
      </c>
      <c r="AD475" t="n">
        <v>0</v>
      </c>
      <c r="AE475" t="inlineStr">
        <is>
          <t>1513-257-6062</t>
        </is>
      </c>
      <c r="AF475" t="inlineStr">
        <is>
          <t>maancoor@gmail.com</t>
        </is>
      </c>
      <c r="AG475" t="inlineStr">
        <is>
          <t>LIMA</t>
        </is>
      </c>
      <c r="AH475" t="inlineStr">
        <is>
          <t>JESUS MARIA</t>
        </is>
      </c>
      <c r="AI475" s="75" t="n">
        <v>46293</v>
      </c>
      <c r="AJ475" s="75" t="n"/>
      <c r="AK475" t="inlineStr">
        <is>
          <t>SALDO FINANCIAR</t>
        </is>
      </c>
      <c r="AL475" t="n">
        <v>3</v>
      </c>
      <c r="AM475" t="n">
        <v>37270.91</v>
      </c>
      <c r="AN475" t="n">
        <v>0</v>
      </c>
      <c r="AO475" t="n">
        <v>0</v>
      </c>
      <c r="AP475" s="39" t="n">
        <v>37270.91</v>
      </c>
      <c r="AQ475" s="39" t="n">
        <v>0</v>
      </c>
      <c r="AR475" s="39" t="n">
        <v>37270.91</v>
      </c>
      <c r="AT475" t="inlineStr">
        <is>
          <t>Crédito Directo</t>
        </is>
      </c>
      <c r="AZ475" t="inlineStr">
        <is>
          <t>No</t>
        </is>
      </c>
      <c r="BC475" t="inlineStr">
        <is>
          <t>PENDIENTE</t>
        </is>
      </c>
      <c r="BN475" t="inlineStr">
        <is>
          <t>No</t>
        </is>
      </c>
      <c r="BO475" s="76" t="n">
        <v>45986.54513888889</v>
      </c>
      <c r="BP475" t="inlineStr">
        <is>
          <t>Magaly Guevara Perez</t>
        </is>
      </c>
      <c r="BR475" t="n">
        <v>1</v>
      </c>
      <c r="BW475" t="inlineStr">
        <is>
          <t>Cobranzas_2026.csv</t>
        </is>
      </c>
      <c r="BX475" t="n">
        <v>2026</v>
      </c>
      <c r="BY475" t="inlineStr">
        <is>
          <t>01/01/2024</t>
        </is>
      </c>
      <c r="BZ475" t="inlineStr">
        <is>
          <t>30/06/2031</t>
        </is>
      </c>
    </row>
    <row r="476">
      <c r="A476" t="inlineStr">
        <is>
          <t>RESIDENCIAL BEYOND</t>
        </is>
      </c>
      <c r="B476" t="inlineStr">
        <is>
          <t>Etapa 1</t>
        </is>
      </c>
      <c r="C476" t="inlineStr">
        <is>
          <t>Edificio</t>
        </is>
      </c>
      <c r="D476" t="inlineStr">
        <is>
          <t>A</t>
        </is>
      </c>
      <c r="E476" t="inlineStr">
        <is>
          <t>Departamento</t>
        </is>
      </c>
      <c r="F476" t="inlineStr">
        <is>
          <t>201</t>
        </is>
      </c>
      <c r="G476" s="39" t="n">
        <v>518500</v>
      </c>
      <c r="H476" s="39" t="n">
        <v>469500</v>
      </c>
      <c r="I476" t="inlineStr">
        <is>
          <t>Edificio</t>
        </is>
      </c>
      <c r="J476" t="inlineStr">
        <is>
          <t>A</t>
        </is>
      </c>
      <c r="K476" t="inlineStr">
        <is>
          <t>Estacionamiento</t>
        </is>
      </c>
      <c r="L476" t="inlineStr">
        <is>
          <t>E 16</t>
        </is>
      </c>
      <c r="M476" s="39" t="n">
        <v>50400</v>
      </c>
      <c r="N476" s="39" t="n">
        <v>50400</v>
      </c>
      <c r="S476" s="39" t="n"/>
      <c r="T476" s="39" t="n"/>
      <c r="Y476" s="39" t="n"/>
      <c r="Z476" s="39" t="n"/>
      <c r="AA476" t="inlineStr">
        <is>
          <t>Marco Antonio Cordova Oropeza</t>
        </is>
      </c>
      <c r="AB476" t="inlineStr">
        <is>
          <t>22079563</t>
        </is>
      </c>
      <c r="AC476" t="inlineStr">
        <is>
          <t>Av.Cayetano Heredia 435 Int.1 Urb Fundo Oyague</t>
        </is>
      </c>
      <c r="AD476" t="n">
        <v>0</v>
      </c>
      <c r="AE476" t="inlineStr">
        <is>
          <t>1513-257-6062</t>
        </is>
      </c>
      <c r="AF476" t="inlineStr">
        <is>
          <t>maancoor@gmail.com</t>
        </is>
      </c>
      <c r="AG476" t="inlineStr">
        <is>
          <t>LIMA</t>
        </is>
      </c>
      <c r="AH476" t="inlineStr">
        <is>
          <t>JESUS MARIA</t>
        </is>
      </c>
      <c r="AI476" s="75" t="n">
        <v>46323</v>
      </c>
      <c r="AJ476" s="75" t="n"/>
      <c r="AK476" t="inlineStr">
        <is>
          <t>SALDO FINANCIAR</t>
        </is>
      </c>
      <c r="AL476" t="n">
        <v>4</v>
      </c>
      <c r="AM476" t="n">
        <v>37270.91</v>
      </c>
      <c r="AN476" t="n">
        <v>0</v>
      </c>
      <c r="AO476" t="n">
        <v>0</v>
      </c>
      <c r="AP476" s="39" t="n">
        <v>37270.91</v>
      </c>
      <c r="AQ476" s="39" t="n">
        <v>0</v>
      </c>
      <c r="AR476" s="39" t="n">
        <v>37270.91</v>
      </c>
      <c r="AT476" t="inlineStr">
        <is>
          <t>Crédito Directo</t>
        </is>
      </c>
      <c r="AZ476" t="inlineStr">
        <is>
          <t>No</t>
        </is>
      </c>
      <c r="BC476" t="inlineStr">
        <is>
          <t>PENDIENTE</t>
        </is>
      </c>
      <c r="BN476" t="inlineStr">
        <is>
          <t>No</t>
        </is>
      </c>
      <c r="BO476" s="76" t="n">
        <v>45986.54513888889</v>
      </c>
      <c r="BP476" t="inlineStr">
        <is>
          <t>Magaly Guevara Perez</t>
        </is>
      </c>
      <c r="BR476" t="n">
        <v>1</v>
      </c>
      <c r="BW476" t="inlineStr">
        <is>
          <t>Cobranzas_2026.csv</t>
        </is>
      </c>
      <c r="BX476" t="n">
        <v>2026</v>
      </c>
      <c r="BY476" t="inlineStr">
        <is>
          <t>01/01/2024</t>
        </is>
      </c>
      <c r="BZ476" t="inlineStr">
        <is>
          <t>30/06/2031</t>
        </is>
      </c>
    </row>
    <row r="477">
      <c r="A477" t="inlineStr">
        <is>
          <t>RESIDENCIAL BEYOND</t>
        </is>
      </c>
      <c r="B477" t="inlineStr">
        <is>
          <t>Etapa 1</t>
        </is>
      </c>
      <c r="C477" t="inlineStr">
        <is>
          <t>Edificio</t>
        </is>
      </c>
      <c r="D477" t="inlineStr">
        <is>
          <t>A</t>
        </is>
      </c>
      <c r="E477" t="inlineStr">
        <is>
          <t>Departamento</t>
        </is>
      </c>
      <c r="F477" t="inlineStr">
        <is>
          <t>201</t>
        </is>
      </c>
      <c r="G477" s="39" t="n">
        <v>518500</v>
      </c>
      <c r="H477" s="39" t="n">
        <v>469500</v>
      </c>
      <c r="I477" t="inlineStr">
        <is>
          <t>Edificio</t>
        </is>
      </c>
      <c r="J477" t="inlineStr">
        <is>
          <t>A</t>
        </is>
      </c>
      <c r="K477" t="inlineStr">
        <is>
          <t>Estacionamiento</t>
        </is>
      </c>
      <c r="L477" t="inlineStr">
        <is>
          <t>E 16</t>
        </is>
      </c>
      <c r="M477" s="39" t="n">
        <v>50400</v>
      </c>
      <c r="N477" s="39" t="n">
        <v>50400</v>
      </c>
      <c r="S477" s="39" t="n"/>
      <c r="T477" s="39" t="n"/>
      <c r="Y477" s="39" t="n"/>
      <c r="Z477" s="39" t="n"/>
      <c r="AA477" t="inlineStr">
        <is>
          <t>Marco Antonio Cordova Oropeza</t>
        </is>
      </c>
      <c r="AB477" t="inlineStr">
        <is>
          <t>22079563</t>
        </is>
      </c>
      <c r="AC477" t="inlineStr">
        <is>
          <t>Av.Cayetano Heredia 435 Int.1 Urb Fundo Oyague</t>
        </is>
      </c>
      <c r="AD477" t="n">
        <v>0</v>
      </c>
      <c r="AE477" t="inlineStr">
        <is>
          <t>1513-257-6062</t>
        </is>
      </c>
      <c r="AF477" t="inlineStr">
        <is>
          <t>maancoor@gmail.com</t>
        </is>
      </c>
      <c r="AG477" t="inlineStr">
        <is>
          <t>LIMA</t>
        </is>
      </c>
      <c r="AH477" t="inlineStr">
        <is>
          <t>JESUS MARIA</t>
        </is>
      </c>
      <c r="AI477" s="75" t="n">
        <v>46354</v>
      </c>
      <c r="AJ477" s="75" t="n"/>
      <c r="AK477" t="inlineStr">
        <is>
          <t>SALDO FINANCIAR</t>
        </is>
      </c>
      <c r="AL477" t="n">
        <v>5</v>
      </c>
      <c r="AM477" t="n">
        <v>37270.91</v>
      </c>
      <c r="AN477" t="n">
        <v>0</v>
      </c>
      <c r="AO477" t="n">
        <v>0</v>
      </c>
      <c r="AP477" s="39" t="n">
        <v>37270.91</v>
      </c>
      <c r="AQ477" s="39" t="n">
        <v>0</v>
      </c>
      <c r="AR477" s="39" t="n">
        <v>37270.91</v>
      </c>
      <c r="AT477" t="inlineStr">
        <is>
          <t>Crédito Directo</t>
        </is>
      </c>
      <c r="AZ477" t="inlineStr">
        <is>
          <t>No</t>
        </is>
      </c>
      <c r="BC477" t="inlineStr">
        <is>
          <t>PENDIENTE</t>
        </is>
      </c>
      <c r="BN477" t="inlineStr">
        <is>
          <t>No</t>
        </is>
      </c>
      <c r="BO477" s="76" t="n">
        <v>45986.54513888889</v>
      </c>
      <c r="BP477" t="inlineStr">
        <is>
          <t>Magaly Guevara Perez</t>
        </is>
      </c>
      <c r="BR477" t="n">
        <v>1</v>
      </c>
      <c r="BW477" t="inlineStr">
        <is>
          <t>Cobranzas_2026.csv</t>
        </is>
      </c>
      <c r="BX477" t="n">
        <v>2026</v>
      </c>
      <c r="BY477" t="inlineStr">
        <is>
          <t>01/01/2024</t>
        </is>
      </c>
      <c r="BZ477" t="inlineStr">
        <is>
          <t>30/06/2031</t>
        </is>
      </c>
    </row>
    <row r="478">
      <c r="A478" t="inlineStr">
        <is>
          <t>RESIDENCIAL BEYOND</t>
        </is>
      </c>
      <c r="B478" t="inlineStr">
        <is>
          <t>Etapa 1</t>
        </is>
      </c>
      <c r="C478" t="inlineStr">
        <is>
          <t>Edificio</t>
        </is>
      </c>
      <c r="D478" t="inlineStr">
        <is>
          <t>A</t>
        </is>
      </c>
      <c r="E478" t="inlineStr">
        <is>
          <t>Departamento</t>
        </is>
      </c>
      <c r="F478" t="inlineStr">
        <is>
          <t>201</t>
        </is>
      </c>
      <c r="G478" s="39" t="n">
        <v>518500</v>
      </c>
      <c r="H478" s="39" t="n">
        <v>469500</v>
      </c>
      <c r="I478" t="inlineStr">
        <is>
          <t>Edificio</t>
        </is>
      </c>
      <c r="J478" t="inlineStr">
        <is>
          <t>A</t>
        </is>
      </c>
      <c r="K478" t="inlineStr">
        <is>
          <t>Estacionamiento</t>
        </is>
      </c>
      <c r="L478" t="inlineStr">
        <is>
          <t>E 16</t>
        </is>
      </c>
      <c r="M478" s="39" t="n">
        <v>50400</v>
      </c>
      <c r="N478" s="39" t="n">
        <v>50400</v>
      </c>
      <c r="S478" s="39" t="n"/>
      <c r="T478" s="39" t="n"/>
      <c r="Y478" s="39" t="n"/>
      <c r="Z478" s="39" t="n"/>
      <c r="AA478" t="inlineStr">
        <is>
          <t>Marco Antonio Cordova Oropeza</t>
        </is>
      </c>
      <c r="AB478" t="inlineStr">
        <is>
          <t>22079563</t>
        </is>
      </c>
      <c r="AC478" t="inlineStr">
        <is>
          <t>Av.Cayetano Heredia 435 Int.1 Urb Fundo Oyague</t>
        </is>
      </c>
      <c r="AD478" t="n">
        <v>0</v>
      </c>
      <c r="AE478" t="inlineStr">
        <is>
          <t>1513-257-6062</t>
        </is>
      </c>
      <c r="AF478" t="inlineStr">
        <is>
          <t>maancoor@gmail.com</t>
        </is>
      </c>
      <c r="AG478" t="inlineStr">
        <is>
          <t>LIMA</t>
        </is>
      </c>
      <c r="AH478" t="inlineStr">
        <is>
          <t>JESUS MARIA</t>
        </is>
      </c>
      <c r="AI478" s="75" t="n">
        <v>46384</v>
      </c>
      <c r="AJ478" s="75" t="n"/>
      <c r="AK478" t="inlineStr">
        <is>
          <t>SALDO FINANCIAR</t>
        </is>
      </c>
      <c r="AL478" t="n">
        <v>6</v>
      </c>
      <c r="AM478" t="n">
        <v>37270.91</v>
      </c>
      <c r="AN478" t="n">
        <v>0</v>
      </c>
      <c r="AO478" t="n">
        <v>0</v>
      </c>
      <c r="AP478" s="39" t="n">
        <v>37270.91</v>
      </c>
      <c r="AQ478" s="39" t="n">
        <v>0</v>
      </c>
      <c r="AR478" s="39" t="n">
        <v>37270.91</v>
      </c>
      <c r="AT478" t="inlineStr">
        <is>
          <t>Crédito Directo</t>
        </is>
      </c>
      <c r="AZ478" t="inlineStr">
        <is>
          <t>No</t>
        </is>
      </c>
      <c r="BC478" t="inlineStr">
        <is>
          <t>PENDIENTE</t>
        </is>
      </c>
      <c r="BN478" t="inlineStr">
        <is>
          <t>No</t>
        </is>
      </c>
      <c r="BO478" s="76" t="n">
        <v>45986.54513888889</v>
      </c>
      <c r="BP478" t="inlineStr">
        <is>
          <t>Magaly Guevara Perez</t>
        </is>
      </c>
      <c r="BR478" t="n">
        <v>1</v>
      </c>
      <c r="BW478" t="inlineStr">
        <is>
          <t>Cobranzas_2026.csv</t>
        </is>
      </c>
      <c r="BX478" t="n">
        <v>2026</v>
      </c>
      <c r="BY478" t="inlineStr">
        <is>
          <t>01/01/2024</t>
        </is>
      </c>
      <c r="BZ478" t="inlineStr">
        <is>
          <t>30/06/2031</t>
        </is>
      </c>
    </row>
    <row r="479">
      <c r="A479" t="inlineStr">
        <is>
          <t>RESIDENCIAL PRADA</t>
        </is>
      </c>
      <c r="B479" t="inlineStr">
        <is>
          <t>Etapa 1</t>
        </is>
      </c>
      <c r="C479" t="inlineStr">
        <is>
          <t>Edificio</t>
        </is>
      </c>
      <c r="D479" t="inlineStr">
        <is>
          <t>A</t>
        </is>
      </c>
      <c r="E479" t="inlineStr">
        <is>
          <t>Departamento</t>
        </is>
      </c>
      <c r="F479" t="inlineStr">
        <is>
          <t>803</t>
        </is>
      </c>
      <c r="G479" s="39" t="n">
        <v>654000</v>
      </c>
      <c r="H479" s="39" t="n">
        <v>654000</v>
      </c>
      <c r="I479" t="inlineStr">
        <is>
          <t>Edificio</t>
        </is>
      </c>
      <c r="J479" t="inlineStr">
        <is>
          <t>A</t>
        </is>
      </c>
      <c r="K479" t="inlineStr">
        <is>
          <t>Estacionamiento</t>
        </is>
      </c>
      <c r="L479" t="inlineStr">
        <is>
          <t>E 32 - D 24</t>
        </is>
      </c>
      <c r="M479" s="39" t="n">
        <v>55800</v>
      </c>
      <c r="N479" s="39" t="n">
        <v>55800</v>
      </c>
      <c r="O479" t="inlineStr">
        <is>
          <t>Edificio</t>
        </is>
      </c>
      <c r="P479" t="inlineStr">
        <is>
          <t>A</t>
        </is>
      </c>
      <c r="Q479" t="inlineStr">
        <is>
          <t>Estacionamiento</t>
        </is>
      </c>
      <c r="R479" t="inlineStr">
        <is>
          <t>E 33 - D 25</t>
        </is>
      </c>
      <c r="S479" s="39" t="n">
        <v>60000</v>
      </c>
      <c r="T479" s="39" t="n">
        <v>60000</v>
      </c>
      <c r="Y479" s="39" t="n"/>
      <c r="Z479" s="39" t="n"/>
      <c r="AA479" t="inlineStr">
        <is>
          <t>Marco Antonio Cordova Oropeza</t>
        </is>
      </c>
      <c r="AB479" t="inlineStr">
        <is>
          <t>22079563</t>
        </is>
      </c>
      <c r="AC479" t="inlineStr">
        <is>
          <t>Av.Cayetano Heredia 435 Int.1 Urb Fundo Oyague</t>
        </is>
      </c>
      <c r="AD479" t="n">
        <v>0</v>
      </c>
      <c r="AE479" t="inlineStr">
        <is>
          <t>1513-257-6062</t>
        </is>
      </c>
      <c r="AF479" t="inlineStr">
        <is>
          <t>maancoor@gmail.com</t>
        </is>
      </c>
      <c r="AG479" t="inlineStr">
        <is>
          <t>LIMA</t>
        </is>
      </c>
      <c r="AH479" t="inlineStr">
        <is>
          <t>JESUS MARIA</t>
        </is>
      </c>
      <c r="AI479" s="75" t="n">
        <v>46052</v>
      </c>
      <c r="AJ479" s="75" t="n">
        <v>45964</v>
      </c>
      <c r="AK479" t="inlineStr">
        <is>
          <t>SALDO FINANCIAR</t>
        </is>
      </c>
      <c r="AL479" t="n">
        <v>5</v>
      </c>
      <c r="AM479" t="n">
        <v>65982.86</v>
      </c>
      <c r="AN479" t="n">
        <v>0</v>
      </c>
      <c r="AO479" t="n">
        <v>0</v>
      </c>
      <c r="AP479" s="39" t="n">
        <v>65982.86</v>
      </c>
      <c r="AQ479" s="39" t="n">
        <v>65982.86</v>
      </c>
      <c r="AR479" s="39" t="n">
        <v>0</v>
      </c>
      <c r="AS479" t="n">
        <v>0</v>
      </c>
      <c r="AT479" t="inlineStr">
        <is>
          <t>Crédito Directo</t>
        </is>
      </c>
      <c r="AU479" t="inlineStr">
        <is>
          <t>Scotiabank Perú</t>
        </is>
      </c>
      <c r="AV479" t="inlineStr">
        <is>
          <t>000-2768484</t>
        </is>
      </c>
      <c r="AW479" t="inlineStr">
        <is>
          <t>TRANSFERENCIA BANCARIA</t>
        </is>
      </c>
      <c r="AY479" t="inlineStr">
        <is>
          <t>0210772</t>
        </is>
      </c>
      <c r="AZ479" t="inlineStr">
        <is>
          <t>No</t>
        </is>
      </c>
      <c r="BB479" t="n">
        <v>4</v>
      </c>
      <c r="BC479" t="inlineStr">
        <is>
          <t>CANCELADO</t>
        </is>
      </c>
      <c r="BN479" t="inlineStr">
        <is>
          <t>Si</t>
        </is>
      </c>
      <c r="BO479" s="76" t="n">
        <v>45863.7375</v>
      </c>
      <c r="BP479" t="inlineStr">
        <is>
          <t>Magaly Guevara Perez</t>
        </is>
      </c>
      <c r="BR479" t="n">
        <v>40</v>
      </c>
      <c r="BS479" t="inlineStr">
        <is>
          <t>03/07/2026 17:38</t>
        </is>
      </c>
      <c r="BW479" t="inlineStr">
        <is>
          <t>Cobranzas_2026.csv</t>
        </is>
      </c>
      <c r="BX479" t="n">
        <v>2026</v>
      </c>
      <c r="BY479" t="inlineStr">
        <is>
          <t>01/01/2024</t>
        </is>
      </c>
      <c r="BZ479" t="inlineStr">
        <is>
          <t>30/06/2031</t>
        </is>
      </c>
    </row>
    <row r="480">
      <c r="A480" t="inlineStr">
        <is>
          <t>RESIDENCIAL PRADA</t>
        </is>
      </c>
      <c r="B480" t="inlineStr">
        <is>
          <t>Etapa 1</t>
        </is>
      </c>
      <c r="C480" t="inlineStr">
        <is>
          <t>Edificio</t>
        </is>
      </c>
      <c r="D480" t="inlineStr">
        <is>
          <t>A</t>
        </is>
      </c>
      <c r="E480" t="inlineStr">
        <is>
          <t>Departamento</t>
        </is>
      </c>
      <c r="F480" t="inlineStr">
        <is>
          <t>803</t>
        </is>
      </c>
      <c r="G480" s="39" t="n">
        <v>654000</v>
      </c>
      <c r="H480" s="39" t="n">
        <v>654000</v>
      </c>
      <c r="I480" t="inlineStr">
        <is>
          <t>Edificio</t>
        </is>
      </c>
      <c r="J480" t="inlineStr">
        <is>
          <t>A</t>
        </is>
      </c>
      <c r="K480" t="inlineStr">
        <is>
          <t>Estacionamiento</t>
        </is>
      </c>
      <c r="L480" t="inlineStr">
        <is>
          <t>E 32 - D 24</t>
        </is>
      </c>
      <c r="M480" s="39" t="n">
        <v>55800</v>
      </c>
      <c r="N480" s="39" t="n">
        <v>55800</v>
      </c>
      <c r="O480" t="inlineStr">
        <is>
          <t>Edificio</t>
        </is>
      </c>
      <c r="P480" t="inlineStr">
        <is>
          <t>A</t>
        </is>
      </c>
      <c r="Q480" t="inlineStr">
        <is>
          <t>Estacionamiento</t>
        </is>
      </c>
      <c r="R480" t="inlineStr">
        <is>
          <t>E 33 - D 25</t>
        </is>
      </c>
      <c r="S480" s="39" t="n">
        <v>60000</v>
      </c>
      <c r="T480" s="39" t="n">
        <v>60000</v>
      </c>
      <c r="Y480" s="39" t="n"/>
      <c r="Z480" s="39" t="n"/>
      <c r="AA480" t="inlineStr">
        <is>
          <t>Marco Antonio Cordova Oropeza</t>
        </is>
      </c>
      <c r="AB480" t="inlineStr">
        <is>
          <t>22079563</t>
        </is>
      </c>
      <c r="AC480" t="inlineStr">
        <is>
          <t>Av.Cayetano Heredia 435 Int.1 Urb Fundo Oyague</t>
        </is>
      </c>
      <c r="AD480" t="n">
        <v>0</v>
      </c>
      <c r="AE480" t="inlineStr">
        <is>
          <t>1513-257-6062</t>
        </is>
      </c>
      <c r="AF480" t="inlineStr">
        <is>
          <t>maancoor@gmail.com</t>
        </is>
      </c>
      <c r="AG480" t="inlineStr">
        <is>
          <t>LIMA</t>
        </is>
      </c>
      <c r="AH480" t="inlineStr">
        <is>
          <t>JESUS MARIA</t>
        </is>
      </c>
      <c r="AI480" s="75" t="n">
        <v>46081</v>
      </c>
      <c r="AJ480" s="75" t="n">
        <v>46059</v>
      </c>
      <c r="AK480" t="inlineStr">
        <is>
          <t>SALDO FINANCIAR</t>
        </is>
      </c>
      <c r="AL480" t="n">
        <v>6</v>
      </c>
      <c r="AM480" t="n">
        <v>65982.86</v>
      </c>
      <c r="AN480" t="n">
        <v>0</v>
      </c>
      <c r="AO480" t="n">
        <v>0</v>
      </c>
      <c r="AP480" s="39" t="n">
        <v>65982.86</v>
      </c>
      <c r="AQ480" s="39" t="n">
        <v>65982.86</v>
      </c>
      <c r="AR480" s="39" t="n">
        <v>0</v>
      </c>
      <c r="AS480" t="n">
        <v>0</v>
      </c>
      <c r="AT480" t="inlineStr">
        <is>
          <t>Crédito Directo</t>
        </is>
      </c>
      <c r="AU480" t="inlineStr">
        <is>
          <t>Scotiabank Perú</t>
        </is>
      </c>
      <c r="AV480" t="inlineStr">
        <is>
          <t>000-2768484</t>
        </is>
      </c>
      <c r="AW480" t="inlineStr">
        <is>
          <t>TRANSFERENCIA BANCARIA</t>
        </is>
      </c>
      <c r="AY480" t="inlineStr">
        <is>
          <t>0914981</t>
        </is>
      </c>
      <c r="AZ480" t="inlineStr">
        <is>
          <t>No</t>
        </is>
      </c>
      <c r="BB480" t="n">
        <v>4</v>
      </c>
      <c r="BC480" t="inlineStr">
        <is>
          <t>CANCELADO</t>
        </is>
      </c>
      <c r="BN480" t="inlineStr">
        <is>
          <t>Si</t>
        </is>
      </c>
      <c r="BO480" s="76" t="n">
        <v>45863.7375</v>
      </c>
      <c r="BP480" t="inlineStr">
        <is>
          <t>Magaly Guevara Perez</t>
        </is>
      </c>
      <c r="BR480" t="n">
        <v>40</v>
      </c>
      <c r="BS480" t="inlineStr">
        <is>
          <t>03/07/2026 17:41</t>
        </is>
      </c>
      <c r="BW480" t="inlineStr">
        <is>
          <t>Cobranzas_2026.csv</t>
        </is>
      </c>
      <c r="BX480" t="n">
        <v>2026</v>
      </c>
      <c r="BY480" t="inlineStr">
        <is>
          <t>01/01/2024</t>
        </is>
      </c>
      <c r="BZ480" t="inlineStr">
        <is>
          <t>30/06/2031</t>
        </is>
      </c>
    </row>
    <row r="481">
      <c r="A481" t="inlineStr">
        <is>
          <t>RESIDENCIAL PRADA</t>
        </is>
      </c>
      <c r="B481" t="inlineStr">
        <is>
          <t>Etapa 1</t>
        </is>
      </c>
      <c r="C481" t="inlineStr">
        <is>
          <t>Edificio</t>
        </is>
      </c>
      <c r="D481" t="inlineStr">
        <is>
          <t>A</t>
        </is>
      </c>
      <c r="E481" t="inlineStr">
        <is>
          <t>Departamento</t>
        </is>
      </c>
      <c r="F481" t="inlineStr">
        <is>
          <t>803</t>
        </is>
      </c>
      <c r="G481" s="39" t="n">
        <v>654000</v>
      </c>
      <c r="H481" s="39" t="n">
        <v>654000</v>
      </c>
      <c r="I481" t="inlineStr">
        <is>
          <t>Edificio</t>
        </is>
      </c>
      <c r="J481" t="inlineStr">
        <is>
          <t>A</t>
        </is>
      </c>
      <c r="K481" t="inlineStr">
        <is>
          <t>Estacionamiento</t>
        </is>
      </c>
      <c r="L481" t="inlineStr">
        <is>
          <t>E 32 - D 24</t>
        </is>
      </c>
      <c r="M481" s="39" t="n">
        <v>55800</v>
      </c>
      <c r="N481" s="39" t="n">
        <v>55800</v>
      </c>
      <c r="O481" t="inlineStr">
        <is>
          <t>Edificio</t>
        </is>
      </c>
      <c r="P481" t="inlineStr">
        <is>
          <t>A</t>
        </is>
      </c>
      <c r="Q481" t="inlineStr">
        <is>
          <t>Estacionamiento</t>
        </is>
      </c>
      <c r="R481" t="inlineStr">
        <is>
          <t>E 33 - D 25</t>
        </is>
      </c>
      <c r="S481" s="39" t="n">
        <v>60000</v>
      </c>
      <c r="T481" s="39" t="n">
        <v>60000</v>
      </c>
      <c r="Y481" s="39" t="n"/>
      <c r="Z481" s="39" t="n"/>
      <c r="AA481" t="inlineStr">
        <is>
          <t>Marco Antonio Cordova Oropeza</t>
        </is>
      </c>
      <c r="AB481" t="inlineStr">
        <is>
          <t>22079563</t>
        </is>
      </c>
      <c r="AC481" t="inlineStr">
        <is>
          <t>Av.Cayetano Heredia 435 Int.1 Urb Fundo Oyague</t>
        </is>
      </c>
      <c r="AD481" t="n">
        <v>0</v>
      </c>
      <c r="AE481" t="inlineStr">
        <is>
          <t>1513-257-6062</t>
        </is>
      </c>
      <c r="AF481" t="inlineStr">
        <is>
          <t>maancoor@gmail.com</t>
        </is>
      </c>
      <c r="AG481" t="inlineStr">
        <is>
          <t>LIMA</t>
        </is>
      </c>
      <c r="AH481" t="inlineStr">
        <is>
          <t>JESUS MARIA</t>
        </is>
      </c>
      <c r="AI481" s="75" t="n">
        <v>46111</v>
      </c>
      <c r="AJ481" s="75" t="n">
        <v>46059</v>
      </c>
      <c r="AK481" t="inlineStr">
        <is>
          <t>SALDO FINANCIAR</t>
        </is>
      </c>
      <c r="AL481" t="n">
        <v>7</v>
      </c>
      <c r="AM481" t="n">
        <v>65982.84</v>
      </c>
      <c r="AN481" t="n">
        <v>0</v>
      </c>
      <c r="AO481" t="n">
        <v>0</v>
      </c>
      <c r="AP481" s="39" t="n">
        <v>65982.84</v>
      </c>
      <c r="AQ481" s="39" t="n">
        <v>65982.84</v>
      </c>
      <c r="AR481" s="39" t="n">
        <v>0</v>
      </c>
      <c r="AS481" t="n">
        <v>0</v>
      </c>
      <c r="AT481" t="inlineStr">
        <is>
          <t>Crédito Directo</t>
        </is>
      </c>
      <c r="AU481" t="inlineStr">
        <is>
          <t>Scotiabank Perú</t>
        </is>
      </c>
      <c r="AV481" t="inlineStr">
        <is>
          <t>000-2768484</t>
        </is>
      </c>
      <c r="AW481" t="inlineStr">
        <is>
          <t>TRANSFERENCIA BANCARIA</t>
        </is>
      </c>
      <c r="AY481" t="inlineStr">
        <is>
          <t>0914981</t>
        </is>
      </c>
      <c r="AZ481" t="inlineStr">
        <is>
          <t>No</t>
        </is>
      </c>
      <c r="BB481" t="n">
        <v>4</v>
      </c>
      <c r="BC481" t="inlineStr">
        <is>
          <t>CANCELADO</t>
        </is>
      </c>
      <c r="BN481" t="inlineStr">
        <is>
          <t>Si</t>
        </is>
      </c>
      <c r="BO481" s="76" t="n">
        <v>45863.7375</v>
      </c>
      <c r="BP481" t="inlineStr">
        <is>
          <t>Magaly Guevara Perez</t>
        </is>
      </c>
      <c r="BR481" t="n">
        <v>40</v>
      </c>
      <c r="BS481" t="inlineStr">
        <is>
          <t>03/07/2026 17:41</t>
        </is>
      </c>
      <c r="BW481" t="inlineStr">
        <is>
          <t>Cobranzas_2026.csv</t>
        </is>
      </c>
      <c r="BX481" t="n">
        <v>2026</v>
      </c>
      <c r="BY481" t="inlineStr">
        <is>
          <t>01/01/2024</t>
        </is>
      </c>
      <c r="BZ481" t="inlineStr">
        <is>
          <t>30/06/2031</t>
        </is>
      </c>
    </row>
    <row r="482">
      <c r="A482" t="inlineStr">
        <is>
          <t>RESIDENCIAL PRADA</t>
        </is>
      </c>
      <c r="B482" t="inlineStr">
        <is>
          <t>Etapa 1</t>
        </is>
      </c>
      <c r="C482" t="inlineStr">
        <is>
          <t>Edificio</t>
        </is>
      </c>
      <c r="D482" t="inlineStr">
        <is>
          <t>A</t>
        </is>
      </c>
      <c r="E482" t="inlineStr">
        <is>
          <t>Estacionamiento</t>
        </is>
      </c>
      <c r="F482" t="inlineStr">
        <is>
          <t>E 03 - D 01</t>
        </is>
      </c>
      <c r="G482" s="39" t="n">
        <v>52500</v>
      </c>
      <c r="H482" s="39" t="n">
        <v>52500</v>
      </c>
      <c r="M482" s="39" t="n"/>
      <c r="N482" s="39" t="n"/>
      <c r="S482" s="39" t="n"/>
      <c r="T482" s="39" t="n"/>
      <c r="Y482" s="39" t="n"/>
      <c r="Z482" s="39" t="n"/>
      <c r="AA482" t="inlineStr">
        <is>
          <t>Marco Antonio Cordova Oropeza</t>
        </is>
      </c>
      <c r="AB482" t="inlineStr">
        <is>
          <t>22079563</t>
        </is>
      </c>
      <c r="AC482" t="inlineStr">
        <is>
          <t>Av.Cayetano Heredia 435 Int.1 Urb Fundo Oyague</t>
        </is>
      </c>
      <c r="AD482" t="n">
        <v>0</v>
      </c>
      <c r="AE482" t="inlineStr">
        <is>
          <t>1513-257-6062</t>
        </is>
      </c>
      <c r="AF482" t="inlineStr">
        <is>
          <t>maancoor@gmail.com</t>
        </is>
      </c>
      <c r="AG482" t="inlineStr">
        <is>
          <t>LIMA</t>
        </is>
      </c>
      <c r="AH482" t="inlineStr">
        <is>
          <t>JESUS MARIA</t>
        </is>
      </c>
      <c r="AI482" s="75" t="n">
        <v>46192</v>
      </c>
      <c r="AJ482" s="75" t="n">
        <v>46192</v>
      </c>
      <c r="AK482" t="inlineStr">
        <is>
          <t>SEPARACION</t>
        </is>
      </c>
      <c r="AL482" t="n">
        <v>1</v>
      </c>
      <c r="AM482" t="n">
        <v>1</v>
      </c>
      <c r="AN482" t="n">
        <v>0</v>
      </c>
      <c r="AO482" t="n">
        <v>0</v>
      </c>
      <c r="AP482" s="39" t="n">
        <v>1</v>
      </c>
      <c r="AQ482" s="39" t="n">
        <v>1</v>
      </c>
      <c r="AR482" s="39" t="n">
        <v>0</v>
      </c>
      <c r="AS482" t="n">
        <v>0</v>
      </c>
      <c r="AT482" t="inlineStr">
        <is>
          <t>Crédito Directo</t>
        </is>
      </c>
      <c r="AU482" t="inlineStr">
        <is>
          <t>Scotiabank Perú</t>
        </is>
      </c>
      <c r="AV482" t="inlineStr">
        <is>
          <t>000-2768484</t>
        </is>
      </c>
      <c r="AW482" t="inlineStr">
        <is>
          <t>TRANSFERENCIA BANCARIA</t>
        </is>
      </c>
      <c r="AY482" t="inlineStr">
        <is>
          <t>05225356</t>
        </is>
      </c>
      <c r="AZ482" t="inlineStr">
        <is>
          <t>No</t>
        </is>
      </c>
      <c r="BB482" t="n">
        <v>4</v>
      </c>
      <c r="BC482" t="inlineStr">
        <is>
          <t>CANCELADO</t>
        </is>
      </c>
      <c r="BN482" t="inlineStr">
        <is>
          <t>Si</t>
        </is>
      </c>
      <c r="BO482" s="76" t="n">
        <v>45989.74652777778</v>
      </c>
      <c r="BP482" t="inlineStr">
        <is>
          <t>Magaly Guevara Perez</t>
        </is>
      </c>
      <c r="BR482" t="n">
        <v>39</v>
      </c>
      <c r="BS482" t="inlineStr">
        <is>
          <t>24/06/2026 17:40</t>
        </is>
      </c>
      <c r="BW482" t="inlineStr">
        <is>
          <t>Cobranzas_2026.csv</t>
        </is>
      </c>
      <c r="BX482" t="n">
        <v>2026</v>
      </c>
      <c r="BY482" t="inlineStr">
        <is>
          <t>01/01/2024</t>
        </is>
      </c>
      <c r="BZ482" t="inlineStr">
        <is>
          <t>30/06/2031</t>
        </is>
      </c>
    </row>
    <row r="483">
      <c r="A483" t="inlineStr">
        <is>
          <t>RESIDENCIAL PRADA</t>
        </is>
      </c>
      <c r="B483" t="inlineStr">
        <is>
          <t>Etapa 1</t>
        </is>
      </c>
      <c r="C483" t="inlineStr">
        <is>
          <t>Edificio</t>
        </is>
      </c>
      <c r="D483" t="inlineStr">
        <is>
          <t>A</t>
        </is>
      </c>
      <c r="E483" t="inlineStr">
        <is>
          <t>Estacionamiento</t>
        </is>
      </c>
      <c r="F483" t="inlineStr">
        <is>
          <t>E 03 - D 01</t>
        </is>
      </c>
      <c r="G483" s="39" t="n">
        <v>52500</v>
      </c>
      <c r="H483" s="39" t="n">
        <v>52500</v>
      </c>
      <c r="M483" s="39" t="n"/>
      <c r="N483" s="39" t="n"/>
      <c r="S483" s="39" t="n"/>
      <c r="T483" s="39" t="n"/>
      <c r="Y483" s="39" t="n"/>
      <c r="Z483" s="39" t="n"/>
      <c r="AA483" t="inlineStr">
        <is>
          <t>Marco Antonio Cordova Oropeza</t>
        </is>
      </c>
      <c r="AB483" t="inlineStr">
        <is>
          <t>22079563</t>
        </is>
      </c>
      <c r="AC483" t="inlineStr">
        <is>
          <t>Av.Cayetano Heredia 435 Int.1 Urb Fundo Oyague</t>
        </is>
      </c>
      <c r="AD483" t="n">
        <v>0</v>
      </c>
      <c r="AE483" t="inlineStr">
        <is>
          <t>1513-257-6062</t>
        </is>
      </c>
      <c r="AF483" t="inlineStr">
        <is>
          <t>maancoor@gmail.com</t>
        </is>
      </c>
      <c r="AG483" t="inlineStr">
        <is>
          <t>LIMA</t>
        </is>
      </c>
      <c r="AH483" t="inlineStr">
        <is>
          <t>JESUS MARIA</t>
        </is>
      </c>
      <c r="AI483" s="75" t="n">
        <v>46197</v>
      </c>
      <c r="AJ483" s="75" t="n">
        <v>46197</v>
      </c>
      <c r="AK483" t="inlineStr">
        <is>
          <t>CUOTA INICIAL</t>
        </is>
      </c>
      <c r="AL483" t="n">
        <v>1</v>
      </c>
      <c r="AM483" t="n">
        <v>29000</v>
      </c>
      <c r="AN483" t="n">
        <v>0</v>
      </c>
      <c r="AO483" t="n">
        <v>0</v>
      </c>
      <c r="AP483" s="39" t="n">
        <v>29000</v>
      </c>
      <c r="AQ483" s="39" t="n">
        <v>29000</v>
      </c>
      <c r="AR483" s="39" t="n">
        <v>0</v>
      </c>
      <c r="AS483" t="n">
        <v>0</v>
      </c>
      <c r="AT483" t="inlineStr">
        <is>
          <t>Crédito Directo</t>
        </is>
      </c>
      <c r="AU483" t="inlineStr">
        <is>
          <t>Scotiabank Perú</t>
        </is>
      </c>
      <c r="AV483" t="inlineStr">
        <is>
          <t>000-2768484</t>
        </is>
      </c>
      <c r="AW483" t="inlineStr">
        <is>
          <t>TRANSFERENCIA BANCARIA</t>
        </is>
      </c>
      <c r="AY483" t="inlineStr">
        <is>
          <t>01886785</t>
        </is>
      </c>
      <c r="AZ483" t="inlineStr">
        <is>
          <t>Si</t>
        </is>
      </c>
      <c r="BB483" t="n">
        <v>4</v>
      </c>
      <c r="BC483" t="inlineStr">
        <is>
          <t>CANCELADO</t>
        </is>
      </c>
      <c r="BN483" t="inlineStr">
        <is>
          <t>Si</t>
        </is>
      </c>
      <c r="BO483" s="76" t="n">
        <v>45989.74652777778</v>
      </c>
      <c r="BP483" t="inlineStr">
        <is>
          <t>Magaly Guevara Perez</t>
        </is>
      </c>
      <c r="BR483" t="n">
        <v>39</v>
      </c>
      <c r="BS483" t="inlineStr">
        <is>
          <t>24/06/2026 17:47</t>
        </is>
      </c>
      <c r="BW483" t="inlineStr">
        <is>
          <t>Cobranzas_2026.csv</t>
        </is>
      </c>
      <c r="BX483" t="n">
        <v>2026</v>
      </c>
      <c r="BY483" t="inlineStr">
        <is>
          <t>01/01/2024</t>
        </is>
      </c>
      <c r="BZ483" t="inlineStr">
        <is>
          <t>30/06/2031</t>
        </is>
      </c>
    </row>
    <row r="484">
      <c r="A484" t="inlineStr">
        <is>
          <t>RESIDENCIAL PRADA</t>
        </is>
      </c>
      <c r="B484" t="inlineStr">
        <is>
          <t>Etapa 1</t>
        </is>
      </c>
      <c r="C484" t="inlineStr">
        <is>
          <t>Edificio</t>
        </is>
      </c>
      <c r="D484" t="inlineStr">
        <is>
          <t>A</t>
        </is>
      </c>
      <c r="E484" t="inlineStr">
        <is>
          <t>Estacionamiento</t>
        </is>
      </c>
      <c r="F484" t="inlineStr">
        <is>
          <t>E 03 - D 01</t>
        </is>
      </c>
      <c r="G484" s="39" t="n">
        <v>52500</v>
      </c>
      <c r="H484" s="39" t="n">
        <v>52500</v>
      </c>
      <c r="M484" s="39" t="n"/>
      <c r="N484" s="39" t="n"/>
      <c r="S484" s="39" t="n"/>
      <c r="T484" s="39" t="n"/>
      <c r="Y484" s="39" t="n"/>
      <c r="Z484" s="39" t="n"/>
      <c r="AA484" t="inlineStr">
        <is>
          <t>Marco Antonio Cordova Oropeza</t>
        </is>
      </c>
      <c r="AB484" t="inlineStr">
        <is>
          <t>22079563</t>
        </is>
      </c>
      <c r="AC484" t="inlineStr">
        <is>
          <t>Av.Cayetano Heredia 435 Int.1 Urb Fundo Oyague</t>
        </is>
      </c>
      <c r="AD484" t="n">
        <v>0</v>
      </c>
      <c r="AE484" t="inlineStr">
        <is>
          <t>1513-257-6062</t>
        </is>
      </c>
      <c r="AF484" t="inlineStr">
        <is>
          <t>maancoor@gmail.com</t>
        </is>
      </c>
      <c r="AG484" t="inlineStr">
        <is>
          <t>LIMA</t>
        </is>
      </c>
      <c r="AH484" t="inlineStr">
        <is>
          <t>JESUS MARIA</t>
        </is>
      </c>
      <c r="AI484" s="75" t="n">
        <v>46203</v>
      </c>
      <c r="AJ484" s="75" t="n">
        <v>46198</v>
      </c>
      <c r="AK484" t="inlineStr">
        <is>
          <t>SALDO FINANCIAR</t>
        </is>
      </c>
      <c r="AL484" t="n">
        <v>1</v>
      </c>
      <c r="AM484" t="n">
        <v>23499</v>
      </c>
      <c r="AN484" t="n">
        <v>0</v>
      </c>
      <c r="AO484" t="n">
        <v>0</v>
      </c>
      <c r="AP484" s="39" t="n">
        <v>23499</v>
      </c>
      <c r="AQ484" s="39" t="n">
        <v>23499</v>
      </c>
      <c r="AR484" s="39" t="n">
        <v>0</v>
      </c>
      <c r="AS484" t="n">
        <v>0</v>
      </c>
      <c r="AT484" t="inlineStr">
        <is>
          <t>Crédito Directo</t>
        </is>
      </c>
      <c r="AU484" t="inlineStr">
        <is>
          <t>Scotiabank Perú</t>
        </is>
      </c>
      <c r="AV484" t="inlineStr">
        <is>
          <t>000-2768484</t>
        </is>
      </c>
      <c r="AW484" t="inlineStr">
        <is>
          <t>TRANSFERENCIA BANCARIA</t>
        </is>
      </c>
      <c r="AY484" t="inlineStr">
        <is>
          <t>02381234</t>
        </is>
      </c>
      <c r="AZ484" t="inlineStr">
        <is>
          <t>No</t>
        </is>
      </c>
      <c r="BB484" t="n">
        <v>4</v>
      </c>
      <c r="BC484" t="inlineStr">
        <is>
          <t>CANCELADO</t>
        </is>
      </c>
      <c r="BN484" t="inlineStr">
        <is>
          <t>Si</t>
        </is>
      </c>
      <c r="BO484" s="76" t="n">
        <v>45989.74652777778</v>
      </c>
      <c r="BP484" t="inlineStr">
        <is>
          <t>Magaly Guevara Perez</t>
        </is>
      </c>
      <c r="BR484" t="n">
        <v>39</v>
      </c>
      <c r="BS484" t="inlineStr">
        <is>
          <t>26/06/2026 11:33</t>
        </is>
      </c>
      <c r="BW484" t="inlineStr">
        <is>
          <t>Cobranzas_2026.csv</t>
        </is>
      </c>
      <c r="BX484" t="n">
        <v>2026</v>
      </c>
      <c r="BY484" t="inlineStr">
        <is>
          <t>01/01/2024</t>
        </is>
      </c>
      <c r="BZ484" t="inlineStr">
        <is>
          <t>30/06/2031</t>
        </is>
      </c>
    </row>
    <row r="485">
      <c r="A485" t="inlineStr">
        <is>
          <t>RESIDENCIAL BEYOND</t>
        </is>
      </c>
      <c r="B485" t="inlineStr">
        <is>
          <t>Etapa 1</t>
        </is>
      </c>
      <c r="C485" t="inlineStr">
        <is>
          <t>Edificio</t>
        </is>
      </c>
      <c r="D485" t="inlineStr">
        <is>
          <t>A</t>
        </is>
      </c>
      <c r="E485" t="inlineStr">
        <is>
          <t>Departamento</t>
        </is>
      </c>
      <c r="F485" t="inlineStr">
        <is>
          <t>202</t>
        </is>
      </c>
      <c r="G485" s="39" t="n">
        <v>430000</v>
      </c>
      <c r="H485" s="39" t="n">
        <v>430000</v>
      </c>
      <c r="M485" s="39" t="n"/>
      <c r="N485" s="39" t="n"/>
      <c r="S485" s="39" t="n"/>
      <c r="T485" s="39" t="n"/>
      <c r="Y485" s="39" t="n"/>
      <c r="Z485" s="39" t="n"/>
      <c r="AA485" t="inlineStr">
        <is>
          <t>Margarita Mercedes Lujas Paredes</t>
        </is>
      </c>
      <c r="AB485" t="inlineStr">
        <is>
          <t>06772294</t>
        </is>
      </c>
      <c r="AC485" t="inlineStr">
        <is>
          <t>Jr. Aguarico 1412 Dpto. 202</t>
        </is>
      </c>
      <c r="AD485" t="n">
        <v>0</v>
      </c>
      <c r="AE485" t="inlineStr">
        <is>
          <t>949196249</t>
        </is>
      </c>
      <c r="AF485" t="inlineStr">
        <is>
          <t>maggilujan@hotmail.com</t>
        </is>
      </c>
      <c r="AG485" t="inlineStr">
        <is>
          <t>LIMA</t>
        </is>
      </c>
      <c r="AH485" t="inlineStr">
        <is>
          <t>BREÑA</t>
        </is>
      </c>
      <c r="AI485" s="75" t="n">
        <v>46081</v>
      </c>
      <c r="AJ485" s="75" t="n">
        <v>46122</v>
      </c>
      <c r="AK485" t="inlineStr">
        <is>
          <t>CUOTA INICIAL</t>
        </is>
      </c>
      <c r="AL485" t="n">
        <v>2</v>
      </c>
      <c r="AM485" t="n">
        <v>20000</v>
      </c>
      <c r="AN485" t="n">
        <v>0</v>
      </c>
      <c r="AO485" t="n">
        <v>0</v>
      </c>
      <c r="AP485" s="39" t="n">
        <v>20000</v>
      </c>
      <c r="AQ485" s="39" t="n">
        <v>20000</v>
      </c>
      <c r="AR485" s="39" t="n">
        <v>0</v>
      </c>
      <c r="AS485" t="n">
        <v>0</v>
      </c>
      <c r="AT485" t="inlineStr">
        <is>
          <t>Ahorro</t>
        </is>
      </c>
      <c r="AU485" t="inlineStr">
        <is>
          <t>Banco de Credito del Perú</t>
        </is>
      </c>
      <c r="AV485" t="inlineStr">
        <is>
          <t>194-7325779-0-65</t>
        </is>
      </c>
      <c r="AW485" t="inlineStr">
        <is>
          <t>TRANSFERENCIA BANCARIA</t>
        </is>
      </c>
      <c r="AX485" t="n">
        <v>6772294</v>
      </c>
      <c r="AY485" t="inlineStr">
        <is>
          <t>01282313</t>
        </is>
      </c>
      <c r="AZ485" t="inlineStr">
        <is>
          <t>No</t>
        </is>
      </c>
      <c r="BA485" t="inlineStr">
        <is>
          <t>NO PRECISA</t>
        </is>
      </c>
      <c r="BB485" t="n">
        <v>4</v>
      </c>
      <c r="BC485" t="inlineStr">
        <is>
          <t>CANCELADO</t>
        </is>
      </c>
      <c r="BN485" t="inlineStr">
        <is>
          <t>Si</t>
        </is>
      </c>
      <c r="BO485" s="76" t="n">
        <v>45917.17222222222</v>
      </c>
      <c r="BP485" t="inlineStr">
        <is>
          <t>Carla Michue M</t>
        </is>
      </c>
      <c r="BR485" t="n">
        <v>2</v>
      </c>
      <c r="BS485" t="inlineStr">
        <is>
          <t>18/05/2026 04:20</t>
        </is>
      </c>
      <c r="BW485" t="inlineStr">
        <is>
          <t>Cobranzas_2026.csv</t>
        </is>
      </c>
      <c r="BX485" t="n">
        <v>2026</v>
      </c>
      <c r="BY485" t="inlineStr">
        <is>
          <t>01/01/2024</t>
        </is>
      </c>
      <c r="BZ485" t="inlineStr">
        <is>
          <t>30/06/2031</t>
        </is>
      </c>
    </row>
    <row r="486">
      <c r="A486" t="inlineStr">
        <is>
          <t>RESIDENCIAL BEYOND</t>
        </is>
      </c>
      <c r="B486" t="inlineStr">
        <is>
          <t>Etapa 1</t>
        </is>
      </c>
      <c r="C486" t="inlineStr">
        <is>
          <t>Edificio</t>
        </is>
      </c>
      <c r="D486" t="inlineStr">
        <is>
          <t>A</t>
        </is>
      </c>
      <c r="E486" t="inlineStr">
        <is>
          <t>Departamento</t>
        </is>
      </c>
      <c r="F486" t="inlineStr">
        <is>
          <t>202</t>
        </is>
      </c>
      <c r="G486" s="39" t="n">
        <v>430000</v>
      </c>
      <c r="H486" s="39" t="n">
        <v>430000</v>
      </c>
      <c r="M486" s="39" t="n"/>
      <c r="N486" s="39" t="n"/>
      <c r="S486" s="39" t="n"/>
      <c r="T486" s="39" t="n"/>
      <c r="Y486" s="39" t="n"/>
      <c r="Z486" s="39" t="n"/>
      <c r="AA486" t="inlineStr">
        <is>
          <t>Margarita Mercedes Lujas Paredes</t>
        </is>
      </c>
      <c r="AB486" t="inlineStr">
        <is>
          <t>06772294</t>
        </is>
      </c>
      <c r="AC486" t="inlineStr">
        <is>
          <t>Jr. Aguarico 1412 Dpto. 202</t>
        </is>
      </c>
      <c r="AD486" t="n">
        <v>0</v>
      </c>
      <c r="AE486" t="inlineStr">
        <is>
          <t>949196249</t>
        </is>
      </c>
      <c r="AF486" t="inlineStr">
        <is>
          <t>maggilujan@hotmail.com</t>
        </is>
      </c>
      <c r="AG486" t="inlineStr">
        <is>
          <t>LIMA</t>
        </is>
      </c>
      <c r="AH486" t="inlineStr">
        <is>
          <t>BREÑA</t>
        </is>
      </c>
      <c r="AI486" s="75" t="n">
        <v>46234</v>
      </c>
      <c r="AJ486" s="75" t="n"/>
      <c r="AK486" t="inlineStr">
        <is>
          <t>SALDO FINANCIAR</t>
        </is>
      </c>
      <c r="AL486" t="n">
        <v>1</v>
      </c>
      <c r="AM486" t="n">
        <v>387000</v>
      </c>
      <c r="AN486" t="n">
        <v>0</v>
      </c>
      <c r="AO486" t="n">
        <v>0</v>
      </c>
      <c r="AP486" s="39" t="n">
        <v>387000</v>
      </c>
      <c r="AQ486" s="39" t="n">
        <v>0</v>
      </c>
      <c r="AR486" s="39" t="n">
        <v>387000</v>
      </c>
      <c r="AT486" t="inlineStr">
        <is>
          <t>Ahorro</t>
        </is>
      </c>
      <c r="AZ486" t="inlineStr">
        <is>
          <t>No</t>
        </is>
      </c>
      <c r="BC486" t="inlineStr">
        <is>
          <t>PENDIENTE</t>
        </is>
      </c>
      <c r="BN486" t="inlineStr">
        <is>
          <t>No</t>
        </is>
      </c>
      <c r="BO486" s="76" t="n">
        <v>45917.17222222222</v>
      </c>
      <c r="BP486" t="inlineStr">
        <is>
          <t>Carla Michue M</t>
        </is>
      </c>
      <c r="BR486" t="n">
        <v>2</v>
      </c>
      <c r="BW486" t="inlineStr">
        <is>
          <t>Cobranzas_2026.csv</t>
        </is>
      </c>
      <c r="BX486" t="n">
        <v>2026</v>
      </c>
      <c r="BY486" t="inlineStr">
        <is>
          <t>01/01/2024</t>
        </is>
      </c>
      <c r="BZ486" t="inlineStr">
        <is>
          <t>30/06/2031</t>
        </is>
      </c>
    </row>
    <row r="487">
      <c r="A487" t="inlineStr">
        <is>
          <t>RESIDENCIAL PRADA</t>
        </is>
      </c>
      <c r="B487" t="inlineStr">
        <is>
          <t>Etapa 1</t>
        </is>
      </c>
      <c r="C487" t="inlineStr">
        <is>
          <t>Edificio</t>
        </is>
      </c>
      <c r="D487" t="inlineStr">
        <is>
          <t>A</t>
        </is>
      </c>
      <c r="E487" t="inlineStr">
        <is>
          <t>Departamento</t>
        </is>
      </c>
      <c r="F487" t="inlineStr">
        <is>
          <t>1002</t>
        </is>
      </c>
      <c r="G487" s="39" t="n">
        <v>415000</v>
      </c>
      <c r="H487" s="39" t="n">
        <v>415000</v>
      </c>
      <c r="M487" s="39" t="n"/>
      <c r="N487" s="39" t="n"/>
      <c r="S487" s="39" t="n"/>
      <c r="T487" s="39" t="n"/>
      <c r="Y487" s="39" t="n"/>
      <c r="Z487" s="39" t="n"/>
      <c r="AA487" t="inlineStr">
        <is>
          <t>Maria de los Angeles Ibañez Mogrovejo</t>
        </is>
      </c>
      <c r="AB487" t="inlineStr">
        <is>
          <t>72190258</t>
        </is>
      </c>
      <c r="AC487" t="inlineStr">
        <is>
          <t xml:space="preserve">Coop.Colegio de Abogados Mz.ELT.1 </t>
        </is>
      </c>
      <c r="AE487" t="inlineStr">
        <is>
          <t>982570759</t>
        </is>
      </c>
      <c r="AF487" t="inlineStr">
        <is>
          <t>maria.benezmogrovejo@gmail.com</t>
        </is>
      </c>
      <c r="AG487" t="inlineStr">
        <is>
          <t>AREQUIPA</t>
        </is>
      </c>
      <c r="AH487" t="inlineStr">
        <is>
          <t>YANAHUARA</t>
        </is>
      </c>
      <c r="AI487" s="75" t="n">
        <v>46024</v>
      </c>
      <c r="AJ487" s="75" t="n">
        <v>46133</v>
      </c>
      <c r="AK487" t="inlineStr">
        <is>
          <t>CUOTA INICIAL</t>
        </is>
      </c>
      <c r="AL487" t="n">
        <v>2</v>
      </c>
      <c r="AM487" t="n">
        <v>129500</v>
      </c>
      <c r="AN487" t="n">
        <v>0</v>
      </c>
      <c r="AO487" t="n">
        <v>0</v>
      </c>
      <c r="AP487" s="39" t="n">
        <v>129500</v>
      </c>
      <c r="AQ487" s="39" t="n">
        <v>129500</v>
      </c>
      <c r="AR487" s="39" t="n">
        <v>0</v>
      </c>
      <c r="AS487" t="n">
        <v>0</v>
      </c>
      <c r="AT487" t="inlineStr">
        <is>
          <t>Ahorro</t>
        </is>
      </c>
      <c r="AU487" t="inlineStr">
        <is>
          <t>Scotiabank Perú</t>
        </is>
      </c>
      <c r="AV487" t="inlineStr">
        <is>
          <t>000-2768484</t>
        </is>
      </c>
      <c r="AW487" t="inlineStr">
        <is>
          <t>TRANSFERENCIA BANCARIA</t>
        </is>
      </c>
      <c r="AY487" t="inlineStr">
        <is>
          <t>004006999</t>
        </is>
      </c>
      <c r="AZ487" t="inlineStr">
        <is>
          <t>No</t>
        </is>
      </c>
      <c r="BB487" t="n">
        <v>4</v>
      </c>
      <c r="BC487" t="inlineStr">
        <is>
          <t>CANCELADO</t>
        </is>
      </c>
      <c r="BN487" t="inlineStr">
        <is>
          <t>Si</t>
        </is>
      </c>
      <c r="BO487" s="76" t="n">
        <v>45993.73611111111</v>
      </c>
      <c r="BP487" t="inlineStr">
        <is>
          <t>Carla Michue M</t>
        </is>
      </c>
      <c r="BR487" t="n">
        <v>16</v>
      </c>
      <c r="BS487" t="inlineStr">
        <is>
          <t>03/07/2026 19:11</t>
        </is>
      </c>
      <c r="BW487" t="inlineStr">
        <is>
          <t>Cobranzas_2026.csv</t>
        </is>
      </c>
      <c r="BX487" t="n">
        <v>2026</v>
      </c>
      <c r="BY487" t="inlineStr">
        <is>
          <t>01/01/2024</t>
        </is>
      </c>
      <c r="BZ487" t="inlineStr">
        <is>
          <t>30/06/2031</t>
        </is>
      </c>
    </row>
    <row r="488">
      <c r="A488" t="inlineStr">
        <is>
          <t>RESIDENCIAL PRADA</t>
        </is>
      </c>
      <c r="B488" t="inlineStr">
        <is>
          <t>Etapa 1</t>
        </is>
      </c>
      <c r="C488" t="inlineStr">
        <is>
          <t>Edificio</t>
        </is>
      </c>
      <c r="D488" t="inlineStr">
        <is>
          <t>A</t>
        </is>
      </c>
      <c r="E488" t="inlineStr">
        <is>
          <t>Departamento</t>
        </is>
      </c>
      <c r="F488" t="inlineStr">
        <is>
          <t>1002</t>
        </is>
      </c>
      <c r="G488" s="39" t="n">
        <v>415000</v>
      </c>
      <c r="H488" s="39" t="n">
        <v>415000</v>
      </c>
      <c r="M488" s="39" t="n"/>
      <c r="N488" s="39" t="n"/>
      <c r="S488" s="39" t="n"/>
      <c r="T488" s="39" t="n"/>
      <c r="Y488" s="39" t="n"/>
      <c r="Z488" s="39" t="n"/>
      <c r="AA488" t="inlineStr">
        <is>
          <t>Maria de los Angeles Ibañez Mogrovejo</t>
        </is>
      </c>
      <c r="AB488" t="inlineStr">
        <is>
          <t>72190258</t>
        </is>
      </c>
      <c r="AC488" t="inlineStr">
        <is>
          <t xml:space="preserve">Coop.Colegio de Abogados Mz.ELT.1 </t>
        </is>
      </c>
      <c r="AE488" t="inlineStr">
        <is>
          <t>982570759</t>
        </is>
      </c>
      <c r="AF488" t="inlineStr">
        <is>
          <t>maria.benezmogrovejo@gmail.com</t>
        </is>
      </c>
      <c r="AG488" t="inlineStr">
        <is>
          <t>AREQUIPA</t>
        </is>
      </c>
      <c r="AH488" t="inlineStr">
        <is>
          <t>YANAHUARA</t>
        </is>
      </c>
      <c r="AI488" s="75" t="n">
        <v>46142</v>
      </c>
      <c r="AJ488" s="75" t="n">
        <v>46203</v>
      </c>
      <c r="AK488" t="inlineStr">
        <is>
          <t>SALDO FINANCIAR</t>
        </is>
      </c>
      <c r="AL488" t="n">
        <v>1</v>
      </c>
      <c r="AM488" t="n">
        <v>244000</v>
      </c>
      <c r="AN488" t="n">
        <v>0</v>
      </c>
      <c r="AO488" t="n">
        <v>0</v>
      </c>
      <c r="AP488" s="39" t="n">
        <v>244000</v>
      </c>
      <c r="AQ488" s="39" t="n">
        <v>244000</v>
      </c>
      <c r="AR488" s="39" t="n">
        <v>0</v>
      </c>
      <c r="AS488" t="n">
        <v>0</v>
      </c>
      <c r="AT488" t="inlineStr">
        <is>
          <t>Ahorro</t>
        </is>
      </c>
      <c r="AU488" t="inlineStr">
        <is>
          <t>Scotiabank Perú</t>
        </is>
      </c>
      <c r="AV488" t="inlineStr">
        <is>
          <t>000-2768484</t>
        </is>
      </c>
      <c r="AW488" t="inlineStr">
        <is>
          <t>TRANSFERENCIA BANCARIA</t>
        </is>
      </c>
      <c r="AY488" t="inlineStr">
        <is>
          <t>30062026</t>
        </is>
      </c>
      <c r="AZ488" t="inlineStr">
        <is>
          <t>Si</t>
        </is>
      </c>
      <c r="BB488" t="n">
        <v>4</v>
      </c>
      <c r="BC488" t="inlineStr">
        <is>
          <t>CANCELADO</t>
        </is>
      </c>
      <c r="BN488" t="inlineStr">
        <is>
          <t>Si</t>
        </is>
      </c>
      <c r="BO488" s="76" t="n">
        <v>45993.73611111111</v>
      </c>
      <c r="BP488" t="inlineStr">
        <is>
          <t>Carla Michue M</t>
        </is>
      </c>
      <c r="BR488" t="n">
        <v>16</v>
      </c>
      <c r="BS488" t="inlineStr">
        <is>
          <t>03/07/2026 19:12</t>
        </is>
      </c>
      <c r="BW488" t="inlineStr">
        <is>
          <t>Cobranzas_2026.csv</t>
        </is>
      </c>
      <c r="BX488" t="n">
        <v>2026</v>
      </c>
      <c r="BY488" t="inlineStr">
        <is>
          <t>01/01/2024</t>
        </is>
      </c>
      <c r="BZ488" t="inlineStr">
        <is>
          <t>30/06/2031</t>
        </is>
      </c>
    </row>
    <row r="489">
      <c r="A489" t="inlineStr">
        <is>
          <t>RESIDENCIAL VENECIA</t>
        </is>
      </c>
      <c r="B489" t="inlineStr">
        <is>
          <t>Etapa 1</t>
        </is>
      </c>
      <c r="C489" t="inlineStr">
        <is>
          <t>Edificio</t>
        </is>
      </c>
      <c r="D489" t="inlineStr">
        <is>
          <t>A</t>
        </is>
      </c>
      <c r="E489" t="inlineStr">
        <is>
          <t>Departamento</t>
        </is>
      </c>
      <c r="F489" t="inlineStr">
        <is>
          <t>205</t>
        </is>
      </c>
      <c r="G489" s="39" t="n">
        <v>386000</v>
      </c>
      <c r="H489" s="39" t="n">
        <v>386000</v>
      </c>
      <c r="I489" t="inlineStr">
        <is>
          <t>Edificio</t>
        </is>
      </c>
      <c r="J489" t="inlineStr">
        <is>
          <t>A</t>
        </is>
      </c>
      <c r="K489" t="inlineStr">
        <is>
          <t>Estacionamiento</t>
        </is>
      </c>
      <c r="L489" t="inlineStr">
        <is>
          <t>E 20</t>
        </is>
      </c>
      <c r="M489" s="39" t="n">
        <v>46800</v>
      </c>
      <c r="N489" s="39" t="n">
        <v>46800</v>
      </c>
      <c r="S489" s="39" t="n"/>
      <c r="T489" s="39" t="n"/>
      <c r="Y489" s="39" t="n"/>
      <c r="Z489" s="39" t="n"/>
      <c r="AA489" t="inlineStr">
        <is>
          <t>Mariela Gabriela Zapata Santivañez</t>
        </is>
      </c>
      <c r="AB489" t="inlineStr">
        <is>
          <t>47172559</t>
        </is>
      </c>
      <c r="AC489" t="inlineStr">
        <is>
          <t>Calle Manuel de Falla 233 - 237 Dpto. 102</t>
        </is>
      </c>
      <c r="AD489" t="n">
        <v>0</v>
      </c>
      <c r="AE489" t="inlineStr">
        <is>
          <t>998346460</t>
        </is>
      </c>
      <c r="AF489" t="inlineStr">
        <is>
          <t>g.zapata.santivanez@gmail.com</t>
        </is>
      </c>
      <c r="AG489" t="inlineStr">
        <is>
          <t>LIMA</t>
        </is>
      </c>
      <c r="AH489" t="inlineStr">
        <is>
          <t>SAN BORJA</t>
        </is>
      </c>
      <c r="AI489" s="75" t="n">
        <v>46031</v>
      </c>
      <c r="AJ489" s="75" t="n">
        <v>46031</v>
      </c>
      <c r="AK489" t="inlineStr">
        <is>
          <t>CUOTA INICIAL</t>
        </is>
      </c>
      <c r="AL489" t="n">
        <v>1</v>
      </c>
      <c r="AM489" t="n">
        <v>18640</v>
      </c>
      <c r="AN489" t="n">
        <v>0</v>
      </c>
      <c r="AO489" t="n">
        <v>0</v>
      </c>
      <c r="AP489" s="39" t="n">
        <v>18640</v>
      </c>
      <c r="AQ489" s="39" t="n">
        <v>18640</v>
      </c>
      <c r="AR489" s="39" t="n">
        <v>0</v>
      </c>
      <c r="AS489" t="n">
        <v>0</v>
      </c>
      <c r="AT489" t="inlineStr">
        <is>
          <t>Crédito Hipotecario</t>
        </is>
      </c>
      <c r="AU489" t="inlineStr">
        <is>
          <t>Scotiabank Perú</t>
        </is>
      </c>
      <c r="AV489" t="inlineStr">
        <is>
          <t>0004071419</t>
        </is>
      </c>
      <c r="AW489" t="inlineStr">
        <is>
          <t>TRANSFERENCIA BANCARIA</t>
        </is>
      </c>
      <c r="AY489" t="inlineStr">
        <is>
          <t>06084927</t>
        </is>
      </c>
      <c r="AZ489" t="inlineStr">
        <is>
          <t>No</t>
        </is>
      </c>
      <c r="BB489" t="n">
        <v>4</v>
      </c>
      <c r="BC489" t="inlineStr">
        <is>
          <t>CANCELADO</t>
        </is>
      </c>
      <c r="BN489" t="inlineStr">
        <is>
          <t>Si</t>
        </is>
      </c>
      <c r="BO489" s="76" t="n">
        <v>46032.38194444445</v>
      </c>
      <c r="BP489" t="inlineStr">
        <is>
          <t>Magaly Guevara Perez</t>
        </is>
      </c>
      <c r="BR489" t="n">
        <v>4</v>
      </c>
      <c r="BS489" t="inlineStr">
        <is>
          <t>14/07/2026 16:54</t>
        </is>
      </c>
      <c r="BW489" t="inlineStr">
        <is>
          <t>Cobranzas_2026.csv</t>
        </is>
      </c>
      <c r="BX489" t="n">
        <v>2026</v>
      </c>
      <c r="BY489" t="inlineStr">
        <is>
          <t>01/01/2024</t>
        </is>
      </c>
      <c r="BZ489" t="inlineStr">
        <is>
          <t>30/06/2031</t>
        </is>
      </c>
    </row>
    <row r="490">
      <c r="A490" t="inlineStr">
        <is>
          <t>RESIDENCIAL VENECIA</t>
        </is>
      </c>
      <c r="B490" t="inlineStr">
        <is>
          <t>Etapa 1</t>
        </is>
      </c>
      <c r="C490" t="inlineStr">
        <is>
          <t>Edificio</t>
        </is>
      </c>
      <c r="D490" t="inlineStr">
        <is>
          <t>A</t>
        </is>
      </c>
      <c r="E490" t="inlineStr">
        <is>
          <t>Departamento</t>
        </is>
      </c>
      <c r="F490" t="inlineStr">
        <is>
          <t>205</t>
        </is>
      </c>
      <c r="G490" s="39" t="n">
        <v>386000</v>
      </c>
      <c r="H490" s="39" t="n">
        <v>386000</v>
      </c>
      <c r="I490" t="inlineStr">
        <is>
          <t>Edificio</t>
        </is>
      </c>
      <c r="J490" t="inlineStr">
        <is>
          <t>A</t>
        </is>
      </c>
      <c r="K490" t="inlineStr">
        <is>
          <t>Estacionamiento</t>
        </is>
      </c>
      <c r="L490" t="inlineStr">
        <is>
          <t>E 20</t>
        </is>
      </c>
      <c r="M490" s="39" t="n">
        <v>46800</v>
      </c>
      <c r="N490" s="39" t="n">
        <v>46800</v>
      </c>
      <c r="S490" s="39" t="n"/>
      <c r="T490" s="39" t="n"/>
      <c r="Y490" s="39" t="n"/>
      <c r="Z490" s="39" t="n"/>
      <c r="AA490" t="inlineStr">
        <is>
          <t>Mariela Gabriela Zapata Santivañez</t>
        </is>
      </c>
      <c r="AB490" t="inlineStr">
        <is>
          <t>47172559</t>
        </is>
      </c>
      <c r="AC490" t="inlineStr">
        <is>
          <t>Calle Manuel de Falla 233 - 237 Dpto. 102</t>
        </is>
      </c>
      <c r="AD490" t="n">
        <v>0</v>
      </c>
      <c r="AE490" t="inlineStr">
        <is>
          <t>998346460</t>
        </is>
      </c>
      <c r="AF490" t="inlineStr">
        <is>
          <t>g.zapata.santivanez@gmail.com</t>
        </is>
      </c>
      <c r="AG490" t="inlineStr">
        <is>
          <t>LIMA</t>
        </is>
      </c>
      <c r="AH490" t="inlineStr">
        <is>
          <t>SAN BORJA</t>
        </is>
      </c>
      <c r="AI490" s="75" t="n">
        <v>46172</v>
      </c>
      <c r="AJ490" s="75" t="n">
        <v>46210</v>
      </c>
      <c r="AK490" t="inlineStr">
        <is>
          <t>CUOTA INICIAL</t>
        </is>
      </c>
      <c r="AL490" t="n">
        <v>2</v>
      </c>
      <c r="AM490" t="n">
        <v>21640</v>
      </c>
      <c r="AN490" t="n">
        <v>0</v>
      </c>
      <c r="AO490" t="n">
        <v>0</v>
      </c>
      <c r="AP490" s="39" t="n">
        <v>21640</v>
      </c>
      <c r="AQ490" s="39" t="n">
        <v>0</v>
      </c>
      <c r="AR490" s="39" t="n">
        <v>21640</v>
      </c>
      <c r="AS490" t="n">
        <v>0</v>
      </c>
      <c r="AT490" t="inlineStr">
        <is>
          <t>Crédito Hipotecario</t>
        </is>
      </c>
      <c r="AU490" t="inlineStr">
        <is>
          <t>Scotiabank Perú</t>
        </is>
      </c>
      <c r="AV490" t="inlineStr">
        <is>
          <t>0004071419</t>
        </is>
      </c>
      <c r="AW490" t="inlineStr">
        <is>
          <t>TRANSFERENCIA BANCARIA</t>
        </is>
      </c>
      <c r="AY490" t="inlineStr">
        <is>
          <t>06101897</t>
        </is>
      </c>
      <c r="AZ490" t="inlineStr">
        <is>
          <t>No</t>
        </is>
      </c>
      <c r="BB490" t="n">
        <v>4</v>
      </c>
      <c r="BC490" t="inlineStr">
        <is>
          <t>VENCIDO</t>
        </is>
      </c>
      <c r="BN490" t="inlineStr">
        <is>
          <t>Si</t>
        </is>
      </c>
      <c r="BO490" s="76" t="n">
        <v>46032.38194444445</v>
      </c>
      <c r="BP490" t="inlineStr">
        <is>
          <t>Magaly Guevara Perez</t>
        </is>
      </c>
      <c r="BR490" t="n">
        <v>4</v>
      </c>
      <c r="BS490" t="inlineStr">
        <is>
          <t>14/07/2026 16:55</t>
        </is>
      </c>
      <c r="BW490" t="inlineStr">
        <is>
          <t>Cobranzas_2026.csv</t>
        </is>
      </c>
      <c r="BX490" t="n">
        <v>2026</v>
      </c>
      <c r="BY490" t="inlineStr">
        <is>
          <t>01/01/2024</t>
        </is>
      </c>
      <c r="BZ490" t="inlineStr">
        <is>
          <t>30/06/2031</t>
        </is>
      </c>
    </row>
    <row r="491">
      <c r="A491" t="inlineStr">
        <is>
          <t>RESIDENCIAL VENECIA</t>
        </is>
      </c>
      <c r="B491" t="inlineStr">
        <is>
          <t>Etapa 1</t>
        </is>
      </c>
      <c r="C491" t="inlineStr">
        <is>
          <t>Edificio</t>
        </is>
      </c>
      <c r="D491" t="inlineStr">
        <is>
          <t>A</t>
        </is>
      </c>
      <c r="E491" t="inlineStr">
        <is>
          <t>Departamento</t>
        </is>
      </c>
      <c r="F491" t="inlineStr">
        <is>
          <t>205</t>
        </is>
      </c>
      <c r="G491" s="39" t="n">
        <v>386000</v>
      </c>
      <c r="H491" s="39" t="n">
        <v>386000</v>
      </c>
      <c r="I491" t="inlineStr">
        <is>
          <t>Edificio</t>
        </is>
      </c>
      <c r="J491" t="inlineStr">
        <is>
          <t>A</t>
        </is>
      </c>
      <c r="K491" t="inlineStr">
        <is>
          <t>Estacionamiento</t>
        </is>
      </c>
      <c r="L491" t="inlineStr">
        <is>
          <t>E 20</t>
        </is>
      </c>
      <c r="M491" s="39" t="n">
        <v>46800</v>
      </c>
      <c r="N491" s="39" t="n">
        <v>46800</v>
      </c>
      <c r="S491" s="39" t="n"/>
      <c r="T491" s="39" t="n"/>
      <c r="Y491" s="39" t="n"/>
      <c r="Z491" s="39" t="n"/>
      <c r="AA491" t="inlineStr">
        <is>
          <t>Mariela Gabriela Zapata Santivañez</t>
        </is>
      </c>
      <c r="AB491" t="inlineStr">
        <is>
          <t>47172559</t>
        </is>
      </c>
      <c r="AC491" t="inlineStr">
        <is>
          <t>Calle Manuel de Falla 233 - 237 Dpto. 102</t>
        </is>
      </c>
      <c r="AD491" t="n">
        <v>0</v>
      </c>
      <c r="AE491" t="inlineStr">
        <is>
          <t>998346460</t>
        </is>
      </c>
      <c r="AF491" t="inlineStr">
        <is>
          <t>g.zapata.santivanez@gmail.com</t>
        </is>
      </c>
      <c r="AG491" t="inlineStr">
        <is>
          <t>LIMA</t>
        </is>
      </c>
      <c r="AH491" t="inlineStr">
        <is>
          <t>SAN BORJA</t>
        </is>
      </c>
      <c r="AI491" s="75" t="n">
        <v>46228</v>
      </c>
      <c r="AJ491" s="75" t="n">
        <v>46217</v>
      </c>
      <c r="AK491" t="inlineStr">
        <is>
          <t>CUOTA INICIAL</t>
        </is>
      </c>
      <c r="AL491" t="n">
        <v>3</v>
      </c>
      <c r="AM491" t="n">
        <v>43280</v>
      </c>
      <c r="AN491" t="n">
        <v>0</v>
      </c>
      <c r="AO491" t="n">
        <v>0</v>
      </c>
      <c r="AP491" s="39" t="n">
        <v>43280</v>
      </c>
      <c r="AQ491" s="39" t="n">
        <v>0</v>
      </c>
      <c r="AR491" s="39" t="n">
        <v>43280</v>
      </c>
      <c r="AS491" t="n">
        <v>0</v>
      </c>
      <c r="AT491" t="inlineStr">
        <is>
          <t>Crédito Hipotecario</t>
        </is>
      </c>
      <c r="AU491" t="inlineStr">
        <is>
          <t>Scotiabank Perú</t>
        </is>
      </c>
      <c r="AV491" t="inlineStr">
        <is>
          <t>0004071419</t>
        </is>
      </c>
      <c r="AW491" t="inlineStr">
        <is>
          <t>TRANSFERENCIA BANCARIA</t>
        </is>
      </c>
      <c r="AY491" t="inlineStr">
        <is>
          <t>5529685</t>
        </is>
      </c>
      <c r="AZ491" t="inlineStr">
        <is>
          <t>No</t>
        </is>
      </c>
      <c r="BB491" t="n">
        <v>4</v>
      </c>
      <c r="BC491" t="inlineStr">
        <is>
          <t>PENDIENTE</t>
        </is>
      </c>
      <c r="BN491" t="inlineStr">
        <is>
          <t>Si</t>
        </is>
      </c>
      <c r="BO491" s="76" t="n">
        <v>46032.38194444445</v>
      </c>
      <c r="BP491" t="inlineStr">
        <is>
          <t>Magaly Guevara Perez</t>
        </is>
      </c>
      <c r="BR491" t="n">
        <v>4</v>
      </c>
      <c r="BS491" t="inlineStr">
        <is>
          <t>14/07/2026 16:55</t>
        </is>
      </c>
      <c r="BW491" t="inlineStr">
        <is>
          <t>Cobranzas_2026.csv</t>
        </is>
      </c>
      <c r="BX491" t="n">
        <v>2026</v>
      </c>
      <c r="BY491" t="inlineStr">
        <is>
          <t>01/01/2024</t>
        </is>
      </c>
      <c r="BZ491" t="inlineStr">
        <is>
          <t>30/06/2031</t>
        </is>
      </c>
    </row>
    <row r="492">
      <c r="A492" t="inlineStr">
        <is>
          <t>RESIDENCIAL VENECIA</t>
        </is>
      </c>
      <c r="B492" t="inlineStr">
        <is>
          <t>Etapa 1</t>
        </is>
      </c>
      <c r="C492" t="inlineStr">
        <is>
          <t>Edificio</t>
        </is>
      </c>
      <c r="D492" t="inlineStr">
        <is>
          <t>A</t>
        </is>
      </c>
      <c r="E492" t="inlineStr">
        <is>
          <t>Departamento</t>
        </is>
      </c>
      <c r="F492" t="inlineStr">
        <is>
          <t>205</t>
        </is>
      </c>
      <c r="G492" s="39" t="n">
        <v>386000</v>
      </c>
      <c r="H492" s="39" t="n">
        <v>386000</v>
      </c>
      <c r="I492" t="inlineStr">
        <is>
          <t>Edificio</t>
        </is>
      </c>
      <c r="J492" t="inlineStr">
        <is>
          <t>A</t>
        </is>
      </c>
      <c r="K492" t="inlineStr">
        <is>
          <t>Estacionamiento</t>
        </is>
      </c>
      <c r="L492" t="inlineStr">
        <is>
          <t>E 20</t>
        </is>
      </c>
      <c r="M492" s="39" t="n">
        <v>46800</v>
      </c>
      <c r="N492" s="39" t="n">
        <v>46800</v>
      </c>
      <c r="S492" s="39" t="n"/>
      <c r="T492" s="39" t="n"/>
      <c r="Y492" s="39" t="n"/>
      <c r="Z492" s="39" t="n"/>
      <c r="AA492" t="inlineStr">
        <is>
          <t>Mariela Gabriela Zapata Santivañez</t>
        </is>
      </c>
      <c r="AB492" t="inlineStr">
        <is>
          <t>47172559</t>
        </is>
      </c>
      <c r="AC492" t="inlineStr">
        <is>
          <t>Calle Manuel de Falla 233 - 237 Dpto. 102</t>
        </is>
      </c>
      <c r="AD492" t="n">
        <v>0</v>
      </c>
      <c r="AE492" t="inlineStr">
        <is>
          <t>998346460</t>
        </is>
      </c>
      <c r="AF492" t="inlineStr">
        <is>
          <t>g.zapata.santivanez@gmail.com</t>
        </is>
      </c>
      <c r="AG492" t="inlineStr">
        <is>
          <t>LIMA</t>
        </is>
      </c>
      <c r="AH492" t="inlineStr">
        <is>
          <t>SAN BORJA</t>
        </is>
      </c>
      <c r="AI492" s="75" t="n">
        <v>46264</v>
      </c>
      <c r="AJ492" s="75" t="n"/>
      <c r="AK492" t="inlineStr">
        <is>
          <t>SALDO FINANCIAR</t>
        </is>
      </c>
      <c r="AL492" t="n">
        <v>1</v>
      </c>
      <c r="AM492" t="n">
        <v>346240</v>
      </c>
      <c r="AN492" t="n">
        <v>0</v>
      </c>
      <c r="AO492" t="n">
        <v>0</v>
      </c>
      <c r="AP492" s="39" t="n">
        <v>346240</v>
      </c>
      <c r="AQ492" s="39" t="n">
        <v>0</v>
      </c>
      <c r="AR492" s="39" t="n">
        <v>346240</v>
      </c>
      <c r="AT492" t="inlineStr">
        <is>
          <t>Crédito Hipotecario</t>
        </is>
      </c>
      <c r="AZ492" t="inlineStr">
        <is>
          <t>No</t>
        </is>
      </c>
      <c r="BC492" t="inlineStr">
        <is>
          <t>PENDIENTE</t>
        </is>
      </c>
      <c r="BN492" t="inlineStr">
        <is>
          <t>No</t>
        </is>
      </c>
      <c r="BO492" s="76" t="n">
        <v>46032.38194444445</v>
      </c>
      <c r="BP492" t="inlineStr">
        <is>
          <t>Magaly Guevara Perez</t>
        </is>
      </c>
      <c r="BR492" t="n">
        <v>4</v>
      </c>
      <c r="BW492" t="inlineStr">
        <is>
          <t>Cobranzas_2026.csv</t>
        </is>
      </c>
      <c r="BX492" t="n">
        <v>2026</v>
      </c>
      <c r="BY492" t="inlineStr">
        <is>
          <t>01/01/2024</t>
        </is>
      </c>
      <c r="BZ492" t="inlineStr">
        <is>
          <t>30/06/2031</t>
        </is>
      </c>
    </row>
    <row r="493">
      <c r="A493" t="inlineStr">
        <is>
          <t>RESIDENCIAL PRADA</t>
        </is>
      </c>
      <c r="B493" t="inlineStr">
        <is>
          <t>Etapa 1</t>
        </is>
      </c>
      <c r="C493" t="inlineStr">
        <is>
          <t>Edificio</t>
        </is>
      </c>
      <c r="D493" t="inlineStr">
        <is>
          <t>A</t>
        </is>
      </c>
      <c r="E493" t="inlineStr">
        <is>
          <t>Departamento</t>
        </is>
      </c>
      <c r="F493" t="inlineStr">
        <is>
          <t>1004</t>
        </is>
      </c>
      <c r="G493" s="39" t="n">
        <v>417700</v>
      </c>
      <c r="H493" s="39" t="n">
        <v>417700</v>
      </c>
      <c r="M493" s="39" t="n"/>
      <c r="N493" s="39" t="n"/>
      <c r="S493" s="39" t="n"/>
      <c r="T493" s="39" t="n"/>
      <c r="Y493" s="39" t="n"/>
      <c r="Z493" s="39" t="n"/>
      <c r="AA493" t="inlineStr">
        <is>
          <t>Marita Angeles Milla</t>
        </is>
      </c>
      <c r="AB493" t="inlineStr">
        <is>
          <t>09096071</t>
        </is>
      </c>
      <c r="AC493" t="inlineStr">
        <is>
          <t>Av. Olavegoya 1879 Dpto. 301</t>
        </is>
      </c>
      <c r="AE493" t="inlineStr">
        <is>
          <t>997627864</t>
        </is>
      </c>
      <c r="AF493" t="inlineStr">
        <is>
          <t>marita.angeles.milla@gmail.com</t>
        </is>
      </c>
      <c r="AG493" t="inlineStr">
        <is>
          <t>LIMA</t>
        </is>
      </c>
      <c r="AH493" t="inlineStr">
        <is>
          <t>JESUS MARIA</t>
        </is>
      </c>
      <c r="AI493" s="75" t="n">
        <v>46090</v>
      </c>
      <c r="AJ493" s="75" t="n">
        <v>46090</v>
      </c>
      <c r="AK493" t="inlineStr">
        <is>
          <t>SEPARACION</t>
        </is>
      </c>
      <c r="AL493" t="n">
        <v>1</v>
      </c>
      <c r="AM493" t="n">
        <v>3000</v>
      </c>
      <c r="AN493" t="n">
        <v>0</v>
      </c>
      <c r="AO493" t="n">
        <v>0</v>
      </c>
      <c r="AP493" s="39" t="n">
        <v>3000</v>
      </c>
      <c r="AQ493" s="39" t="n">
        <v>3000</v>
      </c>
      <c r="AR493" s="39" t="n">
        <v>0</v>
      </c>
      <c r="AS493" t="n">
        <v>0</v>
      </c>
      <c r="AT493" t="inlineStr">
        <is>
          <t>Ahorro</t>
        </is>
      </c>
      <c r="AU493" t="inlineStr">
        <is>
          <t>Scotiabank Perú</t>
        </is>
      </c>
      <c r="AV493" t="inlineStr">
        <is>
          <t>000-2768484</t>
        </is>
      </c>
      <c r="AW493" t="inlineStr">
        <is>
          <t>TRANSFERENCIA BANCARIA</t>
        </is>
      </c>
      <c r="AX493" t="n">
        <v>9096071</v>
      </c>
      <c r="AY493" t="inlineStr">
        <is>
          <t>002909488</t>
        </is>
      </c>
      <c r="AZ493" t="inlineStr">
        <is>
          <t>No</t>
        </is>
      </c>
      <c r="BA493" t="inlineStr">
        <is>
          <t>NO PRECISA</t>
        </is>
      </c>
      <c r="BB493" t="n">
        <v>1</v>
      </c>
      <c r="BC493" t="inlineStr">
        <is>
          <t>CANCELADO</t>
        </is>
      </c>
      <c r="BN493" t="inlineStr">
        <is>
          <t>Si</t>
        </is>
      </c>
      <c r="BO493" s="76" t="n">
        <v>46139.73958333334</v>
      </c>
      <c r="BP493" t="inlineStr">
        <is>
          <t>Carla Michue M</t>
        </is>
      </c>
      <c r="BR493" t="n">
        <v>20</v>
      </c>
      <c r="BS493" t="inlineStr">
        <is>
          <t>29/05/2026 12:21</t>
        </is>
      </c>
      <c r="BW493" t="inlineStr">
        <is>
          <t>Cobranzas_2026.csv</t>
        </is>
      </c>
      <c r="BX493" t="n">
        <v>2026</v>
      </c>
      <c r="BY493" t="inlineStr">
        <is>
          <t>01/01/2024</t>
        </is>
      </c>
      <c r="BZ493" t="inlineStr">
        <is>
          <t>30/06/2031</t>
        </is>
      </c>
    </row>
    <row r="494">
      <c r="A494" t="inlineStr">
        <is>
          <t>RESIDENCIAL PRADA</t>
        </is>
      </c>
      <c r="B494" t="inlineStr">
        <is>
          <t>Etapa 1</t>
        </is>
      </c>
      <c r="C494" t="inlineStr">
        <is>
          <t>Edificio</t>
        </is>
      </c>
      <c r="D494" t="inlineStr">
        <is>
          <t>A</t>
        </is>
      </c>
      <c r="E494" t="inlineStr">
        <is>
          <t>Departamento</t>
        </is>
      </c>
      <c r="F494" t="inlineStr">
        <is>
          <t>1004</t>
        </is>
      </c>
      <c r="G494" s="39" t="n">
        <v>417700</v>
      </c>
      <c r="H494" s="39" t="n">
        <v>417700</v>
      </c>
      <c r="M494" s="39" t="n"/>
      <c r="N494" s="39" t="n"/>
      <c r="S494" s="39" t="n"/>
      <c r="T494" s="39" t="n"/>
      <c r="Y494" s="39" t="n"/>
      <c r="Z494" s="39" t="n"/>
      <c r="AA494" t="inlineStr">
        <is>
          <t>Marita Angeles Milla</t>
        </is>
      </c>
      <c r="AB494" t="inlineStr">
        <is>
          <t>09096071</t>
        </is>
      </c>
      <c r="AC494" t="inlineStr">
        <is>
          <t>Av. Olavegoya 1879 Dpto. 301</t>
        </is>
      </c>
      <c r="AE494" t="inlineStr">
        <is>
          <t>997627864</t>
        </is>
      </c>
      <c r="AF494" t="inlineStr">
        <is>
          <t>marita.angeles.milla@gmail.com</t>
        </is>
      </c>
      <c r="AG494" t="inlineStr">
        <is>
          <t>LIMA</t>
        </is>
      </c>
      <c r="AH494" t="inlineStr">
        <is>
          <t>JESUS MARIA</t>
        </is>
      </c>
      <c r="AI494" s="75" t="n">
        <v>46104</v>
      </c>
      <c r="AJ494" s="75" t="n">
        <v>46139</v>
      </c>
      <c r="AK494" t="inlineStr">
        <is>
          <t>CUOTA INICIAL</t>
        </is>
      </c>
      <c r="AL494" t="n">
        <v>2</v>
      </c>
      <c r="AM494" t="n">
        <v>40770</v>
      </c>
      <c r="AN494" t="n">
        <v>0</v>
      </c>
      <c r="AO494" t="n">
        <v>0</v>
      </c>
      <c r="AP494" s="39" t="n">
        <v>40770</v>
      </c>
      <c r="AQ494" s="39" t="n">
        <v>20770</v>
      </c>
      <c r="AR494" s="39" t="n">
        <v>20000</v>
      </c>
      <c r="AS494" t="n">
        <v>0</v>
      </c>
      <c r="AT494" t="inlineStr">
        <is>
          <t>Ahorro</t>
        </is>
      </c>
      <c r="AU494" t="inlineStr">
        <is>
          <t>Scotiabank Perú</t>
        </is>
      </c>
      <c r="AV494" t="inlineStr">
        <is>
          <t>000-2768484</t>
        </is>
      </c>
      <c r="AW494" t="inlineStr">
        <is>
          <t>TRANSFERENCIA BANCARIA</t>
        </is>
      </c>
      <c r="AX494" t="n">
        <v>9096071</v>
      </c>
      <c r="AY494" t="inlineStr">
        <is>
          <t>01633221410</t>
        </is>
      </c>
      <c r="AZ494" t="inlineStr">
        <is>
          <t>No</t>
        </is>
      </c>
      <c r="BA494" t="inlineStr">
        <is>
          <t>NO PRECISA</t>
        </is>
      </c>
      <c r="BB494" t="n">
        <v>4</v>
      </c>
      <c r="BC494" t="inlineStr">
        <is>
          <t>VENCIDO - PARC. CANCELADO</t>
        </is>
      </c>
      <c r="BN494" t="inlineStr">
        <is>
          <t>Si</t>
        </is>
      </c>
      <c r="BO494" s="76" t="n">
        <v>46139.73958333334</v>
      </c>
      <c r="BP494" t="inlineStr">
        <is>
          <t>Carla Michue M</t>
        </is>
      </c>
      <c r="BR494" t="n">
        <v>20</v>
      </c>
      <c r="BS494" t="inlineStr">
        <is>
          <t>05/06/2026 14:47</t>
        </is>
      </c>
      <c r="BW494" t="inlineStr">
        <is>
          <t>Cobranzas_2026.csv</t>
        </is>
      </c>
      <c r="BX494" t="n">
        <v>2026</v>
      </c>
      <c r="BY494" t="inlineStr">
        <is>
          <t>01/01/2024</t>
        </is>
      </c>
      <c r="BZ494" t="inlineStr">
        <is>
          <t>30/06/2031</t>
        </is>
      </c>
    </row>
    <row r="495">
      <c r="A495" t="inlineStr">
        <is>
          <t>RESIDENCIAL PRADA</t>
        </is>
      </c>
      <c r="B495" t="inlineStr">
        <is>
          <t>Etapa 1</t>
        </is>
      </c>
      <c r="C495" t="inlineStr">
        <is>
          <t>Edificio</t>
        </is>
      </c>
      <c r="D495" t="inlineStr">
        <is>
          <t>A</t>
        </is>
      </c>
      <c r="E495" t="inlineStr">
        <is>
          <t>Departamento</t>
        </is>
      </c>
      <c r="F495" t="inlineStr">
        <is>
          <t>1004</t>
        </is>
      </c>
      <c r="G495" s="39" t="n">
        <v>417700</v>
      </c>
      <c r="H495" s="39" t="n">
        <v>417700</v>
      </c>
      <c r="M495" s="39" t="n"/>
      <c r="N495" s="39" t="n"/>
      <c r="S495" s="39" t="n"/>
      <c r="T495" s="39" t="n"/>
      <c r="Y495" s="39" t="n"/>
      <c r="Z495" s="39" t="n"/>
      <c r="AA495" t="inlineStr">
        <is>
          <t>Marita Angeles Milla</t>
        </is>
      </c>
      <c r="AB495" t="inlineStr">
        <is>
          <t>09096071</t>
        </is>
      </c>
      <c r="AC495" t="inlineStr">
        <is>
          <t>Av. Olavegoya 1879 Dpto. 301</t>
        </is>
      </c>
      <c r="AE495" t="inlineStr">
        <is>
          <t>997627864</t>
        </is>
      </c>
      <c r="AF495" t="inlineStr">
        <is>
          <t>marita.angeles.milla@gmail.com</t>
        </is>
      </c>
      <c r="AG495" t="inlineStr">
        <is>
          <t>LIMA</t>
        </is>
      </c>
      <c r="AH495" t="inlineStr">
        <is>
          <t>JESUS MARIA</t>
        </is>
      </c>
      <c r="AI495" s="75" t="n">
        <v>46142</v>
      </c>
      <c r="AJ495" s="75" t="n"/>
      <c r="AK495" t="inlineStr">
        <is>
          <t>SALDO FINANCIAR</t>
        </is>
      </c>
      <c r="AL495" t="n">
        <v>3</v>
      </c>
      <c r="AM495" t="n">
        <v>373930</v>
      </c>
      <c r="AN495" t="n">
        <v>0</v>
      </c>
      <c r="AO495" t="n">
        <v>0</v>
      </c>
      <c r="AP495" s="39" t="n">
        <v>373930</v>
      </c>
      <c r="AQ495" s="39" t="n">
        <v>0</v>
      </c>
      <c r="AR495" s="39" t="n">
        <v>373930</v>
      </c>
      <c r="AT495" t="inlineStr">
        <is>
          <t>Ahorro</t>
        </is>
      </c>
      <c r="AZ495" t="inlineStr">
        <is>
          <t>No</t>
        </is>
      </c>
      <c r="BC495" t="inlineStr">
        <is>
          <t>VENCIDO</t>
        </is>
      </c>
      <c r="BN495" t="inlineStr">
        <is>
          <t>No</t>
        </is>
      </c>
      <c r="BO495" s="76" t="n">
        <v>46139.73958333334</v>
      </c>
      <c r="BP495" t="inlineStr">
        <is>
          <t>Carla Michue M</t>
        </is>
      </c>
      <c r="BR495" t="n">
        <v>20</v>
      </c>
      <c r="BW495" t="inlineStr">
        <is>
          <t>Cobranzas_2026.csv</t>
        </is>
      </c>
      <c r="BX495" t="n">
        <v>2026</v>
      </c>
      <c r="BY495" t="inlineStr">
        <is>
          <t>01/01/2024</t>
        </is>
      </c>
      <c r="BZ495" t="inlineStr">
        <is>
          <t>30/06/2031</t>
        </is>
      </c>
    </row>
    <row r="496">
      <c r="A496" t="inlineStr">
        <is>
          <t>RESIDENCIAL BEYOND</t>
        </is>
      </c>
      <c r="B496" t="inlineStr">
        <is>
          <t>Etapa 1</t>
        </is>
      </c>
      <c r="C496" t="inlineStr">
        <is>
          <t>Edificio</t>
        </is>
      </c>
      <c r="D496" t="inlineStr">
        <is>
          <t>A</t>
        </is>
      </c>
      <c r="E496" t="inlineStr">
        <is>
          <t>Estacionamiento</t>
        </is>
      </c>
      <c r="F496" t="inlineStr">
        <is>
          <t>E 18</t>
        </is>
      </c>
      <c r="G496" s="39" t="n">
        <v>50500</v>
      </c>
      <c r="H496" s="39" t="n">
        <v>50500</v>
      </c>
      <c r="M496" s="39" t="n"/>
      <c r="N496" s="39" t="n"/>
      <c r="S496" s="39" t="n"/>
      <c r="T496" s="39" t="n"/>
      <c r="Y496" s="39" t="n"/>
      <c r="Z496" s="39" t="n"/>
      <c r="AA496" t="inlineStr">
        <is>
          <t>Marynn Yahara Minetto Peralta</t>
        </is>
      </c>
      <c r="AB496" t="inlineStr">
        <is>
          <t>40846697</t>
        </is>
      </c>
      <c r="AC496" t="inlineStr">
        <is>
          <t>Mz E2 lote 10 Urb Coovitiomar - Ancón</t>
        </is>
      </c>
      <c r="AE496" t="inlineStr">
        <is>
          <t>954133712</t>
        </is>
      </c>
      <c r="AF496" t="inlineStr">
        <is>
          <t>marynn.minetto.mimi@hotmail.com</t>
        </is>
      </c>
      <c r="AG496" t="inlineStr">
        <is>
          <t>LIMA</t>
        </is>
      </c>
      <c r="AH496" t="inlineStr">
        <is>
          <t>SANTA ROSA</t>
        </is>
      </c>
      <c r="AI496" s="75" t="n">
        <v>46044</v>
      </c>
      <c r="AJ496" s="75" t="n">
        <v>46044</v>
      </c>
      <c r="AK496" t="inlineStr">
        <is>
          <t>SEPARACION</t>
        </is>
      </c>
      <c r="AL496" t="n">
        <v>1</v>
      </c>
      <c r="AM496" t="n">
        <v>3000</v>
      </c>
      <c r="AN496" t="n">
        <v>0</v>
      </c>
      <c r="AO496" t="n">
        <v>0</v>
      </c>
      <c r="AP496" s="39" t="n">
        <v>3000</v>
      </c>
      <c r="AQ496" s="39" t="n">
        <v>3000</v>
      </c>
      <c r="AR496" s="39" t="n">
        <v>0</v>
      </c>
      <c r="AS496" t="n">
        <v>0</v>
      </c>
      <c r="AT496" t="inlineStr">
        <is>
          <t>Crédito Directo</t>
        </is>
      </c>
      <c r="AU496" t="inlineStr">
        <is>
          <t>Banco de Credito del Perú</t>
        </is>
      </c>
      <c r="AV496" t="inlineStr">
        <is>
          <t>194-7325779-0-65</t>
        </is>
      </c>
      <c r="AW496" t="inlineStr">
        <is>
          <t>TRANSFERENCIA BANCARIA</t>
        </is>
      </c>
      <c r="AY496" t="inlineStr">
        <is>
          <t>01506294</t>
        </is>
      </c>
      <c r="AZ496" t="inlineStr">
        <is>
          <t>No</t>
        </is>
      </c>
      <c r="BB496" t="n">
        <v>1</v>
      </c>
      <c r="BC496" t="inlineStr">
        <is>
          <t>CANCELADO</t>
        </is>
      </c>
      <c r="BN496" t="inlineStr">
        <is>
          <t>No</t>
        </is>
      </c>
      <c r="BO496" s="76" t="n">
        <v>46044</v>
      </c>
      <c r="BP496" t="inlineStr">
        <is>
          <t>Carla Michue M</t>
        </is>
      </c>
      <c r="BR496" t="n">
        <v>36</v>
      </c>
      <c r="BS496" t="inlineStr">
        <is>
          <t>29/05/2026 02:48</t>
        </is>
      </c>
      <c r="BW496" t="inlineStr">
        <is>
          <t>Cobranzas_2026.csv</t>
        </is>
      </c>
      <c r="BX496" t="n">
        <v>2026</v>
      </c>
      <c r="BY496" t="inlineStr">
        <is>
          <t>01/01/2024</t>
        </is>
      </c>
      <c r="BZ496" t="inlineStr">
        <is>
          <t>30/06/2031</t>
        </is>
      </c>
    </row>
    <row r="497">
      <c r="A497" t="inlineStr">
        <is>
          <t>RESIDENCIAL BEYOND</t>
        </is>
      </c>
      <c r="B497" t="inlineStr">
        <is>
          <t>Etapa 1</t>
        </is>
      </c>
      <c r="C497" t="inlineStr">
        <is>
          <t>Edificio</t>
        </is>
      </c>
      <c r="D497" t="inlineStr">
        <is>
          <t>A</t>
        </is>
      </c>
      <c r="E497" t="inlineStr">
        <is>
          <t>Estacionamiento</t>
        </is>
      </c>
      <c r="F497" t="inlineStr">
        <is>
          <t>E 18</t>
        </is>
      </c>
      <c r="G497" s="39" t="n">
        <v>50500</v>
      </c>
      <c r="H497" s="39" t="n">
        <v>50500</v>
      </c>
      <c r="M497" s="39" t="n"/>
      <c r="N497" s="39" t="n"/>
      <c r="S497" s="39" t="n"/>
      <c r="T497" s="39" t="n"/>
      <c r="Y497" s="39" t="n"/>
      <c r="Z497" s="39" t="n"/>
      <c r="AA497" t="inlineStr">
        <is>
          <t>Marynn Yahara Minetto Peralta</t>
        </is>
      </c>
      <c r="AB497" t="inlineStr">
        <is>
          <t>40846697</t>
        </is>
      </c>
      <c r="AC497" t="inlineStr">
        <is>
          <t>Mz E2 lote 10 Urb Coovitiomar - Ancón</t>
        </is>
      </c>
      <c r="AE497" t="inlineStr">
        <is>
          <t>954133712</t>
        </is>
      </c>
      <c r="AF497" t="inlineStr">
        <is>
          <t>marynn.minetto.mimi@hotmail.com</t>
        </is>
      </c>
      <c r="AG497" t="inlineStr">
        <is>
          <t>LIMA</t>
        </is>
      </c>
      <c r="AH497" t="inlineStr">
        <is>
          <t>SANTA ROSA</t>
        </is>
      </c>
      <c r="AI497" s="75" t="n">
        <v>46172</v>
      </c>
      <c r="AJ497" s="75" t="n"/>
      <c r="AK497" t="inlineStr">
        <is>
          <t>CUOTA INICIAL</t>
        </is>
      </c>
      <c r="AL497" t="n">
        <v>2</v>
      </c>
      <c r="AM497" t="n">
        <v>9000</v>
      </c>
      <c r="AN497" t="n">
        <v>0</v>
      </c>
      <c r="AO497" t="n">
        <v>0</v>
      </c>
      <c r="AP497" s="39" t="n">
        <v>9000</v>
      </c>
      <c r="AQ497" s="39" t="n">
        <v>0</v>
      </c>
      <c r="AR497" s="39" t="n">
        <v>9000</v>
      </c>
      <c r="AT497" t="inlineStr">
        <is>
          <t>Crédito Directo</t>
        </is>
      </c>
      <c r="AZ497" t="inlineStr">
        <is>
          <t>No</t>
        </is>
      </c>
      <c r="BC497" t="inlineStr">
        <is>
          <t>VENCIDO</t>
        </is>
      </c>
      <c r="BN497" t="inlineStr">
        <is>
          <t>No</t>
        </is>
      </c>
      <c r="BO497" s="76" t="n">
        <v>46044</v>
      </c>
      <c r="BP497" t="inlineStr">
        <is>
          <t>Carla Michue M</t>
        </is>
      </c>
      <c r="BR497" t="n">
        <v>36</v>
      </c>
      <c r="BW497" t="inlineStr">
        <is>
          <t>Cobranzas_2026.csv</t>
        </is>
      </c>
      <c r="BX497" t="n">
        <v>2026</v>
      </c>
      <c r="BY497" t="inlineStr">
        <is>
          <t>01/01/2024</t>
        </is>
      </c>
      <c r="BZ497" t="inlineStr">
        <is>
          <t>30/06/2031</t>
        </is>
      </c>
    </row>
    <row r="498">
      <c r="A498" t="inlineStr">
        <is>
          <t>RESIDENCIAL BEYOND</t>
        </is>
      </c>
      <c r="B498" t="inlineStr">
        <is>
          <t>Etapa 1</t>
        </is>
      </c>
      <c r="C498" t="inlineStr">
        <is>
          <t>Edificio</t>
        </is>
      </c>
      <c r="D498" t="inlineStr">
        <is>
          <t>A</t>
        </is>
      </c>
      <c r="E498" t="inlineStr">
        <is>
          <t>Estacionamiento</t>
        </is>
      </c>
      <c r="F498" t="inlineStr">
        <is>
          <t>E 18</t>
        </is>
      </c>
      <c r="G498" s="39" t="n">
        <v>50500</v>
      </c>
      <c r="H498" s="39" t="n">
        <v>50500</v>
      </c>
      <c r="M498" s="39" t="n"/>
      <c r="N498" s="39" t="n"/>
      <c r="S498" s="39" t="n"/>
      <c r="T498" s="39" t="n"/>
      <c r="Y498" s="39" t="n"/>
      <c r="Z498" s="39" t="n"/>
      <c r="AA498" t="inlineStr">
        <is>
          <t>Marynn Yahara Minetto Peralta</t>
        </is>
      </c>
      <c r="AB498" t="inlineStr">
        <is>
          <t>40846697</t>
        </is>
      </c>
      <c r="AC498" t="inlineStr">
        <is>
          <t>Mz E2 lote 10 Urb Coovitiomar - Ancón</t>
        </is>
      </c>
      <c r="AE498" t="inlineStr">
        <is>
          <t>954133712</t>
        </is>
      </c>
      <c r="AF498" t="inlineStr">
        <is>
          <t>marynn.minetto.mimi@hotmail.com</t>
        </is>
      </c>
      <c r="AG498" t="inlineStr">
        <is>
          <t>LIMA</t>
        </is>
      </c>
      <c r="AH498" t="inlineStr">
        <is>
          <t>SANTA ROSA</t>
        </is>
      </c>
      <c r="AI498" s="75" t="n">
        <v>46188</v>
      </c>
      <c r="AJ498" s="75" t="n"/>
      <c r="AK498" t="inlineStr">
        <is>
          <t>CUOTA INICIAL</t>
        </is>
      </c>
      <c r="AL498" t="n">
        <v>3</v>
      </c>
      <c r="AM498" t="n">
        <v>3000</v>
      </c>
      <c r="AN498" t="n">
        <v>0</v>
      </c>
      <c r="AO498" t="n">
        <v>0</v>
      </c>
      <c r="AP498" s="39" t="n">
        <v>3000</v>
      </c>
      <c r="AQ498" s="39" t="n">
        <v>0</v>
      </c>
      <c r="AR498" s="39" t="n">
        <v>3000</v>
      </c>
      <c r="AT498" t="inlineStr">
        <is>
          <t>Crédito Directo</t>
        </is>
      </c>
      <c r="AZ498" t="inlineStr">
        <is>
          <t>No</t>
        </is>
      </c>
      <c r="BC498" t="inlineStr">
        <is>
          <t>VENCIDO</t>
        </is>
      </c>
      <c r="BN498" t="inlineStr">
        <is>
          <t>No</t>
        </is>
      </c>
      <c r="BO498" s="76" t="n">
        <v>46044</v>
      </c>
      <c r="BP498" t="inlineStr">
        <is>
          <t>Carla Michue M</t>
        </is>
      </c>
      <c r="BR498" t="n">
        <v>36</v>
      </c>
      <c r="BW498" t="inlineStr">
        <is>
          <t>Cobranzas_2026.csv</t>
        </is>
      </c>
      <c r="BX498" t="n">
        <v>2026</v>
      </c>
      <c r="BY498" t="inlineStr">
        <is>
          <t>01/01/2024</t>
        </is>
      </c>
      <c r="BZ498" t="inlineStr">
        <is>
          <t>30/06/2031</t>
        </is>
      </c>
    </row>
    <row r="499">
      <c r="A499" t="inlineStr">
        <is>
          <t>RESIDENCIAL BEYOND</t>
        </is>
      </c>
      <c r="B499" t="inlineStr">
        <is>
          <t>Etapa 1</t>
        </is>
      </c>
      <c r="C499" t="inlineStr">
        <is>
          <t>Edificio</t>
        </is>
      </c>
      <c r="D499" t="inlineStr">
        <is>
          <t>A</t>
        </is>
      </c>
      <c r="E499" t="inlineStr">
        <is>
          <t>Estacionamiento</t>
        </is>
      </c>
      <c r="F499" t="inlineStr">
        <is>
          <t>E 18</t>
        </is>
      </c>
      <c r="G499" s="39" t="n">
        <v>50500</v>
      </c>
      <c r="H499" s="39" t="n">
        <v>50500</v>
      </c>
      <c r="M499" s="39" t="n"/>
      <c r="N499" s="39" t="n"/>
      <c r="S499" s="39" t="n"/>
      <c r="T499" s="39" t="n"/>
      <c r="Y499" s="39" t="n"/>
      <c r="Z499" s="39" t="n"/>
      <c r="AA499" t="inlineStr">
        <is>
          <t>Marynn Yahara Minetto Peralta</t>
        </is>
      </c>
      <c r="AB499" t="inlineStr">
        <is>
          <t>40846697</t>
        </is>
      </c>
      <c r="AC499" t="inlineStr">
        <is>
          <t>Mz E2 lote 10 Urb Coovitiomar - Ancón</t>
        </is>
      </c>
      <c r="AE499" t="inlineStr">
        <is>
          <t>954133712</t>
        </is>
      </c>
      <c r="AF499" t="inlineStr">
        <is>
          <t>marynn.minetto.mimi@hotmail.com</t>
        </is>
      </c>
      <c r="AG499" t="inlineStr">
        <is>
          <t>LIMA</t>
        </is>
      </c>
      <c r="AH499" t="inlineStr">
        <is>
          <t>SANTA ROSA</t>
        </is>
      </c>
      <c r="AI499" s="75" t="n">
        <v>46202</v>
      </c>
      <c r="AJ499" s="75" t="n"/>
      <c r="AK499" t="inlineStr">
        <is>
          <t>SALDO FINANCIAR</t>
        </is>
      </c>
      <c r="AL499" t="n">
        <v>4</v>
      </c>
      <c r="AM499" t="n">
        <v>27000</v>
      </c>
      <c r="AN499" t="n">
        <v>0</v>
      </c>
      <c r="AO499" t="n">
        <v>0</v>
      </c>
      <c r="AP499" s="39" t="n">
        <v>27000</v>
      </c>
      <c r="AQ499" s="39" t="n">
        <v>0</v>
      </c>
      <c r="AR499" s="39" t="n">
        <v>27000</v>
      </c>
      <c r="AT499" t="inlineStr">
        <is>
          <t>Crédito Directo</t>
        </is>
      </c>
      <c r="AZ499" t="inlineStr">
        <is>
          <t>No</t>
        </is>
      </c>
      <c r="BC499" t="inlineStr">
        <is>
          <t>VENCIDO</t>
        </is>
      </c>
      <c r="BN499" t="inlineStr">
        <is>
          <t>No</t>
        </is>
      </c>
      <c r="BO499" s="76" t="n">
        <v>46044</v>
      </c>
      <c r="BP499" t="inlineStr">
        <is>
          <t>Carla Michue M</t>
        </is>
      </c>
      <c r="BR499" t="n">
        <v>36</v>
      </c>
      <c r="BW499" t="inlineStr">
        <is>
          <t>Cobranzas_2026.csv</t>
        </is>
      </c>
      <c r="BX499" t="n">
        <v>2026</v>
      </c>
      <c r="BY499" t="inlineStr">
        <is>
          <t>01/01/2024</t>
        </is>
      </c>
      <c r="BZ499" t="inlineStr">
        <is>
          <t>30/06/2031</t>
        </is>
      </c>
    </row>
    <row r="500">
      <c r="A500" t="inlineStr">
        <is>
          <t>RESIDENCIAL BEYOND</t>
        </is>
      </c>
      <c r="B500" t="inlineStr">
        <is>
          <t>Etapa 1</t>
        </is>
      </c>
      <c r="C500" t="inlineStr">
        <is>
          <t>Edificio</t>
        </is>
      </c>
      <c r="D500" t="inlineStr">
        <is>
          <t>A</t>
        </is>
      </c>
      <c r="E500" t="inlineStr">
        <is>
          <t>Estacionamiento</t>
        </is>
      </c>
      <c r="F500" t="inlineStr">
        <is>
          <t>E 18</t>
        </is>
      </c>
      <c r="G500" s="39" t="n">
        <v>50500</v>
      </c>
      <c r="H500" s="39" t="n">
        <v>50500</v>
      </c>
      <c r="M500" s="39" t="n"/>
      <c r="N500" s="39" t="n"/>
      <c r="S500" s="39" t="n"/>
      <c r="T500" s="39" t="n"/>
      <c r="Y500" s="39" t="n"/>
      <c r="Z500" s="39" t="n"/>
      <c r="AA500" t="inlineStr">
        <is>
          <t>Marynn Yahara Minetto Peralta</t>
        </is>
      </c>
      <c r="AB500" t="inlineStr">
        <is>
          <t>40846697</t>
        </is>
      </c>
      <c r="AC500" t="inlineStr">
        <is>
          <t>Mz E2 lote 10 Urb Coovitiomar - Ancón</t>
        </is>
      </c>
      <c r="AE500" t="inlineStr">
        <is>
          <t>954133712</t>
        </is>
      </c>
      <c r="AF500" t="inlineStr">
        <is>
          <t>marynn.minetto.mimi@hotmail.com</t>
        </is>
      </c>
      <c r="AG500" t="inlineStr">
        <is>
          <t>LIMA</t>
        </is>
      </c>
      <c r="AH500" t="inlineStr">
        <is>
          <t>SANTA ROSA</t>
        </is>
      </c>
      <c r="AI500" s="75" t="n">
        <v>46230</v>
      </c>
      <c r="AJ500" s="75" t="n"/>
      <c r="AK500" t="inlineStr">
        <is>
          <t>SALDO FINANCIAR</t>
        </is>
      </c>
      <c r="AL500" t="n">
        <v>5</v>
      </c>
      <c r="AM500" t="n">
        <v>8500</v>
      </c>
      <c r="AN500" t="n">
        <v>0</v>
      </c>
      <c r="AO500" t="n">
        <v>0</v>
      </c>
      <c r="AP500" s="39" t="n">
        <v>8500</v>
      </c>
      <c r="AQ500" s="39" t="n">
        <v>0</v>
      </c>
      <c r="AR500" s="39" t="n">
        <v>8500</v>
      </c>
      <c r="AT500" t="inlineStr">
        <is>
          <t>Crédito Directo</t>
        </is>
      </c>
      <c r="AZ500" t="inlineStr">
        <is>
          <t>No</t>
        </is>
      </c>
      <c r="BC500" t="inlineStr">
        <is>
          <t>PENDIENTE</t>
        </is>
      </c>
      <c r="BN500" t="inlineStr">
        <is>
          <t>No</t>
        </is>
      </c>
      <c r="BO500" s="76" t="n">
        <v>46044</v>
      </c>
      <c r="BP500" t="inlineStr">
        <is>
          <t>Carla Michue M</t>
        </is>
      </c>
      <c r="BR500" t="n">
        <v>36</v>
      </c>
      <c r="BW500" t="inlineStr">
        <is>
          <t>Cobranzas_2026.csv</t>
        </is>
      </c>
      <c r="BX500" t="n">
        <v>2026</v>
      </c>
      <c r="BY500" t="inlineStr">
        <is>
          <t>01/01/2024</t>
        </is>
      </c>
      <c r="BZ500" t="inlineStr">
        <is>
          <t>30/06/2031</t>
        </is>
      </c>
    </row>
    <row r="501">
      <c r="A501" t="inlineStr">
        <is>
          <t>RESIDENCIAL PRADA</t>
        </is>
      </c>
      <c r="B501" t="inlineStr">
        <is>
          <t>Etapa 1</t>
        </is>
      </c>
      <c r="C501" t="inlineStr">
        <is>
          <t>Edificio</t>
        </is>
      </c>
      <c r="D501" t="inlineStr">
        <is>
          <t>A</t>
        </is>
      </c>
      <c r="E501" t="inlineStr">
        <is>
          <t>Estacionamiento</t>
        </is>
      </c>
      <c r="F501" t="inlineStr">
        <is>
          <t>E 18 - D 13</t>
        </is>
      </c>
      <c r="G501" s="39" t="n">
        <v>50500</v>
      </c>
      <c r="H501" s="39" t="n">
        <v>50500</v>
      </c>
      <c r="M501" s="39" t="n"/>
      <c r="N501" s="39" t="n"/>
      <c r="S501" s="39" t="n"/>
      <c r="T501" s="39" t="n"/>
      <c r="Y501" s="39" t="n"/>
      <c r="Z501" s="39" t="n"/>
      <c r="AA501" t="inlineStr">
        <is>
          <t>Marynn Yahara Minetto Peralta</t>
        </is>
      </c>
      <c r="AB501" t="inlineStr">
        <is>
          <t>40846697</t>
        </is>
      </c>
      <c r="AC501" t="inlineStr">
        <is>
          <t>Mz E2 lote 10 Urb Coovitiomar - Ancón</t>
        </is>
      </c>
      <c r="AE501" t="inlineStr">
        <is>
          <t>954133712</t>
        </is>
      </c>
      <c r="AF501" t="inlineStr">
        <is>
          <t>marynn.minetto.mimi@hotmail.com</t>
        </is>
      </c>
      <c r="AG501" t="inlineStr">
        <is>
          <t>LIMA</t>
        </is>
      </c>
      <c r="AH501" t="inlineStr">
        <is>
          <t>SANTA ROSA</t>
        </is>
      </c>
      <c r="AI501" s="75" t="n">
        <v>46044</v>
      </c>
      <c r="AJ501" s="75" t="n">
        <v>46044</v>
      </c>
      <c r="AK501" t="inlineStr">
        <is>
          <t>SEPARACION</t>
        </is>
      </c>
      <c r="AL501" t="n">
        <v>1</v>
      </c>
      <c r="AM501" t="n">
        <v>3000</v>
      </c>
      <c r="AN501" t="n">
        <v>0</v>
      </c>
      <c r="AO501" t="n">
        <v>0</v>
      </c>
      <c r="AP501" s="39" t="n">
        <v>3000</v>
      </c>
      <c r="AQ501" s="39" t="n">
        <v>3000</v>
      </c>
      <c r="AR501" s="39" t="n">
        <v>0</v>
      </c>
      <c r="AS501" t="n">
        <v>0</v>
      </c>
      <c r="AT501" t="inlineStr">
        <is>
          <t>Crédito Directo</t>
        </is>
      </c>
      <c r="AU501" t="inlineStr">
        <is>
          <t>Scotiabank Perú</t>
        </is>
      </c>
      <c r="AV501" t="inlineStr">
        <is>
          <t>000-2768484</t>
        </is>
      </c>
      <c r="AW501" t="inlineStr">
        <is>
          <t>TRANSFERENCIA BANCARIA</t>
        </is>
      </c>
      <c r="AY501" t="inlineStr">
        <is>
          <t>01506294</t>
        </is>
      </c>
      <c r="AZ501" t="inlineStr">
        <is>
          <t>No</t>
        </is>
      </c>
      <c r="BB501" t="n">
        <v>4</v>
      </c>
      <c r="BC501" t="inlineStr">
        <is>
          <t>CANCELADO</t>
        </is>
      </c>
      <c r="BN501" t="inlineStr">
        <is>
          <t>Si</t>
        </is>
      </c>
      <c r="BO501" s="76" t="n">
        <v>46044</v>
      </c>
      <c r="BP501" t="inlineStr">
        <is>
          <t>Carla Michue M</t>
        </is>
      </c>
      <c r="BR501" t="n">
        <v>4</v>
      </c>
      <c r="BS501" t="inlineStr">
        <is>
          <t>03/07/2026 15:25</t>
        </is>
      </c>
      <c r="BW501" t="inlineStr">
        <is>
          <t>Cobranzas_2026.csv</t>
        </is>
      </c>
      <c r="BX501" t="n">
        <v>2026</v>
      </c>
      <c r="BY501" t="inlineStr">
        <is>
          <t>01/01/2024</t>
        </is>
      </c>
      <c r="BZ501" t="inlineStr">
        <is>
          <t>30/06/2031</t>
        </is>
      </c>
    </row>
    <row r="502">
      <c r="A502" t="inlineStr">
        <is>
          <t>RESIDENCIAL PRADA</t>
        </is>
      </c>
      <c r="B502" t="inlineStr">
        <is>
          <t>Etapa 1</t>
        </is>
      </c>
      <c r="C502" t="inlineStr">
        <is>
          <t>Edificio</t>
        </is>
      </c>
      <c r="D502" t="inlineStr">
        <is>
          <t>A</t>
        </is>
      </c>
      <c r="E502" t="inlineStr">
        <is>
          <t>Estacionamiento</t>
        </is>
      </c>
      <c r="F502" t="inlineStr">
        <is>
          <t>E 18 - D 13</t>
        </is>
      </c>
      <c r="G502" s="39" t="n">
        <v>50500</v>
      </c>
      <c r="H502" s="39" t="n">
        <v>50500</v>
      </c>
      <c r="M502" s="39" t="n"/>
      <c r="N502" s="39" t="n"/>
      <c r="S502" s="39" t="n"/>
      <c r="T502" s="39" t="n"/>
      <c r="Y502" s="39" t="n"/>
      <c r="Z502" s="39" t="n"/>
      <c r="AA502" t="inlineStr">
        <is>
          <t>Marynn Yahara Minetto Peralta</t>
        </is>
      </c>
      <c r="AB502" t="inlineStr">
        <is>
          <t>40846697</t>
        </is>
      </c>
      <c r="AC502" t="inlineStr">
        <is>
          <t>Mz E2 lote 10 Urb Coovitiomar - Ancón</t>
        </is>
      </c>
      <c r="AE502" t="inlineStr">
        <is>
          <t>954133712</t>
        </is>
      </c>
      <c r="AF502" t="inlineStr">
        <is>
          <t>marynn.minetto.mimi@hotmail.com</t>
        </is>
      </c>
      <c r="AG502" t="inlineStr">
        <is>
          <t>LIMA</t>
        </is>
      </c>
      <c r="AH502" t="inlineStr">
        <is>
          <t>SANTA ROSA</t>
        </is>
      </c>
      <c r="AI502" s="75" t="n">
        <v>46203</v>
      </c>
      <c r="AJ502" s="75" t="n"/>
      <c r="AK502" t="inlineStr">
        <is>
          <t>CUOTA INICIAL</t>
        </is>
      </c>
      <c r="AL502" t="n">
        <v>1</v>
      </c>
      <c r="AM502" t="n">
        <v>9000</v>
      </c>
      <c r="AN502" t="n">
        <v>0</v>
      </c>
      <c r="AO502" t="n">
        <v>0</v>
      </c>
      <c r="AP502" s="39" t="n">
        <v>9000</v>
      </c>
      <c r="AQ502" s="39" t="n">
        <v>0</v>
      </c>
      <c r="AR502" s="39" t="n">
        <v>9000</v>
      </c>
      <c r="AT502" t="inlineStr">
        <is>
          <t>Crédito Directo</t>
        </is>
      </c>
      <c r="AZ502" t="inlineStr">
        <is>
          <t>No</t>
        </is>
      </c>
      <c r="BC502" t="inlineStr">
        <is>
          <t>VENCIDO</t>
        </is>
      </c>
      <c r="BN502" t="inlineStr">
        <is>
          <t>No</t>
        </is>
      </c>
      <c r="BO502" s="76" t="n">
        <v>46044</v>
      </c>
      <c r="BP502" t="inlineStr">
        <is>
          <t>Carla Michue M</t>
        </is>
      </c>
      <c r="BR502" t="n">
        <v>4</v>
      </c>
      <c r="BW502" t="inlineStr">
        <is>
          <t>Cobranzas_2026.csv</t>
        </is>
      </c>
      <c r="BX502" t="n">
        <v>2026</v>
      </c>
      <c r="BY502" t="inlineStr">
        <is>
          <t>01/01/2024</t>
        </is>
      </c>
      <c r="BZ502" t="inlineStr">
        <is>
          <t>30/06/2031</t>
        </is>
      </c>
    </row>
    <row r="503">
      <c r="A503" t="inlineStr">
        <is>
          <t>RESIDENCIAL PRADA</t>
        </is>
      </c>
      <c r="B503" t="inlineStr">
        <is>
          <t>Etapa 1</t>
        </is>
      </c>
      <c r="C503" t="inlineStr">
        <is>
          <t>Edificio</t>
        </is>
      </c>
      <c r="D503" t="inlineStr">
        <is>
          <t>A</t>
        </is>
      </c>
      <c r="E503" t="inlineStr">
        <is>
          <t>Estacionamiento</t>
        </is>
      </c>
      <c r="F503" t="inlineStr">
        <is>
          <t>E 18 - D 13</t>
        </is>
      </c>
      <c r="G503" s="39" t="n">
        <v>50500</v>
      </c>
      <c r="H503" s="39" t="n">
        <v>50500</v>
      </c>
      <c r="M503" s="39" t="n"/>
      <c r="N503" s="39" t="n"/>
      <c r="S503" s="39" t="n"/>
      <c r="T503" s="39" t="n"/>
      <c r="Y503" s="39" t="n"/>
      <c r="Z503" s="39" t="n"/>
      <c r="AA503" t="inlineStr">
        <is>
          <t>Marynn Yahara Minetto Peralta</t>
        </is>
      </c>
      <c r="AB503" t="inlineStr">
        <is>
          <t>40846697</t>
        </is>
      </c>
      <c r="AC503" t="inlineStr">
        <is>
          <t>Mz E2 lote 10 Urb Coovitiomar - Ancón</t>
        </is>
      </c>
      <c r="AE503" t="inlineStr">
        <is>
          <t>954133712</t>
        </is>
      </c>
      <c r="AF503" t="inlineStr">
        <is>
          <t>marynn.minetto.mimi@hotmail.com</t>
        </is>
      </c>
      <c r="AG503" t="inlineStr">
        <is>
          <t>LIMA</t>
        </is>
      </c>
      <c r="AH503" t="inlineStr">
        <is>
          <t>SANTA ROSA</t>
        </is>
      </c>
      <c r="AI503" s="75" t="n">
        <v>46218</v>
      </c>
      <c r="AJ503" s="75" t="n"/>
      <c r="AK503" t="inlineStr">
        <is>
          <t>SALDO FINANCIAR</t>
        </is>
      </c>
      <c r="AL503" t="n">
        <v>1</v>
      </c>
      <c r="AM503" t="n">
        <v>12833.33</v>
      </c>
      <c r="AN503" t="n">
        <v>0</v>
      </c>
      <c r="AO503" t="n">
        <v>0</v>
      </c>
      <c r="AP503" s="39" t="n">
        <v>12833.33</v>
      </c>
      <c r="AQ503" s="39" t="n">
        <v>0</v>
      </c>
      <c r="AR503" s="39" t="n">
        <v>12833.33</v>
      </c>
      <c r="AT503" t="inlineStr">
        <is>
          <t>Crédito Directo</t>
        </is>
      </c>
      <c r="AZ503" t="inlineStr">
        <is>
          <t>No</t>
        </is>
      </c>
      <c r="BC503" t="inlineStr">
        <is>
          <t>PENDIENTE</t>
        </is>
      </c>
      <c r="BN503" t="inlineStr">
        <is>
          <t>No</t>
        </is>
      </c>
      <c r="BO503" s="76" t="n">
        <v>46044</v>
      </c>
      <c r="BP503" t="inlineStr">
        <is>
          <t>Carla Michue M</t>
        </is>
      </c>
      <c r="BR503" t="n">
        <v>4</v>
      </c>
      <c r="BW503" t="inlineStr">
        <is>
          <t>Cobranzas_2026.csv</t>
        </is>
      </c>
      <c r="BX503" t="n">
        <v>2026</v>
      </c>
      <c r="BY503" t="inlineStr">
        <is>
          <t>01/01/2024</t>
        </is>
      </c>
      <c r="BZ503" t="inlineStr">
        <is>
          <t>30/06/2031</t>
        </is>
      </c>
    </row>
    <row r="504">
      <c r="A504" t="inlineStr">
        <is>
          <t>RESIDENCIAL PRADA</t>
        </is>
      </c>
      <c r="B504" t="inlineStr">
        <is>
          <t>Etapa 1</t>
        </is>
      </c>
      <c r="C504" t="inlineStr">
        <is>
          <t>Edificio</t>
        </is>
      </c>
      <c r="D504" t="inlineStr">
        <is>
          <t>A</t>
        </is>
      </c>
      <c r="E504" t="inlineStr">
        <is>
          <t>Estacionamiento</t>
        </is>
      </c>
      <c r="F504" t="inlineStr">
        <is>
          <t>E 18 - D 13</t>
        </is>
      </c>
      <c r="G504" s="39" t="n">
        <v>50500</v>
      </c>
      <c r="H504" s="39" t="n">
        <v>50500</v>
      </c>
      <c r="M504" s="39" t="n"/>
      <c r="N504" s="39" t="n"/>
      <c r="S504" s="39" t="n"/>
      <c r="T504" s="39" t="n"/>
      <c r="Y504" s="39" t="n"/>
      <c r="Z504" s="39" t="n"/>
      <c r="AA504" t="inlineStr">
        <is>
          <t>Marynn Yahara Minetto Peralta</t>
        </is>
      </c>
      <c r="AB504" t="inlineStr">
        <is>
          <t>40846697</t>
        </is>
      </c>
      <c r="AC504" t="inlineStr">
        <is>
          <t>Mz E2 lote 10 Urb Coovitiomar - Ancón</t>
        </is>
      </c>
      <c r="AE504" t="inlineStr">
        <is>
          <t>954133712</t>
        </is>
      </c>
      <c r="AF504" t="inlineStr">
        <is>
          <t>marynn.minetto.mimi@hotmail.com</t>
        </is>
      </c>
      <c r="AG504" t="inlineStr">
        <is>
          <t>LIMA</t>
        </is>
      </c>
      <c r="AH504" t="inlineStr">
        <is>
          <t>SANTA ROSA</t>
        </is>
      </c>
      <c r="AI504" s="75" t="n">
        <v>46249</v>
      </c>
      <c r="AJ504" s="75" t="n"/>
      <c r="AK504" t="inlineStr">
        <is>
          <t>SALDO FINANCIAR</t>
        </is>
      </c>
      <c r="AL504" t="n">
        <v>2</v>
      </c>
      <c r="AM504" t="n">
        <v>12833.33</v>
      </c>
      <c r="AN504" t="n">
        <v>0</v>
      </c>
      <c r="AO504" t="n">
        <v>0</v>
      </c>
      <c r="AP504" s="39" t="n">
        <v>12833.33</v>
      </c>
      <c r="AQ504" s="39" t="n">
        <v>0</v>
      </c>
      <c r="AR504" s="39" t="n">
        <v>12833.33</v>
      </c>
      <c r="AT504" t="inlineStr">
        <is>
          <t>Crédito Directo</t>
        </is>
      </c>
      <c r="AZ504" t="inlineStr">
        <is>
          <t>No</t>
        </is>
      </c>
      <c r="BC504" t="inlineStr">
        <is>
          <t>PENDIENTE</t>
        </is>
      </c>
      <c r="BN504" t="inlineStr">
        <is>
          <t>No</t>
        </is>
      </c>
      <c r="BO504" s="76" t="n">
        <v>46044</v>
      </c>
      <c r="BP504" t="inlineStr">
        <is>
          <t>Carla Michue M</t>
        </is>
      </c>
      <c r="BR504" t="n">
        <v>4</v>
      </c>
      <c r="BW504" t="inlineStr">
        <is>
          <t>Cobranzas_2026.csv</t>
        </is>
      </c>
      <c r="BX504" t="n">
        <v>2026</v>
      </c>
      <c r="BY504" t="inlineStr">
        <is>
          <t>01/01/2024</t>
        </is>
      </c>
      <c r="BZ504" t="inlineStr">
        <is>
          <t>30/06/2031</t>
        </is>
      </c>
    </row>
    <row r="505">
      <c r="A505" t="inlineStr">
        <is>
          <t>RESIDENCIAL PRADA</t>
        </is>
      </c>
      <c r="B505" t="inlineStr">
        <is>
          <t>Etapa 1</t>
        </is>
      </c>
      <c r="C505" t="inlineStr">
        <is>
          <t>Edificio</t>
        </is>
      </c>
      <c r="D505" t="inlineStr">
        <is>
          <t>A</t>
        </is>
      </c>
      <c r="E505" t="inlineStr">
        <is>
          <t>Estacionamiento</t>
        </is>
      </c>
      <c r="F505" t="inlineStr">
        <is>
          <t>E 18 - D 13</t>
        </is>
      </c>
      <c r="G505" s="39" t="n">
        <v>50500</v>
      </c>
      <c r="H505" s="39" t="n">
        <v>50500</v>
      </c>
      <c r="M505" s="39" t="n"/>
      <c r="N505" s="39" t="n"/>
      <c r="S505" s="39" t="n"/>
      <c r="T505" s="39" t="n"/>
      <c r="Y505" s="39" t="n"/>
      <c r="Z505" s="39" t="n"/>
      <c r="AA505" t="inlineStr">
        <is>
          <t>Marynn Yahara Minetto Peralta</t>
        </is>
      </c>
      <c r="AB505" t="inlineStr">
        <is>
          <t>40846697</t>
        </is>
      </c>
      <c r="AC505" t="inlineStr">
        <is>
          <t>Mz E2 lote 10 Urb Coovitiomar - Ancón</t>
        </is>
      </c>
      <c r="AE505" t="inlineStr">
        <is>
          <t>954133712</t>
        </is>
      </c>
      <c r="AF505" t="inlineStr">
        <is>
          <t>marynn.minetto.mimi@hotmail.com</t>
        </is>
      </c>
      <c r="AG505" t="inlineStr">
        <is>
          <t>LIMA</t>
        </is>
      </c>
      <c r="AH505" t="inlineStr">
        <is>
          <t>SANTA ROSA</t>
        </is>
      </c>
      <c r="AI505" s="75" t="n">
        <v>46280</v>
      </c>
      <c r="AJ505" s="75" t="n"/>
      <c r="AK505" t="inlineStr">
        <is>
          <t>SALDO FINANCIAR</t>
        </is>
      </c>
      <c r="AL505" t="n">
        <v>3</v>
      </c>
      <c r="AM505" t="n">
        <v>12833.34</v>
      </c>
      <c r="AN505" t="n">
        <v>0</v>
      </c>
      <c r="AO505" t="n">
        <v>0</v>
      </c>
      <c r="AP505" s="39" t="n">
        <v>12833.34</v>
      </c>
      <c r="AQ505" s="39" t="n">
        <v>0</v>
      </c>
      <c r="AR505" s="39" t="n">
        <v>12833.34</v>
      </c>
      <c r="AT505" t="inlineStr">
        <is>
          <t>Crédito Directo</t>
        </is>
      </c>
      <c r="AZ505" t="inlineStr">
        <is>
          <t>No</t>
        </is>
      </c>
      <c r="BC505" t="inlineStr">
        <is>
          <t>PENDIENTE</t>
        </is>
      </c>
      <c r="BN505" t="inlineStr">
        <is>
          <t>No</t>
        </is>
      </c>
      <c r="BO505" s="76" t="n">
        <v>46044</v>
      </c>
      <c r="BP505" t="inlineStr">
        <is>
          <t>Carla Michue M</t>
        </is>
      </c>
      <c r="BR505" t="n">
        <v>4</v>
      </c>
      <c r="BW505" t="inlineStr">
        <is>
          <t>Cobranzas_2026.csv</t>
        </is>
      </c>
      <c r="BX505" t="n">
        <v>2026</v>
      </c>
      <c r="BY505" t="inlineStr">
        <is>
          <t>01/01/2024</t>
        </is>
      </c>
      <c r="BZ505" t="inlineStr">
        <is>
          <t>30/06/2031</t>
        </is>
      </c>
    </row>
    <row r="506">
      <c r="A506" t="inlineStr">
        <is>
          <t>RESIDENCIAL BEYOND</t>
        </is>
      </c>
      <c r="B506" t="inlineStr">
        <is>
          <t>Etapa 1</t>
        </is>
      </c>
      <c r="C506" t="inlineStr">
        <is>
          <t>Edificio</t>
        </is>
      </c>
      <c r="D506" t="inlineStr">
        <is>
          <t>A</t>
        </is>
      </c>
      <c r="E506" t="inlineStr">
        <is>
          <t>Departamento</t>
        </is>
      </c>
      <c r="F506" t="inlineStr">
        <is>
          <t>605</t>
        </is>
      </c>
      <c r="G506" s="39" t="n">
        <v>532100</v>
      </c>
      <c r="H506" s="39" t="n">
        <v>495000</v>
      </c>
      <c r="M506" s="39" t="n"/>
      <c r="N506" s="39" t="n"/>
      <c r="S506" s="39" t="n"/>
      <c r="T506" s="39" t="n"/>
      <c r="Y506" s="39" t="n"/>
      <c r="Z506" s="39" t="n"/>
      <c r="AA506" t="inlineStr">
        <is>
          <t>Mayra Andrea Montenegro Gomez</t>
        </is>
      </c>
      <c r="AB506" t="inlineStr">
        <is>
          <t>73214647</t>
        </is>
      </c>
      <c r="AC506" t="inlineStr">
        <is>
          <t>Jr. Huiracocha 1740 Dpto. 202 Edif Maldonado</t>
        </is>
      </c>
      <c r="AD506" t="n">
        <v>0</v>
      </c>
      <c r="AE506" t="inlineStr">
        <is>
          <t>987505094</t>
        </is>
      </c>
      <c r="AF506" t="inlineStr">
        <is>
          <t>maya.monte18@hotmail.com</t>
        </is>
      </c>
      <c r="AG506" t="inlineStr">
        <is>
          <t>LIMA</t>
        </is>
      </c>
      <c r="AH506" t="inlineStr">
        <is>
          <t>JESUS MARIA</t>
        </is>
      </c>
      <c r="AI506" s="75" t="n">
        <v>46158</v>
      </c>
      <c r="AJ506" s="75" t="n">
        <v>45868</v>
      </c>
      <c r="AK506" t="inlineStr">
        <is>
          <t>CUOTA INICIAL</t>
        </is>
      </c>
      <c r="AL506" t="n">
        <v>1</v>
      </c>
      <c r="AM506" t="n">
        <v>50000</v>
      </c>
      <c r="AN506" t="n">
        <v>0</v>
      </c>
      <c r="AO506" t="n">
        <v>0</v>
      </c>
      <c r="AP506" s="39" t="n">
        <v>50000</v>
      </c>
      <c r="AQ506" s="39" t="n">
        <v>50000</v>
      </c>
      <c r="AR506" s="39" t="n">
        <v>0</v>
      </c>
      <c r="AS506" t="n">
        <v>0</v>
      </c>
      <c r="AT506" t="inlineStr">
        <is>
          <t>Crédito Hipotecario</t>
        </is>
      </c>
      <c r="AU506" t="inlineStr">
        <is>
          <t>Banco de Credito del Perú</t>
        </is>
      </c>
      <c r="AV506" t="inlineStr">
        <is>
          <t>194-7325779-0-65</t>
        </is>
      </c>
      <c r="AW506" t="inlineStr">
        <is>
          <t>TRANSFERENCIA BANCARIA</t>
        </is>
      </c>
      <c r="AY506" t="inlineStr">
        <is>
          <t>0857979</t>
        </is>
      </c>
      <c r="AZ506" t="inlineStr">
        <is>
          <t>No</t>
        </is>
      </c>
      <c r="BB506" t="n">
        <v>4</v>
      </c>
      <c r="BC506" t="inlineStr">
        <is>
          <t>CANCELADO</t>
        </is>
      </c>
      <c r="BN506" t="inlineStr">
        <is>
          <t>No</t>
        </is>
      </c>
      <c r="BO506" s="76" t="n">
        <v>45868.40763888889</v>
      </c>
      <c r="BP506" t="inlineStr">
        <is>
          <t>Magaly Guevara Perez</t>
        </is>
      </c>
      <c r="BR506" t="n">
        <v>22</v>
      </c>
      <c r="BS506" t="inlineStr">
        <is>
          <t>24/05/2026 08:51</t>
        </is>
      </c>
      <c r="BW506" t="inlineStr">
        <is>
          <t>Cobranzas_2026.csv</t>
        </is>
      </c>
      <c r="BX506" t="n">
        <v>2026</v>
      </c>
      <c r="BY506" t="inlineStr">
        <is>
          <t>01/01/2024</t>
        </is>
      </c>
      <c r="BZ506" t="inlineStr">
        <is>
          <t>30/06/2031</t>
        </is>
      </c>
    </row>
    <row r="507">
      <c r="A507" t="inlineStr">
        <is>
          <t>RESIDENCIAL BEYOND</t>
        </is>
      </c>
      <c r="B507" t="inlineStr">
        <is>
          <t>Etapa 1</t>
        </is>
      </c>
      <c r="C507" t="inlineStr">
        <is>
          <t>Edificio</t>
        </is>
      </c>
      <c r="D507" t="inlineStr">
        <is>
          <t>A</t>
        </is>
      </c>
      <c r="E507" t="inlineStr">
        <is>
          <t>Departamento</t>
        </is>
      </c>
      <c r="F507" t="inlineStr">
        <is>
          <t>605</t>
        </is>
      </c>
      <c r="G507" s="39" t="n">
        <v>532100</v>
      </c>
      <c r="H507" s="39" t="n">
        <v>495000</v>
      </c>
      <c r="M507" s="39" t="n"/>
      <c r="N507" s="39" t="n"/>
      <c r="S507" s="39" t="n"/>
      <c r="T507" s="39" t="n"/>
      <c r="Y507" s="39" t="n"/>
      <c r="Z507" s="39" t="n"/>
      <c r="AA507" t="inlineStr">
        <is>
          <t>Mayra Andrea Montenegro Gomez</t>
        </is>
      </c>
      <c r="AB507" t="inlineStr">
        <is>
          <t>73214647</t>
        </is>
      </c>
      <c r="AC507" t="inlineStr">
        <is>
          <t>Jr. Huiracocha 1740 Dpto. 202 Edif Maldonado</t>
        </is>
      </c>
      <c r="AD507" t="n">
        <v>0</v>
      </c>
      <c r="AE507" t="inlineStr">
        <is>
          <t>987505094</t>
        </is>
      </c>
      <c r="AF507" t="inlineStr">
        <is>
          <t>maya.monte18@hotmail.com</t>
        </is>
      </c>
      <c r="AG507" t="inlineStr">
        <is>
          <t>LIMA</t>
        </is>
      </c>
      <c r="AH507" t="inlineStr">
        <is>
          <t>JESUS MARIA</t>
        </is>
      </c>
      <c r="AI507" s="75" t="n">
        <v>46172</v>
      </c>
      <c r="AJ507" s="75" t="n"/>
      <c r="AK507" t="inlineStr">
        <is>
          <t>CUOTA INICIAL</t>
        </is>
      </c>
      <c r="AL507" t="n">
        <v>2</v>
      </c>
      <c r="AM507" t="n">
        <v>22000</v>
      </c>
      <c r="AN507" t="n">
        <v>0</v>
      </c>
      <c r="AO507" t="n">
        <v>0</v>
      </c>
      <c r="AP507" s="39" t="n">
        <v>22000</v>
      </c>
      <c r="AQ507" s="39" t="n">
        <v>0</v>
      </c>
      <c r="AR507" s="39" t="n">
        <v>22000</v>
      </c>
      <c r="AT507" t="inlineStr">
        <is>
          <t>Crédito Hipotecario</t>
        </is>
      </c>
      <c r="AZ507" t="inlineStr">
        <is>
          <t>No</t>
        </is>
      </c>
      <c r="BC507" t="inlineStr">
        <is>
          <t>VENCIDO</t>
        </is>
      </c>
      <c r="BN507" t="inlineStr">
        <is>
          <t>No</t>
        </is>
      </c>
      <c r="BO507" s="76" t="n">
        <v>45868.40763888889</v>
      </c>
      <c r="BP507" t="inlineStr">
        <is>
          <t>Magaly Guevara Perez</t>
        </is>
      </c>
      <c r="BR507" t="n">
        <v>22</v>
      </c>
      <c r="BW507" t="inlineStr">
        <is>
          <t>Cobranzas_2026.csv</t>
        </is>
      </c>
      <c r="BX507" t="n">
        <v>2026</v>
      </c>
      <c r="BY507" t="inlineStr">
        <is>
          <t>01/01/2024</t>
        </is>
      </c>
      <c r="BZ507" t="inlineStr">
        <is>
          <t>30/06/2031</t>
        </is>
      </c>
    </row>
    <row r="508">
      <c r="A508" t="inlineStr">
        <is>
          <t>RESIDENCIAL BEYOND</t>
        </is>
      </c>
      <c r="B508" t="inlineStr">
        <is>
          <t>Etapa 1</t>
        </is>
      </c>
      <c r="C508" t="inlineStr">
        <is>
          <t>Edificio</t>
        </is>
      </c>
      <c r="D508" t="inlineStr">
        <is>
          <t>A</t>
        </is>
      </c>
      <c r="E508" t="inlineStr">
        <is>
          <t>Departamento</t>
        </is>
      </c>
      <c r="F508" t="inlineStr">
        <is>
          <t>605</t>
        </is>
      </c>
      <c r="G508" s="39" t="n">
        <v>532100</v>
      </c>
      <c r="H508" s="39" t="n">
        <v>495000</v>
      </c>
      <c r="M508" s="39" t="n"/>
      <c r="N508" s="39" t="n"/>
      <c r="S508" s="39" t="n"/>
      <c r="T508" s="39" t="n"/>
      <c r="Y508" s="39" t="n"/>
      <c r="Z508" s="39" t="n"/>
      <c r="AA508" t="inlineStr">
        <is>
          <t>Mayra Andrea Montenegro Gomez</t>
        </is>
      </c>
      <c r="AB508" t="inlineStr">
        <is>
          <t>73214647</t>
        </is>
      </c>
      <c r="AC508" t="inlineStr">
        <is>
          <t>Jr. Huiracocha 1740 Dpto. 202 Edif Maldonado</t>
        </is>
      </c>
      <c r="AD508" t="n">
        <v>0</v>
      </c>
      <c r="AE508" t="inlineStr">
        <is>
          <t>987505094</t>
        </is>
      </c>
      <c r="AF508" t="inlineStr">
        <is>
          <t>maya.monte18@hotmail.com</t>
        </is>
      </c>
      <c r="AG508" t="inlineStr">
        <is>
          <t>LIMA</t>
        </is>
      </c>
      <c r="AH508" t="inlineStr">
        <is>
          <t>JESUS MARIA</t>
        </is>
      </c>
      <c r="AI508" s="75" t="n">
        <v>46172</v>
      </c>
      <c r="AJ508" s="75" t="n"/>
      <c r="AK508" t="inlineStr">
        <is>
          <t>CUOTA INICIAL</t>
        </is>
      </c>
      <c r="AL508" t="n">
        <v>3</v>
      </c>
      <c r="AM508" t="n">
        <v>24000</v>
      </c>
      <c r="AN508" t="n">
        <v>0</v>
      </c>
      <c r="AO508" t="n">
        <v>0</v>
      </c>
      <c r="AP508" s="39" t="n">
        <v>24000</v>
      </c>
      <c r="AQ508" s="39" t="n">
        <v>0</v>
      </c>
      <c r="AR508" s="39" t="n">
        <v>24000</v>
      </c>
      <c r="AT508" t="inlineStr">
        <is>
          <t>Crédito Hipotecario</t>
        </is>
      </c>
      <c r="AZ508" t="inlineStr">
        <is>
          <t>No</t>
        </is>
      </c>
      <c r="BC508" t="inlineStr">
        <is>
          <t>VENCIDO</t>
        </is>
      </c>
      <c r="BN508" t="inlineStr">
        <is>
          <t>No</t>
        </is>
      </c>
      <c r="BO508" s="76" t="n">
        <v>45868.40763888889</v>
      </c>
      <c r="BP508" t="inlineStr">
        <is>
          <t>Magaly Guevara Perez</t>
        </is>
      </c>
      <c r="BR508" t="n">
        <v>22</v>
      </c>
      <c r="BW508" t="inlineStr">
        <is>
          <t>Cobranzas_2026.csv</t>
        </is>
      </c>
      <c r="BX508" t="n">
        <v>2026</v>
      </c>
      <c r="BY508" t="inlineStr">
        <is>
          <t>01/01/2024</t>
        </is>
      </c>
      <c r="BZ508" t="inlineStr">
        <is>
          <t>30/06/2031</t>
        </is>
      </c>
    </row>
    <row r="509">
      <c r="A509" t="inlineStr">
        <is>
          <t>RESIDENCIAL BEYOND</t>
        </is>
      </c>
      <c r="B509" t="inlineStr">
        <is>
          <t>Etapa 1</t>
        </is>
      </c>
      <c r="C509" t="inlineStr">
        <is>
          <t>Edificio</t>
        </is>
      </c>
      <c r="D509" t="inlineStr">
        <is>
          <t>A</t>
        </is>
      </c>
      <c r="E509" t="inlineStr">
        <is>
          <t>Departamento</t>
        </is>
      </c>
      <c r="F509" t="inlineStr">
        <is>
          <t>605</t>
        </is>
      </c>
      <c r="G509" s="39" t="n">
        <v>532100</v>
      </c>
      <c r="H509" s="39" t="n">
        <v>495000</v>
      </c>
      <c r="M509" s="39" t="n"/>
      <c r="N509" s="39" t="n"/>
      <c r="S509" s="39" t="n"/>
      <c r="T509" s="39" t="n"/>
      <c r="Y509" s="39" t="n"/>
      <c r="Z509" s="39" t="n"/>
      <c r="AA509" t="inlineStr">
        <is>
          <t>Mayra Andrea Montenegro Gomez</t>
        </is>
      </c>
      <c r="AB509" t="inlineStr">
        <is>
          <t>73214647</t>
        </is>
      </c>
      <c r="AC509" t="inlineStr">
        <is>
          <t>Jr. Huiracocha 1740 Dpto. 202 Edif Maldonado</t>
        </is>
      </c>
      <c r="AD509" t="n">
        <v>0</v>
      </c>
      <c r="AE509" t="inlineStr">
        <is>
          <t>987505094</t>
        </is>
      </c>
      <c r="AF509" t="inlineStr">
        <is>
          <t>maya.monte18@hotmail.com</t>
        </is>
      </c>
      <c r="AG509" t="inlineStr">
        <is>
          <t>LIMA</t>
        </is>
      </c>
      <c r="AH509" t="inlineStr">
        <is>
          <t>JESUS MARIA</t>
        </is>
      </c>
      <c r="AI509" s="75" t="n">
        <v>46234</v>
      </c>
      <c r="AJ509" s="75" t="n"/>
      <c r="AK509" t="inlineStr">
        <is>
          <t>SALDO FINANCIAR</t>
        </is>
      </c>
      <c r="AL509" t="n">
        <v>1</v>
      </c>
      <c r="AM509" t="n">
        <v>396000</v>
      </c>
      <c r="AN509" t="n">
        <v>0</v>
      </c>
      <c r="AO509" t="n">
        <v>0</v>
      </c>
      <c r="AP509" s="39" t="n">
        <v>396000</v>
      </c>
      <c r="AQ509" s="39" t="n">
        <v>0</v>
      </c>
      <c r="AR509" s="39" t="n">
        <v>396000</v>
      </c>
      <c r="AT509" t="inlineStr">
        <is>
          <t>Crédito Hipotecario</t>
        </is>
      </c>
      <c r="AZ509" t="inlineStr">
        <is>
          <t>No</t>
        </is>
      </c>
      <c r="BC509" t="inlineStr">
        <is>
          <t>PENDIENTE</t>
        </is>
      </c>
      <c r="BN509" t="inlineStr">
        <is>
          <t>No</t>
        </is>
      </c>
      <c r="BO509" s="76" t="n">
        <v>45868.40763888889</v>
      </c>
      <c r="BP509" t="inlineStr">
        <is>
          <t>Magaly Guevara Perez</t>
        </is>
      </c>
      <c r="BR509" t="n">
        <v>22</v>
      </c>
      <c r="BW509" t="inlineStr">
        <is>
          <t>Cobranzas_2026.csv</t>
        </is>
      </c>
      <c r="BX509" t="n">
        <v>2026</v>
      </c>
      <c r="BY509" t="inlineStr">
        <is>
          <t>01/01/2024</t>
        </is>
      </c>
      <c r="BZ509" t="inlineStr">
        <is>
          <t>30/06/2031</t>
        </is>
      </c>
    </row>
    <row r="510">
      <c r="A510" t="inlineStr">
        <is>
          <t>RESIDENCIAL BEYOND</t>
        </is>
      </c>
      <c r="B510" t="inlineStr">
        <is>
          <t>Etapa 1</t>
        </is>
      </c>
      <c r="C510" t="inlineStr">
        <is>
          <t>Edificio</t>
        </is>
      </c>
      <c r="D510" t="inlineStr">
        <is>
          <t>A</t>
        </is>
      </c>
      <c r="E510" t="inlineStr">
        <is>
          <t>Departamento</t>
        </is>
      </c>
      <c r="F510" t="inlineStr">
        <is>
          <t>902</t>
        </is>
      </c>
      <c r="G510" s="39" t="n">
        <v>469000</v>
      </c>
      <c r="H510" s="39" t="n">
        <v>429000</v>
      </c>
      <c r="M510" s="39" t="n"/>
      <c r="N510" s="39" t="n"/>
      <c r="S510" s="39" t="n"/>
      <c r="T510" s="39" t="n"/>
      <c r="Y510" s="39" t="n"/>
      <c r="Z510" s="39" t="n"/>
      <c r="AA510" t="inlineStr">
        <is>
          <t>Medaly Mendoza .</t>
        </is>
      </c>
      <c r="AB510" t="inlineStr">
        <is>
          <t>75197073</t>
        </is>
      </c>
      <c r="AC510" t="inlineStr">
        <is>
          <t>.</t>
        </is>
      </c>
      <c r="AD510" t="n">
        <v>0</v>
      </c>
      <c r="AE510" t="inlineStr">
        <is>
          <t>979218897</t>
        </is>
      </c>
      <c r="AF510" t="inlineStr">
        <is>
          <t>medalymendoza223@gmail.com</t>
        </is>
      </c>
      <c r="AG510" t="inlineStr">
        <is>
          <t>LIMA</t>
        </is>
      </c>
      <c r="AH510" t="inlineStr">
        <is>
          <t>JESUS MARIA</t>
        </is>
      </c>
      <c r="AI510" s="75" t="n">
        <v>46174</v>
      </c>
      <c r="AJ510" s="75" t="n">
        <v>46174</v>
      </c>
      <c r="AK510" t="inlineStr">
        <is>
          <t>SEPARACION</t>
        </is>
      </c>
      <c r="AL510" t="n">
        <v>1</v>
      </c>
      <c r="AM510" t="n">
        <v>3000</v>
      </c>
      <c r="AN510" t="n">
        <v>0</v>
      </c>
      <c r="AO510" t="n">
        <v>0</v>
      </c>
      <c r="AP510" s="39" t="n">
        <v>3000</v>
      </c>
      <c r="AQ510" s="39" t="n">
        <v>3000</v>
      </c>
      <c r="AR510" s="39" t="n">
        <v>0</v>
      </c>
      <c r="AS510" t="n">
        <v>0</v>
      </c>
      <c r="AT510" t="inlineStr">
        <is>
          <t>Ahorro</t>
        </is>
      </c>
      <c r="AU510" t="inlineStr">
        <is>
          <t>Banco de Credito del Perú</t>
        </is>
      </c>
      <c r="AV510" t="inlineStr">
        <is>
          <t>194-7325779-0-65</t>
        </is>
      </c>
      <c r="AW510" t="inlineStr">
        <is>
          <t>TRANSFERENCIA BANCARIA</t>
        </is>
      </c>
      <c r="AY510" t="inlineStr">
        <is>
          <t>05001718</t>
        </is>
      </c>
      <c r="AZ510" t="inlineStr">
        <is>
          <t>No</t>
        </is>
      </c>
      <c r="BB510" t="n">
        <v>4</v>
      </c>
      <c r="BC510" t="inlineStr">
        <is>
          <t>CANCELADO</t>
        </is>
      </c>
      <c r="BN510" t="inlineStr">
        <is>
          <t>Si</t>
        </is>
      </c>
      <c r="BO510" s="76" t="n">
        <v>46191.39652777778</v>
      </c>
      <c r="BP510" t="inlineStr">
        <is>
          <t>Kenny Salazar S</t>
        </is>
      </c>
      <c r="BR510" t="n">
        <v>45</v>
      </c>
      <c r="BS510" t="inlineStr">
        <is>
          <t>11/07/2026 08:51</t>
        </is>
      </c>
      <c r="BW510" t="inlineStr">
        <is>
          <t>Cobranzas_2026.csv</t>
        </is>
      </c>
      <c r="BX510" t="n">
        <v>2026</v>
      </c>
      <c r="BY510" t="inlineStr">
        <is>
          <t>01/01/2024</t>
        </is>
      </c>
      <c r="BZ510" t="inlineStr">
        <is>
          <t>30/06/2031</t>
        </is>
      </c>
    </row>
    <row r="511">
      <c r="A511" t="inlineStr">
        <is>
          <t>RESIDENCIAL BEYOND</t>
        </is>
      </c>
      <c r="B511" t="inlineStr">
        <is>
          <t>Etapa 1</t>
        </is>
      </c>
      <c r="C511" t="inlineStr">
        <is>
          <t>Edificio</t>
        </is>
      </c>
      <c r="D511" t="inlineStr">
        <is>
          <t>A</t>
        </is>
      </c>
      <c r="E511" t="inlineStr">
        <is>
          <t>Departamento</t>
        </is>
      </c>
      <c r="F511" t="inlineStr">
        <is>
          <t>902</t>
        </is>
      </c>
      <c r="G511" s="39" t="n">
        <v>469000</v>
      </c>
      <c r="H511" s="39" t="n">
        <v>429000</v>
      </c>
      <c r="M511" s="39" t="n"/>
      <c r="N511" s="39" t="n"/>
      <c r="S511" s="39" t="n"/>
      <c r="T511" s="39" t="n"/>
      <c r="Y511" s="39" t="n"/>
      <c r="Z511" s="39" t="n"/>
      <c r="AA511" t="inlineStr">
        <is>
          <t>Medaly Mendoza .</t>
        </is>
      </c>
      <c r="AB511" t="inlineStr">
        <is>
          <t>75197073</t>
        </is>
      </c>
      <c r="AC511" t="inlineStr">
        <is>
          <t>.</t>
        </is>
      </c>
      <c r="AD511" t="n">
        <v>0</v>
      </c>
      <c r="AE511" t="inlineStr">
        <is>
          <t>979218897</t>
        </is>
      </c>
      <c r="AF511" t="inlineStr">
        <is>
          <t>medalymendoza223@gmail.com</t>
        </is>
      </c>
      <c r="AG511" t="inlineStr">
        <is>
          <t>LIMA</t>
        </is>
      </c>
      <c r="AH511" t="inlineStr">
        <is>
          <t>JESUS MARIA</t>
        </is>
      </c>
      <c r="AI511" s="75" t="n">
        <v>46181</v>
      </c>
      <c r="AJ511" s="75" t="n">
        <v>46181</v>
      </c>
      <c r="AK511" t="inlineStr">
        <is>
          <t>CUOTA INICIAL</t>
        </is>
      </c>
      <c r="AL511" t="n">
        <v>1</v>
      </c>
      <c r="AM511" t="n">
        <v>18450</v>
      </c>
      <c r="AN511" t="n">
        <v>0</v>
      </c>
      <c r="AO511" t="n">
        <v>0</v>
      </c>
      <c r="AP511" s="39" t="n">
        <v>18450</v>
      </c>
      <c r="AQ511" s="39" t="n">
        <v>18450</v>
      </c>
      <c r="AR511" s="39" t="n">
        <v>0</v>
      </c>
      <c r="AS511" t="n">
        <v>0</v>
      </c>
      <c r="AT511" t="inlineStr">
        <is>
          <t>Ahorro</t>
        </is>
      </c>
      <c r="AU511" t="inlineStr">
        <is>
          <t>Banco de Credito del Perú</t>
        </is>
      </c>
      <c r="AV511" t="inlineStr">
        <is>
          <t>194-7325779-0-65</t>
        </is>
      </c>
      <c r="AW511" t="inlineStr">
        <is>
          <t>TRANSFERENCIA BANCARIA</t>
        </is>
      </c>
      <c r="AY511" t="inlineStr">
        <is>
          <t>04992682</t>
        </is>
      </c>
      <c r="AZ511" t="inlineStr">
        <is>
          <t>No</t>
        </is>
      </c>
      <c r="BB511" t="n">
        <v>4</v>
      </c>
      <c r="BC511" t="inlineStr">
        <is>
          <t>CANCELADO</t>
        </is>
      </c>
      <c r="BN511" t="inlineStr">
        <is>
          <t>Si</t>
        </is>
      </c>
      <c r="BO511" s="76" t="n">
        <v>46191.39652777778</v>
      </c>
      <c r="BP511" t="inlineStr">
        <is>
          <t>Kenny Salazar S</t>
        </is>
      </c>
      <c r="BR511" t="n">
        <v>45</v>
      </c>
      <c r="BS511" t="inlineStr">
        <is>
          <t>11/07/2026 09:30</t>
        </is>
      </c>
      <c r="BW511" t="inlineStr">
        <is>
          <t>Cobranzas_2026.csv</t>
        </is>
      </c>
      <c r="BX511" t="n">
        <v>2026</v>
      </c>
      <c r="BY511" t="inlineStr">
        <is>
          <t>01/01/2024</t>
        </is>
      </c>
      <c r="BZ511" t="inlineStr">
        <is>
          <t>30/06/2031</t>
        </is>
      </c>
    </row>
    <row r="512">
      <c r="A512" t="inlineStr">
        <is>
          <t>RESIDENCIAL BEYOND</t>
        </is>
      </c>
      <c r="B512" t="inlineStr">
        <is>
          <t>Etapa 1</t>
        </is>
      </c>
      <c r="C512" t="inlineStr">
        <is>
          <t>Edificio</t>
        </is>
      </c>
      <c r="D512" t="inlineStr">
        <is>
          <t>A</t>
        </is>
      </c>
      <c r="E512" t="inlineStr">
        <is>
          <t>Departamento</t>
        </is>
      </c>
      <c r="F512" t="inlineStr">
        <is>
          <t>902</t>
        </is>
      </c>
      <c r="G512" s="39" t="n">
        <v>469000</v>
      </c>
      <c r="H512" s="39" t="n">
        <v>429000</v>
      </c>
      <c r="M512" s="39" t="n"/>
      <c r="N512" s="39" t="n"/>
      <c r="S512" s="39" t="n"/>
      <c r="T512" s="39" t="n"/>
      <c r="Y512" s="39" t="n"/>
      <c r="Z512" s="39" t="n"/>
      <c r="AA512" t="inlineStr">
        <is>
          <t>Medaly Mendoza .</t>
        </is>
      </c>
      <c r="AB512" t="inlineStr">
        <is>
          <t>75197073</t>
        </is>
      </c>
      <c r="AC512" t="inlineStr">
        <is>
          <t>.</t>
        </is>
      </c>
      <c r="AD512" t="n">
        <v>0</v>
      </c>
      <c r="AE512" t="inlineStr">
        <is>
          <t>979218897</t>
        </is>
      </c>
      <c r="AF512" t="inlineStr">
        <is>
          <t>medalymendoza223@gmail.com</t>
        </is>
      </c>
      <c r="AG512" t="inlineStr">
        <is>
          <t>LIMA</t>
        </is>
      </c>
      <c r="AH512" t="inlineStr">
        <is>
          <t>JESUS MARIA</t>
        </is>
      </c>
      <c r="AI512" s="75" t="n">
        <v>46356</v>
      </c>
      <c r="AJ512" s="75" t="n"/>
      <c r="AK512" t="inlineStr">
        <is>
          <t>CUOTA INICIAL</t>
        </is>
      </c>
      <c r="AL512" t="n">
        <v>2</v>
      </c>
      <c r="AM512" t="n">
        <v>21450</v>
      </c>
      <c r="AN512" t="n">
        <v>0</v>
      </c>
      <c r="AO512" t="n">
        <v>0</v>
      </c>
      <c r="AP512" s="39" t="n">
        <v>21450</v>
      </c>
      <c r="AQ512" s="39" t="n">
        <v>0</v>
      </c>
      <c r="AR512" s="39" t="n">
        <v>21450</v>
      </c>
      <c r="AT512" t="inlineStr">
        <is>
          <t>Ahorro</t>
        </is>
      </c>
      <c r="AZ512" t="inlineStr">
        <is>
          <t>No</t>
        </is>
      </c>
      <c r="BC512" t="inlineStr">
        <is>
          <t>PENDIENTE</t>
        </is>
      </c>
      <c r="BN512" t="inlineStr">
        <is>
          <t>No</t>
        </is>
      </c>
      <c r="BO512" s="76" t="n">
        <v>46191.39652777778</v>
      </c>
      <c r="BP512" t="inlineStr">
        <is>
          <t>Kenny Salazar S</t>
        </is>
      </c>
      <c r="BR512" t="n">
        <v>45</v>
      </c>
      <c r="BW512" t="inlineStr">
        <is>
          <t>Cobranzas_2026.csv</t>
        </is>
      </c>
      <c r="BX512" t="n">
        <v>2026</v>
      </c>
      <c r="BY512" t="inlineStr">
        <is>
          <t>01/01/2024</t>
        </is>
      </c>
      <c r="BZ512" t="inlineStr">
        <is>
          <t>30/06/2031</t>
        </is>
      </c>
    </row>
    <row r="513">
      <c r="A513" t="inlineStr">
        <is>
          <t>RESIDENCIAL BEYOND</t>
        </is>
      </c>
      <c r="B513" t="inlineStr">
        <is>
          <t>Etapa 1</t>
        </is>
      </c>
      <c r="C513" t="inlineStr">
        <is>
          <t>Edificio</t>
        </is>
      </c>
      <c r="D513" t="inlineStr">
        <is>
          <t>A</t>
        </is>
      </c>
      <c r="E513" t="inlineStr">
        <is>
          <t>Departamento</t>
        </is>
      </c>
      <c r="F513" t="inlineStr">
        <is>
          <t>1502</t>
        </is>
      </c>
      <c r="G513" s="39" t="n">
        <v>430000</v>
      </c>
      <c r="H513" s="39" t="n">
        <v>369000</v>
      </c>
      <c r="I513" t="inlineStr">
        <is>
          <t>Edificio</t>
        </is>
      </c>
      <c r="J513" t="inlineStr">
        <is>
          <t>A</t>
        </is>
      </c>
      <c r="K513" t="inlineStr">
        <is>
          <t>Estacionamiento</t>
        </is>
      </c>
      <c r="L513" t="inlineStr">
        <is>
          <t>E 39</t>
        </is>
      </c>
      <c r="M513" s="39" t="n">
        <v>43200</v>
      </c>
      <c r="N513" s="39" t="n">
        <v>43200</v>
      </c>
      <c r="S513" s="39" t="n"/>
      <c r="T513" s="39" t="n"/>
      <c r="Y513" s="39" t="n"/>
      <c r="Z513" s="39" t="n"/>
      <c r="AA513" t="inlineStr">
        <is>
          <t>Melanny Dayanna Flores Blas</t>
        </is>
      </c>
      <c r="AB513" t="inlineStr">
        <is>
          <t>75334346</t>
        </is>
      </c>
      <c r="AC513" t="inlineStr">
        <is>
          <t xml:space="preserve">Av. Los Alisos Urb. Naranjal MZ Ñ-1 LT 27 </t>
        </is>
      </c>
      <c r="AD513" t="n">
        <v>0</v>
      </c>
      <c r="AE513" t="inlineStr">
        <is>
          <t>979775301</t>
        </is>
      </c>
      <c r="AF513" t="inlineStr">
        <is>
          <t>flores.d19958@gmail.com</t>
        </is>
      </c>
      <c r="AG513" t="inlineStr">
        <is>
          <t>LIMA</t>
        </is>
      </c>
      <c r="AH513" t="inlineStr">
        <is>
          <t>SAN MARTIN DE PORRES</t>
        </is>
      </c>
      <c r="AI513" s="75" t="n">
        <v>46036</v>
      </c>
      <c r="AJ513" s="75" t="n">
        <v>46036</v>
      </c>
      <c r="AK513" t="inlineStr">
        <is>
          <t>SEPARACION</t>
        </is>
      </c>
      <c r="AL513" t="n">
        <v>1</v>
      </c>
      <c r="AM513" t="n">
        <v>3000</v>
      </c>
      <c r="AN513" t="n">
        <v>0</v>
      </c>
      <c r="AO513" t="n">
        <v>0</v>
      </c>
      <c r="AP513" s="39" t="n">
        <v>3000</v>
      </c>
      <c r="AQ513" s="39" t="n">
        <v>3000</v>
      </c>
      <c r="AR513" s="39" t="n">
        <v>0</v>
      </c>
      <c r="AS513" t="n">
        <v>0</v>
      </c>
      <c r="AT513" t="inlineStr">
        <is>
          <t>Crédito Directo</t>
        </is>
      </c>
      <c r="AU513" t="inlineStr">
        <is>
          <t>Banco de Credito del Perú</t>
        </is>
      </c>
      <c r="AV513" t="inlineStr">
        <is>
          <t>194-7325779-0-65</t>
        </is>
      </c>
      <c r="AW513" t="inlineStr">
        <is>
          <t>TRANSFERENCIA BANCARIA</t>
        </is>
      </c>
      <c r="AY513" t="inlineStr">
        <is>
          <t>02463717</t>
        </is>
      </c>
      <c r="AZ513" t="inlineStr">
        <is>
          <t>No</t>
        </is>
      </c>
      <c r="BB513" t="n">
        <v>4</v>
      </c>
      <c r="BC513" t="inlineStr">
        <is>
          <t>CANCELADO</t>
        </is>
      </c>
      <c r="BN513" t="inlineStr">
        <is>
          <t>No</t>
        </is>
      </c>
      <c r="BO513" s="76" t="n">
        <v>46046.47361111111</v>
      </c>
      <c r="BP513" t="inlineStr">
        <is>
          <t>Carla Michue M</t>
        </is>
      </c>
      <c r="BR513" t="n">
        <v>10</v>
      </c>
      <c r="BS513" t="inlineStr">
        <is>
          <t>23/05/2026 18:42</t>
        </is>
      </c>
      <c r="BW513" t="inlineStr">
        <is>
          <t>Cobranzas_2026.csv</t>
        </is>
      </c>
      <c r="BX513" t="n">
        <v>2026</v>
      </c>
      <c r="BY513" t="inlineStr">
        <is>
          <t>01/01/2024</t>
        </is>
      </c>
      <c r="BZ513" t="inlineStr">
        <is>
          <t>30/06/2031</t>
        </is>
      </c>
    </row>
    <row r="514">
      <c r="A514" t="inlineStr">
        <is>
          <t>RESIDENCIAL BEYOND</t>
        </is>
      </c>
      <c r="B514" t="inlineStr">
        <is>
          <t>Etapa 1</t>
        </is>
      </c>
      <c r="C514" t="inlineStr">
        <is>
          <t>Edificio</t>
        </is>
      </c>
      <c r="D514" t="inlineStr">
        <is>
          <t>A</t>
        </is>
      </c>
      <c r="E514" t="inlineStr">
        <is>
          <t>Departamento</t>
        </is>
      </c>
      <c r="F514" t="inlineStr">
        <is>
          <t>1502</t>
        </is>
      </c>
      <c r="G514" s="39" t="n">
        <v>430000</v>
      </c>
      <c r="H514" s="39" t="n">
        <v>369000</v>
      </c>
      <c r="I514" t="inlineStr">
        <is>
          <t>Edificio</t>
        </is>
      </c>
      <c r="J514" t="inlineStr">
        <is>
          <t>A</t>
        </is>
      </c>
      <c r="K514" t="inlineStr">
        <is>
          <t>Estacionamiento</t>
        </is>
      </c>
      <c r="L514" t="inlineStr">
        <is>
          <t>E 39</t>
        </is>
      </c>
      <c r="M514" s="39" t="n">
        <v>43200</v>
      </c>
      <c r="N514" s="39" t="n">
        <v>43200</v>
      </c>
      <c r="S514" s="39" t="n"/>
      <c r="T514" s="39" t="n"/>
      <c r="Y514" s="39" t="n"/>
      <c r="Z514" s="39" t="n"/>
      <c r="AA514" t="inlineStr">
        <is>
          <t>Melanny Dayanna Flores Blas</t>
        </is>
      </c>
      <c r="AB514" t="inlineStr">
        <is>
          <t>75334346</t>
        </is>
      </c>
      <c r="AC514" t="inlineStr">
        <is>
          <t xml:space="preserve">Av. Los Alisos Urb. Naranjal MZ Ñ-1 LT 27 </t>
        </is>
      </c>
      <c r="AD514" t="n">
        <v>0</v>
      </c>
      <c r="AE514" t="inlineStr">
        <is>
          <t>979775301</t>
        </is>
      </c>
      <c r="AF514" t="inlineStr">
        <is>
          <t>flores.d19958@gmail.com</t>
        </is>
      </c>
      <c r="AG514" t="inlineStr">
        <is>
          <t>LIMA</t>
        </is>
      </c>
      <c r="AH514" t="inlineStr">
        <is>
          <t>SAN MARTIN DE PORRES</t>
        </is>
      </c>
      <c r="AI514" s="75" t="n">
        <v>46046</v>
      </c>
      <c r="AJ514" s="75" t="n">
        <v>46046</v>
      </c>
      <c r="AK514" t="inlineStr">
        <is>
          <t>CUOTA INICIAL</t>
        </is>
      </c>
      <c r="AL514" t="n">
        <v>1</v>
      </c>
      <c r="AM514" t="n">
        <v>30000</v>
      </c>
      <c r="AN514" t="n">
        <v>0</v>
      </c>
      <c r="AO514" t="n">
        <v>0</v>
      </c>
      <c r="AP514" s="39" t="n">
        <v>30000</v>
      </c>
      <c r="AQ514" s="39" t="n">
        <v>30000</v>
      </c>
      <c r="AR514" s="39" t="n">
        <v>0</v>
      </c>
      <c r="AS514" t="n">
        <v>0</v>
      </c>
      <c r="AT514" t="inlineStr">
        <is>
          <t>Crédito Directo</t>
        </is>
      </c>
      <c r="AU514" t="inlineStr">
        <is>
          <t>Banco de Credito del Perú</t>
        </is>
      </c>
      <c r="AV514" t="inlineStr">
        <is>
          <t>194-7325779-0-65</t>
        </is>
      </c>
      <c r="AW514" t="inlineStr">
        <is>
          <t>TRANSFERENCIA BANCARIA</t>
        </is>
      </c>
      <c r="AY514" t="inlineStr">
        <is>
          <t>00676390</t>
        </is>
      </c>
      <c r="AZ514" t="inlineStr">
        <is>
          <t>No</t>
        </is>
      </c>
      <c r="BB514" t="n">
        <v>4</v>
      </c>
      <c r="BC514" t="inlineStr">
        <is>
          <t>CANCELADO</t>
        </is>
      </c>
      <c r="BN514" t="inlineStr">
        <is>
          <t>No</t>
        </is>
      </c>
      <c r="BO514" s="76" t="n">
        <v>46046.47361111111</v>
      </c>
      <c r="BP514" t="inlineStr">
        <is>
          <t>Carla Michue M</t>
        </is>
      </c>
      <c r="BR514" t="n">
        <v>10</v>
      </c>
      <c r="BS514" t="inlineStr">
        <is>
          <t>23/05/2026 18:50</t>
        </is>
      </c>
      <c r="BW514" t="inlineStr">
        <is>
          <t>Cobranzas_2026.csv</t>
        </is>
      </c>
      <c r="BX514" t="n">
        <v>2026</v>
      </c>
      <c r="BY514" t="inlineStr">
        <is>
          <t>01/01/2024</t>
        </is>
      </c>
      <c r="BZ514" t="inlineStr">
        <is>
          <t>30/06/2031</t>
        </is>
      </c>
    </row>
    <row r="515">
      <c r="A515" t="inlineStr">
        <is>
          <t>RESIDENCIAL BEYOND</t>
        </is>
      </c>
      <c r="B515" t="inlineStr">
        <is>
          <t>Etapa 1</t>
        </is>
      </c>
      <c r="C515" t="inlineStr">
        <is>
          <t>Edificio</t>
        </is>
      </c>
      <c r="D515" t="inlineStr">
        <is>
          <t>A</t>
        </is>
      </c>
      <c r="E515" t="inlineStr">
        <is>
          <t>Departamento</t>
        </is>
      </c>
      <c r="F515" t="inlineStr">
        <is>
          <t>1502</t>
        </is>
      </c>
      <c r="G515" s="39" t="n">
        <v>430000</v>
      </c>
      <c r="H515" s="39" t="n">
        <v>369000</v>
      </c>
      <c r="I515" t="inlineStr">
        <is>
          <t>Edificio</t>
        </is>
      </c>
      <c r="J515" t="inlineStr">
        <is>
          <t>A</t>
        </is>
      </c>
      <c r="K515" t="inlineStr">
        <is>
          <t>Estacionamiento</t>
        </is>
      </c>
      <c r="L515" t="inlineStr">
        <is>
          <t>E 39</t>
        </is>
      </c>
      <c r="M515" s="39" t="n">
        <v>43200</v>
      </c>
      <c r="N515" s="39" t="n">
        <v>43200</v>
      </c>
      <c r="S515" s="39" t="n"/>
      <c r="T515" s="39" t="n"/>
      <c r="Y515" s="39" t="n"/>
      <c r="Z515" s="39" t="n"/>
      <c r="AA515" t="inlineStr">
        <is>
          <t>Melanny Dayanna Flores Blas</t>
        </is>
      </c>
      <c r="AB515" t="inlineStr">
        <is>
          <t>75334346</t>
        </is>
      </c>
      <c r="AC515" t="inlineStr">
        <is>
          <t xml:space="preserve">Av. Los Alisos Urb. Naranjal MZ Ñ-1 LT 27 </t>
        </is>
      </c>
      <c r="AD515" t="n">
        <v>0</v>
      </c>
      <c r="AE515" t="inlineStr">
        <is>
          <t>979775301</t>
        </is>
      </c>
      <c r="AF515" t="inlineStr">
        <is>
          <t>flores.d19958@gmail.com</t>
        </is>
      </c>
      <c r="AG515" t="inlineStr">
        <is>
          <t>LIMA</t>
        </is>
      </c>
      <c r="AH515" t="inlineStr">
        <is>
          <t>SAN MARTIN DE PORRES</t>
        </is>
      </c>
      <c r="AI515" s="75" t="n">
        <v>46048</v>
      </c>
      <c r="AJ515" s="75" t="n">
        <v>46048</v>
      </c>
      <c r="AK515" t="inlineStr">
        <is>
          <t>CUOTA INICIAL</t>
        </is>
      </c>
      <c r="AL515" t="n">
        <v>2</v>
      </c>
      <c r="AM515" t="n">
        <v>70000</v>
      </c>
      <c r="AN515" t="n">
        <v>0</v>
      </c>
      <c r="AO515" t="n">
        <v>0</v>
      </c>
      <c r="AP515" s="39" t="n">
        <v>70000</v>
      </c>
      <c r="AQ515" s="39" t="n">
        <v>70000</v>
      </c>
      <c r="AR515" s="39" t="n">
        <v>0</v>
      </c>
      <c r="AS515" t="n">
        <v>0</v>
      </c>
      <c r="AT515" t="inlineStr">
        <is>
          <t>Crédito Directo</t>
        </is>
      </c>
      <c r="AU515" t="inlineStr">
        <is>
          <t>Banco de Credito del Perú</t>
        </is>
      </c>
      <c r="AV515" t="inlineStr">
        <is>
          <t>194-7325779-0-65</t>
        </is>
      </c>
      <c r="AW515" t="inlineStr">
        <is>
          <t>TRANSFERENCIA BANCARIA</t>
        </is>
      </c>
      <c r="AY515" t="inlineStr">
        <is>
          <t>0062</t>
        </is>
      </c>
      <c r="AZ515" t="inlineStr">
        <is>
          <t>No</t>
        </is>
      </c>
      <c r="BB515" t="n">
        <v>4</v>
      </c>
      <c r="BC515" t="inlineStr">
        <is>
          <t>CANCELADO</t>
        </is>
      </c>
      <c r="BN515" t="inlineStr">
        <is>
          <t>No</t>
        </is>
      </c>
      <c r="BO515" s="76" t="n">
        <v>46046.47361111111</v>
      </c>
      <c r="BP515" t="inlineStr">
        <is>
          <t>Carla Michue M</t>
        </is>
      </c>
      <c r="BR515" t="n">
        <v>10</v>
      </c>
      <c r="BS515" t="inlineStr">
        <is>
          <t>23/05/2026 18:50</t>
        </is>
      </c>
      <c r="BW515" t="inlineStr">
        <is>
          <t>Cobranzas_2026.csv</t>
        </is>
      </c>
      <c r="BX515" t="n">
        <v>2026</v>
      </c>
      <c r="BY515" t="inlineStr">
        <is>
          <t>01/01/2024</t>
        </is>
      </c>
      <c r="BZ515" t="inlineStr">
        <is>
          <t>30/06/2031</t>
        </is>
      </c>
    </row>
    <row r="516">
      <c r="A516" t="inlineStr">
        <is>
          <t>RESIDENCIAL BEYOND</t>
        </is>
      </c>
      <c r="B516" t="inlineStr">
        <is>
          <t>Etapa 1</t>
        </is>
      </c>
      <c r="C516" t="inlineStr">
        <is>
          <t>Edificio</t>
        </is>
      </c>
      <c r="D516" t="inlineStr">
        <is>
          <t>A</t>
        </is>
      </c>
      <c r="E516" t="inlineStr">
        <is>
          <t>Departamento</t>
        </is>
      </c>
      <c r="F516" t="inlineStr">
        <is>
          <t>1502</t>
        </is>
      </c>
      <c r="G516" s="39" t="n">
        <v>430000</v>
      </c>
      <c r="H516" s="39" t="n">
        <v>369000</v>
      </c>
      <c r="I516" t="inlineStr">
        <is>
          <t>Edificio</t>
        </is>
      </c>
      <c r="J516" t="inlineStr">
        <is>
          <t>A</t>
        </is>
      </c>
      <c r="K516" t="inlineStr">
        <is>
          <t>Estacionamiento</t>
        </is>
      </c>
      <c r="L516" t="inlineStr">
        <is>
          <t>E 39</t>
        </is>
      </c>
      <c r="M516" s="39" t="n">
        <v>43200</v>
      </c>
      <c r="N516" s="39" t="n">
        <v>43200</v>
      </c>
      <c r="S516" s="39" t="n"/>
      <c r="T516" s="39" t="n"/>
      <c r="Y516" s="39" t="n"/>
      <c r="Z516" s="39" t="n"/>
      <c r="AA516" t="inlineStr">
        <is>
          <t>Melanny Dayanna Flores Blas</t>
        </is>
      </c>
      <c r="AB516" t="inlineStr">
        <is>
          <t>75334346</t>
        </is>
      </c>
      <c r="AC516" t="inlineStr">
        <is>
          <t xml:space="preserve">Av. Los Alisos Urb. Naranjal MZ Ñ-1 LT 27 </t>
        </is>
      </c>
      <c r="AD516" t="n">
        <v>0</v>
      </c>
      <c r="AE516" t="inlineStr">
        <is>
          <t>979775301</t>
        </is>
      </c>
      <c r="AF516" t="inlineStr">
        <is>
          <t>flores.d19958@gmail.com</t>
        </is>
      </c>
      <c r="AG516" t="inlineStr">
        <is>
          <t>LIMA</t>
        </is>
      </c>
      <c r="AH516" t="inlineStr">
        <is>
          <t>SAN MARTIN DE PORRES</t>
        </is>
      </c>
      <c r="AI516" s="75" t="n">
        <v>46142</v>
      </c>
      <c r="AJ516" s="75" t="n"/>
      <c r="AK516" t="inlineStr">
        <is>
          <t>CUOTA INICIAL</t>
        </is>
      </c>
      <c r="AL516" t="n">
        <v>3</v>
      </c>
      <c r="AM516" t="n">
        <v>41270</v>
      </c>
      <c r="AN516" t="n">
        <v>0</v>
      </c>
      <c r="AO516" t="n">
        <v>0</v>
      </c>
      <c r="AP516" s="39" t="n">
        <v>41270</v>
      </c>
      <c r="AQ516" s="39" t="n">
        <v>0</v>
      </c>
      <c r="AR516" s="39" t="n">
        <v>41270</v>
      </c>
      <c r="AT516" t="inlineStr">
        <is>
          <t>Crédito Directo</t>
        </is>
      </c>
      <c r="AZ516" t="inlineStr">
        <is>
          <t>No</t>
        </is>
      </c>
      <c r="BC516" t="inlineStr">
        <is>
          <t>VENCIDO</t>
        </is>
      </c>
      <c r="BN516" t="inlineStr">
        <is>
          <t>No</t>
        </is>
      </c>
      <c r="BO516" s="76" t="n">
        <v>46046.47361111111</v>
      </c>
      <c r="BP516" t="inlineStr">
        <is>
          <t>Carla Michue M</t>
        </is>
      </c>
      <c r="BR516" t="n">
        <v>10</v>
      </c>
      <c r="BW516" t="inlineStr">
        <is>
          <t>Cobranzas_2026.csv</t>
        </is>
      </c>
      <c r="BX516" t="n">
        <v>2026</v>
      </c>
      <c r="BY516" t="inlineStr">
        <is>
          <t>01/01/2024</t>
        </is>
      </c>
      <c r="BZ516" t="inlineStr">
        <is>
          <t>30/06/2031</t>
        </is>
      </c>
    </row>
    <row r="517">
      <c r="A517" t="inlineStr">
        <is>
          <t>RESIDENCIAL BEYOND</t>
        </is>
      </c>
      <c r="B517" t="inlineStr">
        <is>
          <t>Etapa 1</t>
        </is>
      </c>
      <c r="C517" t="inlineStr">
        <is>
          <t>Edificio</t>
        </is>
      </c>
      <c r="D517" t="inlineStr">
        <is>
          <t>A</t>
        </is>
      </c>
      <c r="E517" t="inlineStr">
        <is>
          <t>Departamento</t>
        </is>
      </c>
      <c r="F517" t="inlineStr">
        <is>
          <t>1502</t>
        </is>
      </c>
      <c r="G517" s="39" t="n">
        <v>430000</v>
      </c>
      <c r="H517" s="39" t="n">
        <v>369000</v>
      </c>
      <c r="I517" t="inlineStr">
        <is>
          <t>Edificio</t>
        </is>
      </c>
      <c r="J517" t="inlineStr">
        <is>
          <t>A</t>
        </is>
      </c>
      <c r="K517" t="inlineStr">
        <is>
          <t>Estacionamiento</t>
        </is>
      </c>
      <c r="L517" t="inlineStr">
        <is>
          <t>E 39</t>
        </is>
      </c>
      <c r="M517" s="39" t="n">
        <v>43200</v>
      </c>
      <c r="N517" s="39" t="n">
        <v>43200</v>
      </c>
      <c r="S517" s="39" t="n"/>
      <c r="T517" s="39" t="n"/>
      <c r="Y517" s="39" t="n"/>
      <c r="Z517" s="39" t="n"/>
      <c r="AA517" t="inlineStr">
        <is>
          <t>Melanny Dayanna Flores Blas</t>
        </is>
      </c>
      <c r="AB517" t="inlineStr">
        <is>
          <t>75334346</t>
        </is>
      </c>
      <c r="AC517" t="inlineStr">
        <is>
          <t xml:space="preserve">Av. Los Alisos Urb. Naranjal MZ Ñ-1 LT 27 </t>
        </is>
      </c>
      <c r="AD517" t="n">
        <v>0</v>
      </c>
      <c r="AE517" t="inlineStr">
        <is>
          <t>979775301</t>
        </is>
      </c>
      <c r="AF517" t="inlineStr">
        <is>
          <t>flores.d19958@gmail.com</t>
        </is>
      </c>
      <c r="AG517" t="inlineStr">
        <is>
          <t>LIMA</t>
        </is>
      </c>
      <c r="AH517" t="inlineStr">
        <is>
          <t>SAN MARTIN DE PORRES</t>
        </is>
      </c>
      <c r="AI517" s="75" t="n">
        <v>46172</v>
      </c>
      <c r="AJ517" s="75" t="n"/>
      <c r="AK517" t="inlineStr">
        <is>
          <t>SALDO FINANCIAR</t>
        </is>
      </c>
      <c r="AL517" t="n">
        <v>1</v>
      </c>
      <c r="AM517" t="n">
        <v>12000</v>
      </c>
      <c r="AN517" t="n">
        <v>0</v>
      </c>
      <c r="AO517" t="n">
        <v>0</v>
      </c>
      <c r="AP517" s="39" t="n">
        <v>12000</v>
      </c>
      <c r="AQ517" s="39" t="n">
        <v>0</v>
      </c>
      <c r="AR517" s="39" t="n">
        <v>12000</v>
      </c>
      <c r="AT517" t="inlineStr">
        <is>
          <t>Crédito Directo</t>
        </is>
      </c>
      <c r="AZ517" t="inlineStr">
        <is>
          <t>No</t>
        </is>
      </c>
      <c r="BC517" t="inlineStr">
        <is>
          <t>VENCIDO</t>
        </is>
      </c>
      <c r="BN517" t="inlineStr">
        <is>
          <t>No</t>
        </is>
      </c>
      <c r="BO517" s="76" t="n">
        <v>46046.47361111111</v>
      </c>
      <c r="BP517" t="inlineStr">
        <is>
          <t>Carla Michue M</t>
        </is>
      </c>
      <c r="BR517" t="n">
        <v>10</v>
      </c>
      <c r="BW517" t="inlineStr">
        <is>
          <t>Cobranzas_2026.csv</t>
        </is>
      </c>
      <c r="BX517" t="n">
        <v>2026</v>
      </c>
      <c r="BY517" t="inlineStr">
        <is>
          <t>01/01/2024</t>
        </is>
      </c>
      <c r="BZ517" t="inlineStr">
        <is>
          <t>30/06/2031</t>
        </is>
      </c>
    </row>
    <row r="518">
      <c r="A518" t="inlineStr">
        <is>
          <t>RESIDENCIAL BEYOND</t>
        </is>
      </c>
      <c r="B518" t="inlineStr">
        <is>
          <t>Etapa 1</t>
        </is>
      </c>
      <c r="C518" t="inlineStr">
        <is>
          <t>Edificio</t>
        </is>
      </c>
      <c r="D518" t="inlineStr">
        <is>
          <t>A</t>
        </is>
      </c>
      <c r="E518" t="inlineStr">
        <is>
          <t>Departamento</t>
        </is>
      </c>
      <c r="F518" t="inlineStr">
        <is>
          <t>1502</t>
        </is>
      </c>
      <c r="G518" s="39" t="n">
        <v>430000</v>
      </c>
      <c r="H518" s="39" t="n">
        <v>369000</v>
      </c>
      <c r="I518" t="inlineStr">
        <is>
          <t>Edificio</t>
        </is>
      </c>
      <c r="J518" t="inlineStr">
        <is>
          <t>A</t>
        </is>
      </c>
      <c r="K518" t="inlineStr">
        <is>
          <t>Estacionamiento</t>
        </is>
      </c>
      <c r="L518" t="inlineStr">
        <is>
          <t>E 39</t>
        </is>
      </c>
      <c r="M518" s="39" t="n">
        <v>43200</v>
      </c>
      <c r="N518" s="39" t="n">
        <v>43200</v>
      </c>
      <c r="S518" s="39" t="n"/>
      <c r="T518" s="39" t="n"/>
      <c r="Y518" s="39" t="n"/>
      <c r="Z518" s="39" t="n"/>
      <c r="AA518" t="inlineStr">
        <is>
          <t>Melanny Dayanna Flores Blas</t>
        </is>
      </c>
      <c r="AB518" t="inlineStr">
        <is>
          <t>75334346</t>
        </is>
      </c>
      <c r="AC518" t="inlineStr">
        <is>
          <t xml:space="preserve">Av. Los Alisos Urb. Naranjal MZ Ñ-1 LT 27 </t>
        </is>
      </c>
      <c r="AD518" t="n">
        <v>0</v>
      </c>
      <c r="AE518" t="inlineStr">
        <is>
          <t>979775301</t>
        </is>
      </c>
      <c r="AF518" t="inlineStr">
        <is>
          <t>flores.d19958@gmail.com</t>
        </is>
      </c>
      <c r="AG518" t="inlineStr">
        <is>
          <t>LIMA</t>
        </is>
      </c>
      <c r="AH518" t="inlineStr">
        <is>
          <t>SAN MARTIN DE PORRES</t>
        </is>
      </c>
      <c r="AI518" s="75" t="n">
        <v>46203</v>
      </c>
      <c r="AJ518" s="75" t="n"/>
      <c r="AK518" t="inlineStr">
        <is>
          <t>SALDO FINANCIAR</t>
        </is>
      </c>
      <c r="AL518" t="n">
        <v>2</v>
      </c>
      <c r="AM518" t="n">
        <v>12000</v>
      </c>
      <c r="AN518" t="n">
        <v>0</v>
      </c>
      <c r="AO518" t="n">
        <v>0</v>
      </c>
      <c r="AP518" s="39" t="n">
        <v>12000</v>
      </c>
      <c r="AQ518" s="39" t="n">
        <v>0</v>
      </c>
      <c r="AR518" s="39" t="n">
        <v>12000</v>
      </c>
      <c r="AT518" t="inlineStr">
        <is>
          <t>Crédito Directo</t>
        </is>
      </c>
      <c r="AZ518" t="inlineStr">
        <is>
          <t>No</t>
        </is>
      </c>
      <c r="BC518" t="inlineStr">
        <is>
          <t>VENCIDO</t>
        </is>
      </c>
      <c r="BN518" t="inlineStr">
        <is>
          <t>No</t>
        </is>
      </c>
      <c r="BO518" s="76" t="n">
        <v>46046.47361111111</v>
      </c>
      <c r="BP518" t="inlineStr">
        <is>
          <t>Carla Michue M</t>
        </is>
      </c>
      <c r="BR518" t="n">
        <v>10</v>
      </c>
      <c r="BW518" t="inlineStr">
        <is>
          <t>Cobranzas_2026.csv</t>
        </is>
      </c>
      <c r="BX518" t="n">
        <v>2026</v>
      </c>
      <c r="BY518" t="inlineStr">
        <is>
          <t>01/01/2024</t>
        </is>
      </c>
      <c r="BZ518" t="inlineStr">
        <is>
          <t>30/06/2031</t>
        </is>
      </c>
    </row>
    <row r="519">
      <c r="A519" t="inlineStr">
        <is>
          <t>RESIDENCIAL BEYOND</t>
        </is>
      </c>
      <c r="B519" t="inlineStr">
        <is>
          <t>Etapa 1</t>
        </is>
      </c>
      <c r="C519" t="inlineStr">
        <is>
          <t>Edificio</t>
        </is>
      </c>
      <c r="D519" t="inlineStr">
        <is>
          <t>A</t>
        </is>
      </c>
      <c r="E519" t="inlineStr">
        <is>
          <t>Departamento</t>
        </is>
      </c>
      <c r="F519" t="inlineStr">
        <is>
          <t>1502</t>
        </is>
      </c>
      <c r="G519" s="39" t="n">
        <v>430000</v>
      </c>
      <c r="H519" s="39" t="n">
        <v>369000</v>
      </c>
      <c r="I519" t="inlineStr">
        <is>
          <t>Edificio</t>
        </is>
      </c>
      <c r="J519" t="inlineStr">
        <is>
          <t>A</t>
        </is>
      </c>
      <c r="K519" t="inlineStr">
        <is>
          <t>Estacionamiento</t>
        </is>
      </c>
      <c r="L519" t="inlineStr">
        <is>
          <t>E 39</t>
        </is>
      </c>
      <c r="M519" s="39" t="n">
        <v>43200</v>
      </c>
      <c r="N519" s="39" t="n">
        <v>43200</v>
      </c>
      <c r="S519" s="39" t="n"/>
      <c r="T519" s="39" t="n"/>
      <c r="Y519" s="39" t="n"/>
      <c r="Z519" s="39" t="n"/>
      <c r="AA519" t="inlineStr">
        <is>
          <t>Melanny Dayanna Flores Blas</t>
        </is>
      </c>
      <c r="AB519" t="inlineStr">
        <is>
          <t>75334346</t>
        </is>
      </c>
      <c r="AC519" t="inlineStr">
        <is>
          <t xml:space="preserve">Av. Los Alisos Urb. Naranjal MZ Ñ-1 LT 27 </t>
        </is>
      </c>
      <c r="AD519" t="n">
        <v>0</v>
      </c>
      <c r="AE519" t="inlineStr">
        <is>
          <t>979775301</t>
        </is>
      </c>
      <c r="AF519" t="inlineStr">
        <is>
          <t>flores.d19958@gmail.com</t>
        </is>
      </c>
      <c r="AG519" t="inlineStr">
        <is>
          <t>LIMA</t>
        </is>
      </c>
      <c r="AH519" t="inlineStr">
        <is>
          <t>SAN MARTIN DE PORRES</t>
        </is>
      </c>
      <c r="AI519" s="75" t="n">
        <v>46233</v>
      </c>
      <c r="AJ519" s="75" t="n"/>
      <c r="AK519" t="inlineStr">
        <is>
          <t>SALDO FINANCIAR</t>
        </is>
      </c>
      <c r="AL519" t="n">
        <v>3</v>
      </c>
      <c r="AM519" t="n">
        <v>12000</v>
      </c>
      <c r="AN519" t="n">
        <v>0</v>
      </c>
      <c r="AO519" t="n">
        <v>0</v>
      </c>
      <c r="AP519" s="39" t="n">
        <v>12000</v>
      </c>
      <c r="AQ519" s="39" t="n">
        <v>0</v>
      </c>
      <c r="AR519" s="39" t="n">
        <v>12000</v>
      </c>
      <c r="AT519" t="inlineStr">
        <is>
          <t>Crédito Directo</t>
        </is>
      </c>
      <c r="AZ519" t="inlineStr">
        <is>
          <t>No</t>
        </is>
      </c>
      <c r="BC519" t="inlineStr">
        <is>
          <t>PENDIENTE</t>
        </is>
      </c>
      <c r="BN519" t="inlineStr">
        <is>
          <t>No</t>
        </is>
      </c>
      <c r="BO519" s="76" t="n">
        <v>46046.47361111111</v>
      </c>
      <c r="BP519" t="inlineStr">
        <is>
          <t>Carla Michue M</t>
        </is>
      </c>
      <c r="BR519" t="n">
        <v>10</v>
      </c>
      <c r="BW519" t="inlineStr">
        <is>
          <t>Cobranzas_2026.csv</t>
        </is>
      </c>
      <c r="BX519" t="n">
        <v>2026</v>
      </c>
      <c r="BY519" t="inlineStr">
        <is>
          <t>01/01/2024</t>
        </is>
      </c>
      <c r="BZ519" t="inlineStr">
        <is>
          <t>30/06/2031</t>
        </is>
      </c>
    </row>
    <row r="520">
      <c r="A520" t="inlineStr">
        <is>
          <t>RESIDENCIAL BEYOND</t>
        </is>
      </c>
      <c r="B520" t="inlineStr">
        <is>
          <t>Etapa 1</t>
        </is>
      </c>
      <c r="C520" t="inlineStr">
        <is>
          <t>Edificio</t>
        </is>
      </c>
      <c r="D520" t="inlineStr">
        <is>
          <t>A</t>
        </is>
      </c>
      <c r="E520" t="inlineStr">
        <is>
          <t>Departamento</t>
        </is>
      </c>
      <c r="F520" t="inlineStr">
        <is>
          <t>1502</t>
        </is>
      </c>
      <c r="G520" s="39" t="n">
        <v>430000</v>
      </c>
      <c r="H520" s="39" t="n">
        <v>369000</v>
      </c>
      <c r="I520" t="inlineStr">
        <is>
          <t>Edificio</t>
        </is>
      </c>
      <c r="J520" t="inlineStr">
        <is>
          <t>A</t>
        </is>
      </c>
      <c r="K520" t="inlineStr">
        <is>
          <t>Estacionamiento</t>
        </is>
      </c>
      <c r="L520" t="inlineStr">
        <is>
          <t>E 39</t>
        </is>
      </c>
      <c r="M520" s="39" t="n">
        <v>43200</v>
      </c>
      <c r="N520" s="39" t="n">
        <v>43200</v>
      </c>
      <c r="S520" s="39" t="n"/>
      <c r="T520" s="39" t="n"/>
      <c r="Y520" s="39" t="n"/>
      <c r="Z520" s="39" t="n"/>
      <c r="AA520" t="inlineStr">
        <is>
          <t>Melanny Dayanna Flores Blas</t>
        </is>
      </c>
      <c r="AB520" t="inlineStr">
        <is>
          <t>75334346</t>
        </is>
      </c>
      <c r="AC520" t="inlineStr">
        <is>
          <t xml:space="preserve">Av. Los Alisos Urb. Naranjal MZ Ñ-1 LT 27 </t>
        </is>
      </c>
      <c r="AD520" t="n">
        <v>0</v>
      </c>
      <c r="AE520" t="inlineStr">
        <is>
          <t>979775301</t>
        </is>
      </c>
      <c r="AF520" t="inlineStr">
        <is>
          <t>flores.d19958@gmail.com</t>
        </is>
      </c>
      <c r="AG520" t="inlineStr">
        <is>
          <t>LIMA</t>
        </is>
      </c>
      <c r="AH520" t="inlineStr">
        <is>
          <t>SAN MARTIN DE PORRES</t>
        </is>
      </c>
      <c r="AI520" s="75" t="n">
        <v>46264</v>
      </c>
      <c r="AJ520" s="75" t="n"/>
      <c r="AK520" t="inlineStr">
        <is>
          <t>SALDO FINANCIAR</t>
        </is>
      </c>
      <c r="AL520" t="n">
        <v>4</v>
      </c>
      <c r="AM520" t="n">
        <v>12000</v>
      </c>
      <c r="AN520" t="n">
        <v>0</v>
      </c>
      <c r="AO520" t="n">
        <v>0</v>
      </c>
      <c r="AP520" s="39" t="n">
        <v>12000</v>
      </c>
      <c r="AQ520" s="39" t="n">
        <v>0</v>
      </c>
      <c r="AR520" s="39" t="n">
        <v>12000</v>
      </c>
      <c r="AT520" t="inlineStr">
        <is>
          <t>Crédito Directo</t>
        </is>
      </c>
      <c r="AZ520" t="inlineStr">
        <is>
          <t>No</t>
        </is>
      </c>
      <c r="BC520" t="inlineStr">
        <is>
          <t>PENDIENTE</t>
        </is>
      </c>
      <c r="BN520" t="inlineStr">
        <is>
          <t>No</t>
        </is>
      </c>
      <c r="BO520" s="76" t="n">
        <v>46046.47361111111</v>
      </c>
      <c r="BP520" t="inlineStr">
        <is>
          <t>Carla Michue M</t>
        </is>
      </c>
      <c r="BR520" t="n">
        <v>10</v>
      </c>
      <c r="BW520" t="inlineStr">
        <is>
          <t>Cobranzas_2026.csv</t>
        </is>
      </c>
      <c r="BX520" t="n">
        <v>2026</v>
      </c>
      <c r="BY520" t="inlineStr">
        <is>
          <t>01/01/2024</t>
        </is>
      </c>
      <c r="BZ520" t="inlineStr">
        <is>
          <t>30/06/2031</t>
        </is>
      </c>
    </row>
    <row r="521">
      <c r="A521" t="inlineStr">
        <is>
          <t>RESIDENCIAL BEYOND</t>
        </is>
      </c>
      <c r="B521" t="inlineStr">
        <is>
          <t>Etapa 1</t>
        </is>
      </c>
      <c r="C521" t="inlineStr">
        <is>
          <t>Edificio</t>
        </is>
      </c>
      <c r="D521" t="inlineStr">
        <is>
          <t>A</t>
        </is>
      </c>
      <c r="E521" t="inlineStr">
        <is>
          <t>Departamento</t>
        </is>
      </c>
      <c r="F521" t="inlineStr">
        <is>
          <t>1502</t>
        </is>
      </c>
      <c r="G521" s="39" t="n">
        <v>430000</v>
      </c>
      <c r="H521" s="39" t="n">
        <v>369000</v>
      </c>
      <c r="I521" t="inlineStr">
        <is>
          <t>Edificio</t>
        </is>
      </c>
      <c r="J521" t="inlineStr">
        <is>
          <t>A</t>
        </is>
      </c>
      <c r="K521" t="inlineStr">
        <is>
          <t>Estacionamiento</t>
        </is>
      </c>
      <c r="L521" t="inlineStr">
        <is>
          <t>E 39</t>
        </is>
      </c>
      <c r="M521" s="39" t="n">
        <v>43200</v>
      </c>
      <c r="N521" s="39" t="n">
        <v>43200</v>
      </c>
      <c r="S521" s="39" t="n"/>
      <c r="T521" s="39" t="n"/>
      <c r="Y521" s="39" t="n"/>
      <c r="Z521" s="39" t="n"/>
      <c r="AA521" t="inlineStr">
        <is>
          <t>Melanny Dayanna Flores Blas</t>
        </is>
      </c>
      <c r="AB521" t="inlineStr">
        <is>
          <t>75334346</t>
        </is>
      </c>
      <c r="AC521" t="inlineStr">
        <is>
          <t xml:space="preserve">Av. Los Alisos Urb. Naranjal MZ Ñ-1 LT 27 </t>
        </is>
      </c>
      <c r="AD521" t="n">
        <v>0</v>
      </c>
      <c r="AE521" t="inlineStr">
        <is>
          <t>979775301</t>
        </is>
      </c>
      <c r="AF521" t="inlineStr">
        <is>
          <t>flores.d19958@gmail.com</t>
        </is>
      </c>
      <c r="AG521" t="inlineStr">
        <is>
          <t>LIMA</t>
        </is>
      </c>
      <c r="AH521" t="inlineStr">
        <is>
          <t>SAN MARTIN DE PORRES</t>
        </is>
      </c>
      <c r="AI521" s="75" t="n">
        <v>46295</v>
      </c>
      <c r="AJ521" s="75" t="n"/>
      <c r="AK521" t="inlineStr">
        <is>
          <t>SALDO FINANCIAR</t>
        </is>
      </c>
      <c r="AL521" t="n">
        <v>5</v>
      </c>
      <c r="AM521" t="n">
        <v>12000</v>
      </c>
      <c r="AN521" t="n">
        <v>0</v>
      </c>
      <c r="AO521" t="n">
        <v>0</v>
      </c>
      <c r="AP521" s="39" t="n">
        <v>12000</v>
      </c>
      <c r="AQ521" s="39" t="n">
        <v>0</v>
      </c>
      <c r="AR521" s="39" t="n">
        <v>12000</v>
      </c>
      <c r="AT521" t="inlineStr">
        <is>
          <t>Crédito Directo</t>
        </is>
      </c>
      <c r="AZ521" t="inlineStr">
        <is>
          <t>No</t>
        </is>
      </c>
      <c r="BC521" t="inlineStr">
        <is>
          <t>PENDIENTE</t>
        </is>
      </c>
      <c r="BN521" t="inlineStr">
        <is>
          <t>No</t>
        </is>
      </c>
      <c r="BO521" s="76" t="n">
        <v>46046.47361111111</v>
      </c>
      <c r="BP521" t="inlineStr">
        <is>
          <t>Carla Michue M</t>
        </is>
      </c>
      <c r="BR521" t="n">
        <v>10</v>
      </c>
      <c r="BW521" t="inlineStr">
        <is>
          <t>Cobranzas_2026.csv</t>
        </is>
      </c>
      <c r="BX521" t="n">
        <v>2026</v>
      </c>
      <c r="BY521" t="inlineStr">
        <is>
          <t>01/01/2024</t>
        </is>
      </c>
      <c r="BZ521" t="inlineStr">
        <is>
          <t>30/06/2031</t>
        </is>
      </c>
    </row>
    <row r="522">
      <c r="A522" t="inlineStr">
        <is>
          <t>RESIDENCIAL BEYOND</t>
        </is>
      </c>
      <c r="B522" t="inlineStr">
        <is>
          <t>Etapa 1</t>
        </is>
      </c>
      <c r="C522" t="inlineStr">
        <is>
          <t>Edificio</t>
        </is>
      </c>
      <c r="D522" t="inlineStr">
        <is>
          <t>A</t>
        </is>
      </c>
      <c r="E522" t="inlineStr">
        <is>
          <t>Departamento</t>
        </is>
      </c>
      <c r="F522" t="inlineStr">
        <is>
          <t>1502</t>
        </is>
      </c>
      <c r="G522" s="39" t="n">
        <v>430000</v>
      </c>
      <c r="H522" s="39" t="n">
        <v>369000</v>
      </c>
      <c r="I522" t="inlineStr">
        <is>
          <t>Edificio</t>
        </is>
      </c>
      <c r="J522" t="inlineStr">
        <is>
          <t>A</t>
        </is>
      </c>
      <c r="K522" t="inlineStr">
        <is>
          <t>Estacionamiento</t>
        </is>
      </c>
      <c r="L522" t="inlineStr">
        <is>
          <t>E 39</t>
        </is>
      </c>
      <c r="M522" s="39" t="n">
        <v>43200</v>
      </c>
      <c r="N522" s="39" t="n">
        <v>43200</v>
      </c>
      <c r="S522" s="39" t="n"/>
      <c r="T522" s="39" t="n"/>
      <c r="Y522" s="39" t="n"/>
      <c r="Z522" s="39" t="n"/>
      <c r="AA522" t="inlineStr">
        <is>
          <t>Melanny Dayanna Flores Blas</t>
        </is>
      </c>
      <c r="AB522" t="inlineStr">
        <is>
          <t>75334346</t>
        </is>
      </c>
      <c r="AC522" t="inlineStr">
        <is>
          <t xml:space="preserve">Av. Los Alisos Urb. Naranjal MZ Ñ-1 LT 27 </t>
        </is>
      </c>
      <c r="AD522" t="n">
        <v>0</v>
      </c>
      <c r="AE522" t="inlineStr">
        <is>
          <t>979775301</t>
        </is>
      </c>
      <c r="AF522" t="inlineStr">
        <is>
          <t>flores.d19958@gmail.com</t>
        </is>
      </c>
      <c r="AG522" t="inlineStr">
        <is>
          <t>LIMA</t>
        </is>
      </c>
      <c r="AH522" t="inlineStr">
        <is>
          <t>SAN MARTIN DE PORRES</t>
        </is>
      </c>
      <c r="AI522" s="75" t="n">
        <v>46325</v>
      </c>
      <c r="AJ522" s="75" t="n"/>
      <c r="AK522" t="inlineStr">
        <is>
          <t>SALDO FINANCIAR</t>
        </is>
      </c>
      <c r="AL522" t="n">
        <v>6</v>
      </c>
      <c r="AM522" t="n">
        <v>12000</v>
      </c>
      <c r="AN522" t="n">
        <v>0</v>
      </c>
      <c r="AO522" t="n">
        <v>0</v>
      </c>
      <c r="AP522" s="39" t="n">
        <v>12000</v>
      </c>
      <c r="AQ522" s="39" t="n">
        <v>0</v>
      </c>
      <c r="AR522" s="39" t="n">
        <v>12000</v>
      </c>
      <c r="AT522" t="inlineStr">
        <is>
          <t>Crédito Directo</t>
        </is>
      </c>
      <c r="AZ522" t="inlineStr">
        <is>
          <t>No</t>
        </is>
      </c>
      <c r="BC522" t="inlineStr">
        <is>
          <t>PENDIENTE</t>
        </is>
      </c>
      <c r="BN522" t="inlineStr">
        <is>
          <t>No</t>
        </is>
      </c>
      <c r="BO522" s="76" t="n">
        <v>46046.47361111111</v>
      </c>
      <c r="BP522" t="inlineStr">
        <is>
          <t>Carla Michue M</t>
        </is>
      </c>
      <c r="BR522" t="n">
        <v>10</v>
      </c>
      <c r="BW522" t="inlineStr">
        <is>
          <t>Cobranzas_2026.csv</t>
        </is>
      </c>
      <c r="BX522" t="n">
        <v>2026</v>
      </c>
      <c r="BY522" t="inlineStr">
        <is>
          <t>01/01/2024</t>
        </is>
      </c>
      <c r="BZ522" t="inlineStr">
        <is>
          <t>30/06/2031</t>
        </is>
      </c>
    </row>
    <row r="523">
      <c r="A523" t="inlineStr">
        <is>
          <t>RESIDENCIAL BEYOND</t>
        </is>
      </c>
      <c r="B523" t="inlineStr">
        <is>
          <t>Etapa 1</t>
        </is>
      </c>
      <c r="C523" t="inlineStr">
        <is>
          <t>Edificio</t>
        </is>
      </c>
      <c r="D523" t="inlineStr">
        <is>
          <t>A</t>
        </is>
      </c>
      <c r="E523" t="inlineStr">
        <is>
          <t>Departamento</t>
        </is>
      </c>
      <c r="F523" t="inlineStr">
        <is>
          <t>1502</t>
        </is>
      </c>
      <c r="G523" s="39" t="n">
        <v>430000</v>
      </c>
      <c r="H523" s="39" t="n">
        <v>369000</v>
      </c>
      <c r="I523" t="inlineStr">
        <is>
          <t>Edificio</t>
        </is>
      </c>
      <c r="J523" t="inlineStr">
        <is>
          <t>A</t>
        </is>
      </c>
      <c r="K523" t="inlineStr">
        <is>
          <t>Estacionamiento</t>
        </is>
      </c>
      <c r="L523" t="inlineStr">
        <is>
          <t>E 39</t>
        </is>
      </c>
      <c r="M523" s="39" t="n">
        <v>43200</v>
      </c>
      <c r="N523" s="39" t="n">
        <v>43200</v>
      </c>
      <c r="S523" s="39" t="n"/>
      <c r="T523" s="39" t="n"/>
      <c r="Y523" s="39" t="n"/>
      <c r="Z523" s="39" t="n"/>
      <c r="AA523" t="inlineStr">
        <is>
          <t>Melanny Dayanna Flores Blas</t>
        </is>
      </c>
      <c r="AB523" t="inlineStr">
        <is>
          <t>75334346</t>
        </is>
      </c>
      <c r="AC523" t="inlineStr">
        <is>
          <t xml:space="preserve">Av. Los Alisos Urb. Naranjal MZ Ñ-1 LT 27 </t>
        </is>
      </c>
      <c r="AD523" t="n">
        <v>0</v>
      </c>
      <c r="AE523" t="inlineStr">
        <is>
          <t>979775301</t>
        </is>
      </c>
      <c r="AF523" t="inlineStr">
        <is>
          <t>flores.d19958@gmail.com</t>
        </is>
      </c>
      <c r="AG523" t="inlineStr">
        <is>
          <t>LIMA</t>
        </is>
      </c>
      <c r="AH523" t="inlineStr">
        <is>
          <t>SAN MARTIN DE PORRES</t>
        </is>
      </c>
      <c r="AI523" s="75" t="n">
        <v>46356</v>
      </c>
      <c r="AJ523" s="75" t="n"/>
      <c r="AK523" t="inlineStr">
        <is>
          <t>SALDO FINANCIAR</t>
        </is>
      </c>
      <c r="AL523" t="n">
        <v>7</v>
      </c>
      <c r="AM523" t="n">
        <v>12000</v>
      </c>
      <c r="AN523" t="n">
        <v>0</v>
      </c>
      <c r="AO523" t="n">
        <v>0</v>
      </c>
      <c r="AP523" s="39" t="n">
        <v>12000</v>
      </c>
      <c r="AQ523" s="39" t="n">
        <v>0</v>
      </c>
      <c r="AR523" s="39" t="n">
        <v>12000</v>
      </c>
      <c r="AT523" t="inlineStr">
        <is>
          <t>Crédito Directo</t>
        </is>
      </c>
      <c r="AZ523" t="inlineStr">
        <is>
          <t>No</t>
        </is>
      </c>
      <c r="BC523" t="inlineStr">
        <is>
          <t>PENDIENTE</t>
        </is>
      </c>
      <c r="BN523" t="inlineStr">
        <is>
          <t>No</t>
        </is>
      </c>
      <c r="BO523" s="76" t="n">
        <v>46046.47361111111</v>
      </c>
      <c r="BP523" t="inlineStr">
        <is>
          <t>Carla Michue M</t>
        </is>
      </c>
      <c r="BR523" t="n">
        <v>10</v>
      </c>
      <c r="BW523" t="inlineStr">
        <is>
          <t>Cobranzas_2026.csv</t>
        </is>
      </c>
      <c r="BX523" t="n">
        <v>2026</v>
      </c>
      <c r="BY523" t="inlineStr">
        <is>
          <t>01/01/2024</t>
        </is>
      </c>
      <c r="BZ523" t="inlineStr">
        <is>
          <t>30/06/2031</t>
        </is>
      </c>
    </row>
    <row r="524">
      <c r="A524" t="inlineStr">
        <is>
          <t>RESIDENCIAL BEYOND</t>
        </is>
      </c>
      <c r="B524" t="inlineStr">
        <is>
          <t>Etapa 1</t>
        </is>
      </c>
      <c r="C524" t="inlineStr">
        <is>
          <t>Edificio</t>
        </is>
      </c>
      <c r="D524" t="inlineStr">
        <is>
          <t>A</t>
        </is>
      </c>
      <c r="E524" t="inlineStr">
        <is>
          <t>Departamento</t>
        </is>
      </c>
      <c r="F524" t="inlineStr">
        <is>
          <t>1502</t>
        </is>
      </c>
      <c r="G524" s="39" t="n">
        <v>430000</v>
      </c>
      <c r="H524" s="39" t="n">
        <v>369000</v>
      </c>
      <c r="I524" t="inlineStr">
        <is>
          <t>Edificio</t>
        </is>
      </c>
      <c r="J524" t="inlineStr">
        <is>
          <t>A</t>
        </is>
      </c>
      <c r="K524" t="inlineStr">
        <is>
          <t>Estacionamiento</t>
        </is>
      </c>
      <c r="L524" t="inlineStr">
        <is>
          <t>E 39</t>
        </is>
      </c>
      <c r="M524" s="39" t="n">
        <v>43200</v>
      </c>
      <c r="N524" s="39" t="n">
        <v>43200</v>
      </c>
      <c r="S524" s="39" t="n"/>
      <c r="T524" s="39" t="n"/>
      <c r="Y524" s="39" t="n"/>
      <c r="Z524" s="39" t="n"/>
      <c r="AA524" t="inlineStr">
        <is>
          <t>Melanny Dayanna Flores Blas</t>
        </is>
      </c>
      <c r="AB524" t="inlineStr">
        <is>
          <t>75334346</t>
        </is>
      </c>
      <c r="AC524" t="inlineStr">
        <is>
          <t xml:space="preserve">Av. Los Alisos Urb. Naranjal MZ Ñ-1 LT 27 </t>
        </is>
      </c>
      <c r="AD524" t="n">
        <v>0</v>
      </c>
      <c r="AE524" t="inlineStr">
        <is>
          <t>979775301</t>
        </is>
      </c>
      <c r="AF524" t="inlineStr">
        <is>
          <t>flores.d19958@gmail.com</t>
        </is>
      </c>
      <c r="AG524" t="inlineStr">
        <is>
          <t>LIMA</t>
        </is>
      </c>
      <c r="AH524" t="inlineStr">
        <is>
          <t>SAN MARTIN DE PORRES</t>
        </is>
      </c>
      <c r="AI524" s="75" t="n">
        <v>46386</v>
      </c>
      <c r="AJ524" s="75" t="n"/>
      <c r="AK524" t="inlineStr">
        <is>
          <t>SALDO FINANCIAR</t>
        </is>
      </c>
      <c r="AL524" t="n">
        <v>8</v>
      </c>
      <c r="AM524" t="n">
        <v>12000</v>
      </c>
      <c r="AN524" t="n">
        <v>0</v>
      </c>
      <c r="AO524" t="n">
        <v>0</v>
      </c>
      <c r="AP524" s="39" t="n">
        <v>12000</v>
      </c>
      <c r="AQ524" s="39" t="n">
        <v>0</v>
      </c>
      <c r="AR524" s="39" t="n">
        <v>12000</v>
      </c>
      <c r="AT524" t="inlineStr">
        <is>
          <t>Crédito Directo</t>
        </is>
      </c>
      <c r="AZ524" t="inlineStr">
        <is>
          <t>No</t>
        </is>
      </c>
      <c r="BC524" t="inlineStr">
        <is>
          <t>PENDIENTE</t>
        </is>
      </c>
      <c r="BN524" t="inlineStr">
        <is>
          <t>No</t>
        </is>
      </c>
      <c r="BO524" s="76" t="n">
        <v>46046.47361111111</v>
      </c>
      <c r="BP524" t="inlineStr">
        <is>
          <t>Carla Michue M</t>
        </is>
      </c>
      <c r="BR524" t="n">
        <v>10</v>
      </c>
      <c r="BW524" t="inlineStr">
        <is>
          <t>Cobranzas_2026.csv</t>
        </is>
      </c>
      <c r="BX524" t="n">
        <v>2026</v>
      </c>
      <c r="BY524" t="inlineStr">
        <is>
          <t>01/01/2024</t>
        </is>
      </c>
      <c r="BZ524" t="inlineStr">
        <is>
          <t>30/06/2031</t>
        </is>
      </c>
    </row>
    <row r="525">
      <c r="A525" t="inlineStr">
        <is>
          <t>RESIDENCIAL BEYOND</t>
        </is>
      </c>
      <c r="B525" t="inlineStr">
        <is>
          <t>Etapa 1</t>
        </is>
      </c>
      <c r="C525" t="inlineStr">
        <is>
          <t>Edificio</t>
        </is>
      </c>
      <c r="D525" t="inlineStr">
        <is>
          <t>A</t>
        </is>
      </c>
      <c r="E525" t="inlineStr">
        <is>
          <t>Departamento</t>
        </is>
      </c>
      <c r="F525" t="inlineStr">
        <is>
          <t>1603</t>
        </is>
      </c>
      <c r="G525" s="39" t="n">
        <v>493700</v>
      </c>
      <c r="H525" s="39" t="n">
        <v>436200</v>
      </c>
      <c r="I525" t="inlineStr">
        <is>
          <t>Edificio</t>
        </is>
      </c>
      <c r="J525" t="inlineStr">
        <is>
          <t>A</t>
        </is>
      </c>
      <c r="K525" t="inlineStr">
        <is>
          <t>Estacionamiento</t>
        </is>
      </c>
      <c r="L525" t="inlineStr">
        <is>
          <t>E 08 - D 08</t>
        </is>
      </c>
      <c r="M525" s="39" t="n">
        <v>53800</v>
      </c>
      <c r="N525" s="39" t="n">
        <v>53800</v>
      </c>
      <c r="S525" s="39" t="n"/>
      <c r="T525" s="39" t="n"/>
      <c r="Y525" s="39" t="n"/>
      <c r="Z525" s="39" t="n"/>
      <c r="AA525" t="inlineStr">
        <is>
          <t>Mohammed Belhaj b</t>
        </is>
      </c>
      <c r="AB525" t="inlineStr">
        <is>
          <t>NUoF6KHK3</t>
        </is>
      </c>
      <c r="AC525" t="inlineStr">
        <is>
          <t>Jr. Los Aromos Coop. Las Flores Mz 21LT. 31</t>
        </is>
      </c>
      <c r="AD525" t="n">
        <v>0</v>
      </c>
      <c r="AE525" t="inlineStr">
        <is>
          <t>922412765</t>
        </is>
      </c>
      <c r="AF525" t="inlineStr">
        <is>
          <t>mo.belhaj@outlook.com</t>
        </is>
      </c>
      <c r="AG525" t="inlineStr">
        <is>
          <t>LIMA</t>
        </is>
      </c>
      <c r="AH525" t="inlineStr">
        <is>
          <t>SAN JUAN DE LURIGANCHO</t>
        </is>
      </c>
      <c r="AI525" s="75" t="n">
        <v>46132</v>
      </c>
      <c r="AJ525" s="75" t="n">
        <v>46132</v>
      </c>
      <c r="AK525" t="inlineStr">
        <is>
          <t>SEPARACION</t>
        </is>
      </c>
      <c r="AL525" t="n">
        <v>1</v>
      </c>
      <c r="AM525" t="n">
        <v>3000</v>
      </c>
      <c r="AN525" t="n">
        <v>0</v>
      </c>
      <c r="AO525" t="n">
        <v>0</v>
      </c>
      <c r="AP525" s="39" t="n">
        <v>3000</v>
      </c>
      <c r="AQ525" s="39" t="n">
        <v>3000</v>
      </c>
      <c r="AR525" s="39" t="n">
        <v>0</v>
      </c>
      <c r="AS525" t="n">
        <v>0</v>
      </c>
      <c r="AT525" t="inlineStr">
        <is>
          <t>Crédito Directo</t>
        </is>
      </c>
      <c r="AU525" t="inlineStr">
        <is>
          <t>Banco de Credito del Perú</t>
        </is>
      </c>
      <c r="AV525" t="inlineStr">
        <is>
          <t>194-7325779-0-65</t>
        </is>
      </c>
      <c r="AW525" t="inlineStr">
        <is>
          <t>POS VISA</t>
        </is>
      </c>
      <c r="AY525" t="inlineStr">
        <is>
          <t>559275</t>
        </is>
      </c>
      <c r="AZ525" t="inlineStr">
        <is>
          <t>No</t>
        </is>
      </c>
      <c r="BB525" t="n">
        <v>4</v>
      </c>
      <c r="BC525" t="inlineStr">
        <is>
          <t>CANCELADO</t>
        </is>
      </c>
      <c r="BN525" t="inlineStr">
        <is>
          <t>No</t>
        </is>
      </c>
      <c r="BO525" s="76" t="n">
        <v>46181.47777777778</v>
      </c>
      <c r="BP525" t="inlineStr">
        <is>
          <t>Carla Michue M</t>
        </is>
      </c>
      <c r="BR525" t="n">
        <v>9</v>
      </c>
      <c r="BS525" t="inlineStr">
        <is>
          <t>23/05/2026 17:54</t>
        </is>
      </c>
      <c r="BW525" t="inlineStr">
        <is>
          <t>Cobranzas_2026.csv</t>
        </is>
      </c>
      <c r="BX525" t="n">
        <v>2026</v>
      </c>
      <c r="BY525" t="inlineStr">
        <is>
          <t>01/01/2024</t>
        </is>
      </c>
      <c r="BZ525" t="inlineStr">
        <is>
          <t>30/06/2031</t>
        </is>
      </c>
    </row>
    <row r="526">
      <c r="A526" t="inlineStr">
        <is>
          <t>RESIDENCIAL BEYOND</t>
        </is>
      </c>
      <c r="B526" t="inlineStr">
        <is>
          <t>Etapa 1</t>
        </is>
      </c>
      <c r="C526" t="inlineStr">
        <is>
          <t>Edificio</t>
        </is>
      </c>
      <c r="D526" t="inlineStr">
        <is>
          <t>A</t>
        </is>
      </c>
      <c r="E526" t="inlineStr">
        <is>
          <t>Departamento</t>
        </is>
      </c>
      <c r="F526" t="inlineStr">
        <is>
          <t>1603</t>
        </is>
      </c>
      <c r="G526" s="39" t="n">
        <v>493700</v>
      </c>
      <c r="H526" s="39" t="n">
        <v>436200</v>
      </c>
      <c r="I526" t="inlineStr">
        <is>
          <t>Edificio</t>
        </is>
      </c>
      <c r="J526" t="inlineStr">
        <is>
          <t>A</t>
        </is>
      </c>
      <c r="K526" t="inlineStr">
        <is>
          <t>Estacionamiento</t>
        </is>
      </c>
      <c r="L526" t="inlineStr">
        <is>
          <t>E 08 - D 08</t>
        </is>
      </c>
      <c r="M526" s="39" t="n">
        <v>53800</v>
      </c>
      <c r="N526" s="39" t="n">
        <v>53800</v>
      </c>
      <c r="S526" s="39" t="n"/>
      <c r="T526" s="39" t="n"/>
      <c r="Y526" s="39" t="n"/>
      <c r="Z526" s="39" t="n"/>
      <c r="AA526" t="inlineStr">
        <is>
          <t>Mohammed Belhaj b</t>
        </is>
      </c>
      <c r="AB526" t="inlineStr">
        <is>
          <t>NUoF6KHK3</t>
        </is>
      </c>
      <c r="AC526" t="inlineStr">
        <is>
          <t>Jr. Los Aromos Coop. Las Flores Mz 21LT. 31</t>
        </is>
      </c>
      <c r="AD526" t="n">
        <v>0</v>
      </c>
      <c r="AE526" t="inlineStr">
        <is>
          <t>922412765</t>
        </is>
      </c>
      <c r="AF526" t="inlineStr">
        <is>
          <t>mo.belhaj@outlook.com</t>
        </is>
      </c>
      <c r="AG526" t="inlineStr">
        <is>
          <t>LIMA</t>
        </is>
      </c>
      <c r="AH526" t="inlineStr">
        <is>
          <t>SAN JUAN DE LURIGANCHO</t>
        </is>
      </c>
      <c r="AI526" s="75" t="n">
        <v>46135</v>
      </c>
      <c r="AJ526" s="75" t="n">
        <v>46135</v>
      </c>
      <c r="AK526" t="inlineStr">
        <is>
          <t>CUOTA INICIAL</t>
        </is>
      </c>
      <c r="AL526" t="n">
        <v>1</v>
      </c>
      <c r="AM526" t="n">
        <v>175.5</v>
      </c>
      <c r="AN526" t="n">
        <v>0</v>
      </c>
      <c r="AO526" t="n">
        <v>0</v>
      </c>
      <c r="AP526" s="39" t="n">
        <v>175.5</v>
      </c>
      <c r="AQ526" s="39" t="n">
        <v>175.5</v>
      </c>
      <c r="AR526" s="39" t="n">
        <v>0</v>
      </c>
      <c r="AS526" t="n">
        <v>0</v>
      </c>
      <c r="AT526" t="inlineStr">
        <is>
          <t>Crédito Directo</t>
        </is>
      </c>
      <c r="AU526" t="inlineStr">
        <is>
          <t>Banco de Credito del Perú</t>
        </is>
      </c>
      <c r="AV526" t="inlineStr">
        <is>
          <t>194-7325779-0-65</t>
        </is>
      </c>
      <c r="AW526" t="inlineStr">
        <is>
          <t>TRANSFERENCIA BANCARIA</t>
        </is>
      </c>
      <c r="AY526" t="inlineStr">
        <is>
          <t>23052026</t>
        </is>
      </c>
      <c r="AZ526" t="inlineStr">
        <is>
          <t>No</t>
        </is>
      </c>
      <c r="BB526" t="n">
        <v>4</v>
      </c>
      <c r="BC526" t="inlineStr">
        <is>
          <t>CANCELADO</t>
        </is>
      </c>
      <c r="BN526" t="inlineStr">
        <is>
          <t>No</t>
        </is>
      </c>
      <c r="BO526" s="76" t="n">
        <v>46181.47777777778</v>
      </c>
      <c r="BP526" t="inlineStr">
        <is>
          <t>Carla Michue M</t>
        </is>
      </c>
      <c r="BR526" t="n">
        <v>9</v>
      </c>
      <c r="BS526" t="inlineStr">
        <is>
          <t>23/05/2026 18:08</t>
        </is>
      </c>
      <c r="BW526" t="inlineStr">
        <is>
          <t>Cobranzas_2026.csv</t>
        </is>
      </c>
      <c r="BX526" t="n">
        <v>2026</v>
      </c>
      <c r="BY526" t="inlineStr">
        <is>
          <t>01/01/2024</t>
        </is>
      </c>
      <c r="BZ526" t="inlineStr">
        <is>
          <t>30/06/2031</t>
        </is>
      </c>
    </row>
    <row r="527">
      <c r="A527" t="inlineStr">
        <is>
          <t>RESIDENCIAL BEYOND</t>
        </is>
      </c>
      <c r="B527" t="inlineStr">
        <is>
          <t>Etapa 1</t>
        </is>
      </c>
      <c r="C527" t="inlineStr">
        <is>
          <t>Edificio</t>
        </is>
      </c>
      <c r="D527" t="inlineStr">
        <is>
          <t>A</t>
        </is>
      </c>
      <c r="E527" t="inlineStr">
        <is>
          <t>Departamento</t>
        </is>
      </c>
      <c r="F527" t="inlineStr">
        <is>
          <t>1603</t>
        </is>
      </c>
      <c r="G527" s="39" t="n">
        <v>493700</v>
      </c>
      <c r="H527" s="39" t="n">
        <v>436200</v>
      </c>
      <c r="I527" t="inlineStr">
        <is>
          <t>Edificio</t>
        </is>
      </c>
      <c r="J527" t="inlineStr">
        <is>
          <t>A</t>
        </is>
      </c>
      <c r="K527" t="inlineStr">
        <is>
          <t>Estacionamiento</t>
        </is>
      </c>
      <c r="L527" t="inlineStr">
        <is>
          <t>E 08 - D 08</t>
        </is>
      </c>
      <c r="M527" s="39" t="n">
        <v>53800</v>
      </c>
      <c r="N527" s="39" t="n">
        <v>53800</v>
      </c>
      <c r="S527" s="39" t="n"/>
      <c r="T527" s="39" t="n"/>
      <c r="Y527" s="39" t="n"/>
      <c r="Z527" s="39" t="n"/>
      <c r="AA527" t="inlineStr">
        <is>
          <t>Mohammed Belhaj b</t>
        </is>
      </c>
      <c r="AB527" t="inlineStr">
        <is>
          <t>NUoF6KHK3</t>
        </is>
      </c>
      <c r="AC527" t="inlineStr">
        <is>
          <t>Jr. Los Aromos Coop. Las Flores Mz 21LT. 31</t>
        </is>
      </c>
      <c r="AD527" t="n">
        <v>0</v>
      </c>
      <c r="AE527" t="inlineStr">
        <is>
          <t>922412765</t>
        </is>
      </c>
      <c r="AF527" t="inlineStr">
        <is>
          <t>mo.belhaj@outlook.com</t>
        </is>
      </c>
      <c r="AG527" t="inlineStr">
        <is>
          <t>LIMA</t>
        </is>
      </c>
      <c r="AH527" t="inlineStr">
        <is>
          <t>SAN JUAN DE LURIGANCHO</t>
        </is>
      </c>
      <c r="AI527" s="75" t="n">
        <v>46172</v>
      </c>
      <c r="AJ527" s="75" t="n">
        <v>46142</v>
      </c>
      <c r="AK527" t="inlineStr">
        <is>
          <t>CUOTA INICIAL</t>
        </is>
      </c>
      <c r="AL527" t="n">
        <v>2</v>
      </c>
      <c r="AM527" t="n">
        <v>306745.71</v>
      </c>
      <c r="AN527" t="n">
        <v>0</v>
      </c>
      <c r="AO527" t="n">
        <v>0</v>
      </c>
      <c r="AP527" s="39" t="n">
        <v>306745.71</v>
      </c>
      <c r="AQ527" s="39" t="n">
        <v>306745.71</v>
      </c>
      <c r="AR527" s="39" t="n">
        <v>0</v>
      </c>
      <c r="AS527" t="n">
        <v>0</v>
      </c>
      <c r="AT527" t="inlineStr">
        <is>
          <t>Crédito Directo</t>
        </is>
      </c>
      <c r="AU527" t="inlineStr">
        <is>
          <t>Banco de Credito del Perú</t>
        </is>
      </c>
      <c r="AV527" t="inlineStr">
        <is>
          <t>194-7325779-0-65</t>
        </is>
      </c>
      <c r="AW527" t="inlineStr">
        <is>
          <t>TRANSFERENCIA BANCARIA</t>
        </is>
      </c>
      <c r="AY527" t="inlineStr">
        <is>
          <t>30052026</t>
        </is>
      </c>
      <c r="AZ527" t="inlineStr">
        <is>
          <t>No</t>
        </is>
      </c>
      <c r="BB527" t="n">
        <v>4</v>
      </c>
      <c r="BC527" t="inlineStr">
        <is>
          <t>CANCELADO</t>
        </is>
      </c>
      <c r="BN527" t="inlineStr">
        <is>
          <t>No</t>
        </is>
      </c>
      <c r="BO527" s="76" t="n">
        <v>46181.47777777778</v>
      </c>
      <c r="BP527" t="inlineStr">
        <is>
          <t>Carla Michue M</t>
        </is>
      </c>
      <c r="BR527" t="n">
        <v>9</v>
      </c>
      <c r="BS527" t="inlineStr">
        <is>
          <t>23/05/2026 18:11</t>
        </is>
      </c>
      <c r="BW527" t="inlineStr">
        <is>
          <t>Cobranzas_2026.csv</t>
        </is>
      </c>
      <c r="BX527" t="n">
        <v>2026</v>
      </c>
      <c r="BY527" t="inlineStr">
        <is>
          <t>01/01/2024</t>
        </is>
      </c>
      <c r="BZ527" t="inlineStr">
        <is>
          <t>30/06/2031</t>
        </is>
      </c>
    </row>
    <row r="528">
      <c r="A528" t="inlineStr">
        <is>
          <t>RESIDENCIAL BEYOND</t>
        </is>
      </c>
      <c r="B528" t="inlineStr">
        <is>
          <t>Etapa 1</t>
        </is>
      </c>
      <c r="C528" t="inlineStr">
        <is>
          <t>Edificio</t>
        </is>
      </c>
      <c r="D528" t="inlineStr">
        <is>
          <t>A</t>
        </is>
      </c>
      <c r="E528" t="inlineStr">
        <is>
          <t>Departamento</t>
        </is>
      </c>
      <c r="F528" t="inlineStr">
        <is>
          <t>1603</t>
        </is>
      </c>
      <c r="G528" s="39" t="n">
        <v>493700</v>
      </c>
      <c r="H528" s="39" t="n">
        <v>436200</v>
      </c>
      <c r="I528" t="inlineStr">
        <is>
          <t>Edificio</t>
        </is>
      </c>
      <c r="J528" t="inlineStr">
        <is>
          <t>A</t>
        </is>
      </c>
      <c r="K528" t="inlineStr">
        <is>
          <t>Estacionamiento</t>
        </is>
      </c>
      <c r="L528" t="inlineStr">
        <is>
          <t>E 08 - D 08</t>
        </is>
      </c>
      <c r="M528" s="39" t="n">
        <v>53800</v>
      </c>
      <c r="N528" s="39" t="n">
        <v>53800</v>
      </c>
      <c r="S528" s="39" t="n"/>
      <c r="T528" s="39" t="n"/>
      <c r="Y528" s="39" t="n"/>
      <c r="Z528" s="39" t="n"/>
      <c r="AA528" t="inlineStr">
        <is>
          <t>Mohammed Belhaj b</t>
        </is>
      </c>
      <c r="AB528" t="inlineStr">
        <is>
          <t>NUoF6KHK3</t>
        </is>
      </c>
      <c r="AC528" t="inlineStr">
        <is>
          <t>Jr. Los Aromos Coop. Las Flores Mz 21LT. 31</t>
        </is>
      </c>
      <c r="AD528" t="n">
        <v>0</v>
      </c>
      <c r="AE528" t="inlineStr">
        <is>
          <t>922412765</t>
        </is>
      </c>
      <c r="AF528" t="inlineStr">
        <is>
          <t>mo.belhaj@outlook.com</t>
        </is>
      </c>
      <c r="AG528" t="inlineStr">
        <is>
          <t>LIMA</t>
        </is>
      </c>
      <c r="AH528" t="inlineStr">
        <is>
          <t>SAN JUAN DE LURIGANCHO</t>
        </is>
      </c>
      <c r="AI528" s="75" t="n">
        <v>46265</v>
      </c>
      <c r="AJ528" s="75" t="n"/>
      <c r="AK528" t="inlineStr">
        <is>
          <t>SALDO FINANCIAR</t>
        </is>
      </c>
      <c r="AL528" t="n">
        <v>1</v>
      </c>
      <c r="AM528" t="n">
        <v>20008.75</v>
      </c>
      <c r="AN528" t="n">
        <v>0</v>
      </c>
      <c r="AO528" t="n">
        <v>0</v>
      </c>
      <c r="AP528" s="39" t="n">
        <v>20008.75</v>
      </c>
      <c r="AQ528" s="39" t="n">
        <v>0</v>
      </c>
      <c r="AR528" s="39" t="n">
        <v>20008.75</v>
      </c>
      <c r="AT528" t="inlineStr">
        <is>
          <t>Crédito Directo</t>
        </is>
      </c>
      <c r="AZ528" t="inlineStr">
        <is>
          <t>No</t>
        </is>
      </c>
      <c r="BC528" t="inlineStr">
        <is>
          <t>PENDIENTE</t>
        </is>
      </c>
      <c r="BN528" t="inlineStr">
        <is>
          <t>No</t>
        </is>
      </c>
      <c r="BO528" s="76" t="n">
        <v>46181.47777777778</v>
      </c>
      <c r="BP528" t="inlineStr">
        <is>
          <t>Carla Michue M</t>
        </is>
      </c>
      <c r="BR528" t="n">
        <v>9</v>
      </c>
      <c r="BW528" t="inlineStr">
        <is>
          <t>Cobranzas_2026.csv</t>
        </is>
      </c>
      <c r="BX528" t="n">
        <v>2026</v>
      </c>
      <c r="BY528" t="inlineStr">
        <is>
          <t>01/01/2024</t>
        </is>
      </c>
      <c r="BZ528" t="inlineStr">
        <is>
          <t>30/06/2031</t>
        </is>
      </c>
    </row>
    <row r="529">
      <c r="A529" t="inlineStr">
        <is>
          <t>RESIDENCIAL BEYOND</t>
        </is>
      </c>
      <c r="B529" t="inlineStr">
        <is>
          <t>Etapa 1</t>
        </is>
      </c>
      <c r="C529" t="inlineStr">
        <is>
          <t>Edificio</t>
        </is>
      </c>
      <c r="D529" t="inlineStr">
        <is>
          <t>A</t>
        </is>
      </c>
      <c r="E529" t="inlineStr">
        <is>
          <t>Departamento</t>
        </is>
      </c>
      <c r="F529" t="inlineStr">
        <is>
          <t>1603</t>
        </is>
      </c>
      <c r="G529" s="39" t="n">
        <v>493700</v>
      </c>
      <c r="H529" s="39" t="n">
        <v>436200</v>
      </c>
      <c r="I529" t="inlineStr">
        <is>
          <t>Edificio</t>
        </is>
      </c>
      <c r="J529" t="inlineStr">
        <is>
          <t>A</t>
        </is>
      </c>
      <c r="K529" t="inlineStr">
        <is>
          <t>Estacionamiento</t>
        </is>
      </c>
      <c r="L529" t="inlineStr">
        <is>
          <t>E 08 - D 08</t>
        </is>
      </c>
      <c r="M529" s="39" t="n">
        <v>53800</v>
      </c>
      <c r="N529" s="39" t="n">
        <v>53800</v>
      </c>
      <c r="S529" s="39" t="n"/>
      <c r="T529" s="39" t="n"/>
      <c r="Y529" s="39" t="n"/>
      <c r="Z529" s="39" t="n"/>
      <c r="AA529" t="inlineStr">
        <is>
          <t>Mohammed Belhaj b</t>
        </is>
      </c>
      <c r="AB529" t="inlineStr">
        <is>
          <t>NUoF6KHK3</t>
        </is>
      </c>
      <c r="AC529" t="inlineStr">
        <is>
          <t>Jr. Los Aromos Coop. Las Flores Mz 21LT. 31</t>
        </is>
      </c>
      <c r="AD529" t="n">
        <v>0</v>
      </c>
      <c r="AE529" t="inlineStr">
        <is>
          <t>922412765</t>
        </is>
      </c>
      <c r="AF529" t="inlineStr">
        <is>
          <t>mo.belhaj@outlook.com</t>
        </is>
      </c>
      <c r="AG529" t="inlineStr">
        <is>
          <t>LIMA</t>
        </is>
      </c>
      <c r="AH529" t="inlineStr">
        <is>
          <t>SAN JUAN DE LURIGANCHO</t>
        </is>
      </c>
      <c r="AI529" s="75" t="n">
        <v>46295</v>
      </c>
      <c r="AJ529" s="75" t="n"/>
      <c r="AK529" t="inlineStr">
        <is>
          <t>SALDO FINANCIAR</t>
        </is>
      </c>
      <c r="AL529" t="n">
        <v>2</v>
      </c>
      <c r="AM529" t="n">
        <v>20008.75</v>
      </c>
      <c r="AN529" t="n">
        <v>0</v>
      </c>
      <c r="AO529" t="n">
        <v>0</v>
      </c>
      <c r="AP529" s="39" t="n">
        <v>20008.75</v>
      </c>
      <c r="AQ529" s="39" t="n">
        <v>0</v>
      </c>
      <c r="AR529" s="39" t="n">
        <v>20008.75</v>
      </c>
      <c r="AT529" t="inlineStr">
        <is>
          <t>Crédito Directo</t>
        </is>
      </c>
      <c r="AZ529" t="inlineStr">
        <is>
          <t>No</t>
        </is>
      </c>
      <c r="BC529" t="inlineStr">
        <is>
          <t>PENDIENTE</t>
        </is>
      </c>
      <c r="BN529" t="inlineStr">
        <is>
          <t>No</t>
        </is>
      </c>
      <c r="BO529" s="76" t="n">
        <v>46181.47777777778</v>
      </c>
      <c r="BP529" t="inlineStr">
        <is>
          <t>Carla Michue M</t>
        </is>
      </c>
      <c r="BR529" t="n">
        <v>9</v>
      </c>
      <c r="BW529" t="inlineStr">
        <is>
          <t>Cobranzas_2026.csv</t>
        </is>
      </c>
      <c r="BX529" t="n">
        <v>2026</v>
      </c>
      <c r="BY529" t="inlineStr">
        <is>
          <t>01/01/2024</t>
        </is>
      </c>
      <c r="BZ529" t="inlineStr">
        <is>
          <t>30/06/2031</t>
        </is>
      </c>
    </row>
    <row r="530">
      <c r="A530" t="inlineStr">
        <is>
          <t>RESIDENCIAL BEYOND</t>
        </is>
      </c>
      <c r="B530" t="inlineStr">
        <is>
          <t>Etapa 1</t>
        </is>
      </c>
      <c r="C530" t="inlineStr">
        <is>
          <t>Edificio</t>
        </is>
      </c>
      <c r="D530" t="inlineStr">
        <is>
          <t>A</t>
        </is>
      </c>
      <c r="E530" t="inlineStr">
        <is>
          <t>Departamento</t>
        </is>
      </c>
      <c r="F530" t="inlineStr">
        <is>
          <t>1603</t>
        </is>
      </c>
      <c r="G530" s="39" t="n">
        <v>493700</v>
      </c>
      <c r="H530" s="39" t="n">
        <v>436200</v>
      </c>
      <c r="I530" t="inlineStr">
        <is>
          <t>Edificio</t>
        </is>
      </c>
      <c r="J530" t="inlineStr">
        <is>
          <t>A</t>
        </is>
      </c>
      <c r="K530" t="inlineStr">
        <is>
          <t>Estacionamiento</t>
        </is>
      </c>
      <c r="L530" t="inlineStr">
        <is>
          <t>E 08 - D 08</t>
        </is>
      </c>
      <c r="M530" s="39" t="n">
        <v>53800</v>
      </c>
      <c r="N530" s="39" t="n">
        <v>53800</v>
      </c>
      <c r="S530" s="39" t="n"/>
      <c r="T530" s="39" t="n"/>
      <c r="Y530" s="39" t="n"/>
      <c r="Z530" s="39" t="n"/>
      <c r="AA530" t="inlineStr">
        <is>
          <t>Mohammed Belhaj b</t>
        </is>
      </c>
      <c r="AB530" t="inlineStr">
        <is>
          <t>NUoF6KHK3</t>
        </is>
      </c>
      <c r="AC530" t="inlineStr">
        <is>
          <t>Jr. Los Aromos Coop. Las Flores Mz 21LT. 31</t>
        </is>
      </c>
      <c r="AD530" t="n">
        <v>0</v>
      </c>
      <c r="AE530" t="inlineStr">
        <is>
          <t>922412765</t>
        </is>
      </c>
      <c r="AF530" t="inlineStr">
        <is>
          <t>mo.belhaj@outlook.com</t>
        </is>
      </c>
      <c r="AG530" t="inlineStr">
        <is>
          <t>LIMA</t>
        </is>
      </c>
      <c r="AH530" t="inlineStr">
        <is>
          <t>SAN JUAN DE LURIGANCHO</t>
        </is>
      </c>
      <c r="AI530" s="75" t="n">
        <v>46326</v>
      </c>
      <c r="AJ530" s="75" t="n"/>
      <c r="AK530" t="inlineStr">
        <is>
          <t>SALDO FINANCIAR</t>
        </is>
      </c>
      <c r="AL530" t="n">
        <v>3</v>
      </c>
      <c r="AM530" t="n">
        <v>20008.75</v>
      </c>
      <c r="AN530" t="n">
        <v>0</v>
      </c>
      <c r="AO530" t="n">
        <v>0</v>
      </c>
      <c r="AP530" s="39" t="n">
        <v>20008.75</v>
      </c>
      <c r="AQ530" s="39" t="n">
        <v>0</v>
      </c>
      <c r="AR530" s="39" t="n">
        <v>20008.75</v>
      </c>
      <c r="AT530" t="inlineStr">
        <is>
          <t>Crédito Directo</t>
        </is>
      </c>
      <c r="AZ530" t="inlineStr">
        <is>
          <t>No</t>
        </is>
      </c>
      <c r="BC530" t="inlineStr">
        <is>
          <t>PENDIENTE</t>
        </is>
      </c>
      <c r="BN530" t="inlineStr">
        <is>
          <t>No</t>
        </is>
      </c>
      <c r="BO530" s="76" t="n">
        <v>46181.47777777778</v>
      </c>
      <c r="BP530" t="inlineStr">
        <is>
          <t>Carla Michue M</t>
        </is>
      </c>
      <c r="BR530" t="n">
        <v>9</v>
      </c>
      <c r="BW530" t="inlineStr">
        <is>
          <t>Cobranzas_2026.csv</t>
        </is>
      </c>
      <c r="BX530" t="n">
        <v>2026</v>
      </c>
      <c r="BY530" t="inlineStr">
        <is>
          <t>01/01/2024</t>
        </is>
      </c>
      <c r="BZ530" t="inlineStr">
        <is>
          <t>30/06/2031</t>
        </is>
      </c>
    </row>
    <row r="531">
      <c r="A531" t="inlineStr">
        <is>
          <t>RESIDENCIAL BEYOND</t>
        </is>
      </c>
      <c r="B531" t="inlineStr">
        <is>
          <t>Etapa 1</t>
        </is>
      </c>
      <c r="C531" t="inlineStr">
        <is>
          <t>Edificio</t>
        </is>
      </c>
      <c r="D531" t="inlineStr">
        <is>
          <t>A</t>
        </is>
      </c>
      <c r="E531" t="inlineStr">
        <is>
          <t>Departamento</t>
        </is>
      </c>
      <c r="F531" t="inlineStr">
        <is>
          <t>1603</t>
        </is>
      </c>
      <c r="G531" s="39" t="n">
        <v>493700</v>
      </c>
      <c r="H531" s="39" t="n">
        <v>436200</v>
      </c>
      <c r="I531" t="inlineStr">
        <is>
          <t>Edificio</t>
        </is>
      </c>
      <c r="J531" t="inlineStr">
        <is>
          <t>A</t>
        </is>
      </c>
      <c r="K531" t="inlineStr">
        <is>
          <t>Estacionamiento</t>
        </is>
      </c>
      <c r="L531" t="inlineStr">
        <is>
          <t>E 08 - D 08</t>
        </is>
      </c>
      <c r="M531" s="39" t="n">
        <v>53800</v>
      </c>
      <c r="N531" s="39" t="n">
        <v>53800</v>
      </c>
      <c r="S531" s="39" t="n"/>
      <c r="T531" s="39" t="n"/>
      <c r="Y531" s="39" t="n"/>
      <c r="Z531" s="39" t="n"/>
      <c r="AA531" t="inlineStr">
        <is>
          <t>Mohammed Belhaj b</t>
        </is>
      </c>
      <c r="AB531" t="inlineStr">
        <is>
          <t>NUoF6KHK3</t>
        </is>
      </c>
      <c r="AC531" t="inlineStr">
        <is>
          <t>Jr. Los Aromos Coop. Las Flores Mz 21LT. 31</t>
        </is>
      </c>
      <c r="AD531" t="n">
        <v>0</v>
      </c>
      <c r="AE531" t="inlineStr">
        <is>
          <t>922412765</t>
        </is>
      </c>
      <c r="AF531" t="inlineStr">
        <is>
          <t>mo.belhaj@outlook.com</t>
        </is>
      </c>
      <c r="AG531" t="inlineStr">
        <is>
          <t>LIMA</t>
        </is>
      </c>
      <c r="AH531" t="inlineStr">
        <is>
          <t>SAN JUAN DE LURIGANCHO</t>
        </is>
      </c>
      <c r="AI531" s="75" t="n">
        <v>46356</v>
      </c>
      <c r="AJ531" s="75" t="n"/>
      <c r="AK531" t="inlineStr">
        <is>
          <t>SALDO FINANCIAR</t>
        </is>
      </c>
      <c r="AL531" t="n">
        <v>4</v>
      </c>
      <c r="AM531" t="n">
        <v>20008.75</v>
      </c>
      <c r="AN531" t="n">
        <v>0</v>
      </c>
      <c r="AO531" t="n">
        <v>0</v>
      </c>
      <c r="AP531" s="39" t="n">
        <v>20008.75</v>
      </c>
      <c r="AQ531" s="39" t="n">
        <v>0</v>
      </c>
      <c r="AR531" s="39" t="n">
        <v>20008.75</v>
      </c>
      <c r="AT531" t="inlineStr">
        <is>
          <t>Crédito Directo</t>
        </is>
      </c>
      <c r="AZ531" t="inlineStr">
        <is>
          <t>No</t>
        </is>
      </c>
      <c r="BC531" t="inlineStr">
        <is>
          <t>PENDIENTE</t>
        </is>
      </c>
      <c r="BN531" t="inlineStr">
        <is>
          <t>No</t>
        </is>
      </c>
      <c r="BO531" s="76" t="n">
        <v>46181.47777777778</v>
      </c>
      <c r="BP531" t="inlineStr">
        <is>
          <t>Carla Michue M</t>
        </is>
      </c>
      <c r="BR531" t="n">
        <v>9</v>
      </c>
      <c r="BW531" t="inlineStr">
        <is>
          <t>Cobranzas_2026.csv</t>
        </is>
      </c>
      <c r="BX531" t="n">
        <v>2026</v>
      </c>
      <c r="BY531" t="inlineStr">
        <is>
          <t>01/01/2024</t>
        </is>
      </c>
      <c r="BZ531" t="inlineStr">
        <is>
          <t>30/06/2031</t>
        </is>
      </c>
    </row>
    <row r="532">
      <c r="A532" t="inlineStr">
        <is>
          <t>RESIDENCIAL BEYOND</t>
        </is>
      </c>
      <c r="B532" t="inlineStr">
        <is>
          <t>Etapa 1</t>
        </is>
      </c>
      <c r="C532" t="inlineStr">
        <is>
          <t>Edificio</t>
        </is>
      </c>
      <c r="D532" t="inlineStr">
        <is>
          <t>A</t>
        </is>
      </c>
      <c r="E532" t="inlineStr">
        <is>
          <t>Departamento</t>
        </is>
      </c>
      <c r="F532" t="inlineStr">
        <is>
          <t>1603</t>
        </is>
      </c>
      <c r="G532" s="39" t="n">
        <v>493700</v>
      </c>
      <c r="H532" s="39" t="n">
        <v>436200</v>
      </c>
      <c r="I532" t="inlineStr">
        <is>
          <t>Edificio</t>
        </is>
      </c>
      <c r="J532" t="inlineStr">
        <is>
          <t>A</t>
        </is>
      </c>
      <c r="K532" t="inlineStr">
        <is>
          <t>Estacionamiento</t>
        </is>
      </c>
      <c r="L532" t="inlineStr">
        <is>
          <t>E 08 - D 08</t>
        </is>
      </c>
      <c r="M532" s="39" t="n">
        <v>53800</v>
      </c>
      <c r="N532" s="39" t="n">
        <v>53800</v>
      </c>
      <c r="S532" s="39" t="n"/>
      <c r="T532" s="39" t="n"/>
      <c r="Y532" s="39" t="n"/>
      <c r="Z532" s="39" t="n"/>
      <c r="AA532" t="inlineStr">
        <is>
          <t>Mohammed Belhaj b</t>
        </is>
      </c>
      <c r="AB532" t="inlineStr">
        <is>
          <t>NUoF6KHK3</t>
        </is>
      </c>
      <c r="AC532" t="inlineStr">
        <is>
          <t>Jr. Los Aromos Coop. Las Flores Mz 21LT. 31</t>
        </is>
      </c>
      <c r="AD532" t="n">
        <v>0</v>
      </c>
      <c r="AE532" t="inlineStr">
        <is>
          <t>922412765</t>
        </is>
      </c>
      <c r="AF532" t="inlineStr">
        <is>
          <t>mo.belhaj@outlook.com</t>
        </is>
      </c>
      <c r="AG532" t="inlineStr">
        <is>
          <t>LIMA</t>
        </is>
      </c>
      <c r="AH532" t="inlineStr">
        <is>
          <t>SAN JUAN DE LURIGANCHO</t>
        </is>
      </c>
      <c r="AI532" s="75" t="n">
        <v>46387</v>
      </c>
      <c r="AJ532" s="75" t="n"/>
      <c r="AK532" t="inlineStr">
        <is>
          <t>SALDO FINANCIAR</t>
        </is>
      </c>
      <c r="AL532" t="n">
        <v>5</v>
      </c>
      <c r="AM532" t="n">
        <v>20008.75</v>
      </c>
      <c r="AN532" t="n">
        <v>0</v>
      </c>
      <c r="AO532" t="n">
        <v>0</v>
      </c>
      <c r="AP532" s="39" t="n">
        <v>20008.75</v>
      </c>
      <c r="AQ532" s="39" t="n">
        <v>0</v>
      </c>
      <c r="AR532" s="39" t="n">
        <v>20008.75</v>
      </c>
      <c r="AT532" t="inlineStr">
        <is>
          <t>Crédito Directo</t>
        </is>
      </c>
      <c r="AZ532" t="inlineStr">
        <is>
          <t>No</t>
        </is>
      </c>
      <c r="BC532" t="inlineStr">
        <is>
          <t>PENDIENTE</t>
        </is>
      </c>
      <c r="BN532" t="inlineStr">
        <is>
          <t>No</t>
        </is>
      </c>
      <c r="BO532" s="76" t="n">
        <v>46181.47777777778</v>
      </c>
      <c r="BP532" t="inlineStr">
        <is>
          <t>Carla Michue M</t>
        </is>
      </c>
      <c r="BR532" t="n">
        <v>9</v>
      </c>
      <c r="BW532" t="inlineStr">
        <is>
          <t>Cobranzas_2026.csv</t>
        </is>
      </c>
      <c r="BX532" t="n">
        <v>2026</v>
      </c>
      <c r="BY532" t="inlineStr">
        <is>
          <t>01/01/2024</t>
        </is>
      </c>
      <c r="BZ532" t="inlineStr">
        <is>
          <t>30/06/2031</t>
        </is>
      </c>
    </row>
    <row r="533">
      <c r="A533" t="inlineStr">
        <is>
          <t>RESIDENCIAL VENECIA</t>
        </is>
      </c>
      <c r="B533" t="inlineStr">
        <is>
          <t>Etapa 1</t>
        </is>
      </c>
      <c r="C533" t="inlineStr">
        <is>
          <t>Edificio</t>
        </is>
      </c>
      <c r="D533" t="inlineStr">
        <is>
          <t>A</t>
        </is>
      </c>
      <c r="E533" t="inlineStr">
        <is>
          <t>Departamento</t>
        </is>
      </c>
      <c r="F533" t="inlineStr">
        <is>
          <t>1005</t>
        </is>
      </c>
      <c r="G533" s="39" t="n">
        <v>372000</v>
      </c>
      <c r="H533" s="39" t="n">
        <v>372000</v>
      </c>
      <c r="M533" s="39" t="n"/>
      <c r="N533" s="39" t="n"/>
      <c r="S533" s="39" t="n"/>
      <c r="T533" s="39" t="n"/>
      <c r="Y533" s="39" t="n"/>
      <c r="Z533" s="39" t="n"/>
      <c r="AA533" t="inlineStr">
        <is>
          <t>Noelia Abarca Chavez</t>
        </is>
      </c>
      <c r="AB533" t="inlineStr">
        <is>
          <t>74834392</t>
        </is>
      </c>
      <c r="AC533" t="inlineStr">
        <is>
          <t xml:space="preserve"> Juan  Dávalos 570 Piso Nº2  Urbanización Pamplona Baj</t>
        </is>
      </c>
      <c r="AD533" t="n">
        <v>0</v>
      </c>
      <c r="AE533" t="inlineStr">
        <is>
          <t>977162821</t>
        </is>
      </c>
      <c r="AF533" t="inlineStr">
        <is>
          <t>noeliaabarca@outlook.com</t>
        </is>
      </c>
      <c r="AG533" t="inlineStr">
        <is>
          <t>LIMA</t>
        </is>
      </c>
      <c r="AH533" t="inlineStr">
        <is>
          <t>SAN JUAN DE MIRAFLORES</t>
        </is>
      </c>
      <c r="AI533" s="75" t="n">
        <v>46142</v>
      </c>
      <c r="AJ533" s="75" t="n">
        <v>46116</v>
      </c>
      <c r="AK533" t="inlineStr">
        <is>
          <t>AHORRO CASA</t>
        </is>
      </c>
      <c r="AL533" t="n">
        <v>1</v>
      </c>
      <c r="AM533" t="n">
        <v>18600</v>
      </c>
      <c r="AN533" t="n">
        <v>0</v>
      </c>
      <c r="AO533" t="n">
        <v>0</v>
      </c>
      <c r="AP533" s="39" t="n">
        <v>18600</v>
      </c>
      <c r="AQ533" s="39" t="n">
        <v>18600</v>
      </c>
      <c r="AR533" s="39" t="n">
        <v>0</v>
      </c>
      <c r="AS533" t="n">
        <v>0</v>
      </c>
      <c r="AT533" t="inlineStr">
        <is>
          <t>Crédito Hipotecario</t>
        </is>
      </c>
      <c r="AU533" t="inlineStr">
        <is>
          <t>Scotiabank Perú</t>
        </is>
      </c>
      <c r="AV533" t="inlineStr">
        <is>
          <t>0004071419</t>
        </is>
      </c>
      <c r="AW533" t="inlineStr">
        <is>
          <t>TRANSFERENCIA BANCARIA</t>
        </is>
      </c>
      <c r="AY533" t="inlineStr">
        <is>
          <t>5526008</t>
        </is>
      </c>
      <c r="AZ533" t="inlineStr">
        <is>
          <t>No</t>
        </is>
      </c>
      <c r="BB533" t="n">
        <v>4</v>
      </c>
      <c r="BC533" t="inlineStr">
        <is>
          <t>CANCELADO</t>
        </is>
      </c>
      <c r="BN533" t="inlineStr">
        <is>
          <t>No</t>
        </is>
      </c>
      <c r="BO533" s="76" t="n">
        <v>45878.92083333333</v>
      </c>
      <c r="BP533" t="inlineStr">
        <is>
          <t>Magaly Guevara Perez</t>
        </is>
      </c>
      <c r="BR533" t="n">
        <v>15</v>
      </c>
      <c r="BS533" t="inlineStr">
        <is>
          <t>24/05/2026 22:05</t>
        </is>
      </c>
      <c r="BW533" t="inlineStr">
        <is>
          <t>Cobranzas_2026.csv</t>
        </is>
      </c>
      <c r="BX533" t="n">
        <v>2026</v>
      </c>
      <c r="BY533" t="inlineStr">
        <is>
          <t>01/01/2024</t>
        </is>
      </c>
      <c r="BZ533" t="inlineStr">
        <is>
          <t>30/06/2031</t>
        </is>
      </c>
    </row>
    <row r="534">
      <c r="A534" t="inlineStr">
        <is>
          <t>RESIDENCIAL VENECIA</t>
        </is>
      </c>
      <c r="B534" t="inlineStr">
        <is>
          <t>Etapa 1</t>
        </is>
      </c>
      <c r="C534" t="inlineStr">
        <is>
          <t>Edificio</t>
        </is>
      </c>
      <c r="D534" t="inlineStr">
        <is>
          <t>A</t>
        </is>
      </c>
      <c r="E534" t="inlineStr">
        <is>
          <t>Departamento</t>
        </is>
      </c>
      <c r="F534" t="inlineStr">
        <is>
          <t>1005</t>
        </is>
      </c>
      <c r="G534" s="39" t="n">
        <v>372000</v>
      </c>
      <c r="H534" s="39" t="n">
        <v>372000</v>
      </c>
      <c r="M534" s="39" t="n"/>
      <c r="N534" s="39" t="n"/>
      <c r="S534" s="39" t="n"/>
      <c r="T534" s="39" t="n"/>
      <c r="Y534" s="39" t="n"/>
      <c r="Z534" s="39" t="n"/>
      <c r="AA534" t="inlineStr">
        <is>
          <t>Noelia Abarca Chavez</t>
        </is>
      </c>
      <c r="AB534" t="inlineStr">
        <is>
          <t>74834392</t>
        </is>
      </c>
      <c r="AC534" t="inlineStr">
        <is>
          <t xml:space="preserve"> Juan  Dávalos 570 Piso Nº2  Urbanización Pamplona Baj</t>
        </is>
      </c>
      <c r="AD534" t="n">
        <v>0</v>
      </c>
      <c r="AE534" t="inlineStr">
        <is>
          <t>977162821</t>
        </is>
      </c>
      <c r="AF534" t="inlineStr">
        <is>
          <t>noeliaabarca@outlook.com</t>
        </is>
      </c>
      <c r="AG534" t="inlineStr">
        <is>
          <t>LIMA</t>
        </is>
      </c>
      <c r="AH534" t="inlineStr">
        <is>
          <t>SAN JUAN DE MIRAFLORES</t>
        </is>
      </c>
      <c r="AI534" s="75" t="n">
        <v>46203</v>
      </c>
      <c r="AJ534" s="75" t="n"/>
      <c r="AK534" t="inlineStr">
        <is>
          <t>SALDO FINANCIAR</t>
        </is>
      </c>
      <c r="AL534" t="n">
        <v>1</v>
      </c>
      <c r="AM534" t="n">
        <v>334800</v>
      </c>
      <c r="AN534" t="n">
        <v>0</v>
      </c>
      <c r="AO534" t="n">
        <v>0</v>
      </c>
      <c r="AP534" s="39" t="n">
        <v>334800</v>
      </c>
      <c r="AQ534" s="39" t="n">
        <v>0</v>
      </c>
      <c r="AR534" s="39" t="n">
        <v>334800</v>
      </c>
      <c r="AT534" t="inlineStr">
        <is>
          <t>Crédito Hipotecario</t>
        </is>
      </c>
      <c r="AZ534" t="inlineStr">
        <is>
          <t>No</t>
        </is>
      </c>
      <c r="BC534" t="inlineStr">
        <is>
          <t>VENCIDO</t>
        </is>
      </c>
      <c r="BN534" t="inlineStr">
        <is>
          <t>No</t>
        </is>
      </c>
      <c r="BO534" s="76" t="n">
        <v>45878.92083333333</v>
      </c>
      <c r="BP534" t="inlineStr">
        <is>
          <t>Magaly Guevara Perez</t>
        </is>
      </c>
      <c r="BR534" t="n">
        <v>15</v>
      </c>
      <c r="BW534" t="inlineStr">
        <is>
          <t>Cobranzas_2026.csv</t>
        </is>
      </c>
      <c r="BX534" t="n">
        <v>2026</v>
      </c>
      <c r="BY534" t="inlineStr">
        <is>
          <t>01/01/2024</t>
        </is>
      </c>
      <c r="BZ534" t="inlineStr">
        <is>
          <t>30/06/2031</t>
        </is>
      </c>
    </row>
    <row r="535">
      <c r="A535" t="inlineStr">
        <is>
          <t>RESIDENCIAL VENECIA</t>
        </is>
      </c>
      <c r="B535" t="inlineStr">
        <is>
          <t>Etapa 1</t>
        </is>
      </c>
      <c r="C535" t="inlineStr">
        <is>
          <t>Edificio</t>
        </is>
      </c>
      <c r="D535" t="inlineStr">
        <is>
          <t>A</t>
        </is>
      </c>
      <c r="E535" t="inlineStr">
        <is>
          <t>Departamento</t>
        </is>
      </c>
      <c r="F535" t="inlineStr">
        <is>
          <t>601</t>
        </is>
      </c>
      <c r="G535" s="39" t="n">
        <v>545000</v>
      </c>
      <c r="H535" s="39" t="n">
        <v>545000</v>
      </c>
      <c r="I535" t="inlineStr">
        <is>
          <t>Edificio</t>
        </is>
      </c>
      <c r="J535" t="inlineStr">
        <is>
          <t>A</t>
        </is>
      </c>
      <c r="K535" t="inlineStr">
        <is>
          <t>Estacionamiento</t>
        </is>
      </c>
      <c r="L535" t="inlineStr">
        <is>
          <t>E 11</t>
        </is>
      </c>
      <c r="M535" s="39" t="n">
        <v>50800</v>
      </c>
      <c r="N535" s="39" t="n">
        <v>50800</v>
      </c>
      <c r="S535" s="39" t="n"/>
      <c r="T535" s="39" t="n"/>
      <c r="Y535" s="39" t="n"/>
      <c r="Z535" s="39" t="n"/>
      <c r="AA535" t="inlineStr">
        <is>
          <t>Norma Luz Tello Contreras</t>
        </is>
      </c>
      <c r="AB535" t="inlineStr">
        <is>
          <t>04063971</t>
        </is>
      </c>
      <c r="AC535" t="inlineStr">
        <is>
          <t>Av. Militar 1745 - Dpto. 1202</t>
        </is>
      </c>
      <c r="AD535" t="n">
        <v>0</v>
      </c>
      <c r="AE535" t="inlineStr">
        <is>
          <t>952305311</t>
        </is>
      </c>
      <c r="AF535" t="inlineStr">
        <is>
          <t>normatello@gmail.com</t>
        </is>
      </c>
      <c r="AG535" t="inlineStr">
        <is>
          <t>LIMA</t>
        </is>
      </c>
      <c r="AH535" t="inlineStr">
        <is>
          <t>LA VICTORIA</t>
        </is>
      </c>
      <c r="AI535" s="75" t="n">
        <v>46052</v>
      </c>
      <c r="AJ535" s="75" t="n">
        <v>46050</v>
      </c>
      <c r="AK535" t="inlineStr">
        <is>
          <t>SALDO FINANCIAR</t>
        </is>
      </c>
      <c r="AL535" t="n">
        <v>5</v>
      </c>
      <c r="AM535" t="n">
        <v>6000</v>
      </c>
      <c r="AN535" t="n">
        <v>0</v>
      </c>
      <c r="AO535" t="n">
        <v>0</v>
      </c>
      <c r="AP535" s="39" t="n">
        <v>6000</v>
      </c>
      <c r="AQ535" s="39" t="n">
        <v>6000</v>
      </c>
      <c r="AR535" s="39" t="n">
        <v>0</v>
      </c>
      <c r="AS535" t="n">
        <v>0</v>
      </c>
      <c r="AT535" t="inlineStr">
        <is>
          <t>Crédito Directo</t>
        </is>
      </c>
      <c r="AU535" t="inlineStr">
        <is>
          <t>Scotiabank Perú</t>
        </is>
      </c>
      <c r="AV535" t="inlineStr">
        <is>
          <t>0004071419</t>
        </is>
      </c>
      <c r="AW535" t="inlineStr">
        <is>
          <t>DEPOSITO EN CUENTA</t>
        </is>
      </c>
      <c r="AX535" t="n">
        <v>22079563</v>
      </c>
      <c r="AY535" t="inlineStr">
        <is>
          <t>0500010092</t>
        </is>
      </c>
      <c r="AZ535" t="inlineStr">
        <is>
          <t>No</t>
        </is>
      </c>
      <c r="BA535" t="inlineStr">
        <is>
          <t>NO PRECISA</t>
        </is>
      </c>
      <c r="BB535" t="n">
        <v>4</v>
      </c>
      <c r="BC535" t="inlineStr">
        <is>
          <t>CANCELADO</t>
        </is>
      </c>
      <c r="BN535" t="inlineStr">
        <is>
          <t>Si</t>
        </is>
      </c>
      <c r="BO535" s="76" t="n">
        <v>45857.51944444444</v>
      </c>
      <c r="BP535" t="inlineStr">
        <is>
          <t>Magaly Guevara Perez</t>
        </is>
      </c>
      <c r="BR535" t="n">
        <v>11</v>
      </c>
      <c r="BS535" t="inlineStr">
        <is>
          <t>04/06/2026 09:29</t>
        </is>
      </c>
      <c r="BW535" t="inlineStr">
        <is>
          <t>Cobranzas_2026.csv</t>
        </is>
      </c>
      <c r="BX535" t="n">
        <v>2026</v>
      </c>
      <c r="BY535" t="inlineStr">
        <is>
          <t>01/01/2024</t>
        </is>
      </c>
      <c r="BZ535" t="inlineStr">
        <is>
          <t>30/06/2031</t>
        </is>
      </c>
    </row>
    <row r="536">
      <c r="A536" t="inlineStr">
        <is>
          <t>RESIDENCIAL VENECIA</t>
        </is>
      </c>
      <c r="B536" t="inlineStr">
        <is>
          <t>Etapa 1</t>
        </is>
      </c>
      <c r="C536" t="inlineStr">
        <is>
          <t>Edificio</t>
        </is>
      </c>
      <c r="D536" t="inlineStr">
        <is>
          <t>A</t>
        </is>
      </c>
      <c r="E536" t="inlineStr">
        <is>
          <t>Departamento</t>
        </is>
      </c>
      <c r="F536" t="inlineStr">
        <is>
          <t>601</t>
        </is>
      </c>
      <c r="G536" s="39" t="n">
        <v>545000</v>
      </c>
      <c r="H536" s="39" t="n">
        <v>545000</v>
      </c>
      <c r="I536" t="inlineStr">
        <is>
          <t>Edificio</t>
        </is>
      </c>
      <c r="J536" t="inlineStr">
        <is>
          <t>A</t>
        </is>
      </c>
      <c r="K536" t="inlineStr">
        <is>
          <t>Estacionamiento</t>
        </is>
      </c>
      <c r="L536" t="inlineStr">
        <is>
          <t>E 11</t>
        </is>
      </c>
      <c r="M536" s="39" t="n">
        <v>50800</v>
      </c>
      <c r="N536" s="39" t="n">
        <v>50800</v>
      </c>
      <c r="S536" s="39" t="n"/>
      <c r="T536" s="39" t="n"/>
      <c r="Y536" s="39" t="n"/>
      <c r="Z536" s="39" t="n"/>
      <c r="AA536" t="inlineStr">
        <is>
          <t>Norma Luz Tello Contreras</t>
        </is>
      </c>
      <c r="AB536" t="inlineStr">
        <is>
          <t>04063971</t>
        </is>
      </c>
      <c r="AC536" t="inlineStr">
        <is>
          <t>Av. Militar 1745 - Dpto. 1202</t>
        </is>
      </c>
      <c r="AD536" t="n">
        <v>0</v>
      </c>
      <c r="AE536" t="inlineStr">
        <is>
          <t>952305311</t>
        </is>
      </c>
      <c r="AF536" t="inlineStr">
        <is>
          <t>normatello@gmail.com</t>
        </is>
      </c>
      <c r="AG536" t="inlineStr">
        <is>
          <t>LIMA</t>
        </is>
      </c>
      <c r="AH536" t="inlineStr">
        <is>
          <t>LA VICTORIA</t>
        </is>
      </c>
      <c r="AI536" s="75" t="n">
        <v>46081</v>
      </c>
      <c r="AJ536" s="75" t="n">
        <v>45992</v>
      </c>
      <c r="AK536" t="inlineStr">
        <is>
          <t>SALDO FINANCIAR</t>
        </is>
      </c>
      <c r="AL536" t="n">
        <v>6</v>
      </c>
      <c r="AM536" t="n">
        <v>6000</v>
      </c>
      <c r="AN536" t="n">
        <v>0</v>
      </c>
      <c r="AO536" t="n">
        <v>0</v>
      </c>
      <c r="AP536" s="39" t="n">
        <v>6000</v>
      </c>
      <c r="AQ536" s="39" t="n">
        <v>6000</v>
      </c>
      <c r="AR536" s="39" t="n">
        <v>0</v>
      </c>
      <c r="AS536" t="n">
        <v>0</v>
      </c>
      <c r="AT536" t="inlineStr">
        <is>
          <t>Crédito Directo</t>
        </is>
      </c>
      <c r="AU536" t="inlineStr">
        <is>
          <t>Scotiabank Perú</t>
        </is>
      </c>
      <c r="AV536" t="inlineStr">
        <is>
          <t>0004071419</t>
        </is>
      </c>
      <c r="AW536" t="inlineStr">
        <is>
          <t>TRANSFERENCIA BANCARIA</t>
        </is>
      </c>
      <c r="AY536" t="inlineStr">
        <is>
          <t>U2874</t>
        </is>
      </c>
      <c r="AZ536" t="inlineStr">
        <is>
          <t>No</t>
        </is>
      </c>
      <c r="BB536" t="n">
        <v>4</v>
      </c>
      <c r="BC536" t="inlineStr">
        <is>
          <t>CANCELADO</t>
        </is>
      </c>
      <c r="BN536" t="inlineStr">
        <is>
          <t>No</t>
        </is>
      </c>
      <c r="BO536" s="76" t="n">
        <v>45857.51944444444</v>
      </c>
      <c r="BP536" t="inlineStr">
        <is>
          <t>Magaly Guevara Perez</t>
        </is>
      </c>
      <c r="BR536" t="n">
        <v>11</v>
      </c>
      <c r="BS536" t="inlineStr">
        <is>
          <t>10/06/2026 17:21</t>
        </is>
      </c>
      <c r="BW536" t="inlineStr">
        <is>
          <t>Cobranzas_2026.csv</t>
        </is>
      </c>
      <c r="BX536" t="n">
        <v>2026</v>
      </c>
      <c r="BY536" t="inlineStr">
        <is>
          <t>01/01/2024</t>
        </is>
      </c>
      <c r="BZ536" t="inlineStr">
        <is>
          <t>30/06/2031</t>
        </is>
      </c>
    </row>
    <row r="537">
      <c r="A537" t="inlineStr">
        <is>
          <t>RESIDENCIAL VENECIA</t>
        </is>
      </c>
      <c r="B537" t="inlineStr">
        <is>
          <t>Etapa 1</t>
        </is>
      </c>
      <c r="C537" t="inlineStr">
        <is>
          <t>Edificio</t>
        </is>
      </c>
      <c r="D537" t="inlineStr">
        <is>
          <t>A</t>
        </is>
      </c>
      <c r="E537" t="inlineStr">
        <is>
          <t>Departamento</t>
        </is>
      </c>
      <c r="F537" t="inlineStr">
        <is>
          <t>601</t>
        </is>
      </c>
      <c r="G537" s="39" t="n">
        <v>545000</v>
      </c>
      <c r="H537" s="39" t="n">
        <v>545000</v>
      </c>
      <c r="I537" t="inlineStr">
        <is>
          <t>Edificio</t>
        </is>
      </c>
      <c r="J537" t="inlineStr">
        <is>
          <t>A</t>
        </is>
      </c>
      <c r="K537" t="inlineStr">
        <is>
          <t>Estacionamiento</t>
        </is>
      </c>
      <c r="L537" t="inlineStr">
        <is>
          <t>E 11</t>
        </is>
      </c>
      <c r="M537" s="39" t="n">
        <v>50800</v>
      </c>
      <c r="N537" s="39" t="n">
        <v>50800</v>
      </c>
      <c r="S537" s="39" t="n"/>
      <c r="T537" s="39" t="n"/>
      <c r="Y537" s="39" t="n"/>
      <c r="Z537" s="39" t="n"/>
      <c r="AA537" t="inlineStr">
        <is>
          <t>Norma Luz Tello Contreras</t>
        </is>
      </c>
      <c r="AB537" t="inlineStr">
        <is>
          <t>04063971</t>
        </is>
      </c>
      <c r="AC537" t="inlineStr">
        <is>
          <t>Av. Militar 1745 - Dpto. 1202</t>
        </is>
      </c>
      <c r="AD537" t="n">
        <v>0</v>
      </c>
      <c r="AE537" t="inlineStr">
        <is>
          <t>952305311</t>
        </is>
      </c>
      <c r="AF537" t="inlineStr">
        <is>
          <t>normatello@gmail.com</t>
        </is>
      </c>
      <c r="AG537" t="inlineStr">
        <is>
          <t>LIMA</t>
        </is>
      </c>
      <c r="AH537" t="inlineStr">
        <is>
          <t>LA VICTORIA</t>
        </is>
      </c>
      <c r="AI537" s="75" t="n">
        <v>46111</v>
      </c>
      <c r="AJ537" s="75" t="n"/>
      <c r="AK537" t="inlineStr">
        <is>
          <t>SALDO FINANCIAR</t>
        </is>
      </c>
      <c r="AL537" t="n">
        <v>7</v>
      </c>
      <c r="AM537" t="n">
        <v>6000</v>
      </c>
      <c r="AN537" t="n">
        <v>0</v>
      </c>
      <c r="AO537" t="n">
        <v>0</v>
      </c>
      <c r="AP537" s="39" t="n">
        <v>6000</v>
      </c>
      <c r="AQ537" s="39" t="n">
        <v>0</v>
      </c>
      <c r="AR537" s="39" t="n">
        <v>6000</v>
      </c>
      <c r="AT537" t="inlineStr">
        <is>
          <t>Crédito Directo</t>
        </is>
      </c>
      <c r="AZ537" t="inlineStr">
        <is>
          <t>No</t>
        </is>
      </c>
      <c r="BC537" t="inlineStr">
        <is>
          <t>VENCIDO</t>
        </is>
      </c>
      <c r="BN537" t="inlineStr">
        <is>
          <t>No</t>
        </is>
      </c>
      <c r="BO537" s="76" t="n">
        <v>45857.51944444444</v>
      </c>
      <c r="BP537" t="inlineStr">
        <is>
          <t>Magaly Guevara Perez</t>
        </is>
      </c>
      <c r="BR537" t="n">
        <v>11</v>
      </c>
      <c r="BW537" t="inlineStr">
        <is>
          <t>Cobranzas_2026.csv</t>
        </is>
      </c>
      <c r="BX537" t="n">
        <v>2026</v>
      </c>
      <c r="BY537" t="inlineStr">
        <is>
          <t>01/01/2024</t>
        </is>
      </c>
      <c r="BZ537" t="inlineStr">
        <is>
          <t>30/06/2031</t>
        </is>
      </c>
    </row>
    <row r="538">
      <c r="A538" t="inlineStr">
        <is>
          <t>RESIDENCIAL VENECIA</t>
        </is>
      </c>
      <c r="B538" t="inlineStr">
        <is>
          <t>Etapa 1</t>
        </is>
      </c>
      <c r="C538" t="inlineStr">
        <is>
          <t>Edificio</t>
        </is>
      </c>
      <c r="D538" t="inlineStr">
        <is>
          <t>A</t>
        </is>
      </c>
      <c r="E538" t="inlineStr">
        <is>
          <t>Departamento</t>
        </is>
      </c>
      <c r="F538" t="inlineStr">
        <is>
          <t>601</t>
        </is>
      </c>
      <c r="G538" s="39" t="n">
        <v>545000</v>
      </c>
      <c r="H538" s="39" t="n">
        <v>545000</v>
      </c>
      <c r="I538" t="inlineStr">
        <is>
          <t>Edificio</t>
        </is>
      </c>
      <c r="J538" t="inlineStr">
        <is>
          <t>A</t>
        </is>
      </c>
      <c r="K538" t="inlineStr">
        <is>
          <t>Estacionamiento</t>
        </is>
      </c>
      <c r="L538" t="inlineStr">
        <is>
          <t>E 11</t>
        </is>
      </c>
      <c r="M538" s="39" t="n">
        <v>50800</v>
      </c>
      <c r="N538" s="39" t="n">
        <v>50800</v>
      </c>
      <c r="S538" s="39" t="n"/>
      <c r="T538" s="39" t="n"/>
      <c r="Y538" s="39" t="n"/>
      <c r="Z538" s="39" t="n"/>
      <c r="AA538" t="inlineStr">
        <is>
          <t>Norma Luz Tello Contreras</t>
        </is>
      </c>
      <c r="AB538" t="inlineStr">
        <is>
          <t>04063971</t>
        </is>
      </c>
      <c r="AC538" t="inlineStr">
        <is>
          <t>Av. Militar 1745 - Dpto. 1202</t>
        </is>
      </c>
      <c r="AD538" t="n">
        <v>0</v>
      </c>
      <c r="AE538" t="inlineStr">
        <is>
          <t>952305311</t>
        </is>
      </c>
      <c r="AF538" t="inlineStr">
        <is>
          <t>normatello@gmail.com</t>
        </is>
      </c>
      <c r="AG538" t="inlineStr">
        <is>
          <t>LIMA</t>
        </is>
      </c>
      <c r="AH538" t="inlineStr">
        <is>
          <t>LA VICTORIA</t>
        </is>
      </c>
      <c r="AI538" s="75" t="n">
        <v>46142</v>
      </c>
      <c r="AJ538" s="75" t="n"/>
      <c r="AK538" t="inlineStr">
        <is>
          <t>SALDO FINANCIAR</t>
        </is>
      </c>
      <c r="AL538" t="n">
        <v>8</v>
      </c>
      <c r="AM538" t="n">
        <v>6000</v>
      </c>
      <c r="AN538" t="n">
        <v>0</v>
      </c>
      <c r="AO538" t="n">
        <v>0</v>
      </c>
      <c r="AP538" s="39" t="n">
        <v>6000</v>
      </c>
      <c r="AQ538" s="39" t="n">
        <v>0</v>
      </c>
      <c r="AR538" s="39" t="n">
        <v>6000</v>
      </c>
      <c r="AT538" t="inlineStr">
        <is>
          <t>Crédito Directo</t>
        </is>
      </c>
      <c r="AZ538" t="inlineStr">
        <is>
          <t>No</t>
        </is>
      </c>
      <c r="BC538" t="inlineStr">
        <is>
          <t>VENCIDO</t>
        </is>
      </c>
      <c r="BN538" t="inlineStr">
        <is>
          <t>No</t>
        </is>
      </c>
      <c r="BO538" s="76" t="n">
        <v>45857.51944444444</v>
      </c>
      <c r="BP538" t="inlineStr">
        <is>
          <t>Magaly Guevara Perez</t>
        </is>
      </c>
      <c r="BR538" t="n">
        <v>11</v>
      </c>
      <c r="BW538" t="inlineStr">
        <is>
          <t>Cobranzas_2026.csv</t>
        </is>
      </c>
      <c r="BX538" t="n">
        <v>2026</v>
      </c>
      <c r="BY538" t="inlineStr">
        <is>
          <t>01/01/2024</t>
        </is>
      </c>
      <c r="BZ538" t="inlineStr">
        <is>
          <t>30/06/2031</t>
        </is>
      </c>
    </row>
    <row r="539">
      <c r="A539" t="inlineStr">
        <is>
          <t>RESIDENCIAL VENECIA</t>
        </is>
      </c>
      <c r="B539" t="inlineStr">
        <is>
          <t>Etapa 1</t>
        </is>
      </c>
      <c r="C539" t="inlineStr">
        <is>
          <t>Edificio</t>
        </is>
      </c>
      <c r="D539" t="inlineStr">
        <is>
          <t>A</t>
        </is>
      </c>
      <c r="E539" t="inlineStr">
        <is>
          <t>Departamento</t>
        </is>
      </c>
      <c r="F539" t="inlineStr">
        <is>
          <t>601</t>
        </is>
      </c>
      <c r="G539" s="39" t="n">
        <v>545000</v>
      </c>
      <c r="H539" s="39" t="n">
        <v>545000</v>
      </c>
      <c r="I539" t="inlineStr">
        <is>
          <t>Edificio</t>
        </is>
      </c>
      <c r="J539" t="inlineStr">
        <is>
          <t>A</t>
        </is>
      </c>
      <c r="K539" t="inlineStr">
        <is>
          <t>Estacionamiento</t>
        </is>
      </c>
      <c r="L539" t="inlineStr">
        <is>
          <t>E 11</t>
        </is>
      </c>
      <c r="M539" s="39" t="n">
        <v>50800</v>
      </c>
      <c r="N539" s="39" t="n">
        <v>50800</v>
      </c>
      <c r="S539" s="39" t="n"/>
      <c r="T539" s="39" t="n"/>
      <c r="Y539" s="39" t="n"/>
      <c r="Z539" s="39" t="n"/>
      <c r="AA539" t="inlineStr">
        <is>
          <t>Norma Luz Tello Contreras</t>
        </is>
      </c>
      <c r="AB539" t="inlineStr">
        <is>
          <t>04063971</t>
        </is>
      </c>
      <c r="AC539" t="inlineStr">
        <is>
          <t>Av. Militar 1745 - Dpto. 1202</t>
        </is>
      </c>
      <c r="AD539" t="n">
        <v>0</v>
      </c>
      <c r="AE539" t="inlineStr">
        <is>
          <t>952305311</t>
        </is>
      </c>
      <c r="AF539" t="inlineStr">
        <is>
          <t>normatello@gmail.com</t>
        </is>
      </c>
      <c r="AG539" t="inlineStr">
        <is>
          <t>LIMA</t>
        </is>
      </c>
      <c r="AH539" t="inlineStr">
        <is>
          <t>LA VICTORIA</t>
        </is>
      </c>
      <c r="AI539" s="75" t="n">
        <v>46172</v>
      </c>
      <c r="AJ539" s="75" t="n"/>
      <c r="AK539" t="inlineStr">
        <is>
          <t>SALDO FINANCIAR</t>
        </is>
      </c>
      <c r="AL539" t="n">
        <v>9</v>
      </c>
      <c r="AM539" t="n">
        <v>6000</v>
      </c>
      <c r="AN539" t="n">
        <v>0</v>
      </c>
      <c r="AO539" t="n">
        <v>0</v>
      </c>
      <c r="AP539" s="39" t="n">
        <v>6000</v>
      </c>
      <c r="AQ539" s="39" t="n">
        <v>0</v>
      </c>
      <c r="AR539" s="39" t="n">
        <v>6000</v>
      </c>
      <c r="AT539" t="inlineStr">
        <is>
          <t>Crédito Directo</t>
        </is>
      </c>
      <c r="AZ539" t="inlineStr">
        <is>
          <t>No</t>
        </is>
      </c>
      <c r="BC539" t="inlineStr">
        <is>
          <t>VENCIDO</t>
        </is>
      </c>
      <c r="BN539" t="inlineStr">
        <is>
          <t>No</t>
        </is>
      </c>
      <c r="BO539" s="76" t="n">
        <v>45857.51944444444</v>
      </c>
      <c r="BP539" t="inlineStr">
        <is>
          <t>Magaly Guevara Perez</t>
        </is>
      </c>
      <c r="BR539" t="n">
        <v>11</v>
      </c>
      <c r="BW539" t="inlineStr">
        <is>
          <t>Cobranzas_2026.csv</t>
        </is>
      </c>
      <c r="BX539" t="n">
        <v>2026</v>
      </c>
      <c r="BY539" t="inlineStr">
        <is>
          <t>01/01/2024</t>
        </is>
      </c>
      <c r="BZ539" t="inlineStr">
        <is>
          <t>30/06/2031</t>
        </is>
      </c>
    </row>
    <row r="540">
      <c r="A540" t="inlineStr">
        <is>
          <t>RESIDENCIAL VENECIA</t>
        </is>
      </c>
      <c r="B540" t="inlineStr">
        <is>
          <t>Etapa 1</t>
        </is>
      </c>
      <c r="C540" t="inlineStr">
        <is>
          <t>Edificio</t>
        </is>
      </c>
      <c r="D540" t="inlineStr">
        <is>
          <t>A</t>
        </is>
      </c>
      <c r="E540" t="inlineStr">
        <is>
          <t>Departamento</t>
        </is>
      </c>
      <c r="F540" t="inlineStr">
        <is>
          <t>601</t>
        </is>
      </c>
      <c r="G540" s="39" t="n">
        <v>545000</v>
      </c>
      <c r="H540" s="39" t="n">
        <v>545000</v>
      </c>
      <c r="I540" t="inlineStr">
        <is>
          <t>Edificio</t>
        </is>
      </c>
      <c r="J540" t="inlineStr">
        <is>
          <t>A</t>
        </is>
      </c>
      <c r="K540" t="inlineStr">
        <is>
          <t>Estacionamiento</t>
        </is>
      </c>
      <c r="L540" t="inlineStr">
        <is>
          <t>E 11</t>
        </is>
      </c>
      <c r="M540" s="39" t="n">
        <v>50800</v>
      </c>
      <c r="N540" s="39" t="n">
        <v>50800</v>
      </c>
      <c r="S540" s="39" t="n"/>
      <c r="T540" s="39" t="n"/>
      <c r="Y540" s="39" t="n"/>
      <c r="Z540" s="39" t="n"/>
      <c r="AA540" t="inlineStr">
        <is>
          <t>Norma Luz Tello Contreras</t>
        </is>
      </c>
      <c r="AB540" t="inlineStr">
        <is>
          <t>04063971</t>
        </is>
      </c>
      <c r="AC540" t="inlineStr">
        <is>
          <t>Av. Militar 1745 - Dpto. 1202</t>
        </is>
      </c>
      <c r="AD540" t="n">
        <v>0</v>
      </c>
      <c r="AE540" t="inlineStr">
        <is>
          <t>952305311</t>
        </is>
      </c>
      <c r="AF540" t="inlineStr">
        <is>
          <t>normatello@gmail.com</t>
        </is>
      </c>
      <c r="AG540" t="inlineStr">
        <is>
          <t>LIMA</t>
        </is>
      </c>
      <c r="AH540" t="inlineStr">
        <is>
          <t>LA VICTORIA</t>
        </is>
      </c>
      <c r="AI540" s="75" t="n">
        <v>46203</v>
      </c>
      <c r="AJ540" s="75" t="n"/>
      <c r="AK540" t="inlineStr">
        <is>
          <t>SALDO FINANCIAR</t>
        </is>
      </c>
      <c r="AL540" t="n">
        <v>10</v>
      </c>
      <c r="AM540" t="n">
        <v>6000</v>
      </c>
      <c r="AN540" t="n">
        <v>0</v>
      </c>
      <c r="AO540" t="n">
        <v>0</v>
      </c>
      <c r="AP540" s="39" t="n">
        <v>6000</v>
      </c>
      <c r="AQ540" s="39" t="n">
        <v>0</v>
      </c>
      <c r="AR540" s="39" t="n">
        <v>6000</v>
      </c>
      <c r="AT540" t="inlineStr">
        <is>
          <t>Crédito Directo</t>
        </is>
      </c>
      <c r="AZ540" t="inlineStr">
        <is>
          <t>No</t>
        </is>
      </c>
      <c r="BC540" t="inlineStr">
        <is>
          <t>VENCIDO</t>
        </is>
      </c>
      <c r="BN540" t="inlineStr">
        <is>
          <t>No</t>
        </is>
      </c>
      <c r="BO540" s="76" t="n">
        <v>45857.51944444444</v>
      </c>
      <c r="BP540" t="inlineStr">
        <is>
          <t>Magaly Guevara Perez</t>
        </is>
      </c>
      <c r="BR540" t="n">
        <v>11</v>
      </c>
      <c r="BW540" t="inlineStr">
        <is>
          <t>Cobranzas_2026.csv</t>
        </is>
      </c>
      <c r="BX540" t="n">
        <v>2026</v>
      </c>
      <c r="BY540" t="inlineStr">
        <is>
          <t>01/01/2024</t>
        </is>
      </c>
      <c r="BZ540" t="inlineStr">
        <is>
          <t>30/06/2031</t>
        </is>
      </c>
    </row>
    <row r="541">
      <c r="A541" t="inlineStr">
        <is>
          <t>RESIDENCIAL VENECIA</t>
        </is>
      </c>
      <c r="B541" t="inlineStr">
        <is>
          <t>Etapa 1</t>
        </is>
      </c>
      <c r="C541" t="inlineStr">
        <is>
          <t>Edificio</t>
        </is>
      </c>
      <c r="D541" t="inlineStr">
        <is>
          <t>A</t>
        </is>
      </c>
      <c r="E541" t="inlineStr">
        <is>
          <t>Departamento</t>
        </is>
      </c>
      <c r="F541" t="inlineStr">
        <is>
          <t>601</t>
        </is>
      </c>
      <c r="G541" s="39" t="n">
        <v>545000</v>
      </c>
      <c r="H541" s="39" t="n">
        <v>545000</v>
      </c>
      <c r="I541" t="inlineStr">
        <is>
          <t>Edificio</t>
        </is>
      </c>
      <c r="J541" t="inlineStr">
        <is>
          <t>A</t>
        </is>
      </c>
      <c r="K541" t="inlineStr">
        <is>
          <t>Estacionamiento</t>
        </is>
      </c>
      <c r="L541" t="inlineStr">
        <is>
          <t>E 11</t>
        </is>
      </c>
      <c r="M541" s="39" t="n">
        <v>50800</v>
      </c>
      <c r="N541" s="39" t="n">
        <v>50800</v>
      </c>
      <c r="S541" s="39" t="n"/>
      <c r="T541" s="39" t="n"/>
      <c r="Y541" s="39" t="n"/>
      <c r="Z541" s="39" t="n"/>
      <c r="AA541" t="inlineStr">
        <is>
          <t>Norma Luz Tello Contreras</t>
        </is>
      </c>
      <c r="AB541" t="inlineStr">
        <is>
          <t>04063971</t>
        </is>
      </c>
      <c r="AC541" t="inlineStr">
        <is>
          <t>Av. Militar 1745 - Dpto. 1202</t>
        </is>
      </c>
      <c r="AD541" t="n">
        <v>0</v>
      </c>
      <c r="AE541" t="inlineStr">
        <is>
          <t>952305311</t>
        </is>
      </c>
      <c r="AF541" t="inlineStr">
        <is>
          <t>normatello@gmail.com</t>
        </is>
      </c>
      <c r="AG541" t="inlineStr">
        <is>
          <t>LIMA</t>
        </is>
      </c>
      <c r="AH541" t="inlineStr">
        <is>
          <t>LA VICTORIA</t>
        </is>
      </c>
      <c r="AI541" s="75" t="n">
        <v>46233</v>
      </c>
      <c r="AJ541" s="75" t="n"/>
      <c r="AK541" t="inlineStr">
        <is>
          <t>SALDO FINANCIAR</t>
        </is>
      </c>
      <c r="AL541" t="n">
        <v>11</v>
      </c>
      <c r="AM541" t="n">
        <v>6000</v>
      </c>
      <c r="AN541" t="n">
        <v>0</v>
      </c>
      <c r="AO541" t="n">
        <v>0</v>
      </c>
      <c r="AP541" s="39" t="n">
        <v>6000</v>
      </c>
      <c r="AQ541" s="39" t="n">
        <v>0</v>
      </c>
      <c r="AR541" s="39" t="n">
        <v>6000</v>
      </c>
      <c r="AT541" t="inlineStr">
        <is>
          <t>Crédito Directo</t>
        </is>
      </c>
      <c r="AZ541" t="inlineStr">
        <is>
          <t>No</t>
        </is>
      </c>
      <c r="BC541" t="inlineStr">
        <is>
          <t>PENDIENTE</t>
        </is>
      </c>
      <c r="BN541" t="inlineStr">
        <is>
          <t>No</t>
        </is>
      </c>
      <c r="BO541" s="76" t="n">
        <v>45857.51944444444</v>
      </c>
      <c r="BP541" t="inlineStr">
        <is>
          <t>Magaly Guevara Perez</t>
        </is>
      </c>
      <c r="BR541" t="n">
        <v>11</v>
      </c>
      <c r="BW541" t="inlineStr">
        <is>
          <t>Cobranzas_2026.csv</t>
        </is>
      </c>
      <c r="BX541" t="n">
        <v>2026</v>
      </c>
      <c r="BY541" t="inlineStr">
        <is>
          <t>01/01/2024</t>
        </is>
      </c>
      <c r="BZ541" t="inlineStr">
        <is>
          <t>30/06/2031</t>
        </is>
      </c>
    </row>
    <row r="542">
      <c r="A542" t="inlineStr">
        <is>
          <t>RESIDENCIAL VENECIA</t>
        </is>
      </c>
      <c r="B542" t="inlineStr">
        <is>
          <t>Etapa 1</t>
        </is>
      </c>
      <c r="C542" t="inlineStr">
        <is>
          <t>Edificio</t>
        </is>
      </c>
      <c r="D542" t="inlineStr">
        <is>
          <t>A</t>
        </is>
      </c>
      <c r="E542" t="inlineStr">
        <is>
          <t>Departamento</t>
        </is>
      </c>
      <c r="F542" t="inlineStr">
        <is>
          <t>601</t>
        </is>
      </c>
      <c r="G542" s="39" t="n">
        <v>545000</v>
      </c>
      <c r="H542" s="39" t="n">
        <v>545000</v>
      </c>
      <c r="I542" t="inlineStr">
        <is>
          <t>Edificio</t>
        </is>
      </c>
      <c r="J542" t="inlineStr">
        <is>
          <t>A</t>
        </is>
      </c>
      <c r="K542" t="inlineStr">
        <is>
          <t>Estacionamiento</t>
        </is>
      </c>
      <c r="L542" t="inlineStr">
        <is>
          <t>E 11</t>
        </is>
      </c>
      <c r="M542" s="39" t="n">
        <v>50800</v>
      </c>
      <c r="N542" s="39" t="n">
        <v>50800</v>
      </c>
      <c r="S542" s="39" t="n"/>
      <c r="T542" s="39" t="n"/>
      <c r="Y542" s="39" t="n"/>
      <c r="Z542" s="39" t="n"/>
      <c r="AA542" t="inlineStr">
        <is>
          <t>Norma Luz Tello Contreras</t>
        </is>
      </c>
      <c r="AB542" t="inlineStr">
        <is>
          <t>04063971</t>
        </is>
      </c>
      <c r="AC542" t="inlineStr">
        <is>
          <t>Av. Militar 1745 - Dpto. 1202</t>
        </is>
      </c>
      <c r="AD542" t="n">
        <v>0</v>
      </c>
      <c r="AE542" t="inlineStr">
        <is>
          <t>952305311</t>
        </is>
      </c>
      <c r="AF542" t="inlineStr">
        <is>
          <t>normatello@gmail.com</t>
        </is>
      </c>
      <c r="AG542" t="inlineStr">
        <is>
          <t>LIMA</t>
        </is>
      </c>
      <c r="AH542" t="inlineStr">
        <is>
          <t>LA VICTORIA</t>
        </is>
      </c>
      <c r="AI542" s="75" t="n">
        <v>46264</v>
      </c>
      <c r="AJ542" s="75" t="n"/>
      <c r="AK542" t="inlineStr">
        <is>
          <t>SALDO FINANCIAR</t>
        </is>
      </c>
      <c r="AL542" t="n">
        <v>12</v>
      </c>
      <c r="AM542" t="n">
        <v>6000</v>
      </c>
      <c r="AN542" t="n">
        <v>0</v>
      </c>
      <c r="AO542" t="n">
        <v>0</v>
      </c>
      <c r="AP542" s="39" t="n">
        <v>6000</v>
      </c>
      <c r="AQ542" s="39" t="n">
        <v>0</v>
      </c>
      <c r="AR542" s="39" t="n">
        <v>6000</v>
      </c>
      <c r="AT542" t="inlineStr">
        <is>
          <t>Crédito Directo</t>
        </is>
      </c>
      <c r="AZ542" t="inlineStr">
        <is>
          <t>No</t>
        </is>
      </c>
      <c r="BC542" t="inlineStr">
        <is>
          <t>PENDIENTE</t>
        </is>
      </c>
      <c r="BN542" t="inlineStr">
        <is>
          <t>No</t>
        </is>
      </c>
      <c r="BO542" s="76" t="n">
        <v>45857.51944444444</v>
      </c>
      <c r="BP542" t="inlineStr">
        <is>
          <t>Magaly Guevara Perez</t>
        </is>
      </c>
      <c r="BR542" t="n">
        <v>11</v>
      </c>
      <c r="BW542" t="inlineStr">
        <is>
          <t>Cobranzas_2026.csv</t>
        </is>
      </c>
      <c r="BX542" t="n">
        <v>2026</v>
      </c>
      <c r="BY542" t="inlineStr">
        <is>
          <t>01/01/2024</t>
        </is>
      </c>
      <c r="BZ542" t="inlineStr">
        <is>
          <t>30/06/2031</t>
        </is>
      </c>
    </row>
    <row r="543">
      <c r="A543" t="inlineStr">
        <is>
          <t>RESIDENCIAL VENECIA</t>
        </is>
      </c>
      <c r="B543" t="inlineStr">
        <is>
          <t>Etapa 1</t>
        </is>
      </c>
      <c r="C543" t="inlineStr">
        <is>
          <t>Edificio</t>
        </is>
      </c>
      <c r="D543" t="inlineStr">
        <is>
          <t>A</t>
        </is>
      </c>
      <c r="E543" t="inlineStr">
        <is>
          <t>Departamento</t>
        </is>
      </c>
      <c r="F543" t="inlineStr">
        <is>
          <t>601</t>
        </is>
      </c>
      <c r="G543" s="39" t="n">
        <v>545000</v>
      </c>
      <c r="H543" s="39" t="n">
        <v>545000</v>
      </c>
      <c r="I543" t="inlineStr">
        <is>
          <t>Edificio</t>
        </is>
      </c>
      <c r="J543" t="inlineStr">
        <is>
          <t>A</t>
        </is>
      </c>
      <c r="K543" t="inlineStr">
        <is>
          <t>Estacionamiento</t>
        </is>
      </c>
      <c r="L543" t="inlineStr">
        <is>
          <t>E 11</t>
        </is>
      </c>
      <c r="M543" s="39" t="n">
        <v>50800</v>
      </c>
      <c r="N543" s="39" t="n">
        <v>50800</v>
      </c>
      <c r="S543" s="39" t="n"/>
      <c r="T543" s="39" t="n"/>
      <c r="Y543" s="39" t="n"/>
      <c r="Z543" s="39" t="n"/>
      <c r="AA543" t="inlineStr">
        <is>
          <t>Norma Luz Tello Contreras</t>
        </is>
      </c>
      <c r="AB543" t="inlineStr">
        <is>
          <t>04063971</t>
        </is>
      </c>
      <c r="AC543" t="inlineStr">
        <is>
          <t>Av. Militar 1745 - Dpto. 1202</t>
        </is>
      </c>
      <c r="AD543" t="n">
        <v>0</v>
      </c>
      <c r="AE543" t="inlineStr">
        <is>
          <t>952305311</t>
        </is>
      </c>
      <c r="AF543" t="inlineStr">
        <is>
          <t>normatello@gmail.com</t>
        </is>
      </c>
      <c r="AG543" t="inlineStr">
        <is>
          <t>LIMA</t>
        </is>
      </c>
      <c r="AH543" t="inlineStr">
        <is>
          <t>LA VICTORIA</t>
        </is>
      </c>
      <c r="AI543" s="75" t="n">
        <v>46295</v>
      </c>
      <c r="AJ543" s="75" t="n"/>
      <c r="AK543" t="inlineStr">
        <is>
          <t>SALDO FINANCIAR</t>
        </is>
      </c>
      <c r="AL543" t="n">
        <v>13</v>
      </c>
      <c r="AM543" t="n">
        <v>6000</v>
      </c>
      <c r="AN543" t="n">
        <v>0</v>
      </c>
      <c r="AO543" t="n">
        <v>0</v>
      </c>
      <c r="AP543" s="39" t="n">
        <v>6000</v>
      </c>
      <c r="AQ543" s="39" t="n">
        <v>0</v>
      </c>
      <c r="AR543" s="39" t="n">
        <v>6000</v>
      </c>
      <c r="AT543" t="inlineStr">
        <is>
          <t>Crédito Directo</t>
        </is>
      </c>
      <c r="AZ543" t="inlineStr">
        <is>
          <t>No</t>
        </is>
      </c>
      <c r="BC543" t="inlineStr">
        <is>
          <t>PENDIENTE</t>
        </is>
      </c>
      <c r="BN543" t="inlineStr">
        <is>
          <t>No</t>
        </is>
      </c>
      <c r="BO543" s="76" t="n">
        <v>45857.51944444444</v>
      </c>
      <c r="BP543" t="inlineStr">
        <is>
          <t>Magaly Guevara Perez</t>
        </is>
      </c>
      <c r="BR543" t="n">
        <v>11</v>
      </c>
      <c r="BW543" t="inlineStr">
        <is>
          <t>Cobranzas_2026.csv</t>
        </is>
      </c>
      <c r="BX543" t="n">
        <v>2026</v>
      </c>
      <c r="BY543" t="inlineStr">
        <is>
          <t>01/01/2024</t>
        </is>
      </c>
      <c r="BZ543" t="inlineStr">
        <is>
          <t>30/06/2031</t>
        </is>
      </c>
    </row>
    <row r="544">
      <c r="A544" t="inlineStr">
        <is>
          <t>RESIDENCIAL VENECIA</t>
        </is>
      </c>
      <c r="B544" t="inlineStr">
        <is>
          <t>Etapa 1</t>
        </is>
      </c>
      <c r="C544" t="inlineStr">
        <is>
          <t>Edificio</t>
        </is>
      </c>
      <c r="D544" t="inlineStr">
        <is>
          <t>A</t>
        </is>
      </c>
      <c r="E544" t="inlineStr">
        <is>
          <t>Departamento</t>
        </is>
      </c>
      <c r="F544" t="inlineStr">
        <is>
          <t>601</t>
        </is>
      </c>
      <c r="G544" s="39" t="n">
        <v>545000</v>
      </c>
      <c r="H544" s="39" t="n">
        <v>545000</v>
      </c>
      <c r="I544" t="inlineStr">
        <is>
          <t>Edificio</t>
        </is>
      </c>
      <c r="J544" t="inlineStr">
        <is>
          <t>A</t>
        </is>
      </c>
      <c r="K544" t="inlineStr">
        <is>
          <t>Estacionamiento</t>
        </is>
      </c>
      <c r="L544" t="inlineStr">
        <is>
          <t>E 11</t>
        </is>
      </c>
      <c r="M544" s="39" t="n">
        <v>50800</v>
      </c>
      <c r="N544" s="39" t="n">
        <v>50800</v>
      </c>
      <c r="S544" s="39" t="n"/>
      <c r="T544" s="39" t="n"/>
      <c r="Y544" s="39" t="n"/>
      <c r="Z544" s="39" t="n"/>
      <c r="AA544" t="inlineStr">
        <is>
          <t>Norma Luz Tello Contreras</t>
        </is>
      </c>
      <c r="AB544" t="inlineStr">
        <is>
          <t>04063971</t>
        </is>
      </c>
      <c r="AC544" t="inlineStr">
        <is>
          <t>Av. Militar 1745 - Dpto. 1202</t>
        </is>
      </c>
      <c r="AD544" t="n">
        <v>0</v>
      </c>
      <c r="AE544" t="inlineStr">
        <is>
          <t>952305311</t>
        </is>
      </c>
      <c r="AF544" t="inlineStr">
        <is>
          <t>normatello@gmail.com</t>
        </is>
      </c>
      <c r="AG544" t="inlineStr">
        <is>
          <t>LIMA</t>
        </is>
      </c>
      <c r="AH544" t="inlineStr">
        <is>
          <t>LA VICTORIA</t>
        </is>
      </c>
      <c r="AI544" s="75" t="n">
        <v>46325</v>
      </c>
      <c r="AJ544" s="75" t="n"/>
      <c r="AK544" t="inlineStr">
        <is>
          <t>SALDO FINANCIAR</t>
        </is>
      </c>
      <c r="AL544" t="n">
        <v>14</v>
      </c>
      <c r="AM544" t="n">
        <v>6000</v>
      </c>
      <c r="AN544" t="n">
        <v>0</v>
      </c>
      <c r="AO544" t="n">
        <v>0</v>
      </c>
      <c r="AP544" s="39" t="n">
        <v>6000</v>
      </c>
      <c r="AQ544" s="39" t="n">
        <v>0</v>
      </c>
      <c r="AR544" s="39" t="n">
        <v>6000</v>
      </c>
      <c r="AT544" t="inlineStr">
        <is>
          <t>Crédito Directo</t>
        </is>
      </c>
      <c r="AZ544" t="inlineStr">
        <is>
          <t>No</t>
        </is>
      </c>
      <c r="BC544" t="inlineStr">
        <is>
          <t>PENDIENTE</t>
        </is>
      </c>
      <c r="BN544" t="inlineStr">
        <is>
          <t>No</t>
        </is>
      </c>
      <c r="BO544" s="76" t="n">
        <v>45857.51944444444</v>
      </c>
      <c r="BP544" t="inlineStr">
        <is>
          <t>Magaly Guevara Perez</t>
        </is>
      </c>
      <c r="BR544" t="n">
        <v>11</v>
      </c>
      <c r="BW544" t="inlineStr">
        <is>
          <t>Cobranzas_2026.csv</t>
        </is>
      </c>
      <c r="BX544" t="n">
        <v>2026</v>
      </c>
      <c r="BY544" t="inlineStr">
        <is>
          <t>01/01/2024</t>
        </is>
      </c>
      <c r="BZ544" t="inlineStr">
        <is>
          <t>30/06/2031</t>
        </is>
      </c>
    </row>
    <row r="545">
      <c r="A545" t="inlineStr">
        <is>
          <t>RESIDENCIAL VENECIA</t>
        </is>
      </c>
      <c r="B545" t="inlineStr">
        <is>
          <t>Etapa 1</t>
        </is>
      </c>
      <c r="C545" t="inlineStr">
        <is>
          <t>Edificio</t>
        </is>
      </c>
      <c r="D545" t="inlineStr">
        <is>
          <t>A</t>
        </is>
      </c>
      <c r="E545" t="inlineStr">
        <is>
          <t>Departamento</t>
        </is>
      </c>
      <c r="F545" t="inlineStr">
        <is>
          <t>601</t>
        </is>
      </c>
      <c r="G545" s="39" t="n">
        <v>545000</v>
      </c>
      <c r="H545" s="39" t="n">
        <v>545000</v>
      </c>
      <c r="I545" t="inlineStr">
        <is>
          <t>Edificio</t>
        </is>
      </c>
      <c r="J545" t="inlineStr">
        <is>
          <t>A</t>
        </is>
      </c>
      <c r="K545" t="inlineStr">
        <is>
          <t>Estacionamiento</t>
        </is>
      </c>
      <c r="L545" t="inlineStr">
        <is>
          <t>E 11</t>
        </is>
      </c>
      <c r="M545" s="39" t="n">
        <v>50800</v>
      </c>
      <c r="N545" s="39" t="n">
        <v>50800</v>
      </c>
      <c r="S545" s="39" t="n"/>
      <c r="T545" s="39" t="n"/>
      <c r="Y545" s="39" t="n"/>
      <c r="Z545" s="39" t="n"/>
      <c r="AA545" t="inlineStr">
        <is>
          <t>Norma Luz Tello Contreras</t>
        </is>
      </c>
      <c r="AB545" t="inlineStr">
        <is>
          <t>04063971</t>
        </is>
      </c>
      <c r="AC545" t="inlineStr">
        <is>
          <t>Av. Militar 1745 - Dpto. 1202</t>
        </is>
      </c>
      <c r="AD545" t="n">
        <v>0</v>
      </c>
      <c r="AE545" t="inlineStr">
        <is>
          <t>952305311</t>
        </is>
      </c>
      <c r="AF545" t="inlineStr">
        <is>
          <t>normatello@gmail.com</t>
        </is>
      </c>
      <c r="AG545" t="inlineStr">
        <is>
          <t>LIMA</t>
        </is>
      </c>
      <c r="AH545" t="inlineStr">
        <is>
          <t>LA VICTORIA</t>
        </is>
      </c>
      <c r="AI545" s="75" t="n">
        <v>46356</v>
      </c>
      <c r="AJ545" s="75" t="n"/>
      <c r="AK545" t="inlineStr">
        <is>
          <t>SALDO FINANCIAR</t>
        </is>
      </c>
      <c r="AL545" t="n">
        <v>15</v>
      </c>
      <c r="AM545" t="n">
        <v>6000</v>
      </c>
      <c r="AN545" t="n">
        <v>0</v>
      </c>
      <c r="AO545" t="n">
        <v>0</v>
      </c>
      <c r="AP545" s="39" t="n">
        <v>6000</v>
      </c>
      <c r="AQ545" s="39" t="n">
        <v>0</v>
      </c>
      <c r="AR545" s="39" t="n">
        <v>6000</v>
      </c>
      <c r="AT545" t="inlineStr">
        <is>
          <t>Crédito Directo</t>
        </is>
      </c>
      <c r="AZ545" t="inlineStr">
        <is>
          <t>No</t>
        </is>
      </c>
      <c r="BC545" t="inlineStr">
        <is>
          <t>PENDIENTE</t>
        </is>
      </c>
      <c r="BN545" t="inlineStr">
        <is>
          <t>No</t>
        </is>
      </c>
      <c r="BO545" s="76" t="n">
        <v>45857.51944444444</v>
      </c>
      <c r="BP545" t="inlineStr">
        <is>
          <t>Magaly Guevara Perez</t>
        </is>
      </c>
      <c r="BR545" t="n">
        <v>11</v>
      </c>
      <c r="BW545" t="inlineStr">
        <is>
          <t>Cobranzas_2026.csv</t>
        </is>
      </c>
      <c r="BX545" t="n">
        <v>2026</v>
      </c>
      <c r="BY545" t="inlineStr">
        <is>
          <t>01/01/2024</t>
        </is>
      </c>
      <c r="BZ545" t="inlineStr">
        <is>
          <t>30/06/2031</t>
        </is>
      </c>
    </row>
    <row r="546">
      <c r="A546" t="inlineStr">
        <is>
          <t>RESIDENCIAL VENECIA</t>
        </is>
      </c>
      <c r="B546" t="inlineStr">
        <is>
          <t>Etapa 1</t>
        </is>
      </c>
      <c r="C546" t="inlineStr">
        <is>
          <t>Edificio</t>
        </is>
      </c>
      <c r="D546" t="inlineStr">
        <is>
          <t>A</t>
        </is>
      </c>
      <c r="E546" t="inlineStr">
        <is>
          <t>Departamento</t>
        </is>
      </c>
      <c r="F546" t="inlineStr">
        <is>
          <t>601</t>
        </is>
      </c>
      <c r="G546" s="39" t="n">
        <v>545000</v>
      </c>
      <c r="H546" s="39" t="n">
        <v>545000</v>
      </c>
      <c r="I546" t="inlineStr">
        <is>
          <t>Edificio</t>
        </is>
      </c>
      <c r="J546" t="inlineStr">
        <is>
          <t>A</t>
        </is>
      </c>
      <c r="K546" t="inlineStr">
        <is>
          <t>Estacionamiento</t>
        </is>
      </c>
      <c r="L546" t="inlineStr">
        <is>
          <t>E 11</t>
        </is>
      </c>
      <c r="M546" s="39" t="n">
        <v>50800</v>
      </c>
      <c r="N546" s="39" t="n">
        <v>50800</v>
      </c>
      <c r="S546" s="39" t="n"/>
      <c r="T546" s="39" t="n"/>
      <c r="Y546" s="39" t="n"/>
      <c r="Z546" s="39" t="n"/>
      <c r="AA546" t="inlineStr">
        <is>
          <t>Norma Luz Tello Contreras</t>
        </is>
      </c>
      <c r="AB546" t="inlineStr">
        <is>
          <t>04063971</t>
        </is>
      </c>
      <c r="AC546" t="inlineStr">
        <is>
          <t>Av. Militar 1745 - Dpto. 1202</t>
        </is>
      </c>
      <c r="AD546" t="n">
        <v>0</v>
      </c>
      <c r="AE546" t="inlineStr">
        <is>
          <t>952305311</t>
        </is>
      </c>
      <c r="AF546" t="inlineStr">
        <is>
          <t>normatello@gmail.com</t>
        </is>
      </c>
      <c r="AG546" t="inlineStr">
        <is>
          <t>LIMA</t>
        </is>
      </c>
      <c r="AH546" t="inlineStr">
        <is>
          <t>LA VICTORIA</t>
        </is>
      </c>
      <c r="AI546" s="75" t="n">
        <v>46386</v>
      </c>
      <c r="AJ546" s="75" t="n"/>
      <c r="AK546" t="inlineStr">
        <is>
          <t>SALDO FINANCIAR</t>
        </is>
      </c>
      <c r="AL546" t="n">
        <v>16</v>
      </c>
      <c r="AM546" t="n">
        <v>6000</v>
      </c>
      <c r="AN546" t="n">
        <v>0</v>
      </c>
      <c r="AO546" t="n">
        <v>0</v>
      </c>
      <c r="AP546" s="39" t="n">
        <v>6000</v>
      </c>
      <c r="AQ546" s="39" t="n">
        <v>0</v>
      </c>
      <c r="AR546" s="39" t="n">
        <v>6000</v>
      </c>
      <c r="AT546" t="inlineStr">
        <is>
          <t>Crédito Directo</t>
        </is>
      </c>
      <c r="AZ546" t="inlineStr">
        <is>
          <t>No</t>
        </is>
      </c>
      <c r="BC546" t="inlineStr">
        <is>
          <t>PENDIENTE</t>
        </is>
      </c>
      <c r="BN546" t="inlineStr">
        <is>
          <t>No</t>
        </is>
      </c>
      <c r="BO546" s="76" t="n">
        <v>45857.51944444444</v>
      </c>
      <c r="BP546" t="inlineStr">
        <is>
          <t>Magaly Guevara Perez</t>
        </is>
      </c>
      <c r="BR546" t="n">
        <v>11</v>
      </c>
      <c r="BW546" t="inlineStr">
        <is>
          <t>Cobranzas_2026.csv</t>
        </is>
      </c>
      <c r="BX546" t="n">
        <v>2026</v>
      </c>
      <c r="BY546" t="inlineStr">
        <is>
          <t>01/01/2024</t>
        </is>
      </c>
      <c r="BZ546" t="inlineStr">
        <is>
          <t>30/06/2031</t>
        </is>
      </c>
    </row>
    <row r="547">
      <c r="A547" t="inlineStr">
        <is>
          <t>RESIDENCIAL BEYOND</t>
        </is>
      </c>
      <c r="B547" t="inlineStr">
        <is>
          <t>Etapa 1</t>
        </is>
      </c>
      <c r="C547" t="inlineStr">
        <is>
          <t>Edificio</t>
        </is>
      </c>
      <c r="D547" t="inlineStr">
        <is>
          <t>A</t>
        </is>
      </c>
      <c r="E547" t="inlineStr">
        <is>
          <t>Departamento</t>
        </is>
      </c>
      <c r="F547" t="inlineStr">
        <is>
          <t>1302</t>
        </is>
      </c>
      <c r="G547" s="39" t="n">
        <v>422000</v>
      </c>
      <c r="H547" s="39" t="n">
        <v>370000</v>
      </c>
      <c r="M547" s="39" t="n"/>
      <c r="N547" s="39" t="n"/>
      <c r="S547" s="39" t="n"/>
      <c r="T547" s="39" t="n"/>
      <c r="Y547" s="39" t="n"/>
      <c r="Z547" s="39" t="n"/>
      <c r="AA547" t="inlineStr">
        <is>
          <t>Omar Edwin Riveros Tejada</t>
        </is>
      </c>
      <c r="AB547" t="inlineStr">
        <is>
          <t>47136409</t>
        </is>
      </c>
      <c r="AC547" t="inlineStr">
        <is>
          <t>Calle Berlin 734 - Dpto. 302</t>
        </is>
      </c>
      <c r="AD547" t="n">
        <v>0</v>
      </c>
      <c r="AE547" t="inlineStr">
        <is>
          <t>959940936</t>
        </is>
      </c>
      <c r="AF547" t="inlineStr">
        <is>
          <t>omarriveros91@gmail.com</t>
        </is>
      </c>
      <c r="AG547" t="inlineStr">
        <is>
          <t>LIMA</t>
        </is>
      </c>
      <c r="AH547" t="inlineStr">
        <is>
          <t>MIRAFLORES</t>
        </is>
      </c>
      <c r="AI547" s="75" t="n">
        <v>46137</v>
      </c>
      <c r="AJ547" s="75" t="n">
        <v>46137</v>
      </c>
      <c r="AK547" t="inlineStr">
        <is>
          <t>SEPARACION</t>
        </is>
      </c>
      <c r="AL547" t="n">
        <v>1</v>
      </c>
      <c r="AM547" t="n">
        <v>3000</v>
      </c>
      <c r="AN547" t="n">
        <v>0</v>
      </c>
      <c r="AO547" t="n">
        <v>0</v>
      </c>
      <c r="AP547" s="39" t="n">
        <v>3000</v>
      </c>
      <c r="AQ547" s="39" t="n">
        <v>3000</v>
      </c>
      <c r="AR547" s="39" t="n">
        <v>0</v>
      </c>
      <c r="AS547" t="n">
        <v>0</v>
      </c>
      <c r="AT547" t="inlineStr">
        <is>
          <t>Ahorro</t>
        </is>
      </c>
      <c r="AU547" t="inlineStr">
        <is>
          <t>Banco de Credito del Perú</t>
        </is>
      </c>
      <c r="AV547" t="inlineStr">
        <is>
          <t>194-7325779-0-65</t>
        </is>
      </c>
      <c r="AW547" t="inlineStr">
        <is>
          <t>POS VISA</t>
        </is>
      </c>
      <c r="AY547" t="inlineStr">
        <is>
          <t>007665</t>
        </is>
      </c>
      <c r="AZ547" t="inlineStr">
        <is>
          <t>No</t>
        </is>
      </c>
      <c r="BB547" t="n">
        <v>4</v>
      </c>
      <c r="BC547" t="inlineStr">
        <is>
          <t>CANCELADO</t>
        </is>
      </c>
      <c r="BN547" t="inlineStr">
        <is>
          <t>No</t>
        </is>
      </c>
      <c r="BO547" s="76" t="n">
        <v>46142.44166666667</v>
      </c>
      <c r="BP547" t="inlineStr">
        <is>
          <t>Magaly Guevara Perez</t>
        </is>
      </c>
      <c r="BR547" t="n">
        <v>12</v>
      </c>
      <c r="BS547" t="inlineStr">
        <is>
          <t>23/05/2026 20:30</t>
        </is>
      </c>
      <c r="BW547" t="inlineStr">
        <is>
          <t>Cobranzas_2026.csv</t>
        </is>
      </c>
      <c r="BX547" t="n">
        <v>2026</v>
      </c>
      <c r="BY547" t="inlineStr">
        <is>
          <t>01/01/2024</t>
        </is>
      </c>
      <c r="BZ547" t="inlineStr">
        <is>
          <t>30/06/2031</t>
        </is>
      </c>
    </row>
    <row r="548">
      <c r="A548" t="inlineStr">
        <is>
          <t>RESIDENCIAL BEYOND</t>
        </is>
      </c>
      <c r="B548" t="inlineStr">
        <is>
          <t>Etapa 1</t>
        </is>
      </c>
      <c r="C548" t="inlineStr">
        <is>
          <t>Edificio</t>
        </is>
      </c>
      <c r="D548" t="inlineStr">
        <is>
          <t>A</t>
        </is>
      </c>
      <c r="E548" t="inlineStr">
        <is>
          <t>Departamento</t>
        </is>
      </c>
      <c r="F548" t="inlineStr">
        <is>
          <t>1302</t>
        </is>
      </c>
      <c r="G548" s="39" t="n">
        <v>422000</v>
      </c>
      <c r="H548" s="39" t="n">
        <v>370000</v>
      </c>
      <c r="M548" s="39" t="n"/>
      <c r="N548" s="39" t="n"/>
      <c r="S548" s="39" t="n"/>
      <c r="T548" s="39" t="n"/>
      <c r="Y548" s="39" t="n"/>
      <c r="Z548" s="39" t="n"/>
      <c r="AA548" t="inlineStr">
        <is>
          <t>Omar Edwin Riveros Tejada</t>
        </is>
      </c>
      <c r="AB548" t="inlineStr">
        <is>
          <t>47136409</t>
        </is>
      </c>
      <c r="AC548" t="inlineStr">
        <is>
          <t>Calle Berlin 734 - Dpto. 302</t>
        </is>
      </c>
      <c r="AD548" t="n">
        <v>0</v>
      </c>
      <c r="AE548" t="inlineStr">
        <is>
          <t>959940936</t>
        </is>
      </c>
      <c r="AF548" t="inlineStr">
        <is>
          <t>omarriveros91@gmail.com</t>
        </is>
      </c>
      <c r="AG548" t="inlineStr">
        <is>
          <t>LIMA</t>
        </is>
      </c>
      <c r="AH548" t="inlineStr">
        <is>
          <t>MIRAFLORES</t>
        </is>
      </c>
      <c r="AI548" s="75" t="n">
        <v>46142</v>
      </c>
      <c r="AJ548" s="75" t="n">
        <v>46142</v>
      </c>
      <c r="AK548" t="inlineStr">
        <is>
          <t>CUOTA INICIAL</t>
        </is>
      </c>
      <c r="AL548" t="n">
        <v>1</v>
      </c>
      <c r="AM548" t="n">
        <v>123500</v>
      </c>
      <c r="AN548" t="n">
        <v>0</v>
      </c>
      <c r="AO548" t="n">
        <v>0</v>
      </c>
      <c r="AP548" s="39" t="n">
        <v>123500</v>
      </c>
      <c r="AQ548" s="39" t="n">
        <v>123500</v>
      </c>
      <c r="AR548" s="39" t="n">
        <v>0</v>
      </c>
      <c r="AS548" t="n">
        <v>0</v>
      </c>
      <c r="AT548" t="inlineStr">
        <is>
          <t>Ahorro</t>
        </is>
      </c>
      <c r="AU548" t="inlineStr">
        <is>
          <t>Banco de Credito del Perú</t>
        </is>
      </c>
      <c r="AV548" t="inlineStr">
        <is>
          <t>194-7325779-0-65</t>
        </is>
      </c>
      <c r="AW548" t="inlineStr">
        <is>
          <t>TRANSFERENCIA BANCARIA</t>
        </is>
      </c>
      <c r="AY548" t="inlineStr">
        <is>
          <t>0991441</t>
        </is>
      </c>
      <c r="AZ548" t="inlineStr">
        <is>
          <t>No</t>
        </is>
      </c>
      <c r="BB548" t="n">
        <v>4</v>
      </c>
      <c r="BC548" t="inlineStr">
        <is>
          <t>CANCELADO</t>
        </is>
      </c>
      <c r="BN548" t="inlineStr">
        <is>
          <t>No</t>
        </is>
      </c>
      <c r="BO548" s="76" t="n">
        <v>46142.44166666667</v>
      </c>
      <c r="BP548" t="inlineStr">
        <is>
          <t>Magaly Guevara Perez</t>
        </is>
      </c>
      <c r="BR548" t="n">
        <v>12</v>
      </c>
      <c r="BS548" t="inlineStr">
        <is>
          <t>23/05/2026 20:33</t>
        </is>
      </c>
      <c r="BW548" t="inlineStr">
        <is>
          <t>Cobranzas_2026.csv</t>
        </is>
      </c>
      <c r="BX548" t="n">
        <v>2026</v>
      </c>
      <c r="BY548" t="inlineStr">
        <is>
          <t>01/01/2024</t>
        </is>
      </c>
      <c r="BZ548" t="inlineStr">
        <is>
          <t>30/06/2031</t>
        </is>
      </c>
    </row>
    <row r="549">
      <c r="A549" t="inlineStr">
        <is>
          <t>RESIDENCIAL BEYOND</t>
        </is>
      </c>
      <c r="B549" t="inlineStr">
        <is>
          <t>Etapa 1</t>
        </is>
      </c>
      <c r="C549" t="inlineStr">
        <is>
          <t>Edificio</t>
        </is>
      </c>
      <c r="D549" t="inlineStr">
        <is>
          <t>A</t>
        </is>
      </c>
      <c r="E549" t="inlineStr">
        <is>
          <t>Departamento</t>
        </is>
      </c>
      <c r="F549" t="inlineStr">
        <is>
          <t>1302</t>
        </is>
      </c>
      <c r="G549" s="39" t="n">
        <v>422000</v>
      </c>
      <c r="H549" s="39" t="n">
        <v>370000</v>
      </c>
      <c r="M549" s="39" t="n"/>
      <c r="N549" s="39" t="n"/>
      <c r="S549" s="39" t="n"/>
      <c r="T549" s="39" t="n"/>
      <c r="Y549" s="39" t="n"/>
      <c r="Z549" s="39" t="n"/>
      <c r="AA549" t="inlineStr">
        <is>
          <t>Omar Edwin Riveros Tejada</t>
        </is>
      </c>
      <c r="AB549" t="inlineStr">
        <is>
          <t>47136409</t>
        </is>
      </c>
      <c r="AC549" t="inlineStr">
        <is>
          <t>Calle Berlin 734 - Dpto. 302</t>
        </is>
      </c>
      <c r="AD549" t="n">
        <v>0</v>
      </c>
      <c r="AE549" t="inlineStr">
        <is>
          <t>959940936</t>
        </is>
      </c>
      <c r="AF549" t="inlineStr">
        <is>
          <t>omarriveros91@gmail.com</t>
        </is>
      </c>
      <c r="AG549" t="inlineStr">
        <is>
          <t>LIMA</t>
        </is>
      </c>
      <c r="AH549" t="inlineStr">
        <is>
          <t>MIRAFLORES</t>
        </is>
      </c>
      <c r="AI549" s="75" t="n">
        <v>46295</v>
      </c>
      <c r="AJ549" s="75" t="n"/>
      <c r="AK549" t="inlineStr">
        <is>
          <t>CUOTA INICIAL</t>
        </is>
      </c>
      <c r="AL549" t="n">
        <v>2</v>
      </c>
      <c r="AM549" t="n">
        <v>123500</v>
      </c>
      <c r="AN549" t="n">
        <v>0</v>
      </c>
      <c r="AO549" t="n">
        <v>0</v>
      </c>
      <c r="AP549" s="39" t="n">
        <v>123500</v>
      </c>
      <c r="AQ549" s="39" t="n">
        <v>0</v>
      </c>
      <c r="AR549" s="39" t="n">
        <v>123500</v>
      </c>
      <c r="AT549" t="inlineStr">
        <is>
          <t>Ahorro</t>
        </is>
      </c>
      <c r="AZ549" t="inlineStr">
        <is>
          <t>No</t>
        </is>
      </c>
      <c r="BC549" t="inlineStr">
        <is>
          <t>PENDIENTE</t>
        </is>
      </c>
      <c r="BN549" t="inlineStr">
        <is>
          <t>No</t>
        </is>
      </c>
      <c r="BO549" s="76" t="n">
        <v>46142.44166666667</v>
      </c>
      <c r="BP549" t="inlineStr">
        <is>
          <t>Magaly Guevara Perez</t>
        </is>
      </c>
      <c r="BR549" t="n">
        <v>12</v>
      </c>
      <c r="BW549" t="inlineStr">
        <is>
          <t>Cobranzas_2026.csv</t>
        </is>
      </c>
      <c r="BX549" t="n">
        <v>2026</v>
      </c>
      <c r="BY549" t="inlineStr">
        <is>
          <t>01/01/2024</t>
        </is>
      </c>
      <c r="BZ549" t="inlineStr">
        <is>
          <t>30/06/2031</t>
        </is>
      </c>
    </row>
    <row r="550">
      <c r="A550" t="inlineStr">
        <is>
          <t>RESIDENCIAL BEYOND</t>
        </is>
      </c>
      <c r="B550" t="inlineStr">
        <is>
          <t>Etapa 1</t>
        </is>
      </c>
      <c r="C550" t="inlineStr">
        <is>
          <t>Edificio</t>
        </is>
      </c>
      <c r="D550" t="inlineStr">
        <is>
          <t>A</t>
        </is>
      </c>
      <c r="E550" t="inlineStr">
        <is>
          <t>Departamento</t>
        </is>
      </c>
      <c r="F550" t="inlineStr">
        <is>
          <t>1302</t>
        </is>
      </c>
      <c r="G550" s="39" t="n">
        <v>422000</v>
      </c>
      <c r="H550" s="39" t="n">
        <v>370000</v>
      </c>
      <c r="M550" s="39" t="n"/>
      <c r="N550" s="39" t="n"/>
      <c r="S550" s="39" t="n"/>
      <c r="T550" s="39" t="n"/>
      <c r="Y550" s="39" t="n"/>
      <c r="Z550" s="39" t="n"/>
      <c r="AA550" t="inlineStr">
        <is>
          <t>Omar Edwin Riveros Tejada</t>
        </is>
      </c>
      <c r="AB550" t="inlineStr">
        <is>
          <t>47136409</t>
        </is>
      </c>
      <c r="AC550" t="inlineStr">
        <is>
          <t>Calle Berlin 734 - Dpto. 302</t>
        </is>
      </c>
      <c r="AD550" t="n">
        <v>0</v>
      </c>
      <c r="AE550" t="inlineStr">
        <is>
          <t>959940936</t>
        </is>
      </c>
      <c r="AF550" t="inlineStr">
        <is>
          <t>omarriveros91@gmail.com</t>
        </is>
      </c>
      <c r="AG550" t="inlineStr">
        <is>
          <t>LIMA</t>
        </is>
      </c>
      <c r="AH550" t="inlineStr">
        <is>
          <t>MIRAFLORES</t>
        </is>
      </c>
      <c r="AI550" s="75" t="n">
        <v>46356</v>
      </c>
      <c r="AJ550" s="75" t="n"/>
      <c r="AK550" t="inlineStr">
        <is>
          <t>SALDO FINANCIAR</t>
        </is>
      </c>
      <c r="AL550" t="n">
        <v>1</v>
      </c>
      <c r="AM550" t="n">
        <v>120000</v>
      </c>
      <c r="AN550" t="n">
        <v>0</v>
      </c>
      <c r="AO550" t="n">
        <v>0</v>
      </c>
      <c r="AP550" s="39" t="n">
        <v>120000</v>
      </c>
      <c r="AQ550" s="39" t="n">
        <v>0</v>
      </c>
      <c r="AR550" s="39" t="n">
        <v>120000</v>
      </c>
      <c r="AT550" t="inlineStr">
        <is>
          <t>Ahorro</t>
        </is>
      </c>
      <c r="AZ550" t="inlineStr">
        <is>
          <t>No</t>
        </is>
      </c>
      <c r="BC550" t="inlineStr">
        <is>
          <t>PENDIENTE</t>
        </is>
      </c>
      <c r="BN550" t="inlineStr">
        <is>
          <t>No</t>
        </is>
      </c>
      <c r="BO550" s="76" t="n">
        <v>46142.44166666667</v>
      </c>
      <c r="BP550" t="inlineStr">
        <is>
          <t>Magaly Guevara Perez</t>
        </is>
      </c>
      <c r="BR550" t="n">
        <v>12</v>
      </c>
      <c r="BW550" t="inlineStr">
        <is>
          <t>Cobranzas_2026.csv</t>
        </is>
      </c>
      <c r="BX550" t="n">
        <v>2026</v>
      </c>
      <c r="BY550" t="inlineStr">
        <is>
          <t>01/01/2024</t>
        </is>
      </c>
      <c r="BZ550" t="inlineStr">
        <is>
          <t>30/06/2031</t>
        </is>
      </c>
    </row>
    <row r="551">
      <c r="A551" t="inlineStr">
        <is>
          <t>RESIDENCIAL BEYOND</t>
        </is>
      </c>
      <c r="B551" t="inlineStr">
        <is>
          <t>Etapa 1</t>
        </is>
      </c>
      <c r="C551" t="inlineStr">
        <is>
          <t>Edificio</t>
        </is>
      </c>
      <c r="D551" t="inlineStr">
        <is>
          <t>A</t>
        </is>
      </c>
      <c r="E551" t="inlineStr">
        <is>
          <t>Departamento</t>
        </is>
      </c>
      <c r="F551" t="inlineStr">
        <is>
          <t>604</t>
        </is>
      </c>
      <c r="G551" s="39" t="n">
        <v>460000</v>
      </c>
      <c r="H551" s="39" t="n">
        <v>460000</v>
      </c>
      <c r="I551" t="inlineStr">
        <is>
          <t>Edificio</t>
        </is>
      </c>
      <c r="J551" t="inlineStr">
        <is>
          <t>A</t>
        </is>
      </c>
      <c r="K551" t="inlineStr">
        <is>
          <t>Estacionamiento</t>
        </is>
      </c>
      <c r="L551" t="inlineStr">
        <is>
          <t>E 11</t>
        </is>
      </c>
      <c r="M551" s="39" t="n">
        <v>47500</v>
      </c>
      <c r="N551" s="39" t="n">
        <v>47500</v>
      </c>
      <c r="O551" t="inlineStr">
        <is>
          <t>Edificio</t>
        </is>
      </c>
      <c r="P551" t="inlineStr">
        <is>
          <t>A</t>
        </is>
      </c>
      <c r="Q551" t="inlineStr">
        <is>
          <t>Depósito</t>
        </is>
      </c>
      <c r="R551" t="inlineStr">
        <is>
          <t>D 06</t>
        </is>
      </c>
      <c r="S551" s="39" t="n">
        <v>21700</v>
      </c>
      <c r="T551" s="39" t="n">
        <v>21700</v>
      </c>
      <c r="U551" t="inlineStr">
        <is>
          <t>Edificio</t>
        </is>
      </c>
      <c r="V551" t="inlineStr">
        <is>
          <t>A</t>
        </is>
      </c>
      <c r="W551" t="inlineStr">
        <is>
          <t>Depósito</t>
        </is>
      </c>
      <c r="X551" t="inlineStr">
        <is>
          <t>D 07</t>
        </is>
      </c>
      <c r="Y551" s="39" t="n">
        <v>9500</v>
      </c>
      <c r="Z551" s="39" t="n">
        <v>9500</v>
      </c>
      <c r="AA551" t="inlineStr">
        <is>
          <t>PABLO JAIME CORNEJO PEREDA</t>
        </is>
      </c>
      <c r="AB551" t="inlineStr">
        <is>
          <t>07763504</t>
        </is>
      </c>
      <c r="AC551" t="inlineStr">
        <is>
          <t>Lima - Lima - San Miguel - Jr. Simon Bolivar 105 Dpto 1201</t>
        </is>
      </c>
      <c r="AE551" t="inlineStr">
        <is>
          <t>998912031</t>
        </is>
      </c>
      <c r="AF551" t="inlineStr">
        <is>
          <t>pablocornejo@yahoo.com</t>
        </is>
      </c>
      <c r="AG551" t="inlineStr">
        <is>
          <t>LIMA</t>
        </is>
      </c>
      <c r="AH551" t="inlineStr">
        <is>
          <t>SAN MIGUEL</t>
        </is>
      </c>
      <c r="AI551" s="75" t="n">
        <v>46258.47361111111</v>
      </c>
      <c r="AJ551" s="75" t="n"/>
      <c r="AK551" t="inlineStr">
        <is>
          <t>SALDO FINANCIAR</t>
        </is>
      </c>
      <c r="AL551" t="n">
        <v>8</v>
      </c>
      <c r="AM551" t="n">
        <v>190512</v>
      </c>
      <c r="AN551" t="n">
        <v>0</v>
      </c>
      <c r="AO551" t="n">
        <v>0</v>
      </c>
      <c r="AP551" s="39" t="n">
        <v>190512</v>
      </c>
      <c r="AQ551" s="39" t="n">
        <v>0</v>
      </c>
      <c r="AR551" s="39" t="n">
        <v>190512</v>
      </c>
      <c r="AT551" t="inlineStr">
        <is>
          <t>Crédito Directo</t>
        </is>
      </c>
      <c r="AZ551" t="inlineStr">
        <is>
          <t>No</t>
        </is>
      </c>
      <c r="BC551" t="inlineStr">
        <is>
          <t>PENDIENTE</t>
        </is>
      </c>
      <c r="BN551" t="inlineStr">
        <is>
          <t>No</t>
        </is>
      </c>
      <c r="BO551" s="76" t="n">
        <v>45761.40694444445</v>
      </c>
      <c r="BP551" t="inlineStr">
        <is>
          <t>Carla Michue M</t>
        </is>
      </c>
      <c r="BR551" t="n">
        <v>38</v>
      </c>
      <c r="BW551" t="inlineStr">
        <is>
          <t>Cobranzas_2026.csv</t>
        </is>
      </c>
      <c r="BX551" t="n">
        <v>2026</v>
      </c>
      <c r="BY551" t="inlineStr">
        <is>
          <t>01/01/2024</t>
        </is>
      </c>
      <c r="BZ551" t="inlineStr">
        <is>
          <t>30/06/2031</t>
        </is>
      </c>
    </row>
    <row r="552">
      <c r="A552" t="inlineStr">
        <is>
          <t>RESIDENCIAL VENECIA</t>
        </is>
      </c>
      <c r="B552" t="inlineStr">
        <is>
          <t>Etapa 1</t>
        </is>
      </c>
      <c r="C552" t="inlineStr">
        <is>
          <t>Edificio</t>
        </is>
      </c>
      <c r="D552" t="inlineStr">
        <is>
          <t>A</t>
        </is>
      </c>
      <c r="E552" t="inlineStr">
        <is>
          <t>Departamento</t>
        </is>
      </c>
      <c r="F552" t="inlineStr">
        <is>
          <t>302</t>
        </is>
      </c>
      <c r="G552" s="39" t="n">
        <v>623000</v>
      </c>
      <c r="H552" s="39" t="n">
        <v>600000</v>
      </c>
      <c r="M552" s="39" t="n"/>
      <c r="N552" s="39" t="n"/>
      <c r="S552" s="39" t="n"/>
      <c r="T552" s="39" t="n"/>
      <c r="Y552" s="39" t="n"/>
      <c r="Z552" s="39" t="n"/>
      <c r="AA552" t="inlineStr">
        <is>
          <t>Patricia Salazar Aparcana</t>
        </is>
      </c>
      <c r="AB552" t="inlineStr">
        <is>
          <t>10142891</t>
        </is>
      </c>
      <c r="AC552" t="inlineStr">
        <is>
          <t xml:space="preserve"> Jr. Manco segundo 2258 dpto 207</t>
        </is>
      </c>
      <c r="AD552" t="n">
        <v>0</v>
      </c>
      <c r="AE552" t="inlineStr">
        <is>
          <t>996611448</t>
        </is>
      </c>
      <c r="AF552" t="inlineStr">
        <is>
          <t>PATRICIASALAZAR25@HOTMAIL.COM</t>
        </is>
      </c>
      <c r="AG552" t="inlineStr">
        <is>
          <t>LIMA</t>
        </is>
      </c>
      <c r="AH552" t="inlineStr">
        <is>
          <t>LINCE</t>
        </is>
      </c>
      <c r="AI552" s="75" t="n">
        <v>46109</v>
      </c>
      <c r="AJ552" s="75" t="n">
        <v>46109</v>
      </c>
      <c r="AK552" t="inlineStr">
        <is>
          <t>SEPARACION</t>
        </is>
      </c>
      <c r="AL552" t="n">
        <v>1</v>
      </c>
      <c r="AM552" t="n">
        <v>3000</v>
      </c>
      <c r="AN552" t="n">
        <v>0</v>
      </c>
      <c r="AO552" t="n">
        <v>0</v>
      </c>
      <c r="AP552" s="39" t="n">
        <v>3000</v>
      </c>
      <c r="AQ552" s="39" t="n">
        <v>3000</v>
      </c>
      <c r="AR552" s="39" t="n">
        <v>0</v>
      </c>
      <c r="AS552" t="n">
        <v>0</v>
      </c>
      <c r="AT552" t="inlineStr">
        <is>
          <t>Ahorro</t>
        </is>
      </c>
      <c r="AU552" t="inlineStr">
        <is>
          <t>Scotiabank Perú</t>
        </is>
      </c>
      <c r="AV552" t="inlineStr">
        <is>
          <t>0004071419</t>
        </is>
      </c>
      <c r="AW552" t="inlineStr">
        <is>
          <t>POS VISA</t>
        </is>
      </c>
      <c r="AY552" t="inlineStr">
        <is>
          <t>575319</t>
        </is>
      </c>
      <c r="AZ552" t="inlineStr">
        <is>
          <t>Si</t>
        </is>
      </c>
      <c r="BA552" t="inlineStr">
        <is>
          <t>AHORROS PERSONALES</t>
        </is>
      </c>
      <c r="BB552" t="n">
        <v>4</v>
      </c>
      <c r="BC552" t="inlineStr">
        <is>
          <t>CANCELADO</t>
        </is>
      </c>
      <c r="BN552" t="inlineStr">
        <is>
          <t>Si</t>
        </is>
      </c>
      <c r="BO552" s="76" t="n">
        <v>46081.33819444444</v>
      </c>
      <c r="BP552" t="inlineStr">
        <is>
          <t>Magaly Guevara Perez</t>
        </is>
      </c>
      <c r="BR552" t="n">
        <v>1</v>
      </c>
      <c r="BS552" t="inlineStr">
        <is>
          <t>28/03/2026 21:25</t>
        </is>
      </c>
      <c r="BW552" t="inlineStr">
        <is>
          <t>Cobranzas_2026.csv</t>
        </is>
      </c>
      <c r="BX552" t="n">
        <v>2026</v>
      </c>
      <c r="BY552" t="inlineStr">
        <is>
          <t>01/01/2024</t>
        </is>
      </c>
      <c r="BZ552" t="inlineStr">
        <is>
          <t>30/06/2031</t>
        </is>
      </c>
    </row>
    <row r="553">
      <c r="A553" t="inlineStr">
        <is>
          <t>RESIDENCIAL VENECIA</t>
        </is>
      </c>
      <c r="B553" t="inlineStr">
        <is>
          <t>Etapa 1</t>
        </is>
      </c>
      <c r="C553" t="inlineStr">
        <is>
          <t>Edificio</t>
        </is>
      </c>
      <c r="D553" t="inlineStr">
        <is>
          <t>A</t>
        </is>
      </c>
      <c r="E553" t="inlineStr">
        <is>
          <t>Departamento</t>
        </is>
      </c>
      <c r="F553" t="inlineStr">
        <is>
          <t>302</t>
        </is>
      </c>
      <c r="G553" s="39" t="n">
        <v>623000</v>
      </c>
      <c r="H553" s="39" t="n">
        <v>600000</v>
      </c>
      <c r="M553" s="39" t="n"/>
      <c r="N553" s="39" t="n"/>
      <c r="S553" s="39" t="n"/>
      <c r="T553" s="39" t="n"/>
      <c r="Y553" s="39" t="n"/>
      <c r="Z553" s="39" t="n"/>
      <c r="AA553" t="inlineStr">
        <is>
          <t>Patricia Salazar Aparcana</t>
        </is>
      </c>
      <c r="AB553" t="inlineStr">
        <is>
          <t>10142891</t>
        </is>
      </c>
      <c r="AC553" t="inlineStr">
        <is>
          <t xml:space="preserve"> Jr. Manco segundo 2258 dpto 207</t>
        </is>
      </c>
      <c r="AD553" t="n">
        <v>0</v>
      </c>
      <c r="AE553" t="inlineStr">
        <is>
          <t>996611448</t>
        </is>
      </c>
      <c r="AF553" t="inlineStr">
        <is>
          <t>PATRICIASALAZAR25@HOTMAIL.COM</t>
        </is>
      </c>
      <c r="AG553" t="inlineStr">
        <is>
          <t>LIMA</t>
        </is>
      </c>
      <c r="AH553" t="inlineStr">
        <is>
          <t>LINCE</t>
        </is>
      </c>
      <c r="AI553" s="75" t="n">
        <v>46081</v>
      </c>
      <c r="AJ553" s="75" t="n">
        <v>46081</v>
      </c>
      <c r="AK553" t="inlineStr">
        <is>
          <t>CUOTA INICIAL</t>
        </is>
      </c>
      <c r="AL553" t="n">
        <v>1</v>
      </c>
      <c r="AM553" t="n">
        <v>10000</v>
      </c>
      <c r="AN553" t="n">
        <v>0</v>
      </c>
      <c r="AO553" t="n">
        <v>0</v>
      </c>
      <c r="AP553" s="39" t="n">
        <v>10000</v>
      </c>
      <c r="AQ553" s="39" t="n">
        <v>10000</v>
      </c>
      <c r="AR553" s="39" t="n">
        <v>0</v>
      </c>
      <c r="AS553" t="n">
        <v>0</v>
      </c>
      <c r="AT553" t="inlineStr">
        <is>
          <t>Ahorro</t>
        </is>
      </c>
      <c r="AU553" t="inlineStr">
        <is>
          <t>Scotiabank Perú</t>
        </is>
      </c>
      <c r="AV553" t="inlineStr">
        <is>
          <t>0004071419</t>
        </is>
      </c>
      <c r="AW553" t="inlineStr">
        <is>
          <t>TRANSFERENCIA BANCARIA</t>
        </is>
      </c>
      <c r="AY553" t="inlineStr">
        <is>
          <t>00378339</t>
        </is>
      </c>
      <c r="AZ553" t="inlineStr">
        <is>
          <t>No</t>
        </is>
      </c>
      <c r="BA553" t="inlineStr">
        <is>
          <t>AHORROS PERSONALES</t>
        </is>
      </c>
      <c r="BB553" t="n">
        <v>4</v>
      </c>
      <c r="BC553" t="inlineStr">
        <is>
          <t>CANCELADO</t>
        </is>
      </c>
      <c r="BN553" t="inlineStr">
        <is>
          <t>Si</t>
        </is>
      </c>
      <c r="BO553" s="76" t="n">
        <v>46081.33819444444</v>
      </c>
      <c r="BP553" t="inlineStr">
        <is>
          <t>Magaly Guevara Perez</t>
        </is>
      </c>
      <c r="BR553" t="n">
        <v>1</v>
      </c>
      <c r="BS553" t="inlineStr">
        <is>
          <t>29/03/2026 17:29</t>
        </is>
      </c>
      <c r="BW553" t="inlineStr">
        <is>
          <t>Cobranzas_2026.csv</t>
        </is>
      </c>
      <c r="BX553" t="n">
        <v>2026</v>
      </c>
      <c r="BY553" t="inlineStr">
        <is>
          <t>01/01/2024</t>
        </is>
      </c>
      <c r="BZ553" t="inlineStr">
        <is>
          <t>30/06/2031</t>
        </is>
      </c>
    </row>
    <row r="554">
      <c r="A554" t="inlineStr">
        <is>
          <t>RESIDENCIAL VENECIA</t>
        </is>
      </c>
      <c r="B554" t="inlineStr">
        <is>
          <t>Etapa 1</t>
        </is>
      </c>
      <c r="C554" t="inlineStr">
        <is>
          <t>Edificio</t>
        </is>
      </c>
      <c r="D554" t="inlineStr">
        <is>
          <t>A</t>
        </is>
      </c>
      <c r="E554" t="inlineStr">
        <is>
          <t>Departamento</t>
        </is>
      </c>
      <c r="F554" t="inlineStr">
        <is>
          <t>302</t>
        </is>
      </c>
      <c r="G554" s="39" t="n">
        <v>623000</v>
      </c>
      <c r="H554" s="39" t="n">
        <v>600000</v>
      </c>
      <c r="M554" s="39" t="n"/>
      <c r="N554" s="39" t="n"/>
      <c r="S554" s="39" t="n"/>
      <c r="T554" s="39" t="n"/>
      <c r="Y554" s="39" t="n"/>
      <c r="Z554" s="39" t="n"/>
      <c r="AA554" t="inlineStr">
        <is>
          <t>Patricia Salazar Aparcana</t>
        </is>
      </c>
      <c r="AB554" t="inlineStr">
        <is>
          <t>10142891</t>
        </is>
      </c>
      <c r="AC554" t="inlineStr">
        <is>
          <t xml:space="preserve"> Jr. Manco segundo 2258 dpto 207</t>
        </is>
      </c>
      <c r="AD554" t="n">
        <v>0</v>
      </c>
      <c r="AE554" t="inlineStr">
        <is>
          <t>996611448</t>
        </is>
      </c>
      <c r="AF554" t="inlineStr">
        <is>
          <t>PATRICIASALAZAR25@HOTMAIL.COM</t>
        </is>
      </c>
      <c r="AG554" t="inlineStr">
        <is>
          <t>LIMA</t>
        </is>
      </c>
      <c r="AH554" t="inlineStr">
        <is>
          <t>LINCE</t>
        </is>
      </c>
      <c r="AI554" s="75" t="n">
        <v>46109</v>
      </c>
      <c r="AJ554" s="75" t="n">
        <v>46109</v>
      </c>
      <c r="AK554" t="inlineStr">
        <is>
          <t>CUOTA INICIAL</t>
        </is>
      </c>
      <c r="AL554" t="n">
        <v>2</v>
      </c>
      <c r="AM554" t="n">
        <v>7000</v>
      </c>
      <c r="AN554" t="n">
        <v>0</v>
      </c>
      <c r="AO554" t="n">
        <v>0</v>
      </c>
      <c r="AP554" s="39" t="n">
        <v>7000</v>
      </c>
      <c r="AQ554" s="39" t="n">
        <v>7000</v>
      </c>
      <c r="AR554" s="39" t="n">
        <v>0</v>
      </c>
      <c r="AS554" t="n">
        <v>0</v>
      </c>
      <c r="AT554" t="inlineStr">
        <is>
          <t>Ahorro</t>
        </is>
      </c>
      <c r="AU554" t="inlineStr">
        <is>
          <t>Scotiabank Perú</t>
        </is>
      </c>
      <c r="AV554" t="inlineStr">
        <is>
          <t>0004071419</t>
        </is>
      </c>
      <c r="AW554" t="inlineStr">
        <is>
          <t>TRANSFERENCIA BANCARIA</t>
        </is>
      </c>
      <c r="AY554" t="inlineStr">
        <is>
          <t>00602289</t>
        </is>
      </c>
      <c r="AZ554" t="inlineStr">
        <is>
          <t>Si</t>
        </is>
      </c>
      <c r="BA554" t="inlineStr">
        <is>
          <t>AHORROS PERSONALES</t>
        </is>
      </c>
      <c r="BB554" t="n">
        <v>4</v>
      </c>
      <c r="BC554" t="inlineStr">
        <is>
          <t>CANCELADO</t>
        </is>
      </c>
      <c r="BN554" t="inlineStr">
        <is>
          <t>Si</t>
        </is>
      </c>
      <c r="BO554" s="76" t="n">
        <v>46081.33819444444</v>
      </c>
      <c r="BP554" t="inlineStr">
        <is>
          <t>Magaly Guevara Perez</t>
        </is>
      </c>
      <c r="BR554" t="n">
        <v>1</v>
      </c>
      <c r="BS554" t="inlineStr">
        <is>
          <t>29/03/2026 17:40</t>
        </is>
      </c>
      <c r="BW554" t="inlineStr">
        <is>
          <t>Cobranzas_2026.csv</t>
        </is>
      </c>
      <c r="BX554" t="n">
        <v>2026</v>
      </c>
      <c r="BY554" t="inlineStr">
        <is>
          <t>01/01/2024</t>
        </is>
      </c>
      <c r="BZ554" t="inlineStr">
        <is>
          <t>30/06/2031</t>
        </is>
      </c>
    </row>
    <row r="555">
      <c r="A555" t="inlineStr">
        <is>
          <t>RESIDENCIAL VENECIA</t>
        </is>
      </c>
      <c r="B555" t="inlineStr">
        <is>
          <t>Etapa 1</t>
        </is>
      </c>
      <c r="C555" t="inlineStr">
        <is>
          <t>Edificio</t>
        </is>
      </c>
      <c r="D555" t="inlineStr">
        <is>
          <t>A</t>
        </is>
      </c>
      <c r="E555" t="inlineStr">
        <is>
          <t>Departamento</t>
        </is>
      </c>
      <c r="F555" t="inlineStr">
        <is>
          <t>302</t>
        </is>
      </c>
      <c r="G555" s="39" t="n">
        <v>623000</v>
      </c>
      <c r="H555" s="39" t="n">
        <v>600000</v>
      </c>
      <c r="M555" s="39" t="n"/>
      <c r="N555" s="39" t="n"/>
      <c r="S555" s="39" t="n"/>
      <c r="T555" s="39" t="n"/>
      <c r="Y555" s="39" t="n"/>
      <c r="Z555" s="39" t="n"/>
      <c r="AA555" t="inlineStr">
        <is>
          <t>Patricia Salazar Aparcana</t>
        </is>
      </c>
      <c r="AB555" t="inlineStr">
        <is>
          <t>10142891</t>
        </is>
      </c>
      <c r="AC555" t="inlineStr">
        <is>
          <t xml:space="preserve"> Jr. Manco segundo 2258 dpto 207</t>
        </is>
      </c>
      <c r="AD555" t="n">
        <v>0</v>
      </c>
      <c r="AE555" t="inlineStr">
        <is>
          <t>996611448</t>
        </is>
      </c>
      <c r="AF555" t="inlineStr">
        <is>
          <t>PATRICIASALAZAR25@HOTMAIL.COM</t>
        </is>
      </c>
      <c r="AG555" t="inlineStr">
        <is>
          <t>LIMA</t>
        </is>
      </c>
      <c r="AH555" t="inlineStr">
        <is>
          <t>LINCE</t>
        </is>
      </c>
      <c r="AI555" s="75" t="n">
        <v>46201</v>
      </c>
      <c r="AJ555" s="75" t="n"/>
      <c r="AK555" t="inlineStr">
        <is>
          <t>CUOTA INICIAL</t>
        </is>
      </c>
      <c r="AL555" t="n">
        <v>3</v>
      </c>
      <c r="AM555" t="n">
        <v>10000</v>
      </c>
      <c r="AN555" t="n">
        <v>0</v>
      </c>
      <c r="AO555" t="n">
        <v>0</v>
      </c>
      <c r="AP555" s="39" t="n">
        <v>10000</v>
      </c>
      <c r="AQ555" s="39" t="n">
        <v>0</v>
      </c>
      <c r="AR555" s="39" t="n">
        <v>10000</v>
      </c>
      <c r="AT555" t="inlineStr">
        <is>
          <t>Ahorro</t>
        </is>
      </c>
      <c r="AZ555" t="inlineStr">
        <is>
          <t>No</t>
        </is>
      </c>
      <c r="BC555" t="inlineStr">
        <is>
          <t>VENCIDO</t>
        </is>
      </c>
      <c r="BN555" t="inlineStr">
        <is>
          <t>No</t>
        </is>
      </c>
      <c r="BO555" s="76" t="n">
        <v>46081.33819444444</v>
      </c>
      <c r="BP555" t="inlineStr">
        <is>
          <t>Magaly Guevara Perez</t>
        </is>
      </c>
      <c r="BR555" t="n">
        <v>1</v>
      </c>
      <c r="BW555" t="inlineStr">
        <is>
          <t>Cobranzas_2026.csv</t>
        </is>
      </c>
      <c r="BX555" t="n">
        <v>2026</v>
      </c>
      <c r="BY555" t="inlineStr">
        <is>
          <t>01/01/2024</t>
        </is>
      </c>
      <c r="BZ555" t="inlineStr">
        <is>
          <t>30/06/2031</t>
        </is>
      </c>
    </row>
    <row r="556">
      <c r="A556" t="inlineStr">
        <is>
          <t>RESIDENCIAL VENECIA</t>
        </is>
      </c>
      <c r="B556" t="inlineStr">
        <is>
          <t>Etapa 1</t>
        </is>
      </c>
      <c r="C556" t="inlineStr">
        <is>
          <t>Edificio</t>
        </is>
      </c>
      <c r="D556" t="inlineStr">
        <is>
          <t>A</t>
        </is>
      </c>
      <c r="E556" t="inlineStr">
        <is>
          <t>Departamento</t>
        </is>
      </c>
      <c r="F556" t="inlineStr">
        <is>
          <t>302</t>
        </is>
      </c>
      <c r="G556" s="39" t="n">
        <v>623000</v>
      </c>
      <c r="H556" s="39" t="n">
        <v>600000</v>
      </c>
      <c r="M556" s="39" t="n"/>
      <c r="N556" s="39" t="n"/>
      <c r="S556" s="39" t="n"/>
      <c r="T556" s="39" t="n"/>
      <c r="Y556" s="39" t="n"/>
      <c r="Z556" s="39" t="n"/>
      <c r="AA556" t="inlineStr">
        <is>
          <t>Patricia Salazar Aparcana</t>
        </is>
      </c>
      <c r="AB556" t="inlineStr">
        <is>
          <t>10142891</t>
        </is>
      </c>
      <c r="AC556" t="inlineStr">
        <is>
          <t xml:space="preserve"> Jr. Manco segundo 2258 dpto 207</t>
        </is>
      </c>
      <c r="AD556" t="n">
        <v>0</v>
      </c>
      <c r="AE556" t="inlineStr">
        <is>
          <t>996611448</t>
        </is>
      </c>
      <c r="AF556" t="inlineStr">
        <is>
          <t>PATRICIASALAZAR25@HOTMAIL.COM</t>
        </is>
      </c>
      <c r="AG556" t="inlineStr">
        <is>
          <t>LIMA</t>
        </is>
      </c>
      <c r="AH556" t="inlineStr">
        <is>
          <t>LINCE</t>
        </is>
      </c>
      <c r="AI556" s="75" t="n">
        <v>46265</v>
      </c>
      <c r="AJ556" s="75" t="n"/>
      <c r="AK556" t="inlineStr">
        <is>
          <t>CUOTA INICIAL</t>
        </is>
      </c>
      <c r="AL556" t="n">
        <v>4</v>
      </c>
      <c r="AM556" t="n">
        <v>30000</v>
      </c>
      <c r="AN556" t="n">
        <v>0</v>
      </c>
      <c r="AO556" t="n">
        <v>0</v>
      </c>
      <c r="AP556" s="39" t="n">
        <v>30000</v>
      </c>
      <c r="AQ556" s="39" t="n">
        <v>0</v>
      </c>
      <c r="AR556" s="39" t="n">
        <v>30000</v>
      </c>
      <c r="AT556" t="inlineStr">
        <is>
          <t>Ahorro</t>
        </is>
      </c>
      <c r="AZ556" t="inlineStr">
        <is>
          <t>No</t>
        </is>
      </c>
      <c r="BC556" t="inlineStr">
        <is>
          <t>PENDIENTE</t>
        </is>
      </c>
      <c r="BN556" t="inlineStr">
        <is>
          <t>No</t>
        </is>
      </c>
      <c r="BO556" s="76" t="n">
        <v>46081.33819444444</v>
      </c>
      <c r="BP556" t="inlineStr">
        <is>
          <t>Magaly Guevara Perez</t>
        </is>
      </c>
      <c r="BR556" t="n">
        <v>1</v>
      </c>
      <c r="BW556" t="inlineStr">
        <is>
          <t>Cobranzas_2026.csv</t>
        </is>
      </c>
      <c r="BX556" t="n">
        <v>2026</v>
      </c>
      <c r="BY556" t="inlineStr">
        <is>
          <t>01/01/2024</t>
        </is>
      </c>
      <c r="BZ556" t="inlineStr">
        <is>
          <t>30/06/2031</t>
        </is>
      </c>
    </row>
    <row r="557">
      <c r="A557" t="inlineStr">
        <is>
          <t>RESIDENCIAL PRADA</t>
        </is>
      </c>
      <c r="B557" t="inlineStr">
        <is>
          <t>Etapa 1</t>
        </is>
      </c>
      <c r="C557" t="inlineStr">
        <is>
          <t>Edificio</t>
        </is>
      </c>
      <c r="D557" t="inlineStr">
        <is>
          <t>A</t>
        </is>
      </c>
      <c r="E557" t="inlineStr">
        <is>
          <t>Departamento</t>
        </is>
      </c>
      <c r="F557" t="inlineStr">
        <is>
          <t>503</t>
        </is>
      </c>
      <c r="G557" s="39" t="n">
        <v>660000</v>
      </c>
      <c r="H557" s="39" t="n">
        <v>660000</v>
      </c>
      <c r="M557" s="39" t="n"/>
      <c r="N557" s="39" t="n"/>
      <c r="S557" s="39" t="n"/>
      <c r="T557" s="39" t="n"/>
      <c r="Y557" s="39" t="n"/>
      <c r="Z557" s="39" t="n"/>
      <c r="AA557" t="inlineStr">
        <is>
          <t>PATROCINIO HUAMANI CUEVAS</t>
        </is>
      </c>
      <c r="AB557" t="inlineStr">
        <is>
          <t>28965506</t>
        </is>
      </c>
      <c r="AC557" t="inlineStr">
        <is>
          <t>AV. SALAVERRY N°2080 DPTO. 304</t>
        </is>
      </c>
      <c r="AE557" t="inlineStr">
        <is>
          <t>991730000</t>
        </is>
      </c>
      <c r="AF557" t="inlineStr">
        <is>
          <t>oftalmconsulta@gmail.com</t>
        </is>
      </c>
      <c r="AG557" t="inlineStr">
        <is>
          <t>LIMA</t>
        </is>
      </c>
      <c r="AH557" t="inlineStr">
        <is>
          <t>JESUS MARIA</t>
        </is>
      </c>
      <c r="AI557" s="75" t="n">
        <v>46111</v>
      </c>
      <c r="AJ557" s="75" t="n">
        <v>45960</v>
      </c>
      <c r="AK557" t="inlineStr">
        <is>
          <t>SALDO FINANCIAR</t>
        </is>
      </c>
      <c r="AL557" t="n">
        <v>1</v>
      </c>
      <c r="AM557" t="n">
        <v>0</v>
      </c>
      <c r="AN557" t="n">
        <v>0</v>
      </c>
      <c r="AO557" t="n">
        <v>0</v>
      </c>
      <c r="AP557" s="39" t="n">
        <v>495000</v>
      </c>
      <c r="AQ557" s="39" t="n">
        <v>120000</v>
      </c>
      <c r="AR557" s="39" t="n">
        <v>160000</v>
      </c>
      <c r="AS557" t="n">
        <v>0</v>
      </c>
      <c r="AT557" t="inlineStr">
        <is>
          <t>Crédito Directo</t>
        </is>
      </c>
      <c r="AU557" t="inlineStr">
        <is>
          <t>Scotiabank Perú</t>
        </is>
      </c>
      <c r="AV557" t="inlineStr">
        <is>
          <t>000-2768484</t>
        </is>
      </c>
      <c r="AW557" t="inlineStr">
        <is>
          <t>TRANSFERENCIA BANCARIA</t>
        </is>
      </c>
      <c r="AY557" t="inlineStr">
        <is>
          <t>009487222</t>
        </is>
      </c>
      <c r="AZ557" t="inlineStr">
        <is>
          <t>No</t>
        </is>
      </c>
      <c r="BB557" t="n">
        <v>4</v>
      </c>
      <c r="BC557" t="inlineStr">
        <is>
          <t>VENCIDO - PARC. CANCELADO</t>
        </is>
      </c>
      <c r="BN557" t="inlineStr">
        <is>
          <t>Si</t>
        </is>
      </c>
      <c r="BO557" s="76" t="n">
        <v>45856.68958333333</v>
      </c>
      <c r="BP557" t="inlineStr">
        <is>
          <t>Carla Michue M</t>
        </is>
      </c>
      <c r="BR557" t="n">
        <v>14</v>
      </c>
      <c r="BS557" t="inlineStr">
        <is>
          <t>07/07/2026 10:03</t>
        </is>
      </c>
      <c r="BW557" t="inlineStr">
        <is>
          <t>Cobranzas_2026.csv</t>
        </is>
      </c>
      <c r="BX557" t="n">
        <v>2026</v>
      </c>
      <c r="BY557" t="inlineStr">
        <is>
          <t>01/01/2024</t>
        </is>
      </c>
      <c r="BZ557" t="inlineStr">
        <is>
          <t>30/06/2031</t>
        </is>
      </c>
    </row>
    <row r="558">
      <c r="A558" t="inlineStr">
        <is>
          <t>RESIDENCIAL PRADA</t>
        </is>
      </c>
      <c r="B558" t="inlineStr">
        <is>
          <t>Etapa 1</t>
        </is>
      </c>
      <c r="C558" t="inlineStr">
        <is>
          <t>Edificio</t>
        </is>
      </c>
      <c r="D558" t="inlineStr">
        <is>
          <t>A</t>
        </is>
      </c>
      <c r="E558" t="inlineStr">
        <is>
          <t>Departamento</t>
        </is>
      </c>
      <c r="F558" t="inlineStr">
        <is>
          <t>503</t>
        </is>
      </c>
      <c r="G558" s="39" t="n">
        <v>660000</v>
      </c>
      <c r="H558" s="39" t="n">
        <v>660000</v>
      </c>
      <c r="M558" s="39" t="n"/>
      <c r="N558" s="39" t="n"/>
      <c r="S558" s="39" t="n"/>
      <c r="T558" s="39" t="n"/>
      <c r="Y558" s="39" t="n"/>
      <c r="Z558" s="39" t="n"/>
      <c r="AA558" t="inlineStr">
        <is>
          <t>PATROCINIO HUAMANI CUEVAS</t>
        </is>
      </c>
      <c r="AB558" t="inlineStr">
        <is>
          <t>28965506</t>
        </is>
      </c>
      <c r="AC558" t="inlineStr">
        <is>
          <t>AV. SALAVERRY N°2080 DPTO. 304</t>
        </is>
      </c>
      <c r="AE558" t="inlineStr">
        <is>
          <t>991730000</t>
        </is>
      </c>
      <c r="AF558" t="inlineStr">
        <is>
          <t>oftalmconsulta@gmail.com</t>
        </is>
      </c>
      <c r="AG558" t="inlineStr">
        <is>
          <t>LIMA</t>
        </is>
      </c>
      <c r="AH558" t="inlineStr">
        <is>
          <t>JESUS MARIA</t>
        </is>
      </c>
      <c r="AI558" s="75" t="n">
        <v>46111</v>
      </c>
      <c r="AJ558" s="75" t="n">
        <v>45978</v>
      </c>
      <c r="AK558" t="inlineStr">
        <is>
          <t>SALDO FINANCIAR</t>
        </is>
      </c>
      <c r="AL558" t="n">
        <v>1</v>
      </c>
      <c r="AM558" t="n">
        <v>495000</v>
      </c>
      <c r="AN558" t="n">
        <v>0</v>
      </c>
      <c r="AO558" t="n">
        <v>0</v>
      </c>
      <c r="AP558" s="39" t="n">
        <v>0</v>
      </c>
      <c r="AQ558" s="39" t="n">
        <v>10000</v>
      </c>
      <c r="AR558" s="39" t="n">
        <v>0</v>
      </c>
      <c r="AS558" t="n">
        <v>0</v>
      </c>
      <c r="AT558" t="inlineStr">
        <is>
          <t>Crédito Directo</t>
        </is>
      </c>
      <c r="AU558" t="inlineStr">
        <is>
          <t>Scotiabank Perú</t>
        </is>
      </c>
      <c r="AV558" t="inlineStr">
        <is>
          <t>000-2768484</t>
        </is>
      </c>
      <c r="AW558" t="inlineStr">
        <is>
          <t>TRANSFERENCIA BANCARIA</t>
        </is>
      </c>
      <c r="AY558" t="inlineStr">
        <is>
          <t>00001378000001380</t>
        </is>
      </c>
      <c r="AZ558" t="inlineStr">
        <is>
          <t>No</t>
        </is>
      </c>
      <c r="BB558" t="n">
        <v>4</v>
      </c>
      <c r="BC558" t="inlineStr">
        <is>
          <t>VENCIDO</t>
        </is>
      </c>
      <c r="BN558" t="inlineStr">
        <is>
          <t>Si</t>
        </is>
      </c>
      <c r="BO558" s="76" t="n">
        <v>45856.68958333333</v>
      </c>
      <c r="BP558" t="inlineStr">
        <is>
          <t>Carla Michue M</t>
        </is>
      </c>
      <c r="BR558" t="n">
        <v>14</v>
      </c>
      <c r="BS558" t="inlineStr">
        <is>
          <t>07/07/2026 10:04</t>
        </is>
      </c>
      <c r="BW558" t="inlineStr">
        <is>
          <t>Cobranzas_2026.csv</t>
        </is>
      </c>
      <c r="BX558" t="n">
        <v>2026</v>
      </c>
      <c r="BY558" t="inlineStr">
        <is>
          <t>01/01/2024</t>
        </is>
      </c>
      <c r="BZ558" t="inlineStr">
        <is>
          <t>30/06/2031</t>
        </is>
      </c>
    </row>
    <row r="559">
      <c r="A559" t="inlineStr">
        <is>
          <t>RESIDENCIAL PRADA</t>
        </is>
      </c>
      <c r="B559" t="inlineStr">
        <is>
          <t>Etapa 1</t>
        </is>
      </c>
      <c r="C559" t="inlineStr">
        <is>
          <t>Edificio</t>
        </is>
      </c>
      <c r="D559" t="inlineStr">
        <is>
          <t>A</t>
        </is>
      </c>
      <c r="E559" t="inlineStr">
        <is>
          <t>Departamento</t>
        </is>
      </c>
      <c r="F559" t="inlineStr">
        <is>
          <t>503</t>
        </is>
      </c>
      <c r="G559" s="39" t="n">
        <v>660000</v>
      </c>
      <c r="H559" s="39" t="n">
        <v>660000</v>
      </c>
      <c r="M559" s="39" t="n"/>
      <c r="N559" s="39" t="n"/>
      <c r="S559" s="39" t="n"/>
      <c r="T559" s="39" t="n"/>
      <c r="Y559" s="39" t="n"/>
      <c r="Z559" s="39" t="n"/>
      <c r="AA559" t="inlineStr">
        <is>
          <t>PATROCINIO HUAMANI CUEVAS</t>
        </is>
      </c>
      <c r="AB559" t="inlineStr">
        <is>
          <t>28965506</t>
        </is>
      </c>
      <c r="AC559" t="inlineStr">
        <is>
          <t>AV. SALAVERRY N°2080 DPTO. 304</t>
        </is>
      </c>
      <c r="AE559" t="inlineStr">
        <is>
          <t>991730000</t>
        </is>
      </c>
      <c r="AF559" t="inlineStr">
        <is>
          <t>oftalmconsulta@gmail.com</t>
        </is>
      </c>
      <c r="AG559" t="inlineStr">
        <is>
          <t>LIMA</t>
        </is>
      </c>
      <c r="AH559" t="inlineStr">
        <is>
          <t>JESUS MARIA</t>
        </is>
      </c>
      <c r="AI559" s="75" t="n">
        <v>46111</v>
      </c>
      <c r="AJ559" s="75" t="n">
        <v>45978</v>
      </c>
      <c r="AK559" t="inlineStr">
        <is>
          <t>SALDO FINANCIAR</t>
        </is>
      </c>
      <c r="AL559" t="n">
        <v>1</v>
      </c>
      <c r="AM559" t="n">
        <v>0</v>
      </c>
      <c r="AN559" t="n">
        <v>0</v>
      </c>
      <c r="AO559" t="n">
        <v>0</v>
      </c>
      <c r="AP559" s="39" t="n">
        <v>0</v>
      </c>
      <c r="AQ559" s="39" t="n">
        <v>10000</v>
      </c>
      <c r="AR559" s="39" t="n">
        <v>0</v>
      </c>
      <c r="AS559" t="n">
        <v>0</v>
      </c>
      <c r="AT559" t="inlineStr">
        <is>
          <t>Crédito Directo</t>
        </is>
      </c>
      <c r="AU559" t="inlineStr">
        <is>
          <t>Scotiabank Perú</t>
        </is>
      </c>
      <c r="AV559" t="inlineStr">
        <is>
          <t>000-2768484</t>
        </is>
      </c>
      <c r="AW559" t="inlineStr">
        <is>
          <t>TRANSFERENCIA BANCARIA</t>
        </is>
      </c>
      <c r="AY559" t="inlineStr">
        <is>
          <t>00001381000001383</t>
        </is>
      </c>
      <c r="AZ559" t="inlineStr">
        <is>
          <t>No</t>
        </is>
      </c>
      <c r="BB559" t="n">
        <v>4</v>
      </c>
      <c r="BC559" t="inlineStr">
        <is>
          <t>VENCIDO</t>
        </is>
      </c>
      <c r="BN559" t="inlineStr">
        <is>
          <t>Si</t>
        </is>
      </c>
      <c r="BO559" s="76" t="n">
        <v>45856.68958333333</v>
      </c>
      <c r="BP559" t="inlineStr">
        <is>
          <t>Carla Michue M</t>
        </is>
      </c>
      <c r="BR559" t="n">
        <v>14</v>
      </c>
      <c r="BS559" t="inlineStr">
        <is>
          <t>07/07/2026 10:05</t>
        </is>
      </c>
      <c r="BW559" t="inlineStr">
        <is>
          <t>Cobranzas_2026.csv</t>
        </is>
      </c>
      <c r="BX559" t="n">
        <v>2026</v>
      </c>
      <c r="BY559" t="inlineStr">
        <is>
          <t>01/01/2024</t>
        </is>
      </c>
      <c r="BZ559" t="inlineStr">
        <is>
          <t>30/06/2031</t>
        </is>
      </c>
    </row>
    <row r="560">
      <c r="A560" t="inlineStr">
        <is>
          <t>RESIDENCIAL PRADA</t>
        </is>
      </c>
      <c r="B560" t="inlineStr">
        <is>
          <t>Etapa 1</t>
        </is>
      </c>
      <c r="C560" t="inlineStr">
        <is>
          <t>Edificio</t>
        </is>
      </c>
      <c r="D560" t="inlineStr">
        <is>
          <t>A</t>
        </is>
      </c>
      <c r="E560" t="inlineStr">
        <is>
          <t>Departamento</t>
        </is>
      </c>
      <c r="F560" t="inlineStr">
        <is>
          <t>503</t>
        </is>
      </c>
      <c r="G560" s="39" t="n">
        <v>660000</v>
      </c>
      <c r="H560" s="39" t="n">
        <v>660000</v>
      </c>
      <c r="M560" s="39" t="n"/>
      <c r="N560" s="39" t="n"/>
      <c r="S560" s="39" t="n"/>
      <c r="T560" s="39" t="n"/>
      <c r="Y560" s="39" t="n"/>
      <c r="Z560" s="39" t="n"/>
      <c r="AA560" t="inlineStr">
        <is>
          <t>PATROCINIO HUAMANI CUEVAS</t>
        </is>
      </c>
      <c r="AB560" t="inlineStr">
        <is>
          <t>28965506</t>
        </is>
      </c>
      <c r="AC560" t="inlineStr">
        <is>
          <t>AV. SALAVERRY N°2080 DPTO. 304</t>
        </is>
      </c>
      <c r="AE560" t="inlineStr">
        <is>
          <t>991730000</t>
        </is>
      </c>
      <c r="AF560" t="inlineStr">
        <is>
          <t>oftalmconsulta@gmail.com</t>
        </is>
      </c>
      <c r="AG560" t="inlineStr">
        <is>
          <t>LIMA</t>
        </is>
      </c>
      <c r="AH560" t="inlineStr">
        <is>
          <t>JESUS MARIA</t>
        </is>
      </c>
      <c r="AI560" s="75" t="n">
        <v>46111</v>
      </c>
      <c r="AJ560" s="75" t="n">
        <v>45978</v>
      </c>
      <c r="AK560" t="inlineStr">
        <is>
          <t>SALDO FINANCIAR</t>
        </is>
      </c>
      <c r="AL560" t="n">
        <v>1</v>
      </c>
      <c r="AM560" t="n">
        <v>0</v>
      </c>
      <c r="AN560" t="n">
        <v>0</v>
      </c>
      <c r="AO560" t="n">
        <v>0</v>
      </c>
      <c r="AP560" s="39" t="n">
        <v>0</v>
      </c>
      <c r="AQ560" s="39" t="n">
        <v>10000</v>
      </c>
      <c r="AR560" s="39" t="n">
        <v>0</v>
      </c>
      <c r="AS560" t="n">
        <v>0</v>
      </c>
      <c r="AT560" t="inlineStr">
        <is>
          <t>Crédito Directo</t>
        </is>
      </c>
      <c r="AU560" t="inlineStr">
        <is>
          <t>Scotiabank Perú</t>
        </is>
      </c>
      <c r="AV560" t="inlineStr">
        <is>
          <t>000-2768484</t>
        </is>
      </c>
      <c r="AW560" t="inlineStr">
        <is>
          <t>TRANSFERENCIA BANCARIA</t>
        </is>
      </c>
      <c r="AY560" t="inlineStr">
        <is>
          <t>000001384000001386</t>
        </is>
      </c>
      <c r="AZ560" t="inlineStr">
        <is>
          <t>No</t>
        </is>
      </c>
      <c r="BB560" t="n">
        <v>4</v>
      </c>
      <c r="BC560" t="inlineStr">
        <is>
          <t>VENCIDO</t>
        </is>
      </c>
      <c r="BN560" t="inlineStr">
        <is>
          <t>Si</t>
        </is>
      </c>
      <c r="BO560" s="76" t="n">
        <v>45856.68958333333</v>
      </c>
      <c r="BP560" t="inlineStr">
        <is>
          <t>Carla Michue M</t>
        </is>
      </c>
      <c r="BR560" t="n">
        <v>14</v>
      </c>
      <c r="BS560" t="inlineStr">
        <is>
          <t>07/07/2026 10:06</t>
        </is>
      </c>
      <c r="BW560" t="inlineStr">
        <is>
          <t>Cobranzas_2026.csv</t>
        </is>
      </c>
      <c r="BX560" t="n">
        <v>2026</v>
      </c>
      <c r="BY560" t="inlineStr">
        <is>
          <t>01/01/2024</t>
        </is>
      </c>
      <c r="BZ560" t="inlineStr">
        <is>
          <t>30/06/2031</t>
        </is>
      </c>
    </row>
    <row r="561">
      <c r="A561" t="inlineStr">
        <is>
          <t>RESIDENCIAL PRADA</t>
        </is>
      </c>
      <c r="B561" t="inlineStr">
        <is>
          <t>Etapa 1</t>
        </is>
      </c>
      <c r="C561" t="inlineStr">
        <is>
          <t>Edificio</t>
        </is>
      </c>
      <c r="D561" t="inlineStr">
        <is>
          <t>A</t>
        </is>
      </c>
      <c r="E561" t="inlineStr">
        <is>
          <t>Departamento</t>
        </is>
      </c>
      <c r="F561" t="inlineStr">
        <is>
          <t>503</t>
        </is>
      </c>
      <c r="G561" s="39" t="n">
        <v>660000</v>
      </c>
      <c r="H561" s="39" t="n">
        <v>660000</v>
      </c>
      <c r="M561" s="39" t="n"/>
      <c r="N561" s="39" t="n"/>
      <c r="S561" s="39" t="n"/>
      <c r="T561" s="39" t="n"/>
      <c r="Y561" s="39" t="n"/>
      <c r="Z561" s="39" t="n"/>
      <c r="AA561" t="inlineStr">
        <is>
          <t>PATROCINIO HUAMANI CUEVAS</t>
        </is>
      </c>
      <c r="AB561" t="inlineStr">
        <is>
          <t>28965506</t>
        </is>
      </c>
      <c r="AC561" t="inlineStr">
        <is>
          <t>AV. SALAVERRY N°2080 DPTO. 304</t>
        </is>
      </c>
      <c r="AE561" t="inlineStr">
        <is>
          <t>991730000</t>
        </is>
      </c>
      <c r="AF561" t="inlineStr">
        <is>
          <t>oftalmconsulta@gmail.com</t>
        </is>
      </c>
      <c r="AG561" t="inlineStr">
        <is>
          <t>LIMA</t>
        </is>
      </c>
      <c r="AH561" t="inlineStr">
        <is>
          <t>JESUS MARIA</t>
        </is>
      </c>
      <c r="AI561" s="75" t="n">
        <v>46111</v>
      </c>
      <c r="AJ561" s="75" t="n">
        <v>45978</v>
      </c>
      <c r="AK561" t="inlineStr">
        <is>
          <t>SALDO FINANCIAR</t>
        </is>
      </c>
      <c r="AL561" t="n">
        <v>1</v>
      </c>
      <c r="AM561" t="n">
        <v>0</v>
      </c>
      <c r="AN561" t="n">
        <v>0</v>
      </c>
      <c r="AO561" t="n">
        <v>0</v>
      </c>
      <c r="AP561" s="39" t="n">
        <v>0</v>
      </c>
      <c r="AQ561" s="39" t="n">
        <v>10000</v>
      </c>
      <c r="AR561" s="39" t="n">
        <v>0</v>
      </c>
      <c r="AS561" t="n">
        <v>0</v>
      </c>
      <c r="AT561" t="inlineStr">
        <is>
          <t>Crédito Directo</t>
        </is>
      </c>
      <c r="AU561" t="inlineStr">
        <is>
          <t>Scotiabank Perú</t>
        </is>
      </c>
      <c r="AV561" t="inlineStr">
        <is>
          <t>000-2768484</t>
        </is>
      </c>
      <c r="AW561" t="inlineStr">
        <is>
          <t>TRANSFERENCIA BANCARIA</t>
        </is>
      </c>
      <c r="AY561" t="inlineStr">
        <is>
          <t>00001387000001389</t>
        </is>
      </c>
      <c r="AZ561" t="inlineStr">
        <is>
          <t>No</t>
        </is>
      </c>
      <c r="BB561" t="n">
        <v>4</v>
      </c>
      <c r="BC561" t="inlineStr">
        <is>
          <t>VENCIDO</t>
        </is>
      </c>
      <c r="BN561" t="inlineStr">
        <is>
          <t>Si</t>
        </is>
      </c>
      <c r="BO561" s="76" t="n">
        <v>45856.68958333333</v>
      </c>
      <c r="BP561" t="inlineStr">
        <is>
          <t>Carla Michue M</t>
        </is>
      </c>
      <c r="BR561" t="n">
        <v>14</v>
      </c>
      <c r="BS561" t="inlineStr">
        <is>
          <t>07/07/2026 10:08</t>
        </is>
      </c>
      <c r="BW561" t="inlineStr">
        <is>
          <t>Cobranzas_2026.csv</t>
        </is>
      </c>
      <c r="BX561" t="n">
        <v>2026</v>
      </c>
      <c r="BY561" t="inlineStr">
        <is>
          <t>01/01/2024</t>
        </is>
      </c>
      <c r="BZ561" t="inlineStr">
        <is>
          <t>30/06/2031</t>
        </is>
      </c>
    </row>
    <row r="562">
      <c r="A562" t="inlineStr">
        <is>
          <t>RESIDENCIAL PRADA</t>
        </is>
      </c>
      <c r="B562" t="inlineStr">
        <is>
          <t>Etapa 1</t>
        </is>
      </c>
      <c r="C562" t="inlineStr">
        <is>
          <t>Edificio</t>
        </is>
      </c>
      <c r="D562" t="inlineStr">
        <is>
          <t>A</t>
        </is>
      </c>
      <c r="E562" t="inlineStr">
        <is>
          <t>Departamento</t>
        </is>
      </c>
      <c r="F562" t="inlineStr">
        <is>
          <t>503</t>
        </is>
      </c>
      <c r="G562" s="39" t="n">
        <v>660000</v>
      </c>
      <c r="H562" s="39" t="n">
        <v>660000</v>
      </c>
      <c r="M562" s="39" t="n"/>
      <c r="N562" s="39" t="n"/>
      <c r="S562" s="39" t="n"/>
      <c r="T562" s="39" t="n"/>
      <c r="Y562" s="39" t="n"/>
      <c r="Z562" s="39" t="n"/>
      <c r="AA562" t="inlineStr">
        <is>
          <t>PATROCINIO HUAMANI CUEVAS</t>
        </is>
      </c>
      <c r="AB562" t="inlineStr">
        <is>
          <t>28965506</t>
        </is>
      </c>
      <c r="AC562" t="inlineStr">
        <is>
          <t>AV. SALAVERRY N°2080 DPTO. 304</t>
        </is>
      </c>
      <c r="AE562" t="inlineStr">
        <is>
          <t>991730000</t>
        </is>
      </c>
      <c r="AF562" t="inlineStr">
        <is>
          <t>oftalmconsulta@gmail.com</t>
        </is>
      </c>
      <c r="AG562" t="inlineStr">
        <is>
          <t>LIMA</t>
        </is>
      </c>
      <c r="AH562" t="inlineStr">
        <is>
          <t>JESUS MARIA</t>
        </is>
      </c>
      <c r="AI562" s="75" t="n">
        <v>46111</v>
      </c>
      <c r="AJ562" s="75" t="n">
        <v>45978</v>
      </c>
      <c r="AK562" t="inlineStr">
        <is>
          <t>SALDO FINANCIAR</t>
        </is>
      </c>
      <c r="AL562" t="n">
        <v>1</v>
      </c>
      <c r="AM562" t="n">
        <v>0</v>
      </c>
      <c r="AN562" t="n">
        <v>0</v>
      </c>
      <c r="AO562" t="n">
        <v>0</v>
      </c>
      <c r="AP562" s="39" t="n">
        <v>0</v>
      </c>
      <c r="AQ562" s="39" t="n">
        <v>10000</v>
      </c>
      <c r="AR562" s="39" t="n">
        <v>0</v>
      </c>
      <c r="AS562" t="n">
        <v>0</v>
      </c>
      <c r="AT562" t="inlineStr">
        <is>
          <t>Crédito Directo</t>
        </is>
      </c>
      <c r="AU562" t="inlineStr">
        <is>
          <t>Scotiabank Perú</t>
        </is>
      </c>
      <c r="AV562" t="inlineStr">
        <is>
          <t>000-2768484</t>
        </is>
      </c>
      <c r="AW562" t="inlineStr">
        <is>
          <t>TRANSFERENCIA BANCARIA</t>
        </is>
      </c>
      <c r="AY562" t="inlineStr">
        <is>
          <t>00004571000004573</t>
        </is>
      </c>
      <c r="AZ562" t="inlineStr">
        <is>
          <t>No</t>
        </is>
      </c>
      <c r="BB562" t="n">
        <v>4</v>
      </c>
      <c r="BC562" t="inlineStr">
        <is>
          <t>VENCIDO</t>
        </is>
      </c>
      <c r="BN562" t="inlineStr">
        <is>
          <t>Si</t>
        </is>
      </c>
      <c r="BO562" s="76" t="n">
        <v>45856.68958333333</v>
      </c>
      <c r="BP562" t="inlineStr">
        <is>
          <t>Carla Michue M</t>
        </is>
      </c>
      <c r="BR562" t="n">
        <v>14</v>
      </c>
      <c r="BS562" t="inlineStr">
        <is>
          <t>07/07/2026 10:09</t>
        </is>
      </c>
      <c r="BW562" t="inlineStr">
        <is>
          <t>Cobranzas_2026.csv</t>
        </is>
      </c>
      <c r="BX562" t="n">
        <v>2026</v>
      </c>
      <c r="BY562" t="inlineStr">
        <is>
          <t>01/01/2024</t>
        </is>
      </c>
      <c r="BZ562" t="inlineStr">
        <is>
          <t>30/06/2031</t>
        </is>
      </c>
    </row>
    <row r="563">
      <c r="A563" t="inlineStr">
        <is>
          <t>RESIDENCIAL PRADA</t>
        </is>
      </c>
      <c r="B563" t="inlineStr">
        <is>
          <t>Etapa 1</t>
        </is>
      </c>
      <c r="C563" t="inlineStr">
        <is>
          <t>Edificio</t>
        </is>
      </c>
      <c r="D563" t="inlineStr">
        <is>
          <t>A</t>
        </is>
      </c>
      <c r="E563" t="inlineStr">
        <is>
          <t>Departamento</t>
        </is>
      </c>
      <c r="F563" t="inlineStr">
        <is>
          <t>503</t>
        </is>
      </c>
      <c r="G563" s="39" t="n">
        <v>660000</v>
      </c>
      <c r="H563" s="39" t="n">
        <v>660000</v>
      </c>
      <c r="M563" s="39" t="n"/>
      <c r="N563" s="39" t="n"/>
      <c r="S563" s="39" t="n"/>
      <c r="T563" s="39" t="n"/>
      <c r="Y563" s="39" t="n"/>
      <c r="Z563" s="39" t="n"/>
      <c r="AA563" t="inlineStr">
        <is>
          <t>PATROCINIO HUAMANI CUEVAS</t>
        </is>
      </c>
      <c r="AB563" t="inlineStr">
        <is>
          <t>28965506</t>
        </is>
      </c>
      <c r="AC563" t="inlineStr">
        <is>
          <t>AV. SALAVERRY N°2080 DPTO. 304</t>
        </is>
      </c>
      <c r="AE563" t="inlineStr">
        <is>
          <t>991730000</t>
        </is>
      </c>
      <c r="AF563" t="inlineStr">
        <is>
          <t>oftalmconsulta@gmail.com</t>
        </is>
      </c>
      <c r="AG563" t="inlineStr">
        <is>
          <t>LIMA</t>
        </is>
      </c>
      <c r="AH563" t="inlineStr">
        <is>
          <t>JESUS MARIA</t>
        </is>
      </c>
      <c r="AI563" s="75" t="n">
        <v>46111</v>
      </c>
      <c r="AJ563" s="75" t="n">
        <v>46024</v>
      </c>
      <c r="AK563" t="inlineStr">
        <is>
          <t>SALDO FINANCIAR</t>
        </is>
      </c>
      <c r="AL563" t="n">
        <v>1</v>
      </c>
      <c r="AM563" t="n">
        <v>0</v>
      </c>
      <c r="AN563" t="n">
        <v>0</v>
      </c>
      <c r="AO563" t="n">
        <v>0</v>
      </c>
      <c r="AP563" s="39" t="n">
        <v>0</v>
      </c>
      <c r="AQ563" s="39" t="n">
        <v>165000</v>
      </c>
      <c r="AR563" s="39" t="n">
        <v>0</v>
      </c>
      <c r="AS563" t="n">
        <v>0</v>
      </c>
      <c r="AT563" t="inlineStr">
        <is>
          <t>Crédito Directo</t>
        </is>
      </c>
      <c r="AU563" t="inlineStr">
        <is>
          <t>Scotiabank Perú</t>
        </is>
      </c>
      <c r="AV563" t="inlineStr">
        <is>
          <t>000-2768484</t>
        </is>
      </c>
      <c r="AW563" t="inlineStr">
        <is>
          <t>TRANSFERENCIA BANCARIA</t>
        </is>
      </c>
      <c r="AY563" t="inlineStr">
        <is>
          <t>001334856</t>
        </is>
      </c>
      <c r="AZ563" t="inlineStr">
        <is>
          <t>No</t>
        </is>
      </c>
      <c r="BB563" t="n">
        <v>4</v>
      </c>
      <c r="BC563" t="inlineStr">
        <is>
          <t>VENCIDO</t>
        </is>
      </c>
      <c r="BN563" t="inlineStr">
        <is>
          <t>Si</t>
        </is>
      </c>
      <c r="BO563" s="76" t="n">
        <v>45856.68958333333</v>
      </c>
      <c r="BP563" t="inlineStr">
        <is>
          <t>Carla Michue M</t>
        </is>
      </c>
      <c r="BR563" t="n">
        <v>14</v>
      </c>
      <c r="BS563" t="inlineStr">
        <is>
          <t>07/07/2026 10:15</t>
        </is>
      </c>
      <c r="BW563" t="inlineStr">
        <is>
          <t>Cobranzas_2026.csv</t>
        </is>
      </c>
      <c r="BX563" t="n">
        <v>2026</v>
      </c>
      <c r="BY563" t="inlineStr">
        <is>
          <t>01/01/2024</t>
        </is>
      </c>
      <c r="BZ563" t="inlineStr">
        <is>
          <t>30/06/2031</t>
        </is>
      </c>
    </row>
    <row r="564">
      <c r="A564" t="inlineStr">
        <is>
          <t>RESIDENCIAL VENECIA</t>
        </is>
      </c>
      <c r="B564" t="inlineStr">
        <is>
          <t>Etapa 1</t>
        </is>
      </c>
      <c r="C564" t="inlineStr">
        <is>
          <t>Edificio</t>
        </is>
      </c>
      <c r="D564" t="inlineStr">
        <is>
          <t>A</t>
        </is>
      </c>
      <c r="E564" t="inlineStr">
        <is>
          <t>Departamento</t>
        </is>
      </c>
      <c r="F564" t="inlineStr">
        <is>
          <t>405</t>
        </is>
      </c>
      <c r="G564" s="39" t="n">
        <v>392000</v>
      </c>
      <c r="H564" s="39" t="n">
        <v>392000</v>
      </c>
      <c r="I564" t="inlineStr">
        <is>
          <t>Edificio</t>
        </is>
      </c>
      <c r="J564" t="inlineStr">
        <is>
          <t>A</t>
        </is>
      </c>
      <c r="K564" t="inlineStr">
        <is>
          <t>Estacionamiento</t>
        </is>
      </c>
      <c r="L564" t="inlineStr">
        <is>
          <t>E 29 - D 14</t>
        </is>
      </c>
      <c r="M564" s="39" t="n">
        <v>43000</v>
      </c>
      <c r="N564" s="39" t="n">
        <v>43000</v>
      </c>
      <c r="S564" s="39" t="n"/>
      <c r="T564" s="39" t="n"/>
      <c r="Y564" s="39" t="n"/>
      <c r="Z564" s="39" t="n"/>
      <c r="AA564" t="inlineStr">
        <is>
          <t>Petronila Tisnado Meneses</t>
        </is>
      </c>
      <c r="AB564" t="inlineStr">
        <is>
          <t>01207150</t>
        </is>
      </c>
      <c r="AC564" t="inlineStr">
        <is>
          <t>Jr. Jose de La Mar Nº 460 Barrio San Josè</t>
        </is>
      </c>
      <c r="AD564" t="n">
        <v>0</v>
      </c>
      <c r="AE564" t="inlineStr">
        <is>
          <t>989735959</t>
        </is>
      </c>
      <c r="AF564" t="inlineStr">
        <is>
          <t>lupequis60@hotmail.com</t>
        </is>
      </c>
      <c r="AG564" t="inlineStr">
        <is>
          <t>PUNO</t>
        </is>
      </c>
      <c r="AH564" t="inlineStr">
        <is>
          <t>PUNO</t>
        </is>
      </c>
      <c r="AI564" s="75" t="n">
        <v>46053</v>
      </c>
      <c r="AJ564" s="75" t="n">
        <v>46044</v>
      </c>
      <c r="AK564" t="inlineStr">
        <is>
          <t>SALDO FINANCIAR</t>
        </is>
      </c>
      <c r="AL564" t="n">
        <v>4</v>
      </c>
      <c r="AM564" t="n">
        <v>14300</v>
      </c>
      <c r="AN564" t="n">
        <v>0</v>
      </c>
      <c r="AO564" t="n">
        <v>0</v>
      </c>
      <c r="AP564" s="39" t="n">
        <v>14300</v>
      </c>
      <c r="AQ564" s="39" t="n">
        <v>14300</v>
      </c>
      <c r="AR564" s="39" t="n">
        <v>0</v>
      </c>
      <c r="AS564" t="n">
        <v>0</v>
      </c>
      <c r="AT564" t="inlineStr">
        <is>
          <t>Crédito Directo</t>
        </is>
      </c>
      <c r="AU564" t="inlineStr">
        <is>
          <t>Scotiabank Perú</t>
        </is>
      </c>
      <c r="AV564" t="inlineStr">
        <is>
          <t>0004071419</t>
        </is>
      </c>
      <c r="AW564" t="inlineStr">
        <is>
          <t>TRANSFERENCIA BANCARIA</t>
        </is>
      </c>
      <c r="AY564" t="inlineStr">
        <is>
          <t>476098</t>
        </is>
      </c>
      <c r="AZ564" t="inlineStr">
        <is>
          <t>Si</t>
        </is>
      </c>
      <c r="BB564" t="n">
        <v>4</v>
      </c>
      <c r="BC564" t="inlineStr">
        <is>
          <t>CANCELADO</t>
        </is>
      </c>
      <c r="BN564" t="inlineStr">
        <is>
          <t>No</t>
        </is>
      </c>
      <c r="BO564" s="76" t="n">
        <v>46178.34305555555</v>
      </c>
      <c r="BP564" t="inlineStr">
        <is>
          <t>Magaly Guevara Perez</t>
        </is>
      </c>
      <c r="BR564" t="n">
        <v>9</v>
      </c>
      <c r="BS564" t="inlineStr">
        <is>
          <t>08/06/2026 11:45</t>
        </is>
      </c>
      <c r="BW564" t="inlineStr">
        <is>
          <t>Cobranzas_2026.csv</t>
        </is>
      </c>
      <c r="BX564" t="n">
        <v>2026</v>
      </c>
      <c r="BY564" t="inlineStr">
        <is>
          <t>01/01/2024</t>
        </is>
      </c>
      <c r="BZ564" t="inlineStr">
        <is>
          <t>30/06/2031</t>
        </is>
      </c>
    </row>
    <row r="565">
      <c r="A565" t="inlineStr">
        <is>
          <t>RESIDENCIAL VENECIA</t>
        </is>
      </c>
      <c r="B565" t="inlineStr">
        <is>
          <t>Etapa 1</t>
        </is>
      </c>
      <c r="C565" t="inlineStr">
        <is>
          <t>Edificio</t>
        </is>
      </c>
      <c r="D565" t="inlineStr">
        <is>
          <t>A</t>
        </is>
      </c>
      <c r="E565" t="inlineStr">
        <is>
          <t>Departamento</t>
        </is>
      </c>
      <c r="F565" t="inlineStr">
        <is>
          <t>405</t>
        </is>
      </c>
      <c r="G565" s="39" t="n">
        <v>392000</v>
      </c>
      <c r="H565" s="39" t="n">
        <v>392000</v>
      </c>
      <c r="I565" t="inlineStr">
        <is>
          <t>Edificio</t>
        </is>
      </c>
      <c r="J565" t="inlineStr">
        <is>
          <t>A</t>
        </is>
      </c>
      <c r="K565" t="inlineStr">
        <is>
          <t>Estacionamiento</t>
        </is>
      </c>
      <c r="L565" t="inlineStr">
        <is>
          <t>E 29 - D 14</t>
        </is>
      </c>
      <c r="M565" s="39" t="n">
        <v>43000</v>
      </c>
      <c r="N565" s="39" t="n">
        <v>43000</v>
      </c>
      <c r="S565" s="39" t="n"/>
      <c r="T565" s="39" t="n"/>
      <c r="Y565" s="39" t="n"/>
      <c r="Z565" s="39" t="n"/>
      <c r="AA565" t="inlineStr">
        <is>
          <t>Petronila Tisnado Meneses</t>
        </is>
      </c>
      <c r="AB565" t="inlineStr">
        <is>
          <t>01207150</t>
        </is>
      </c>
      <c r="AC565" t="inlineStr">
        <is>
          <t>Jr. Jose de La Mar Nº 460 Barrio San Josè</t>
        </is>
      </c>
      <c r="AD565" t="n">
        <v>0</v>
      </c>
      <c r="AE565" t="inlineStr">
        <is>
          <t>989735959</t>
        </is>
      </c>
      <c r="AF565" t="inlineStr">
        <is>
          <t>lupequis60@hotmail.com</t>
        </is>
      </c>
      <c r="AG565" t="inlineStr">
        <is>
          <t>PUNO</t>
        </is>
      </c>
      <c r="AH565" t="inlineStr">
        <is>
          <t>PUNO</t>
        </is>
      </c>
      <c r="AI565" s="75" t="n">
        <v>46081</v>
      </c>
      <c r="AJ565" s="75" t="n">
        <v>46044</v>
      </c>
      <c r="AK565" t="inlineStr">
        <is>
          <t>SALDO FINANCIAR</t>
        </is>
      </c>
      <c r="AL565" t="n">
        <v>5</v>
      </c>
      <c r="AM565" t="n">
        <v>14300</v>
      </c>
      <c r="AN565" t="n">
        <v>0</v>
      </c>
      <c r="AO565" t="n">
        <v>0</v>
      </c>
      <c r="AP565" s="39" t="n">
        <v>14300</v>
      </c>
      <c r="AQ565" s="39" t="n">
        <v>14300</v>
      </c>
      <c r="AR565" s="39" t="n">
        <v>0</v>
      </c>
      <c r="AS565" t="n">
        <v>0</v>
      </c>
      <c r="AT565" t="inlineStr">
        <is>
          <t>Crédito Directo</t>
        </is>
      </c>
      <c r="AU565" t="inlineStr">
        <is>
          <t>Scotiabank Perú</t>
        </is>
      </c>
      <c r="AV565" t="inlineStr">
        <is>
          <t>0004071419</t>
        </is>
      </c>
      <c r="AW565" t="inlineStr">
        <is>
          <t>TRANSFERENCIA BANCARIA</t>
        </is>
      </c>
      <c r="AY565" t="inlineStr">
        <is>
          <t>476098</t>
        </is>
      </c>
      <c r="AZ565" t="inlineStr">
        <is>
          <t>Si</t>
        </is>
      </c>
      <c r="BB565" t="n">
        <v>4</v>
      </c>
      <c r="BC565" t="inlineStr">
        <is>
          <t>CANCELADO</t>
        </is>
      </c>
      <c r="BN565" t="inlineStr">
        <is>
          <t>No</t>
        </is>
      </c>
      <c r="BO565" s="76" t="n">
        <v>46178.34305555555</v>
      </c>
      <c r="BP565" t="inlineStr">
        <is>
          <t>Magaly Guevara Perez</t>
        </is>
      </c>
      <c r="BR565" t="n">
        <v>9</v>
      </c>
      <c r="BS565" t="inlineStr">
        <is>
          <t>08/06/2026 11:45</t>
        </is>
      </c>
      <c r="BW565" t="inlineStr">
        <is>
          <t>Cobranzas_2026.csv</t>
        </is>
      </c>
      <c r="BX565" t="n">
        <v>2026</v>
      </c>
      <c r="BY565" t="inlineStr">
        <is>
          <t>01/01/2024</t>
        </is>
      </c>
      <c r="BZ565" t="inlineStr">
        <is>
          <t>30/06/2031</t>
        </is>
      </c>
    </row>
    <row r="566">
      <c r="A566" t="inlineStr">
        <is>
          <t>RESIDENCIAL VENECIA</t>
        </is>
      </c>
      <c r="B566" t="inlineStr">
        <is>
          <t>Etapa 1</t>
        </is>
      </c>
      <c r="C566" t="inlineStr">
        <is>
          <t>Edificio</t>
        </is>
      </c>
      <c r="D566" t="inlineStr">
        <is>
          <t>A</t>
        </is>
      </c>
      <c r="E566" t="inlineStr">
        <is>
          <t>Departamento</t>
        </is>
      </c>
      <c r="F566" t="inlineStr">
        <is>
          <t>405</t>
        </is>
      </c>
      <c r="G566" s="39" t="n">
        <v>392000</v>
      </c>
      <c r="H566" s="39" t="n">
        <v>392000</v>
      </c>
      <c r="I566" t="inlineStr">
        <is>
          <t>Edificio</t>
        </is>
      </c>
      <c r="J566" t="inlineStr">
        <is>
          <t>A</t>
        </is>
      </c>
      <c r="K566" t="inlineStr">
        <is>
          <t>Estacionamiento</t>
        </is>
      </c>
      <c r="L566" t="inlineStr">
        <is>
          <t>E 29 - D 14</t>
        </is>
      </c>
      <c r="M566" s="39" t="n">
        <v>43000</v>
      </c>
      <c r="N566" s="39" t="n">
        <v>43000</v>
      </c>
      <c r="S566" s="39" t="n"/>
      <c r="T566" s="39" t="n"/>
      <c r="Y566" s="39" t="n"/>
      <c r="Z566" s="39" t="n"/>
      <c r="AA566" t="inlineStr">
        <is>
          <t>Petronila Tisnado Meneses</t>
        </is>
      </c>
      <c r="AB566" t="inlineStr">
        <is>
          <t>01207150</t>
        </is>
      </c>
      <c r="AC566" t="inlineStr">
        <is>
          <t>Jr. Jose de La Mar Nº 460 Barrio San Josè</t>
        </is>
      </c>
      <c r="AD566" t="n">
        <v>0</v>
      </c>
      <c r="AE566" t="inlineStr">
        <is>
          <t>989735959</t>
        </is>
      </c>
      <c r="AF566" t="inlineStr">
        <is>
          <t>lupequis60@hotmail.com</t>
        </is>
      </c>
      <c r="AG566" t="inlineStr">
        <is>
          <t>PUNO</t>
        </is>
      </c>
      <c r="AH566" t="inlineStr">
        <is>
          <t>PUNO</t>
        </is>
      </c>
      <c r="AI566" s="75" t="n">
        <v>46112</v>
      </c>
      <c r="AJ566" s="75" t="n">
        <v>46101</v>
      </c>
      <c r="AK566" t="inlineStr">
        <is>
          <t>SALDO FINANCIAR</t>
        </is>
      </c>
      <c r="AL566" t="n">
        <v>6</v>
      </c>
      <c r="AM566" t="n">
        <v>14300</v>
      </c>
      <c r="AN566" t="n">
        <v>0</v>
      </c>
      <c r="AO566" t="n">
        <v>0</v>
      </c>
      <c r="AP566" s="39" t="n">
        <v>14300</v>
      </c>
      <c r="AQ566" s="39" t="n">
        <v>14300</v>
      </c>
      <c r="AR566" s="39" t="n">
        <v>0</v>
      </c>
      <c r="AS566" t="n">
        <v>0</v>
      </c>
      <c r="AT566" t="inlineStr">
        <is>
          <t>Crédito Directo</t>
        </is>
      </c>
      <c r="AU566" t="inlineStr">
        <is>
          <t>Scotiabank Perú</t>
        </is>
      </c>
      <c r="AV566" t="inlineStr">
        <is>
          <t>0004071419</t>
        </is>
      </c>
      <c r="AW566" t="inlineStr">
        <is>
          <t>TRANSFERENCIA BANCARIA</t>
        </is>
      </c>
      <c r="AY566" t="inlineStr">
        <is>
          <t>162237</t>
        </is>
      </c>
      <c r="AZ566" t="inlineStr">
        <is>
          <t>Si</t>
        </is>
      </c>
      <c r="BB566" t="n">
        <v>4</v>
      </c>
      <c r="BC566" t="inlineStr">
        <is>
          <t>CANCELADO</t>
        </is>
      </c>
      <c r="BN566" t="inlineStr">
        <is>
          <t>No</t>
        </is>
      </c>
      <c r="BO566" s="76" t="n">
        <v>46178.34305555555</v>
      </c>
      <c r="BP566" t="inlineStr">
        <is>
          <t>Magaly Guevara Perez</t>
        </is>
      </c>
      <c r="BR566" t="n">
        <v>9</v>
      </c>
      <c r="BS566" t="inlineStr">
        <is>
          <t>08/06/2026 11:46</t>
        </is>
      </c>
      <c r="BW566" t="inlineStr">
        <is>
          <t>Cobranzas_2026.csv</t>
        </is>
      </c>
      <c r="BX566" t="n">
        <v>2026</v>
      </c>
      <c r="BY566" t="inlineStr">
        <is>
          <t>01/01/2024</t>
        </is>
      </c>
      <c r="BZ566" t="inlineStr">
        <is>
          <t>30/06/2031</t>
        </is>
      </c>
    </row>
    <row r="567">
      <c r="A567" t="inlineStr">
        <is>
          <t>RESIDENCIAL VENECIA</t>
        </is>
      </c>
      <c r="B567" t="inlineStr">
        <is>
          <t>Etapa 1</t>
        </is>
      </c>
      <c r="C567" t="inlineStr">
        <is>
          <t>Edificio</t>
        </is>
      </c>
      <c r="D567" t="inlineStr">
        <is>
          <t>A</t>
        </is>
      </c>
      <c r="E567" t="inlineStr">
        <is>
          <t>Departamento</t>
        </is>
      </c>
      <c r="F567" t="inlineStr">
        <is>
          <t>405</t>
        </is>
      </c>
      <c r="G567" s="39" t="n">
        <v>392000</v>
      </c>
      <c r="H567" s="39" t="n">
        <v>392000</v>
      </c>
      <c r="I567" t="inlineStr">
        <is>
          <t>Edificio</t>
        </is>
      </c>
      <c r="J567" t="inlineStr">
        <is>
          <t>A</t>
        </is>
      </c>
      <c r="K567" t="inlineStr">
        <is>
          <t>Estacionamiento</t>
        </is>
      </c>
      <c r="L567" t="inlineStr">
        <is>
          <t>E 29 - D 14</t>
        </is>
      </c>
      <c r="M567" s="39" t="n">
        <v>43000</v>
      </c>
      <c r="N567" s="39" t="n">
        <v>43000</v>
      </c>
      <c r="S567" s="39" t="n"/>
      <c r="T567" s="39" t="n"/>
      <c r="Y567" s="39" t="n"/>
      <c r="Z567" s="39" t="n"/>
      <c r="AA567" t="inlineStr">
        <is>
          <t>Petronila Tisnado Meneses</t>
        </is>
      </c>
      <c r="AB567" t="inlineStr">
        <is>
          <t>01207150</t>
        </is>
      </c>
      <c r="AC567" t="inlineStr">
        <is>
          <t>Jr. Jose de La Mar Nº 460 Barrio San Josè</t>
        </is>
      </c>
      <c r="AD567" t="n">
        <v>0</v>
      </c>
      <c r="AE567" t="inlineStr">
        <is>
          <t>989735959</t>
        </is>
      </c>
      <c r="AF567" t="inlineStr">
        <is>
          <t>lupequis60@hotmail.com</t>
        </is>
      </c>
      <c r="AG567" t="inlineStr">
        <is>
          <t>PUNO</t>
        </is>
      </c>
      <c r="AH567" t="inlineStr">
        <is>
          <t>PUNO</t>
        </is>
      </c>
      <c r="AI567" s="75" t="n">
        <v>46142</v>
      </c>
      <c r="AJ567" s="75" t="n">
        <v>46101</v>
      </c>
      <c r="AK567" t="inlineStr">
        <is>
          <t>SALDO FINANCIAR</t>
        </is>
      </c>
      <c r="AL567" t="n">
        <v>7</v>
      </c>
      <c r="AM567" t="n">
        <v>14300</v>
      </c>
      <c r="AN567" t="n">
        <v>0</v>
      </c>
      <c r="AO567" t="n">
        <v>0</v>
      </c>
      <c r="AP567" s="39" t="n">
        <v>14300</v>
      </c>
      <c r="AQ567" s="39" t="n">
        <v>14300</v>
      </c>
      <c r="AR567" s="39" t="n">
        <v>0</v>
      </c>
      <c r="AS567" t="n">
        <v>0</v>
      </c>
      <c r="AT567" t="inlineStr">
        <is>
          <t>Crédito Directo</t>
        </is>
      </c>
      <c r="AU567" t="inlineStr">
        <is>
          <t>Scotiabank Perú</t>
        </is>
      </c>
      <c r="AV567" t="inlineStr">
        <is>
          <t>0004071419</t>
        </is>
      </c>
      <c r="AW567" t="inlineStr">
        <is>
          <t>TRANSFERENCIA BANCARIA</t>
        </is>
      </c>
      <c r="AY567" t="inlineStr">
        <is>
          <t>162237</t>
        </is>
      </c>
      <c r="AZ567" t="inlineStr">
        <is>
          <t>Si</t>
        </is>
      </c>
      <c r="BB567" t="n">
        <v>4</v>
      </c>
      <c r="BC567" t="inlineStr">
        <is>
          <t>CANCELADO</t>
        </is>
      </c>
      <c r="BN567" t="inlineStr">
        <is>
          <t>No</t>
        </is>
      </c>
      <c r="BO567" s="76" t="n">
        <v>46178.34305555555</v>
      </c>
      <c r="BP567" t="inlineStr">
        <is>
          <t>Magaly Guevara Perez</t>
        </is>
      </c>
      <c r="BR567" t="n">
        <v>9</v>
      </c>
      <c r="BS567" t="inlineStr">
        <is>
          <t>08/06/2026 11:46</t>
        </is>
      </c>
      <c r="BW567" t="inlineStr">
        <is>
          <t>Cobranzas_2026.csv</t>
        </is>
      </c>
      <c r="BX567" t="n">
        <v>2026</v>
      </c>
      <c r="BY567" t="inlineStr">
        <is>
          <t>01/01/2024</t>
        </is>
      </c>
      <c r="BZ567" t="inlineStr">
        <is>
          <t>30/06/2031</t>
        </is>
      </c>
    </row>
    <row r="568">
      <c r="A568" t="inlineStr">
        <is>
          <t>RESIDENCIAL VENECIA</t>
        </is>
      </c>
      <c r="B568" t="inlineStr">
        <is>
          <t>Etapa 1</t>
        </is>
      </c>
      <c r="C568" t="inlineStr">
        <is>
          <t>Edificio</t>
        </is>
      </c>
      <c r="D568" t="inlineStr">
        <is>
          <t>A</t>
        </is>
      </c>
      <c r="E568" t="inlineStr">
        <is>
          <t>Departamento</t>
        </is>
      </c>
      <c r="F568" t="inlineStr">
        <is>
          <t>405</t>
        </is>
      </c>
      <c r="G568" s="39" t="n">
        <v>392000</v>
      </c>
      <c r="H568" s="39" t="n">
        <v>392000</v>
      </c>
      <c r="I568" t="inlineStr">
        <is>
          <t>Edificio</t>
        </is>
      </c>
      <c r="J568" t="inlineStr">
        <is>
          <t>A</t>
        </is>
      </c>
      <c r="K568" t="inlineStr">
        <is>
          <t>Estacionamiento</t>
        </is>
      </c>
      <c r="L568" t="inlineStr">
        <is>
          <t>E 29 - D 14</t>
        </is>
      </c>
      <c r="M568" s="39" t="n">
        <v>43000</v>
      </c>
      <c r="N568" s="39" t="n">
        <v>43000</v>
      </c>
      <c r="S568" s="39" t="n"/>
      <c r="T568" s="39" t="n"/>
      <c r="Y568" s="39" t="n"/>
      <c r="Z568" s="39" t="n"/>
      <c r="AA568" t="inlineStr">
        <is>
          <t>Petronila Tisnado Meneses</t>
        </is>
      </c>
      <c r="AB568" t="inlineStr">
        <is>
          <t>01207150</t>
        </is>
      </c>
      <c r="AC568" t="inlineStr">
        <is>
          <t>Jr. Jose de La Mar Nº 460 Barrio San Josè</t>
        </is>
      </c>
      <c r="AD568" t="n">
        <v>0</v>
      </c>
      <c r="AE568" t="inlineStr">
        <is>
          <t>989735959</t>
        </is>
      </c>
      <c r="AF568" t="inlineStr">
        <is>
          <t>lupequis60@hotmail.com</t>
        </is>
      </c>
      <c r="AG568" t="inlineStr">
        <is>
          <t>PUNO</t>
        </is>
      </c>
      <c r="AH568" t="inlineStr">
        <is>
          <t>PUNO</t>
        </is>
      </c>
      <c r="AI568" s="75" t="n">
        <v>46173</v>
      </c>
      <c r="AJ568" s="75" t="n">
        <v>46164</v>
      </c>
      <c r="AK568" t="inlineStr">
        <is>
          <t>SALDO FINANCIAR</t>
        </is>
      </c>
      <c r="AL568" t="n">
        <v>8</v>
      </c>
      <c r="AM568" t="n">
        <v>14300</v>
      </c>
      <c r="AN568" t="n">
        <v>0</v>
      </c>
      <c r="AO568" t="n">
        <v>0</v>
      </c>
      <c r="AP568" s="39" t="n">
        <v>14300</v>
      </c>
      <c r="AQ568" s="39" t="n">
        <v>14300</v>
      </c>
      <c r="AR568" s="39" t="n">
        <v>0</v>
      </c>
      <c r="AS568" t="n">
        <v>0</v>
      </c>
      <c r="AT568" t="inlineStr">
        <is>
          <t>Crédito Directo</t>
        </is>
      </c>
      <c r="AU568" t="inlineStr">
        <is>
          <t>Scotiabank Perú</t>
        </is>
      </c>
      <c r="AV568" t="inlineStr">
        <is>
          <t>0004071419</t>
        </is>
      </c>
      <c r="AW568" t="inlineStr">
        <is>
          <t>TRANSFERENCIA BANCARIA</t>
        </is>
      </c>
      <c r="AY568" t="inlineStr">
        <is>
          <t>172844</t>
        </is>
      </c>
      <c r="AZ568" t="inlineStr">
        <is>
          <t>Si</t>
        </is>
      </c>
      <c r="BB568" t="n">
        <v>4</v>
      </c>
      <c r="BC568" t="inlineStr">
        <is>
          <t>CANCELADO</t>
        </is>
      </c>
      <c r="BN568" t="inlineStr">
        <is>
          <t>No</t>
        </is>
      </c>
      <c r="BO568" s="76" t="n">
        <v>46178.34305555555</v>
      </c>
      <c r="BP568" t="inlineStr">
        <is>
          <t>Magaly Guevara Perez</t>
        </is>
      </c>
      <c r="BR568" t="n">
        <v>9</v>
      </c>
      <c r="BS568" t="inlineStr">
        <is>
          <t>08/06/2026 11:47</t>
        </is>
      </c>
      <c r="BW568" t="inlineStr">
        <is>
          <t>Cobranzas_2026.csv</t>
        </is>
      </c>
      <c r="BX568" t="n">
        <v>2026</v>
      </c>
      <c r="BY568" t="inlineStr">
        <is>
          <t>01/01/2024</t>
        </is>
      </c>
      <c r="BZ568" t="inlineStr">
        <is>
          <t>30/06/2031</t>
        </is>
      </c>
    </row>
    <row r="569">
      <c r="A569" t="inlineStr">
        <is>
          <t>RESIDENCIAL VENECIA</t>
        </is>
      </c>
      <c r="B569" t="inlineStr">
        <is>
          <t>Etapa 1</t>
        </is>
      </c>
      <c r="C569" t="inlineStr">
        <is>
          <t>Edificio</t>
        </is>
      </c>
      <c r="D569" t="inlineStr">
        <is>
          <t>A</t>
        </is>
      </c>
      <c r="E569" t="inlineStr">
        <is>
          <t>Departamento</t>
        </is>
      </c>
      <c r="F569" t="inlineStr">
        <is>
          <t>405</t>
        </is>
      </c>
      <c r="G569" s="39" t="n">
        <v>392000</v>
      </c>
      <c r="H569" s="39" t="n">
        <v>392000</v>
      </c>
      <c r="I569" t="inlineStr">
        <is>
          <t>Edificio</t>
        </is>
      </c>
      <c r="J569" t="inlineStr">
        <is>
          <t>A</t>
        </is>
      </c>
      <c r="K569" t="inlineStr">
        <is>
          <t>Estacionamiento</t>
        </is>
      </c>
      <c r="L569" t="inlineStr">
        <is>
          <t>E 29 - D 14</t>
        </is>
      </c>
      <c r="M569" s="39" t="n">
        <v>43000</v>
      </c>
      <c r="N569" s="39" t="n">
        <v>43000</v>
      </c>
      <c r="S569" s="39" t="n"/>
      <c r="T569" s="39" t="n"/>
      <c r="Y569" s="39" t="n"/>
      <c r="Z569" s="39" t="n"/>
      <c r="AA569" t="inlineStr">
        <is>
          <t>Petronila Tisnado Meneses</t>
        </is>
      </c>
      <c r="AB569" t="inlineStr">
        <is>
          <t>01207150</t>
        </is>
      </c>
      <c r="AC569" t="inlineStr">
        <is>
          <t>Jr. Jose de La Mar Nº 460 Barrio San Josè</t>
        </is>
      </c>
      <c r="AD569" t="n">
        <v>0</v>
      </c>
      <c r="AE569" t="inlineStr">
        <is>
          <t>989735959</t>
        </is>
      </c>
      <c r="AF569" t="inlineStr">
        <is>
          <t>lupequis60@hotmail.com</t>
        </is>
      </c>
      <c r="AG569" t="inlineStr">
        <is>
          <t>PUNO</t>
        </is>
      </c>
      <c r="AH569" t="inlineStr">
        <is>
          <t>PUNO</t>
        </is>
      </c>
      <c r="AI569" s="75" t="n">
        <v>46203</v>
      </c>
      <c r="AJ569" s="75" t="n">
        <v>46164</v>
      </c>
      <c r="AK569" t="inlineStr">
        <is>
          <t>SALDO FINANCIAR</t>
        </is>
      </c>
      <c r="AL569" t="n">
        <v>9</v>
      </c>
      <c r="AM569" t="n">
        <v>14300</v>
      </c>
      <c r="AN569" t="n">
        <v>0</v>
      </c>
      <c r="AO569" t="n">
        <v>0</v>
      </c>
      <c r="AP569" s="39" t="n">
        <v>14300</v>
      </c>
      <c r="AQ569" s="39" t="n">
        <v>14300</v>
      </c>
      <c r="AR569" s="39" t="n">
        <v>0</v>
      </c>
      <c r="AS569" t="n">
        <v>0</v>
      </c>
      <c r="AT569" t="inlineStr">
        <is>
          <t>Crédito Directo</t>
        </is>
      </c>
      <c r="AU569" t="inlineStr">
        <is>
          <t>Scotiabank Perú</t>
        </is>
      </c>
      <c r="AV569" t="inlineStr">
        <is>
          <t>0004071419</t>
        </is>
      </c>
      <c r="AW569" t="inlineStr">
        <is>
          <t>TRANSFERENCIA BANCARIA</t>
        </is>
      </c>
      <c r="AY569" t="inlineStr">
        <is>
          <t>172844</t>
        </is>
      </c>
      <c r="AZ569" t="inlineStr">
        <is>
          <t>Si</t>
        </is>
      </c>
      <c r="BB569" t="n">
        <v>4</v>
      </c>
      <c r="BC569" t="inlineStr">
        <is>
          <t>CANCELADO</t>
        </is>
      </c>
      <c r="BN569" t="inlineStr">
        <is>
          <t>No</t>
        </is>
      </c>
      <c r="BO569" s="76" t="n">
        <v>46178.34305555555</v>
      </c>
      <c r="BP569" t="inlineStr">
        <is>
          <t>Magaly Guevara Perez</t>
        </is>
      </c>
      <c r="BR569" t="n">
        <v>9</v>
      </c>
      <c r="BS569" t="inlineStr">
        <is>
          <t>08/06/2026 11:47</t>
        </is>
      </c>
      <c r="BW569" t="inlineStr">
        <is>
          <t>Cobranzas_2026.csv</t>
        </is>
      </c>
      <c r="BX569" t="n">
        <v>2026</v>
      </c>
      <c r="BY569" t="inlineStr">
        <is>
          <t>01/01/2024</t>
        </is>
      </c>
      <c r="BZ569" t="inlineStr">
        <is>
          <t>30/06/2031</t>
        </is>
      </c>
    </row>
    <row r="570">
      <c r="A570" t="inlineStr">
        <is>
          <t>RESIDENCIAL VENECIA</t>
        </is>
      </c>
      <c r="B570" t="inlineStr">
        <is>
          <t>Etapa 1</t>
        </is>
      </c>
      <c r="C570" t="inlineStr">
        <is>
          <t>Edificio</t>
        </is>
      </c>
      <c r="D570" t="inlineStr">
        <is>
          <t>A</t>
        </is>
      </c>
      <c r="E570" t="inlineStr">
        <is>
          <t>Departamento</t>
        </is>
      </c>
      <c r="F570" t="inlineStr">
        <is>
          <t>405</t>
        </is>
      </c>
      <c r="G570" s="39" t="n">
        <v>392000</v>
      </c>
      <c r="H570" s="39" t="n">
        <v>392000</v>
      </c>
      <c r="I570" t="inlineStr">
        <is>
          <t>Edificio</t>
        </is>
      </c>
      <c r="J570" t="inlineStr">
        <is>
          <t>A</t>
        </is>
      </c>
      <c r="K570" t="inlineStr">
        <is>
          <t>Estacionamiento</t>
        </is>
      </c>
      <c r="L570" t="inlineStr">
        <is>
          <t>E 29 - D 14</t>
        </is>
      </c>
      <c r="M570" s="39" t="n">
        <v>43000</v>
      </c>
      <c r="N570" s="39" t="n">
        <v>43000</v>
      </c>
      <c r="S570" s="39" t="n"/>
      <c r="T570" s="39" t="n"/>
      <c r="Y570" s="39" t="n"/>
      <c r="Z570" s="39" t="n"/>
      <c r="AA570" t="inlineStr">
        <is>
          <t>Petronila Tisnado Meneses</t>
        </is>
      </c>
      <c r="AB570" t="inlineStr">
        <is>
          <t>01207150</t>
        </is>
      </c>
      <c r="AC570" t="inlineStr">
        <is>
          <t>Jr. Jose de La Mar Nº 460 Barrio San Josè</t>
        </is>
      </c>
      <c r="AD570" t="n">
        <v>0</v>
      </c>
      <c r="AE570" t="inlineStr">
        <is>
          <t>989735959</t>
        </is>
      </c>
      <c r="AF570" t="inlineStr">
        <is>
          <t>lupequis60@hotmail.com</t>
        </is>
      </c>
      <c r="AG570" t="inlineStr">
        <is>
          <t>PUNO</t>
        </is>
      </c>
      <c r="AH570" t="inlineStr">
        <is>
          <t>PUNO</t>
        </is>
      </c>
      <c r="AI570" s="75" t="n">
        <v>46234</v>
      </c>
      <c r="AJ570" s="75" t="n"/>
      <c r="AK570" t="inlineStr">
        <is>
          <t>SALDO FINANCIAR</t>
        </is>
      </c>
      <c r="AL570" t="n">
        <v>10</v>
      </c>
      <c r="AM570" t="n">
        <v>14300</v>
      </c>
      <c r="AN570" t="n">
        <v>0</v>
      </c>
      <c r="AO570" t="n">
        <v>0</v>
      </c>
      <c r="AP570" s="39" t="n">
        <v>14300</v>
      </c>
      <c r="AQ570" s="39" t="n">
        <v>0</v>
      </c>
      <c r="AR570" s="39" t="n">
        <v>14300</v>
      </c>
      <c r="AT570" t="inlineStr">
        <is>
          <t>Crédito Directo</t>
        </is>
      </c>
      <c r="AZ570" t="inlineStr">
        <is>
          <t>No</t>
        </is>
      </c>
      <c r="BC570" t="inlineStr">
        <is>
          <t>PENDIENTE</t>
        </is>
      </c>
      <c r="BN570" t="inlineStr">
        <is>
          <t>No</t>
        </is>
      </c>
      <c r="BO570" s="76" t="n">
        <v>46178.34305555555</v>
      </c>
      <c r="BP570" t="inlineStr">
        <is>
          <t>Magaly Guevara Perez</t>
        </is>
      </c>
      <c r="BR570" t="n">
        <v>9</v>
      </c>
      <c r="BW570" t="inlineStr">
        <is>
          <t>Cobranzas_2026.csv</t>
        </is>
      </c>
      <c r="BX570" t="n">
        <v>2026</v>
      </c>
      <c r="BY570" t="inlineStr">
        <is>
          <t>01/01/2024</t>
        </is>
      </c>
      <c r="BZ570" t="inlineStr">
        <is>
          <t>30/06/2031</t>
        </is>
      </c>
    </row>
    <row r="571">
      <c r="A571" t="inlineStr">
        <is>
          <t>RESIDENCIAL VENECIA</t>
        </is>
      </c>
      <c r="B571" t="inlineStr">
        <is>
          <t>Etapa 1</t>
        </is>
      </c>
      <c r="C571" t="inlineStr">
        <is>
          <t>Edificio</t>
        </is>
      </c>
      <c r="D571" t="inlineStr">
        <is>
          <t>A</t>
        </is>
      </c>
      <c r="E571" t="inlineStr">
        <is>
          <t>Departamento</t>
        </is>
      </c>
      <c r="F571" t="inlineStr">
        <is>
          <t>405</t>
        </is>
      </c>
      <c r="G571" s="39" t="n">
        <v>392000</v>
      </c>
      <c r="H571" s="39" t="n">
        <v>392000</v>
      </c>
      <c r="I571" t="inlineStr">
        <is>
          <t>Edificio</t>
        </is>
      </c>
      <c r="J571" t="inlineStr">
        <is>
          <t>A</t>
        </is>
      </c>
      <c r="K571" t="inlineStr">
        <is>
          <t>Estacionamiento</t>
        </is>
      </c>
      <c r="L571" t="inlineStr">
        <is>
          <t>E 29 - D 14</t>
        </is>
      </c>
      <c r="M571" s="39" t="n">
        <v>43000</v>
      </c>
      <c r="N571" s="39" t="n">
        <v>43000</v>
      </c>
      <c r="S571" s="39" t="n"/>
      <c r="T571" s="39" t="n"/>
      <c r="Y571" s="39" t="n"/>
      <c r="Z571" s="39" t="n"/>
      <c r="AA571" t="inlineStr">
        <is>
          <t>Petronila Tisnado Meneses</t>
        </is>
      </c>
      <c r="AB571" t="inlineStr">
        <is>
          <t>01207150</t>
        </is>
      </c>
      <c r="AC571" t="inlineStr">
        <is>
          <t>Jr. Jose de La Mar Nº 460 Barrio San Josè</t>
        </is>
      </c>
      <c r="AD571" t="n">
        <v>0</v>
      </c>
      <c r="AE571" t="inlineStr">
        <is>
          <t>989735959</t>
        </is>
      </c>
      <c r="AF571" t="inlineStr">
        <is>
          <t>lupequis60@hotmail.com</t>
        </is>
      </c>
      <c r="AG571" t="inlineStr">
        <is>
          <t>PUNO</t>
        </is>
      </c>
      <c r="AH571" t="inlineStr">
        <is>
          <t>PUNO</t>
        </is>
      </c>
      <c r="AI571" s="75" t="n">
        <v>46265</v>
      </c>
      <c r="AJ571" s="75" t="n"/>
      <c r="AK571" t="inlineStr">
        <is>
          <t>SALDO FINANCIAR</t>
        </is>
      </c>
      <c r="AL571" t="n">
        <v>11</v>
      </c>
      <c r="AM571" t="n">
        <v>14300</v>
      </c>
      <c r="AN571" t="n">
        <v>0</v>
      </c>
      <c r="AO571" t="n">
        <v>0</v>
      </c>
      <c r="AP571" s="39" t="n">
        <v>14300</v>
      </c>
      <c r="AQ571" s="39" t="n">
        <v>0</v>
      </c>
      <c r="AR571" s="39" t="n">
        <v>14300</v>
      </c>
      <c r="AT571" t="inlineStr">
        <is>
          <t>Crédito Directo</t>
        </is>
      </c>
      <c r="AZ571" t="inlineStr">
        <is>
          <t>No</t>
        </is>
      </c>
      <c r="BC571" t="inlineStr">
        <is>
          <t>PENDIENTE</t>
        </is>
      </c>
      <c r="BN571" t="inlineStr">
        <is>
          <t>No</t>
        </is>
      </c>
      <c r="BO571" s="76" t="n">
        <v>46178.34305555555</v>
      </c>
      <c r="BP571" t="inlineStr">
        <is>
          <t>Magaly Guevara Perez</t>
        </is>
      </c>
      <c r="BR571" t="n">
        <v>9</v>
      </c>
      <c r="BW571" t="inlineStr">
        <is>
          <t>Cobranzas_2026.csv</t>
        </is>
      </c>
      <c r="BX571" t="n">
        <v>2026</v>
      </c>
      <c r="BY571" t="inlineStr">
        <is>
          <t>01/01/2024</t>
        </is>
      </c>
      <c r="BZ571" t="inlineStr">
        <is>
          <t>30/06/2031</t>
        </is>
      </c>
    </row>
    <row r="572">
      <c r="A572" t="inlineStr">
        <is>
          <t>RESIDENCIAL VENECIA</t>
        </is>
      </c>
      <c r="B572" t="inlineStr">
        <is>
          <t>Etapa 1</t>
        </is>
      </c>
      <c r="C572" t="inlineStr">
        <is>
          <t>Edificio</t>
        </is>
      </c>
      <c r="D572" t="inlineStr">
        <is>
          <t>A</t>
        </is>
      </c>
      <c r="E572" t="inlineStr">
        <is>
          <t>Departamento</t>
        </is>
      </c>
      <c r="F572" t="inlineStr">
        <is>
          <t>405</t>
        </is>
      </c>
      <c r="G572" s="39" t="n">
        <v>392000</v>
      </c>
      <c r="H572" s="39" t="n">
        <v>392000</v>
      </c>
      <c r="I572" t="inlineStr">
        <is>
          <t>Edificio</t>
        </is>
      </c>
      <c r="J572" t="inlineStr">
        <is>
          <t>A</t>
        </is>
      </c>
      <c r="K572" t="inlineStr">
        <is>
          <t>Estacionamiento</t>
        </is>
      </c>
      <c r="L572" t="inlineStr">
        <is>
          <t>E 29 - D 14</t>
        </is>
      </c>
      <c r="M572" s="39" t="n">
        <v>43000</v>
      </c>
      <c r="N572" s="39" t="n">
        <v>43000</v>
      </c>
      <c r="S572" s="39" t="n"/>
      <c r="T572" s="39" t="n"/>
      <c r="Y572" s="39" t="n"/>
      <c r="Z572" s="39" t="n"/>
      <c r="AA572" t="inlineStr">
        <is>
          <t>Petronila Tisnado Meneses</t>
        </is>
      </c>
      <c r="AB572" t="inlineStr">
        <is>
          <t>01207150</t>
        </is>
      </c>
      <c r="AC572" t="inlineStr">
        <is>
          <t>Jr. Jose de La Mar Nº 460 Barrio San Josè</t>
        </is>
      </c>
      <c r="AD572" t="n">
        <v>0</v>
      </c>
      <c r="AE572" t="inlineStr">
        <is>
          <t>989735959</t>
        </is>
      </c>
      <c r="AF572" t="inlineStr">
        <is>
          <t>lupequis60@hotmail.com</t>
        </is>
      </c>
      <c r="AG572" t="inlineStr">
        <is>
          <t>PUNO</t>
        </is>
      </c>
      <c r="AH572" t="inlineStr">
        <is>
          <t>PUNO</t>
        </is>
      </c>
      <c r="AI572" s="75" t="n">
        <v>46295</v>
      </c>
      <c r="AJ572" s="75" t="n"/>
      <c r="AK572" t="inlineStr">
        <is>
          <t>SALDO FINANCIAR</t>
        </is>
      </c>
      <c r="AL572" t="n">
        <v>12</v>
      </c>
      <c r="AM572" t="n">
        <v>14300</v>
      </c>
      <c r="AN572" t="n">
        <v>0</v>
      </c>
      <c r="AO572" t="n">
        <v>0</v>
      </c>
      <c r="AP572" s="39" t="n">
        <v>14300</v>
      </c>
      <c r="AQ572" s="39" t="n">
        <v>0</v>
      </c>
      <c r="AR572" s="39" t="n">
        <v>14300</v>
      </c>
      <c r="AT572" t="inlineStr">
        <is>
          <t>Crédito Directo</t>
        </is>
      </c>
      <c r="AZ572" t="inlineStr">
        <is>
          <t>No</t>
        </is>
      </c>
      <c r="BC572" t="inlineStr">
        <is>
          <t>PENDIENTE</t>
        </is>
      </c>
      <c r="BN572" t="inlineStr">
        <is>
          <t>No</t>
        </is>
      </c>
      <c r="BO572" s="76" t="n">
        <v>46178.34305555555</v>
      </c>
      <c r="BP572" t="inlineStr">
        <is>
          <t>Magaly Guevara Perez</t>
        </is>
      </c>
      <c r="BR572" t="n">
        <v>9</v>
      </c>
      <c r="BW572" t="inlineStr">
        <is>
          <t>Cobranzas_2026.csv</t>
        </is>
      </c>
      <c r="BX572" t="n">
        <v>2026</v>
      </c>
      <c r="BY572" t="inlineStr">
        <is>
          <t>01/01/2024</t>
        </is>
      </c>
      <c r="BZ572" t="inlineStr">
        <is>
          <t>30/06/2031</t>
        </is>
      </c>
    </row>
    <row r="573">
      <c r="A573" t="inlineStr">
        <is>
          <t>RESIDENCIAL VENECIA</t>
        </is>
      </c>
      <c r="B573" t="inlineStr">
        <is>
          <t>Etapa 1</t>
        </is>
      </c>
      <c r="C573" t="inlineStr">
        <is>
          <t>Edificio</t>
        </is>
      </c>
      <c r="D573" t="inlineStr">
        <is>
          <t>A</t>
        </is>
      </c>
      <c r="E573" t="inlineStr">
        <is>
          <t>Departamento</t>
        </is>
      </c>
      <c r="F573" t="inlineStr">
        <is>
          <t>405</t>
        </is>
      </c>
      <c r="G573" s="39" t="n">
        <v>392000</v>
      </c>
      <c r="H573" s="39" t="n">
        <v>392000</v>
      </c>
      <c r="I573" t="inlineStr">
        <is>
          <t>Edificio</t>
        </is>
      </c>
      <c r="J573" t="inlineStr">
        <is>
          <t>A</t>
        </is>
      </c>
      <c r="K573" t="inlineStr">
        <is>
          <t>Estacionamiento</t>
        </is>
      </c>
      <c r="L573" t="inlineStr">
        <is>
          <t>E 29 - D 14</t>
        </is>
      </c>
      <c r="M573" s="39" t="n">
        <v>43000</v>
      </c>
      <c r="N573" s="39" t="n">
        <v>43000</v>
      </c>
      <c r="S573" s="39" t="n"/>
      <c r="T573" s="39" t="n"/>
      <c r="Y573" s="39" t="n"/>
      <c r="Z573" s="39" t="n"/>
      <c r="AA573" t="inlineStr">
        <is>
          <t>Petronila Tisnado Meneses</t>
        </is>
      </c>
      <c r="AB573" t="inlineStr">
        <is>
          <t>01207150</t>
        </is>
      </c>
      <c r="AC573" t="inlineStr">
        <is>
          <t>Jr. Jose de La Mar Nº 460 Barrio San Josè</t>
        </is>
      </c>
      <c r="AD573" t="n">
        <v>0</v>
      </c>
      <c r="AE573" t="inlineStr">
        <is>
          <t>989735959</t>
        </is>
      </c>
      <c r="AF573" t="inlineStr">
        <is>
          <t>lupequis60@hotmail.com</t>
        </is>
      </c>
      <c r="AG573" t="inlineStr">
        <is>
          <t>PUNO</t>
        </is>
      </c>
      <c r="AH573" t="inlineStr">
        <is>
          <t>PUNO</t>
        </is>
      </c>
      <c r="AI573" s="75" t="n">
        <v>46326</v>
      </c>
      <c r="AJ573" s="75" t="n"/>
      <c r="AK573" t="inlineStr">
        <is>
          <t>SALDO FINANCIAR</t>
        </is>
      </c>
      <c r="AL573" t="n">
        <v>13</v>
      </c>
      <c r="AM573" t="n">
        <v>14300</v>
      </c>
      <c r="AN573" t="n">
        <v>0</v>
      </c>
      <c r="AO573" t="n">
        <v>0</v>
      </c>
      <c r="AP573" s="39" t="n">
        <v>14300</v>
      </c>
      <c r="AQ573" s="39" t="n">
        <v>0</v>
      </c>
      <c r="AR573" s="39" t="n">
        <v>14300</v>
      </c>
      <c r="AT573" t="inlineStr">
        <is>
          <t>Crédito Directo</t>
        </is>
      </c>
      <c r="AZ573" t="inlineStr">
        <is>
          <t>No</t>
        </is>
      </c>
      <c r="BC573" t="inlineStr">
        <is>
          <t>PENDIENTE</t>
        </is>
      </c>
      <c r="BN573" t="inlineStr">
        <is>
          <t>No</t>
        </is>
      </c>
      <c r="BO573" s="76" t="n">
        <v>46178.34305555555</v>
      </c>
      <c r="BP573" t="inlineStr">
        <is>
          <t>Magaly Guevara Perez</t>
        </is>
      </c>
      <c r="BR573" t="n">
        <v>9</v>
      </c>
      <c r="BW573" t="inlineStr">
        <is>
          <t>Cobranzas_2026.csv</t>
        </is>
      </c>
      <c r="BX573" t="n">
        <v>2026</v>
      </c>
      <c r="BY573" t="inlineStr">
        <is>
          <t>01/01/2024</t>
        </is>
      </c>
      <c r="BZ573" t="inlineStr">
        <is>
          <t>30/06/2031</t>
        </is>
      </c>
    </row>
    <row r="574">
      <c r="A574" t="inlineStr">
        <is>
          <t>RESIDENCIAL VENECIA</t>
        </is>
      </c>
      <c r="B574" t="inlineStr">
        <is>
          <t>Etapa 1</t>
        </is>
      </c>
      <c r="C574" t="inlineStr">
        <is>
          <t>Edificio</t>
        </is>
      </c>
      <c r="D574" t="inlineStr">
        <is>
          <t>A</t>
        </is>
      </c>
      <c r="E574" t="inlineStr">
        <is>
          <t>Departamento</t>
        </is>
      </c>
      <c r="F574" t="inlineStr">
        <is>
          <t>405</t>
        </is>
      </c>
      <c r="G574" s="39" t="n">
        <v>392000</v>
      </c>
      <c r="H574" s="39" t="n">
        <v>392000</v>
      </c>
      <c r="I574" t="inlineStr">
        <is>
          <t>Edificio</t>
        </is>
      </c>
      <c r="J574" t="inlineStr">
        <is>
          <t>A</t>
        </is>
      </c>
      <c r="K574" t="inlineStr">
        <is>
          <t>Estacionamiento</t>
        </is>
      </c>
      <c r="L574" t="inlineStr">
        <is>
          <t>E 29 - D 14</t>
        </is>
      </c>
      <c r="M574" s="39" t="n">
        <v>43000</v>
      </c>
      <c r="N574" s="39" t="n">
        <v>43000</v>
      </c>
      <c r="S574" s="39" t="n"/>
      <c r="T574" s="39" t="n"/>
      <c r="Y574" s="39" t="n"/>
      <c r="Z574" s="39" t="n"/>
      <c r="AA574" t="inlineStr">
        <is>
          <t>Petronila Tisnado Meneses</t>
        </is>
      </c>
      <c r="AB574" t="inlineStr">
        <is>
          <t>01207150</t>
        </is>
      </c>
      <c r="AC574" t="inlineStr">
        <is>
          <t>Jr. Jose de La Mar Nº 460 Barrio San Josè</t>
        </is>
      </c>
      <c r="AD574" t="n">
        <v>0</v>
      </c>
      <c r="AE574" t="inlineStr">
        <is>
          <t>989735959</t>
        </is>
      </c>
      <c r="AF574" t="inlineStr">
        <is>
          <t>lupequis60@hotmail.com</t>
        </is>
      </c>
      <c r="AG574" t="inlineStr">
        <is>
          <t>PUNO</t>
        </is>
      </c>
      <c r="AH574" t="inlineStr">
        <is>
          <t>PUNO</t>
        </is>
      </c>
      <c r="AI574" s="75" t="n">
        <v>46356</v>
      </c>
      <c r="AJ574" s="75" t="n"/>
      <c r="AK574" t="inlineStr">
        <is>
          <t>SALDO FINANCIAR</t>
        </is>
      </c>
      <c r="AL574" t="n">
        <v>14</v>
      </c>
      <c r="AM574" t="n">
        <v>14300</v>
      </c>
      <c r="AN574" t="n">
        <v>0</v>
      </c>
      <c r="AO574" t="n">
        <v>0</v>
      </c>
      <c r="AP574" s="39" t="n">
        <v>14300</v>
      </c>
      <c r="AQ574" s="39" t="n">
        <v>0</v>
      </c>
      <c r="AR574" s="39" t="n">
        <v>14300</v>
      </c>
      <c r="AT574" t="inlineStr">
        <is>
          <t>Crédito Directo</t>
        </is>
      </c>
      <c r="AZ574" t="inlineStr">
        <is>
          <t>No</t>
        </is>
      </c>
      <c r="BC574" t="inlineStr">
        <is>
          <t>PENDIENTE</t>
        </is>
      </c>
      <c r="BN574" t="inlineStr">
        <is>
          <t>No</t>
        </is>
      </c>
      <c r="BO574" s="76" t="n">
        <v>46178.34305555555</v>
      </c>
      <c r="BP574" t="inlineStr">
        <is>
          <t>Magaly Guevara Perez</t>
        </is>
      </c>
      <c r="BR574" t="n">
        <v>9</v>
      </c>
      <c r="BW574" t="inlineStr">
        <is>
          <t>Cobranzas_2026.csv</t>
        </is>
      </c>
      <c r="BX574" t="n">
        <v>2026</v>
      </c>
      <c r="BY574" t="inlineStr">
        <is>
          <t>01/01/2024</t>
        </is>
      </c>
      <c r="BZ574" t="inlineStr">
        <is>
          <t>30/06/2031</t>
        </is>
      </c>
    </row>
    <row r="575">
      <c r="A575" t="inlineStr">
        <is>
          <t>RESIDENCIAL VENECIA</t>
        </is>
      </c>
      <c r="B575" t="inlineStr">
        <is>
          <t>Etapa 1</t>
        </is>
      </c>
      <c r="C575" t="inlineStr">
        <is>
          <t>Edificio</t>
        </is>
      </c>
      <c r="D575" t="inlineStr">
        <is>
          <t>A</t>
        </is>
      </c>
      <c r="E575" t="inlineStr">
        <is>
          <t>Departamento</t>
        </is>
      </c>
      <c r="F575" t="inlineStr">
        <is>
          <t>405</t>
        </is>
      </c>
      <c r="G575" s="39" t="n">
        <v>392000</v>
      </c>
      <c r="H575" s="39" t="n">
        <v>392000</v>
      </c>
      <c r="I575" t="inlineStr">
        <is>
          <t>Edificio</t>
        </is>
      </c>
      <c r="J575" t="inlineStr">
        <is>
          <t>A</t>
        </is>
      </c>
      <c r="K575" t="inlineStr">
        <is>
          <t>Estacionamiento</t>
        </is>
      </c>
      <c r="L575" t="inlineStr">
        <is>
          <t>E 29 - D 14</t>
        </is>
      </c>
      <c r="M575" s="39" t="n">
        <v>43000</v>
      </c>
      <c r="N575" s="39" t="n">
        <v>43000</v>
      </c>
      <c r="S575" s="39" t="n"/>
      <c r="T575" s="39" t="n"/>
      <c r="Y575" s="39" t="n"/>
      <c r="Z575" s="39" t="n"/>
      <c r="AA575" t="inlineStr">
        <is>
          <t>Petronila Tisnado Meneses</t>
        </is>
      </c>
      <c r="AB575" t="inlineStr">
        <is>
          <t>01207150</t>
        </is>
      </c>
      <c r="AC575" t="inlineStr">
        <is>
          <t>Jr. Jose de La Mar Nº 460 Barrio San Josè</t>
        </is>
      </c>
      <c r="AD575" t="n">
        <v>0</v>
      </c>
      <c r="AE575" t="inlineStr">
        <is>
          <t>989735959</t>
        </is>
      </c>
      <c r="AF575" t="inlineStr">
        <is>
          <t>lupequis60@hotmail.com</t>
        </is>
      </c>
      <c r="AG575" t="inlineStr">
        <is>
          <t>PUNO</t>
        </is>
      </c>
      <c r="AH575" t="inlineStr">
        <is>
          <t>PUNO</t>
        </is>
      </c>
      <c r="AI575" s="75" t="n">
        <v>46387</v>
      </c>
      <c r="AJ575" s="75" t="n"/>
      <c r="AK575" t="inlineStr">
        <is>
          <t>SALDO FINANCIAR</t>
        </is>
      </c>
      <c r="AL575" t="n">
        <v>15</v>
      </c>
      <c r="AM575" t="n">
        <v>14300</v>
      </c>
      <c r="AN575" t="n">
        <v>0</v>
      </c>
      <c r="AO575" t="n">
        <v>0</v>
      </c>
      <c r="AP575" s="39" t="n">
        <v>14300</v>
      </c>
      <c r="AQ575" s="39" t="n">
        <v>0</v>
      </c>
      <c r="AR575" s="39" t="n">
        <v>14300</v>
      </c>
      <c r="AT575" t="inlineStr">
        <is>
          <t>Crédito Directo</t>
        </is>
      </c>
      <c r="AZ575" t="inlineStr">
        <is>
          <t>No</t>
        </is>
      </c>
      <c r="BC575" t="inlineStr">
        <is>
          <t>PENDIENTE</t>
        </is>
      </c>
      <c r="BN575" t="inlineStr">
        <is>
          <t>No</t>
        </is>
      </c>
      <c r="BO575" s="76" t="n">
        <v>46178.34305555555</v>
      </c>
      <c r="BP575" t="inlineStr">
        <is>
          <t>Magaly Guevara Perez</t>
        </is>
      </c>
      <c r="BR575" t="n">
        <v>9</v>
      </c>
      <c r="BW575" t="inlineStr">
        <is>
          <t>Cobranzas_2026.csv</t>
        </is>
      </c>
      <c r="BX575" t="n">
        <v>2026</v>
      </c>
      <c r="BY575" t="inlineStr">
        <is>
          <t>01/01/2024</t>
        </is>
      </c>
      <c r="BZ575" t="inlineStr">
        <is>
          <t>30/06/2031</t>
        </is>
      </c>
    </row>
    <row r="576">
      <c r="A576" t="inlineStr">
        <is>
          <t>RESIDENCIAL VENECIA</t>
        </is>
      </c>
      <c r="B576" t="inlineStr">
        <is>
          <t>Etapa 1</t>
        </is>
      </c>
      <c r="C576" t="inlineStr">
        <is>
          <t>Edificio</t>
        </is>
      </c>
      <c r="D576" t="inlineStr">
        <is>
          <t>A</t>
        </is>
      </c>
      <c r="E576" t="inlineStr">
        <is>
          <t>Departamento</t>
        </is>
      </c>
      <c r="F576" t="inlineStr">
        <is>
          <t>705</t>
        </is>
      </c>
      <c r="G576" s="39" t="n">
        <v>442000</v>
      </c>
      <c r="H576" s="39" t="n">
        <v>416000</v>
      </c>
      <c r="M576" s="39" t="n"/>
      <c r="N576" s="39" t="n"/>
      <c r="S576" s="39" t="n"/>
      <c r="T576" s="39" t="n"/>
      <c r="Y576" s="39" t="n"/>
      <c r="Z576" s="39" t="n"/>
      <c r="AA576" t="inlineStr">
        <is>
          <t>RENZO VALDERRAMA REYES</t>
        </is>
      </c>
      <c r="AB576" t="inlineStr">
        <is>
          <t>45416570</t>
        </is>
      </c>
      <c r="AC576" t="inlineStr">
        <is>
          <t>Jr. Almudena 194</t>
        </is>
      </c>
      <c r="AD576" t="n">
        <v>0</v>
      </c>
      <c r="AE576" t="inlineStr">
        <is>
          <t>932290459</t>
        </is>
      </c>
      <c r="AF576" t="inlineStr">
        <is>
          <t>rvalderrama2488@hotmail.com</t>
        </is>
      </c>
      <c r="AG576" t="inlineStr">
        <is>
          <t>LIMA</t>
        </is>
      </c>
      <c r="AH576" t="inlineStr">
        <is>
          <t>SAN LUIS</t>
        </is>
      </c>
      <c r="AI576" s="75" t="n">
        <v>46158</v>
      </c>
      <c r="AJ576" s="75" t="n">
        <v>46158</v>
      </c>
      <c r="AK576" t="inlineStr">
        <is>
          <t>SEPARACION</t>
        </is>
      </c>
      <c r="AL576" t="n">
        <v>1</v>
      </c>
      <c r="AM576" t="n">
        <v>3000</v>
      </c>
      <c r="AN576" t="n">
        <v>0</v>
      </c>
      <c r="AO576" t="n">
        <v>0</v>
      </c>
      <c r="AP576" s="39" t="n">
        <v>3000</v>
      </c>
      <c r="AQ576" s="39" t="n">
        <v>3000</v>
      </c>
      <c r="AR576" s="39" t="n">
        <v>0</v>
      </c>
      <c r="AS576" t="n">
        <v>0</v>
      </c>
      <c r="AT576" t="inlineStr">
        <is>
          <t>Crédito Hipotecario</t>
        </is>
      </c>
      <c r="AU576" t="inlineStr">
        <is>
          <t>Scotiabank Perú</t>
        </is>
      </c>
      <c r="AV576" t="inlineStr">
        <is>
          <t>0004071419</t>
        </is>
      </c>
      <c r="AW576" t="inlineStr">
        <is>
          <t>TRANSFERENCIA BANCARIA</t>
        </is>
      </c>
      <c r="AY576" t="inlineStr">
        <is>
          <t>7844655550510</t>
        </is>
      </c>
      <c r="AZ576" t="inlineStr">
        <is>
          <t>No</t>
        </is>
      </c>
      <c r="BB576" t="n">
        <v>4</v>
      </c>
      <c r="BC576" t="inlineStr">
        <is>
          <t>CANCELADO</t>
        </is>
      </c>
      <c r="BN576" t="inlineStr">
        <is>
          <t>Si</t>
        </is>
      </c>
      <c r="BO576" s="76" t="n">
        <v>46185.57291666666</v>
      </c>
      <c r="BP576" t="inlineStr">
        <is>
          <t xml:space="preserve">Glenda Solano </t>
        </is>
      </c>
      <c r="BR576" t="n">
        <v>18</v>
      </c>
      <c r="BS576" t="inlineStr">
        <is>
          <t>16/05/2026 19:32</t>
        </is>
      </c>
      <c r="BW576" t="inlineStr">
        <is>
          <t>Cobranzas_2026.csv</t>
        </is>
      </c>
      <c r="BX576" t="n">
        <v>2026</v>
      </c>
      <c r="BY576" t="inlineStr">
        <is>
          <t>01/01/2024</t>
        </is>
      </c>
      <c r="BZ576" t="inlineStr">
        <is>
          <t>30/06/2031</t>
        </is>
      </c>
    </row>
    <row r="577">
      <c r="A577" t="inlineStr">
        <is>
          <t>RESIDENCIAL VENECIA</t>
        </is>
      </c>
      <c r="B577" t="inlineStr">
        <is>
          <t>Etapa 1</t>
        </is>
      </c>
      <c r="C577" t="inlineStr">
        <is>
          <t>Edificio</t>
        </is>
      </c>
      <c r="D577" t="inlineStr">
        <is>
          <t>A</t>
        </is>
      </c>
      <c r="E577" t="inlineStr">
        <is>
          <t>Departamento</t>
        </is>
      </c>
      <c r="F577" t="inlineStr">
        <is>
          <t>705</t>
        </is>
      </c>
      <c r="G577" s="39" t="n">
        <v>442000</v>
      </c>
      <c r="H577" s="39" t="n">
        <v>416000</v>
      </c>
      <c r="M577" s="39" t="n"/>
      <c r="N577" s="39" t="n"/>
      <c r="S577" s="39" t="n"/>
      <c r="T577" s="39" t="n"/>
      <c r="Y577" s="39" t="n"/>
      <c r="Z577" s="39" t="n"/>
      <c r="AA577" t="inlineStr">
        <is>
          <t>RENZO VALDERRAMA REYES</t>
        </is>
      </c>
      <c r="AB577" t="inlineStr">
        <is>
          <t>45416570</t>
        </is>
      </c>
      <c r="AC577" t="inlineStr">
        <is>
          <t>Jr. Almudena 194</t>
        </is>
      </c>
      <c r="AD577" t="n">
        <v>0</v>
      </c>
      <c r="AE577" t="inlineStr">
        <is>
          <t>932290459</t>
        </is>
      </c>
      <c r="AF577" t="inlineStr">
        <is>
          <t>rvalderrama2488@hotmail.com</t>
        </is>
      </c>
      <c r="AG577" t="inlineStr">
        <is>
          <t>LIMA</t>
        </is>
      </c>
      <c r="AH577" t="inlineStr">
        <is>
          <t>SAN LUIS</t>
        </is>
      </c>
      <c r="AI577" s="75" t="n">
        <v>46185</v>
      </c>
      <c r="AJ577" s="75" t="n">
        <v>46185</v>
      </c>
      <c r="AK577" t="inlineStr">
        <is>
          <t>CUOTA INICIAL</t>
        </is>
      </c>
      <c r="AL577" t="n">
        <v>1</v>
      </c>
      <c r="AM577" t="n">
        <v>23400</v>
      </c>
      <c r="AN577" t="n">
        <v>0</v>
      </c>
      <c r="AO577" t="n">
        <v>0</v>
      </c>
      <c r="AP577" s="39" t="n">
        <v>23400</v>
      </c>
      <c r="AQ577" s="39" t="n">
        <v>23400</v>
      </c>
      <c r="AR577" s="39" t="n">
        <v>0</v>
      </c>
      <c r="AS577" t="n">
        <v>0</v>
      </c>
      <c r="AT577" t="inlineStr">
        <is>
          <t>Crédito Hipotecario</t>
        </is>
      </c>
      <c r="AU577" t="inlineStr">
        <is>
          <t>Scotiabank Perú</t>
        </is>
      </c>
      <c r="AV577" t="inlineStr">
        <is>
          <t>0004071419</t>
        </is>
      </c>
      <c r="AW577" t="inlineStr">
        <is>
          <t>TRANSFERENCIA BANCARIA</t>
        </is>
      </c>
      <c r="AY577" t="inlineStr">
        <is>
          <t>395586</t>
        </is>
      </c>
      <c r="AZ577" t="inlineStr">
        <is>
          <t>No</t>
        </is>
      </c>
      <c r="BB577" t="n">
        <v>4</v>
      </c>
      <c r="BC577" t="inlineStr">
        <is>
          <t>CANCELADO</t>
        </is>
      </c>
      <c r="BN577" t="inlineStr">
        <is>
          <t>Si</t>
        </is>
      </c>
      <c r="BO577" s="76" t="n">
        <v>46185.57291666666</v>
      </c>
      <c r="BP577" t="inlineStr">
        <is>
          <t xml:space="preserve">Glenda Solano </t>
        </is>
      </c>
      <c r="BR577" t="n">
        <v>18</v>
      </c>
      <c r="BS577" t="inlineStr">
        <is>
          <t>02/07/2026 13:43</t>
        </is>
      </c>
      <c r="BW577" t="inlineStr">
        <is>
          <t>Cobranzas_2026.csv</t>
        </is>
      </c>
      <c r="BX577" t="n">
        <v>2026</v>
      </c>
      <c r="BY577" t="inlineStr">
        <is>
          <t>01/01/2024</t>
        </is>
      </c>
      <c r="BZ577" t="inlineStr">
        <is>
          <t>30/06/2031</t>
        </is>
      </c>
    </row>
    <row r="578">
      <c r="A578" t="inlineStr">
        <is>
          <t>RESIDENCIAL VENECIA</t>
        </is>
      </c>
      <c r="B578" t="inlineStr">
        <is>
          <t>Etapa 1</t>
        </is>
      </c>
      <c r="C578" t="inlineStr">
        <is>
          <t>Edificio</t>
        </is>
      </c>
      <c r="D578" t="inlineStr">
        <is>
          <t>A</t>
        </is>
      </c>
      <c r="E578" t="inlineStr">
        <is>
          <t>Departamento</t>
        </is>
      </c>
      <c r="F578" t="inlineStr">
        <is>
          <t>705</t>
        </is>
      </c>
      <c r="G578" s="39" t="n">
        <v>442000</v>
      </c>
      <c r="H578" s="39" t="n">
        <v>416000</v>
      </c>
      <c r="M578" s="39" t="n"/>
      <c r="N578" s="39" t="n"/>
      <c r="S578" s="39" t="n"/>
      <c r="T578" s="39" t="n"/>
      <c r="Y578" s="39" t="n"/>
      <c r="Z578" s="39" t="n"/>
      <c r="AA578" t="inlineStr">
        <is>
          <t>RENZO VALDERRAMA REYES</t>
        </is>
      </c>
      <c r="AB578" t="inlineStr">
        <is>
          <t>45416570</t>
        </is>
      </c>
      <c r="AC578" t="inlineStr">
        <is>
          <t>Jr. Almudena 194</t>
        </is>
      </c>
      <c r="AD578" t="n">
        <v>0</v>
      </c>
      <c r="AE578" t="inlineStr">
        <is>
          <t>932290459</t>
        </is>
      </c>
      <c r="AF578" t="inlineStr">
        <is>
          <t>rvalderrama2488@hotmail.com</t>
        </is>
      </c>
      <c r="AG578" t="inlineStr">
        <is>
          <t>LIMA</t>
        </is>
      </c>
      <c r="AH578" t="inlineStr">
        <is>
          <t>SAN LUIS</t>
        </is>
      </c>
      <c r="AI578" s="75" t="n">
        <v>46356</v>
      </c>
      <c r="AJ578" s="75" t="n"/>
      <c r="AK578" t="inlineStr">
        <is>
          <t>CUOTA INICIAL</t>
        </is>
      </c>
      <c r="AL578" t="n">
        <v>2</v>
      </c>
      <c r="AM578" t="n">
        <v>15200</v>
      </c>
      <c r="AN578" t="n">
        <v>0</v>
      </c>
      <c r="AO578" t="n">
        <v>0</v>
      </c>
      <c r="AP578" s="39" t="n">
        <v>15200</v>
      </c>
      <c r="AQ578" s="39" t="n">
        <v>0</v>
      </c>
      <c r="AR578" s="39" t="n">
        <v>15200</v>
      </c>
      <c r="AT578" t="inlineStr">
        <is>
          <t>Crédito Hipotecario</t>
        </is>
      </c>
      <c r="AZ578" t="inlineStr">
        <is>
          <t>No</t>
        </is>
      </c>
      <c r="BC578" t="inlineStr">
        <is>
          <t>PENDIENTE</t>
        </is>
      </c>
      <c r="BN578" t="inlineStr">
        <is>
          <t>No</t>
        </is>
      </c>
      <c r="BO578" s="76" t="n">
        <v>46185.57291666666</v>
      </c>
      <c r="BP578" t="inlineStr">
        <is>
          <t xml:space="preserve">Glenda Solano </t>
        </is>
      </c>
      <c r="BR578" t="n">
        <v>18</v>
      </c>
      <c r="BW578" t="inlineStr">
        <is>
          <t>Cobranzas_2026.csv</t>
        </is>
      </c>
      <c r="BX578" t="n">
        <v>2026</v>
      </c>
      <c r="BY578" t="inlineStr">
        <is>
          <t>01/01/2024</t>
        </is>
      </c>
      <c r="BZ578" t="inlineStr">
        <is>
          <t>30/06/2031</t>
        </is>
      </c>
    </row>
    <row r="579">
      <c r="A579" t="inlineStr">
        <is>
          <t>RESIDENCIAL VENECIA</t>
        </is>
      </c>
      <c r="B579" t="inlineStr">
        <is>
          <t>Etapa 1</t>
        </is>
      </c>
      <c r="C579" t="inlineStr">
        <is>
          <t>Edificio</t>
        </is>
      </c>
      <c r="D579" t="inlineStr">
        <is>
          <t>A</t>
        </is>
      </c>
      <c r="E579" t="inlineStr">
        <is>
          <t>Departamento</t>
        </is>
      </c>
      <c r="F579" t="inlineStr">
        <is>
          <t>705</t>
        </is>
      </c>
      <c r="G579" s="39" t="n">
        <v>442000</v>
      </c>
      <c r="H579" s="39" t="n">
        <v>416000</v>
      </c>
      <c r="M579" s="39" t="n"/>
      <c r="N579" s="39" t="n"/>
      <c r="S579" s="39" t="n"/>
      <c r="T579" s="39" t="n"/>
      <c r="Y579" s="39" t="n"/>
      <c r="Z579" s="39" t="n"/>
      <c r="AA579" t="inlineStr">
        <is>
          <t>RENZO VALDERRAMA REYES</t>
        </is>
      </c>
      <c r="AB579" t="inlineStr">
        <is>
          <t>45416570</t>
        </is>
      </c>
      <c r="AC579" t="inlineStr">
        <is>
          <t>Jr. Almudena 194</t>
        </is>
      </c>
      <c r="AD579" t="n">
        <v>0</v>
      </c>
      <c r="AE579" t="inlineStr">
        <is>
          <t>932290459</t>
        </is>
      </c>
      <c r="AF579" t="inlineStr">
        <is>
          <t>rvalderrama2488@hotmail.com</t>
        </is>
      </c>
      <c r="AG579" t="inlineStr">
        <is>
          <t>LIMA</t>
        </is>
      </c>
      <c r="AH579" t="inlineStr">
        <is>
          <t>SAN LUIS</t>
        </is>
      </c>
      <c r="AI579" s="75" t="n">
        <v>46387</v>
      </c>
      <c r="AJ579" s="75" t="n"/>
      <c r="AK579" t="inlineStr">
        <is>
          <t>SALDO FINANCIAR</t>
        </is>
      </c>
      <c r="AL579" t="n">
        <v>1</v>
      </c>
      <c r="AM579" t="n">
        <v>374400</v>
      </c>
      <c r="AN579" t="n">
        <v>0</v>
      </c>
      <c r="AO579" t="n">
        <v>0</v>
      </c>
      <c r="AP579" s="39" t="n">
        <v>374400</v>
      </c>
      <c r="AQ579" s="39" t="n">
        <v>0</v>
      </c>
      <c r="AR579" s="39" t="n">
        <v>374400</v>
      </c>
      <c r="AT579" t="inlineStr">
        <is>
          <t>Crédito Hipotecario</t>
        </is>
      </c>
      <c r="AZ579" t="inlineStr">
        <is>
          <t>No</t>
        </is>
      </c>
      <c r="BC579" t="inlineStr">
        <is>
          <t>PENDIENTE</t>
        </is>
      </c>
      <c r="BN579" t="inlineStr">
        <is>
          <t>No</t>
        </is>
      </c>
      <c r="BO579" s="76" t="n">
        <v>46185.57291666666</v>
      </c>
      <c r="BP579" t="inlineStr">
        <is>
          <t xml:space="preserve">Glenda Solano </t>
        </is>
      </c>
      <c r="BR579" t="n">
        <v>18</v>
      </c>
      <c r="BW579" t="inlineStr">
        <is>
          <t>Cobranzas_2026.csv</t>
        </is>
      </c>
      <c r="BX579" t="n">
        <v>2026</v>
      </c>
      <c r="BY579" t="inlineStr">
        <is>
          <t>01/01/2024</t>
        </is>
      </c>
      <c r="BZ579" t="inlineStr">
        <is>
          <t>30/06/2031</t>
        </is>
      </c>
    </row>
    <row r="580">
      <c r="A580" t="inlineStr">
        <is>
          <t>RESIDENCIAL PRADA</t>
        </is>
      </c>
      <c r="B580" t="inlineStr">
        <is>
          <t>Etapa 1</t>
        </is>
      </c>
      <c r="C580" t="inlineStr">
        <is>
          <t>Edificio</t>
        </is>
      </c>
      <c r="D580" t="inlineStr">
        <is>
          <t>A</t>
        </is>
      </c>
      <c r="E580" t="inlineStr">
        <is>
          <t>Departamento</t>
        </is>
      </c>
      <c r="F580" t="inlineStr">
        <is>
          <t>804</t>
        </is>
      </c>
      <c r="G580" s="39" t="n">
        <v>478700</v>
      </c>
      <c r="H580" s="39" t="n">
        <v>417000</v>
      </c>
      <c r="I580" t="inlineStr">
        <is>
          <t>Edificio</t>
        </is>
      </c>
      <c r="J580" t="inlineStr">
        <is>
          <t>A</t>
        </is>
      </c>
      <c r="K580" t="inlineStr">
        <is>
          <t>Estacionamiento</t>
        </is>
      </c>
      <c r="L580" t="inlineStr">
        <is>
          <t>E 42 - D 33</t>
        </is>
      </c>
      <c r="M580" s="39" t="n">
        <v>61000</v>
      </c>
      <c r="N580" s="39" t="n">
        <v>61000</v>
      </c>
      <c r="S580" s="39" t="n"/>
      <c r="T580" s="39" t="n"/>
      <c r="Y580" s="39" t="n"/>
      <c r="Z580" s="39" t="n"/>
      <c r="AA580" t="inlineStr">
        <is>
          <t>RICARDO DANIEL ESPINOZA ANCHAYGUA</t>
        </is>
      </c>
      <c r="AB580" t="inlineStr">
        <is>
          <t>71229453</t>
        </is>
      </c>
      <c r="AC580" t="inlineStr">
        <is>
          <t>CALLE CALESA</t>
        </is>
      </c>
      <c r="AD580" t="n">
        <v>0</v>
      </c>
      <c r="AE580" t="inlineStr">
        <is>
          <t>999698265</t>
        </is>
      </c>
      <c r="AF580" t="inlineStr">
        <is>
          <t>RMENDOZA@GMAIL.COM</t>
        </is>
      </c>
      <c r="AG580" t="inlineStr">
        <is>
          <t>LIMA</t>
        </is>
      </c>
      <c r="AH580" t="inlineStr">
        <is>
          <t>LA MOLINA</t>
        </is>
      </c>
      <c r="AI580" s="75" t="n">
        <v>46159</v>
      </c>
      <c r="AJ580" s="75" t="n">
        <v>46159</v>
      </c>
      <c r="AK580" t="inlineStr">
        <is>
          <t>SEPARACION</t>
        </is>
      </c>
      <c r="AL580" t="n">
        <v>1</v>
      </c>
      <c r="AM580" t="n">
        <v>3000</v>
      </c>
      <c r="AN580" t="n">
        <v>0</v>
      </c>
      <c r="AO580" t="n">
        <v>0</v>
      </c>
      <c r="AP580" s="39" t="n">
        <v>3000</v>
      </c>
      <c r="AQ580" s="39" t="n">
        <v>3000</v>
      </c>
      <c r="AR580" s="39" t="n">
        <v>0</v>
      </c>
      <c r="AS580" t="n">
        <v>0</v>
      </c>
      <c r="AT580" t="inlineStr">
        <is>
          <t>Crédito Hipotecario</t>
        </is>
      </c>
      <c r="AU580" t="inlineStr">
        <is>
          <t>Scotiabank Perú</t>
        </is>
      </c>
      <c r="AV580" t="inlineStr">
        <is>
          <t>000-2768484</t>
        </is>
      </c>
      <c r="AW580" t="inlineStr">
        <is>
          <t>TRANSFERENCIA BANCARIA</t>
        </is>
      </c>
      <c r="AY580" t="inlineStr">
        <is>
          <t>184</t>
        </is>
      </c>
      <c r="AZ580" t="inlineStr">
        <is>
          <t>No</t>
        </is>
      </c>
      <c r="BB580" t="n">
        <v>4</v>
      </c>
      <c r="BC580" t="inlineStr">
        <is>
          <t>CANCELADO</t>
        </is>
      </c>
      <c r="BN580" t="inlineStr">
        <is>
          <t>Si</t>
        </is>
      </c>
      <c r="BO580" s="76" t="n">
        <v>46172.70694444444</v>
      </c>
      <c r="BP580" t="inlineStr">
        <is>
          <t xml:space="preserve">Glenda Solano </t>
        </is>
      </c>
      <c r="BR580" t="n">
        <v>30</v>
      </c>
      <c r="BS580" t="inlineStr">
        <is>
          <t>26/06/2026 14:18</t>
        </is>
      </c>
      <c r="BW580" t="inlineStr">
        <is>
          <t>Cobranzas_2026.csv</t>
        </is>
      </c>
      <c r="BX580" t="n">
        <v>2026</v>
      </c>
      <c r="BY580" t="inlineStr">
        <is>
          <t>01/01/2024</t>
        </is>
      </c>
      <c r="BZ580" t="inlineStr">
        <is>
          <t>30/06/2031</t>
        </is>
      </c>
    </row>
    <row r="581">
      <c r="A581" t="inlineStr">
        <is>
          <t>RESIDENCIAL PRADA</t>
        </is>
      </c>
      <c r="B581" t="inlineStr">
        <is>
          <t>Etapa 1</t>
        </is>
      </c>
      <c r="C581" t="inlineStr">
        <is>
          <t>Edificio</t>
        </is>
      </c>
      <c r="D581" t="inlineStr">
        <is>
          <t>A</t>
        </is>
      </c>
      <c r="E581" t="inlineStr">
        <is>
          <t>Departamento</t>
        </is>
      </c>
      <c r="F581" t="inlineStr">
        <is>
          <t>804</t>
        </is>
      </c>
      <c r="G581" s="39" t="n">
        <v>478700</v>
      </c>
      <c r="H581" s="39" t="n">
        <v>417000</v>
      </c>
      <c r="I581" t="inlineStr">
        <is>
          <t>Edificio</t>
        </is>
      </c>
      <c r="J581" t="inlineStr">
        <is>
          <t>A</t>
        </is>
      </c>
      <c r="K581" t="inlineStr">
        <is>
          <t>Estacionamiento</t>
        </is>
      </c>
      <c r="L581" t="inlineStr">
        <is>
          <t>E 42 - D 33</t>
        </is>
      </c>
      <c r="M581" s="39" t="n">
        <v>61000</v>
      </c>
      <c r="N581" s="39" t="n">
        <v>61000</v>
      </c>
      <c r="S581" s="39" t="n"/>
      <c r="T581" s="39" t="n"/>
      <c r="Y581" s="39" t="n"/>
      <c r="Z581" s="39" t="n"/>
      <c r="AA581" t="inlineStr">
        <is>
          <t>RICARDO DANIEL ESPINOZA ANCHAYGUA</t>
        </is>
      </c>
      <c r="AB581" t="inlineStr">
        <is>
          <t>71229453</t>
        </is>
      </c>
      <c r="AC581" t="inlineStr">
        <is>
          <t>CALLE CALESA</t>
        </is>
      </c>
      <c r="AD581" t="n">
        <v>0</v>
      </c>
      <c r="AE581" t="inlineStr">
        <is>
          <t>999698265</t>
        </is>
      </c>
      <c r="AF581" t="inlineStr">
        <is>
          <t>RMENDOZA@GMAIL.COM</t>
        </is>
      </c>
      <c r="AG581" t="inlineStr">
        <is>
          <t>LIMA</t>
        </is>
      </c>
      <c r="AH581" t="inlineStr">
        <is>
          <t>LA MOLINA</t>
        </is>
      </c>
      <c r="AI581" s="75" t="n">
        <v>46172</v>
      </c>
      <c r="AJ581" s="75" t="n">
        <v>46170</v>
      </c>
      <c r="AK581" t="inlineStr">
        <is>
          <t>CUOTA INICIAL</t>
        </is>
      </c>
      <c r="AL581" t="n">
        <v>1</v>
      </c>
      <c r="AM581" t="n">
        <v>47000</v>
      </c>
      <c r="AN581" t="n">
        <v>0</v>
      </c>
      <c r="AO581" t="n">
        <v>0</v>
      </c>
      <c r="AP581" s="39" t="n">
        <v>47000</v>
      </c>
      <c r="AQ581" s="39" t="n">
        <v>10000</v>
      </c>
      <c r="AR581" s="39" t="n">
        <v>0</v>
      </c>
      <c r="AS581" t="n">
        <v>0</v>
      </c>
      <c r="AT581" t="inlineStr">
        <is>
          <t>Crédito Hipotecario</t>
        </is>
      </c>
      <c r="AU581" t="inlineStr">
        <is>
          <t>Scotiabank Perú</t>
        </is>
      </c>
      <c r="AV581" t="inlineStr">
        <is>
          <t>000-2768484</t>
        </is>
      </c>
      <c r="AW581" t="inlineStr">
        <is>
          <t>TRANSFERENCIA BANCARIA</t>
        </is>
      </c>
      <c r="AY581" t="inlineStr">
        <is>
          <t>7844655545806</t>
        </is>
      </c>
      <c r="AZ581" t="inlineStr">
        <is>
          <t>No</t>
        </is>
      </c>
      <c r="BB581" t="n">
        <v>4</v>
      </c>
      <c r="BC581" t="inlineStr">
        <is>
          <t>CANCELADO</t>
        </is>
      </c>
      <c r="BN581" t="inlineStr">
        <is>
          <t>Si</t>
        </is>
      </c>
      <c r="BO581" s="76" t="n">
        <v>46172.70694444444</v>
      </c>
      <c r="BP581" t="inlineStr">
        <is>
          <t xml:space="preserve">Glenda Solano </t>
        </is>
      </c>
      <c r="BR581" t="n">
        <v>30</v>
      </c>
      <c r="BS581" t="inlineStr">
        <is>
          <t>26/06/2026 14:20</t>
        </is>
      </c>
      <c r="BW581" t="inlineStr">
        <is>
          <t>Cobranzas_2026.csv</t>
        </is>
      </c>
      <c r="BX581" t="n">
        <v>2026</v>
      </c>
      <c r="BY581" t="inlineStr">
        <is>
          <t>01/01/2024</t>
        </is>
      </c>
      <c r="BZ581" t="inlineStr">
        <is>
          <t>30/06/2031</t>
        </is>
      </c>
    </row>
    <row r="582">
      <c r="A582" t="inlineStr">
        <is>
          <t>RESIDENCIAL PRADA</t>
        </is>
      </c>
      <c r="B582" t="inlineStr">
        <is>
          <t>Etapa 1</t>
        </is>
      </c>
      <c r="C582" t="inlineStr">
        <is>
          <t>Edificio</t>
        </is>
      </c>
      <c r="D582" t="inlineStr">
        <is>
          <t>A</t>
        </is>
      </c>
      <c r="E582" t="inlineStr">
        <is>
          <t>Departamento</t>
        </is>
      </c>
      <c r="F582" t="inlineStr">
        <is>
          <t>804</t>
        </is>
      </c>
      <c r="G582" s="39" t="n">
        <v>478700</v>
      </c>
      <c r="H582" s="39" t="n">
        <v>417000</v>
      </c>
      <c r="I582" t="inlineStr">
        <is>
          <t>Edificio</t>
        </is>
      </c>
      <c r="J582" t="inlineStr">
        <is>
          <t>A</t>
        </is>
      </c>
      <c r="K582" t="inlineStr">
        <is>
          <t>Estacionamiento</t>
        </is>
      </c>
      <c r="L582" t="inlineStr">
        <is>
          <t>E 42 - D 33</t>
        </is>
      </c>
      <c r="M582" s="39" t="n">
        <v>61000</v>
      </c>
      <c r="N582" s="39" t="n">
        <v>61000</v>
      </c>
      <c r="S582" s="39" t="n"/>
      <c r="T582" s="39" t="n"/>
      <c r="Y582" s="39" t="n"/>
      <c r="Z582" s="39" t="n"/>
      <c r="AA582" t="inlineStr">
        <is>
          <t>RICARDO DANIEL ESPINOZA ANCHAYGUA</t>
        </is>
      </c>
      <c r="AB582" t="inlineStr">
        <is>
          <t>71229453</t>
        </is>
      </c>
      <c r="AC582" t="inlineStr">
        <is>
          <t>CALLE CALESA</t>
        </is>
      </c>
      <c r="AD582" t="n">
        <v>0</v>
      </c>
      <c r="AE582" t="inlineStr">
        <is>
          <t>999698265</t>
        </is>
      </c>
      <c r="AF582" t="inlineStr">
        <is>
          <t>RMENDOZA@GMAIL.COM</t>
        </is>
      </c>
      <c r="AG582" t="inlineStr">
        <is>
          <t>LIMA</t>
        </is>
      </c>
      <c r="AH582" t="inlineStr">
        <is>
          <t>LA MOLINA</t>
        </is>
      </c>
      <c r="AI582" s="75" t="n">
        <v>46172</v>
      </c>
      <c r="AJ582" s="75" t="n">
        <v>46170</v>
      </c>
      <c r="AK582" t="inlineStr">
        <is>
          <t>CUOTA INICIAL</t>
        </is>
      </c>
      <c r="AL582" t="n">
        <v>1</v>
      </c>
      <c r="AM582" t="n">
        <v>0</v>
      </c>
      <c r="AN582" t="n">
        <v>0</v>
      </c>
      <c r="AO582" t="n">
        <v>0</v>
      </c>
      <c r="AP582" s="39" t="n">
        <v>0</v>
      </c>
      <c r="AQ582" s="39" t="n">
        <v>20000</v>
      </c>
      <c r="AR582" s="39" t="n">
        <v>0</v>
      </c>
      <c r="AS582" t="n">
        <v>0</v>
      </c>
      <c r="AT582" t="inlineStr">
        <is>
          <t>Crédito Hipotecario</t>
        </is>
      </c>
      <c r="AU582" t="inlineStr">
        <is>
          <t>Scotiabank Perú</t>
        </is>
      </c>
      <c r="AV582" t="inlineStr">
        <is>
          <t>000-2768484</t>
        </is>
      </c>
      <c r="AW582" t="inlineStr">
        <is>
          <t>TRANSFERENCIA BANCARIA</t>
        </is>
      </c>
      <c r="AY582" t="inlineStr">
        <is>
          <t>7844655545781</t>
        </is>
      </c>
      <c r="AZ582" t="inlineStr">
        <is>
          <t>No</t>
        </is>
      </c>
      <c r="BB582" t="n">
        <v>4</v>
      </c>
      <c r="BC582" t="inlineStr">
        <is>
          <t>CANCELADO</t>
        </is>
      </c>
      <c r="BN582" t="inlineStr">
        <is>
          <t>Si</t>
        </is>
      </c>
      <c r="BO582" s="76" t="n">
        <v>46172.70694444444</v>
      </c>
      <c r="BP582" t="inlineStr">
        <is>
          <t xml:space="preserve">Glenda Solano </t>
        </is>
      </c>
      <c r="BR582" t="n">
        <v>30</v>
      </c>
      <c r="BS582" t="inlineStr">
        <is>
          <t>26/06/2026 14:21</t>
        </is>
      </c>
      <c r="BW582" t="inlineStr">
        <is>
          <t>Cobranzas_2026.csv</t>
        </is>
      </c>
      <c r="BX582" t="n">
        <v>2026</v>
      </c>
      <c r="BY582" t="inlineStr">
        <is>
          <t>01/01/2024</t>
        </is>
      </c>
      <c r="BZ582" t="inlineStr">
        <is>
          <t>30/06/2031</t>
        </is>
      </c>
    </row>
    <row r="583">
      <c r="A583" t="inlineStr">
        <is>
          <t>RESIDENCIAL PRADA</t>
        </is>
      </c>
      <c r="B583" t="inlineStr">
        <is>
          <t>Etapa 1</t>
        </is>
      </c>
      <c r="C583" t="inlineStr">
        <is>
          <t>Edificio</t>
        </is>
      </c>
      <c r="D583" t="inlineStr">
        <is>
          <t>A</t>
        </is>
      </c>
      <c r="E583" t="inlineStr">
        <is>
          <t>Departamento</t>
        </is>
      </c>
      <c r="F583" t="inlineStr">
        <is>
          <t>804</t>
        </is>
      </c>
      <c r="G583" s="39" t="n">
        <v>478700</v>
      </c>
      <c r="H583" s="39" t="n">
        <v>417000</v>
      </c>
      <c r="I583" t="inlineStr">
        <is>
          <t>Edificio</t>
        </is>
      </c>
      <c r="J583" t="inlineStr">
        <is>
          <t>A</t>
        </is>
      </c>
      <c r="K583" t="inlineStr">
        <is>
          <t>Estacionamiento</t>
        </is>
      </c>
      <c r="L583" t="inlineStr">
        <is>
          <t>E 42 - D 33</t>
        </is>
      </c>
      <c r="M583" s="39" t="n">
        <v>61000</v>
      </c>
      <c r="N583" s="39" t="n">
        <v>61000</v>
      </c>
      <c r="S583" s="39" t="n"/>
      <c r="T583" s="39" t="n"/>
      <c r="Y583" s="39" t="n"/>
      <c r="Z583" s="39" t="n"/>
      <c r="AA583" t="inlineStr">
        <is>
          <t>RICARDO DANIEL ESPINOZA ANCHAYGUA</t>
        </is>
      </c>
      <c r="AB583" t="inlineStr">
        <is>
          <t>71229453</t>
        </is>
      </c>
      <c r="AC583" t="inlineStr">
        <is>
          <t>CALLE CALESA</t>
        </is>
      </c>
      <c r="AD583" t="n">
        <v>0</v>
      </c>
      <c r="AE583" t="inlineStr">
        <is>
          <t>999698265</t>
        </is>
      </c>
      <c r="AF583" t="inlineStr">
        <is>
          <t>RMENDOZA@GMAIL.COM</t>
        </is>
      </c>
      <c r="AG583" t="inlineStr">
        <is>
          <t>LIMA</t>
        </is>
      </c>
      <c r="AH583" t="inlineStr">
        <is>
          <t>LA MOLINA</t>
        </is>
      </c>
      <c r="AI583" s="75" t="n">
        <v>46172</v>
      </c>
      <c r="AJ583" s="75" t="n">
        <v>46171</v>
      </c>
      <c r="AK583" t="inlineStr">
        <is>
          <t>CUOTA INICIAL</t>
        </is>
      </c>
      <c r="AL583" t="n">
        <v>1</v>
      </c>
      <c r="AM583" t="n">
        <v>0</v>
      </c>
      <c r="AN583" t="n">
        <v>0</v>
      </c>
      <c r="AO583" t="n">
        <v>0</v>
      </c>
      <c r="AP583" s="39" t="n">
        <v>0</v>
      </c>
      <c r="AQ583" s="39" t="n">
        <v>17000</v>
      </c>
      <c r="AR583" s="39" t="n">
        <v>0</v>
      </c>
      <c r="AS583" t="n">
        <v>0</v>
      </c>
      <c r="AT583" t="inlineStr">
        <is>
          <t>Crédito Hipotecario</t>
        </is>
      </c>
      <c r="AU583" t="inlineStr">
        <is>
          <t>Scotiabank Perú</t>
        </is>
      </c>
      <c r="AV583" t="inlineStr">
        <is>
          <t>000-2768484</t>
        </is>
      </c>
      <c r="AW583" t="inlineStr">
        <is>
          <t>TRANSFERENCIA BANCARIA</t>
        </is>
      </c>
      <c r="AY583" t="inlineStr">
        <is>
          <t>7844655524245</t>
        </is>
      </c>
      <c r="AZ583" t="inlineStr">
        <is>
          <t>No</t>
        </is>
      </c>
      <c r="BB583" t="n">
        <v>4</v>
      </c>
      <c r="BC583" t="inlineStr">
        <is>
          <t>CANCELADO</t>
        </is>
      </c>
      <c r="BN583" t="inlineStr">
        <is>
          <t>Si</t>
        </is>
      </c>
      <c r="BO583" s="76" t="n">
        <v>46172.70694444444</v>
      </c>
      <c r="BP583" t="inlineStr">
        <is>
          <t xml:space="preserve">Glenda Solano </t>
        </is>
      </c>
      <c r="BR583" t="n">
        <v>30</v>
      </c>
      <c r="BS583" t="inlineStr">
        <is>
          <t>26/06/2026 14:22</t>
        </is>
      </c>
      <c r="BW583" t="inlineStr">
        <is>
          <t>Cobranzas_2026.csv</t>
        </is>
      </c>
      <c r="BX583" t="n">
        <v>2026</v>
      </c>
      <c r="BY583" t="inlineStr">
        <is>
          <t>01/01/2024</t>
        </is>
      </c>
      <c r="BZ583" t="inlineStr">
        <is>
          <t>30/06/2031</t>
        </is>
      </c>
    </row>
    <row r="584">
      <c r="A584" t="inlineStr">
        <is>
          <t>RESIDENCIAL PRADA</t>
        </is>
      </c>
      <c r="B584" t="inlineStr">
        <is>
          <t>Etapa 1</t>
        </is>
      </c>
      <c r="C584" t="inlineStr">
        <is>
          <t>Edificio</t>
        </is>
      </c>
      <c r="D584" t="inlineStr">
        <is>
          <t>A</t>
        </is>
      </c>
      <c r="E584" t="inlineStr">
        <is>
          <t>Departamento</t>
        </is>
      </c>
      <c r="F584" t="inlineStr">
        <is>
          <t>804</t>
        </is>
      </c>
      <c r="G584" s="39" t="n">
        <v>478700</v>
      </c>
      <c r="H584" s="39" t="n">
        <v>417000</v>
      </c>
      <c r="I584" t="inlineStr">
        <is>
          <t>Edificio</t>
        </is>
      </c>
      <c r="J584" t="inlineStr">
        <is>
          <t>A</t>
        </is>
      </c>
      <c r="K584" t="inlineStr">
        <is>
          <t>Estacionamiento</t>
        </is>
      </c>
      <c r="L584" t="inlineStr">
        <is>
          <t>E 42 - D 33</t>
        </is>
      </c>
      <c r="M584" s="39" t="n">
        <v>61000</v>
      </c>
      <c r="N584" s="39" t="n">
        <v>61000</v>
      </c>
      <c r="S584" s="39" t="n"/>
      <c r="T584" s="39" t="n"/>
      <c r="Y584" s="39" t="n"/>
      <c r="Z584" s="39" t="n"/>
      <c r="AA584" t="inlineStr">
        <is>
          <t>RICARDO DANIEL ESPINOZA ANCHAYGUA</t>
        </is>
      </c>
      <c r="AB584" t="inlineStr">
        <is>
          <t>71229453</t>
        </is>
      </c>
      <c r="AC584" t="inlineStr">
        <is>
          <t>CALLE CALESA</t>
        </is>
      </c>
      <c r="AD584" t="n">
        <v>0</v>
      </c>
      <c r="AE584" t="inlineStr">
        <is>
          <t>999698265</t>
        </is>
      </c>
      <c r="AF584" t="inlineStr">
        <is>
          <t>RMENDOZA@GMAIL.COM</t>
        </is>
      </c>
      <c r="AG584" t="inlineStr">
        <is>
          <t>LIMA</t>
        </is>
      </c>
      <c r="AH584" t="inlineStr">
        <is>
          <t>LA MOLINA</t>
        </is>
      </c>
      <c r="AI584" s="75" t="n">
        <v>46203</v>
      </c>
      <c r="AJ584" s="75" t="n">
        <v>46196</v>
      </c>
      <c r="AK584" t="inlineStr">
        <is>
          <t>CUOTA INICIAL</t>
        </is>
      </c>
      <c r="AL584" t="n">
        <v>2</v>
      </c>
      <c r="AM584" t="n">
        <v>50000</v>
      </c>
      <c r="AN584" t="n">
        <v>0</v>
      </c>
      <c r="AO584" t="n">
        <v>0</v>
      </c>
      <c r="AP584" s="39" t="n">
        <v>50000</v>
      </c>
      <c r="AQ584" s="39" t="n">
        <v>50000</v>
      </c>
      <c r="AR584" s="39" t="n">
        <v>0</v>
      </c>
      <c r="AS584" t="n">
        <v>0</v>
      </c>
      <c r="AT584" t="inlineStr">
        <is>
          <t>Crédito Hipotecario</t>
        </is>
      </c>
      <c r="AU584" t="inlineStr">
        <is>
          <t>Scotiabank Perú</t>
        </is>
      </c>
      <c r="AV584" t="inlineStr">
        <is>
          <t>000-2768484</t>
        </is>
      </c>
      <c r="AW584" t="inlineStr">
        <is>
          <t>TRANSFERENCIA BANCARIA</t>
        </is>
      </c>
      <c r="AY584" t="inlineStr">
        <is>
          <t>U101199</t>
        </is>
      </c>
      <c r="AZ584" t="inlineStr">
        <is>
          <t>No</t>
        </is>
      </c>
      <c r="BB584" t="n">
        <v>4</v>
      </c>
      <c r="BC584" t="inlineStr">
        <is>
          <t>CANCELADO</t>
        </is>
      </c>
      <c r="BN584" t="inlineStr">
        <is>
          <t>Si</t>
        </is>
      </c>
      <c r="BO584" s="76" t="n">
        <v>46172.70694444444</v>
      </c>
      <c r="BP584" t="inlineStr">
        <is>
          <t xml:space="preserve">Glenda Solano </t>
        </is>
      </c>
      <c r="BR584" t="n">
        <v>30</v>
      </c>
      <c r="BS584" t="inlineStr">
        <is>
          <t>26/06/2026 14:26</t>
        </is>
      </c>
      <c r="BW584" t="inlineStr">
        <is>
          <t>Cobranzas_2026.csv</t>
        </is>
      </c>
      <c r="BX584" t="n">
        <v>2026</v>
      </c>
      <c r="BY584" t="inlineStr">
        <is>
          <t>01/01/2024</t>
        </is>
      </c>
      <c r="BZ584" t="inlineStr">
        <is>
          <t>30/06/2031</t>
        </is>
      </c>
    </row>
    <row r="585">
      <c r="A585" t="inlineStr">
        <is>
          <t>RESIDENCIAL PRADA</t>
        </is>
      </c>
      <c r="B585" t="inlineStr">
        <is>
          <t>Etapa 1</t>
        </is>
      </c>
      <c r="C585" t="inlineStr">
        <is>
          <t>Edificio</t>
        </is>
      </c>
      <c r="D585" t="inlineStr">
        <is>
          <t>A</t>
        </is>
      </c>
      <c r="E585" t="inlineStr">
        <is>
          <t>Departamento</t>
        </is>
      </c>
      <c r="F585" t="inlineStr">
        <is>
          <t>804</t>
        </is>
      </c>
      <c r="G585" s="39" t="n">
        <v>478700</v>
      </c>
      <c r="H585" s="39" t="n">
        <v>417000</v>
      </c>
      <c r="I585" t="inlineStr">
        <is>
          <t>Edificio</t>
        </is>
      </c>
      <c r="J585" t="inlineStr">
        <is>
          <t>A</t>
        </is>
      </c>
      <c r="K585" t="inlineStr">
        <is>
          <t>Estacionamiento</t>
        </is>
      </c>
      <c r="L585" t="inlineStr">
        <is>
          <t>E 42 - D 33</t>
        </is>
      </c>
      <c r="M585" s="39" t="n">
        <v>61000</v>
      </c>
      <c r="N585" s="39" t="n">
        <v>61000</v>
      </c>
      <c r="S585" s="39" t="n"/>
      <c r="T585" s="39" t="n"/>
      <c r="Y585" s="39" t="n"/>
      <c r="Z585" s="39" t="n"/>
      <c r="AA585" t="inlineStr">
        <is>
          <t>RICARDO DANIEL ESPINOZA ANCHAYGUA</t>
        </is>
      </c>
      <c r="AB585" t="inlineStr">
        <is>
          <t>71229453</t>
        </is>
      </c>
      <c r="AC585" t="inlineStr">
        <is>
          <t>CALLE CALESA</t>
        </is>
      </c>
      <c r="AD585" t="n">
        <v>0</v>
      </c>
      <c r="AE585" t="inlineStr">
        <is>
          <t>999698265</t>
        </is>
      </c>
      <c r="AF585" t="inlineStr">
        <is>
          <t>RMENDOZA@GMAIL.COM</t>
        </is>
      </c>
      <c r="AG585" t="inlineStr">
        <is>
          <t>LIMA</t>
        </is>
      </c>
      <c r="AH585" t="inlineStr">
        <is>
          <t>LA MOLINA</t>
        </is>
      </c>
      <c r="AI585" s="75" t="n">
        <v>46203</v>
      </c>
      <c r="AJ585" s="75" t="n">
        <v>46198</v>
      </c>
      <c r="AK585" t="inlineStr">
        <is>
          <t>SALDO FINANCIAR</t>
        </is>
      </c>
      <c r="AL585" t="n">
        <v>1</v>
      </c>
      <c r="AM585" t="n">
        <v>189000</v>
      </c>
      <c r="AN585" t="n">
        <v>0</v>
      </c>
      <c r="AO585" t="n">
        <v>0</v>
      </c>
      <c r="AP585" s="39" t="n">
        <v>189000</v>
      </c>
      <c r="AQ585" s="39" t="n">
        <v>178000</v>
      </c>
      <c r="AR585" s="39" t="n">
        <v>11000</v>
      </c>
      <c r="AS585" t="n">
        <v>0</v>
      </c>
      <c r="AT585" t="inlineStr">
        <is>
          <t>Crédito Hipotecario</t>
        </is>
      </c>
      <c r="AU585" t="inlineStr">
        <is>
          <t>Scotiabank Perú</t>
        </is>
      </c>
      <c r="AV585" t="inlineStr">
        <is>
          <t>000-2768484</t>
        </is>
      </c>
      <c r="AW585" t="inlineStr">
        <is>
          <t>TRANSFERENCIA BANCARIA</t>
        </is>
      </c>
      <c r="AY585" t="inlineStr">
        <is>
          <t>U26606</t>
        </is>
      </c>
      <c r="AZ585" t="inlineStr">
        <is>
          <t>No</t>
        </is>
      </c>
      <c r="BB585" t="n">
        <v>4</v>
      </c>
      <c r="BC585" t="inlineStr">
        <is>
          <t>VENCIDO - PARC. CANCELADO</t>
        </is>
      </c>
      <c r="BN585" t="inlineStr">
        <is>
          <t>Si</t>
        </is>
      </c>
      <c r="BO585" s="76" t="n">
        <v>46172.70694444444</v>
      </c>
      <c r="BP585" t="inlineStr">
        <is>
          <t xml:space="preserve">Glenda Solano </t>
        </is>
      </c>
      <c r="BR585" t="n">
        <v>30</v>
      </c>
      <c r="BS585" t="inlineStr">
        <is>
          <t>26/06/2026 14:27</t>
        </is>
      </c>
      <c r="BW585" t="inlineStr">
        <is>
          <t>Cobranzas_2026.csv</t>
        </is>
      </c>
      <c r="BX585" t="n">
        <v>2026</v>
      </c>
      <c r="BY585" t="inlineStr">
        <is>
          <t>01/01/2024</t>
        </is>
      </c>
      <c r="BZ585" t="inlineStr">
        <is>
          <t>30/06/2031</t>
        </is>
      </c>
    </row>
    <row r="586">
      <c r="A586" t="inlineStr">
        <is>
          <t>RESIDENCIAL PRADA</t>
        </is>
      </c>
      <c r="B586" t="inlineStr">
        <is>
          <t>Etapa 1</t>
        </is>
      </c>
      <c r="C586" t="inlineStr">
        <is>
          <t>Edificio</t>
        </is>
      </c>
      <c r="D586" t="inlineStr">
        <is>
          <t>A</t>
        </is>
      </c>
      <c r="E586" t="inlineStr">
        <is>
          <t>Departamento</t>
        </is>
      </c>
      <c r="F586" t="inlineStr">
        <is>
          <t>804</t>
        </is>
      </c>
      <c r="G586" s="39" t="n">
        <v>478700</v>
      </c>
      <c r="H586" s="39" t="n">
        <v>417000</v>
      </c>
      <c r="I586" t="inlineStr">
        <is>
          <t>Edificio</t>
        </is>
      </c>
      <c r="J586" t="inlineStr">
        <is>
          <t>A</t>
        </is>
      </c>
      <c r="K586" t="inlineStr">
        <is>
          <t>Estacionamiento</t>
        </is>
      </c>
      <c r="L586" t="inlineStr">
        <is>
          <t>E 42 - D 33</t>
        </is>
      </c>
      <c r="M586" s="39" t="n">
        <v>61000</v>
      </c>
      <c r="N586" s="39" t="n">
        <v>61000</v>
      </c>
      <c r="S586" s="39" t="n"/>
      <c r="T586" s="39" t="n"/>
      <c r="Y586" s="39" t="n"/>
      <c r="Z586" s="39" t="n"/>
      <c r="AA586" t="inlineStr">
        <is>
          <t>RICARDO DANIEL ESPINOZA ANCHAYGUA</t>
        </is>
      </c>
      <c r="AB586" t="inlineStr">
        <is>
          <t>71229453</t>
        </is>
      </c>
      <c r="AC586" t="inlineStr">
        <is>
          <t>CALLE CALESA</t>
        </is>
      </c>
      <c r="AD586" t="n">
        <v>0</v>
      </c>
      <c r="AE586" t="inlineStr">
        <is>
          <t>999698265</t>
        </is>
      </c>
      <c r="AF586" t="inlineStr">
        <is>
          <t>RMENDOZA@GMAIL.COM</t>
        </is>
      </c>
      <c r="AG586" t="inlineStr">
        <is>
          <t>LIMA</t>
        </is>
      </c>
      <c r="AH586" t="inlineStr">
        <is>
          <t>LA MOLINA</t>
        </is>
      </c>
      <c r="AI586" s="75" t="n">
        <v>46233</v>
      </c>
      <c r="AJ586" s="75" t="n"/>
      <c r="AK586" t="inlineStr">
        <is>
          <t>SALDO FINANCIAR</t>
        </is>
      </c>
      <c r="AL586" t="n">
        <v>2</v>
      </c>
      <c r="AM586" t="n">
        <v>189000</v>
      </c>
      <c r="AN586" t="n">
        <v>0</v>
      </c>
      <c r="AO586" t="n">
        <v>0</v>
      </c>
      <c r="AP586" s="39" t="n">
        <v>189000</v>
      </c>
      <c r="AQ586" s="39" t="n">
        <v>0</v>
      </c>
      <c r="AR586" s="39" t="n">
        <v>189000</v>
      </c>
      <c r="AT586" t="inlineStr">
        <is>
          <t>Crédito Hipotecario</t>
        </is>
      </c>
      <c r="AZ586" t="inlineStr">
        <is>
          <t>No</t>
        </is>
      </c>
      <c r="BC586" t="inlineStr">
        <is>
          <t>PENDIENTE</t>
        </is>
      </c>
      <c r="BN586" t="inlineStr">
        <is>
          <t>No</t>
        </is>
      </c>
      <c r="BO586" s="76" t="n">
        <v>46172.70694444444</v>
      </c>
      <c r="BP586" t="inlineStr">
        <is>
          <t xml:space="preserve">Glenda Solano </t>
        </is>
      </c>
      <c r="BR586" t="n">
        <v>30</v>
      </c>
      <c r="BW586" t="inlineStr">
        <is>
          <t>Cobranzas_2026.csv</t>
        </is>
      </c>
      <c r="BX586" t="n">
        <v>2026</v>
      </c>
      <c r="BY586" t="inlineStr">
        <is>
          <t>01/01/2024</t>
        </is>
      </c>
      <c r="BZ586" t="inlineStr">
        <is>
          <t>30/06/2031</t>
        </is>
      </c>
    </row>
    <row r="587">
      <c r="A587" t="inlineStr">
        <is>
          <t>RESIDENCIAL VENECIA</t>
        </is>
      </c>
      <c r="B587" t="inlineStr">
        <is>
          <t>Etapa 1</t>
        </is>
      </c>
      <c r="C587" t="inlineStr">
        <is>
          <t>Edificio</t>
        </is>
      </c>
      <c r="D587" t="inlineStr">
        <is>
          <t>A</t>
        </is>
      </c>
      <c r="E587" t="inlineStr">
        <is>
          <t>Departamento</t>
        </is>
      </c>
      <c r="F587" t="inlineStr">
        <is>
          <t>602</t>
        </is>
      </c>
      <c r="G587" s="39" t="n">
        <v>573000</v>
      </c>
      <c r="H587" s="39" t="n">
        <v>573000</v>
      </c>
      <c r="I587" t="inlineStr">
        <is>
          <t>Edificio</t>
        </is>
      </c>
      <c r="J587" t="inlineStr">
        <is>
          <t>A</t>
        </is>
      </c>
      <c r="K587" t="inlineStr">
        <is>
          <t>Estacionamiento</t>
        </is>
      </c>
      <c r="L587" t="inlineStr">
        <is>
          <t>E 24 - D 5</t>
        </is>
      </c>
      <c r="M587" s="39" t="n">
        <v>51000</v>
      </c>
      <c r="N587" s="39" t="n">
        <v>51000</v>
      </c>
      <c r="S587" s="39" t="n"/>
      <c r="T587" s="39" t="n"/>
      <c r="Y587" s="39" t="n"/>
      <c r="Z587" s="39" t="n"/>
      <c r="AA587" t="inlineStr">
        <is>
          <t>Rocio Chuquimango Valencia</t>
        </is>
      </c>
      <c r="AB587" t="inlineStr">
        <is>
          <t>26707781</t>
        </is>
      </c>
      <c r="AC587" t="inlineStr">
        <is>
          <t xml:space="preserve">AV.ATAHUALPA 337.INT 2 </t>
        </is>
      </c>
      <c r="AD587" t="n">
        <v>0</v>
      </c>
      <c r="AE587" t="inlineStr">
        <is>
          <t>976685767</t>
        </is>
      </c>
      <c r="AF587" t="inlineStr">
        <is>
          <t>rocio-0511@hotmail.com</t>
        </is>
      </c>
      <c r="AG587" t="inlineStr">
        <is>
          <t>CAJAMARCA</t>
        </is>
      </c>
      <c r="AH587" t="inlineStr">
        <is>
          <t>CAJAMARCA</t>
        </is>
      </c>
      <c r="AI587" s="75" t="n">
        <v>46203</v>
      </c>
      <c r="AJ587" s="75" t="n"/>
      <c r="AK587" t="inlineStr">
        <is>
          <t>CUOTA INICIAL</t>
        </is>
      </c>
      <c r="AL587" t="n">
        <v>3</v>
      </c>
      <c r="AM587" t="n">
        <v>119900</v>
      </c>
      <c r="AN587" t="n">
        <v>0</v>
      </c>
      <c r="AO587" t="n">
        <v>0</v>
      </c>
      <c r="AP587" s="39" t="n">
        <v>119900</v>
      </c>
      <c r="AQ587" s="39" t="n">
        <v>0</v>
      </c>
      <c r="AR587" s="39" t="n">
        <v>119900</v>
      </c>
      <c r="AT587" t="inlineStr">
        <is>
          <t>Crédito Directo</t>
        </is>
      </c>
      <c r="AZ587" t="inlineStr">
        <is>
          <t>No</t>
        </is>
      </c>
      <c r="BC587" t="inlineStr">
        <is>
          <t>VENCIDO</t>
        </is>
      </c>
      <c r="BN587" t="inlineStr">
        <is>
          <t>No</t>
        </is>
      </c>
      <c r="BO587" s="76" t="n">
        <v>45898.34652777778</v>
      </c>
      <c r="BP587" t="inlineStr">
        <is>
          <t>Magaly Guevara Perez</t>
        </is>
      </c>
      <c r="BR587" t="n">
        <v>12</v>
      </c>
      <c r="BW587" t="inlineStr">
        <is>
          <t>Cobranzas_2026.csv</t>
        </is>
      </c>
      <c r="BX587" t="n">
        <v>2026</v>
      </c>
      <c r="BY587" t="inlineStr">
        <is>
          <t>01/01/2024</t>
        </is>
      </c>
      <c r="BZ587" t="inlineStr">
        <is>
          <t>30/06/2031</t>
        </is>
      </c>
    </row>
    <row r="588">
      <c r="A588" t="inlineStr">
        <is>
          <t>RESIDENCIAL VENECIA</t>
        </is>
      </c>
      <c r="B588" t="inlineStr">
        <is>
          <t>Etapa 1</t>
        </is>
      </c>
      <c r="C588" t="inlineStr">
        <is>
          <t>Edificio</t>
        </is>
      </c>
      <c r="D588" t="inlineStr">
        <is>
          <t>A</t>
        </is>
      </c>
      <c r="E588" t="inlineStr">
        <is>
          <t>Departamento</t>
        </is>
      </c>
      <c r="F588" t="inlineStr">
        <is>
          <t>602</t>
        </is>
      </c>
      <c r="G588" s="39" t="n">
        <v>573000</v>
      </c>
      <c r="H588" s="39" t="n">
        <v>573000</v>
      </c>
      <c r="I588" t="inlineStr">
        <is>
          <t>Edificio</t>
        </is>
      </c>
      <c r="J588" t="inlineStr">
        <is>
          <t>A</t>
        </is>
      </c>
      <c r="K588" t="inlineStr">
        <is>
          <t>Estacionamiento</t>
        </is>
      </c>
      <c r="L588" t="inlineStr">
        <is>
          <t>E 24 - D 5</t>
        </is>
      </c>
      <c r="M588" s="39" t="n">
        <v>51000</v>
      </c>
      <c r="N588" s="39" t="n">
        <v>51000</v>
      </c>
      <c r="S588" s="39" t="n"/>
      <c r="T588" s="39" t="n"/>
      <c r="Y588" s="39" t="n"/>
      <c r="Z588" s="39" t="n"/>
      <c r="AA588" t="inlineStr">
        <is>
          <t>Rocio Chuquimango Valencia</t>
        </is>
      </c>
      <c r="AB588" t="inlineStr">
        <is>
          <t>26707781</t>
        </is>
      </c>
      <c r="AC588" t="inlineStr">
        <is>
          <t xml:space="preserve">AV.ATAHUALPA 337.INT 2 </t>
        </is>
      </c>
      <c r="AD588" t="n">
        <v>0</v>
      </c>
      <c r="AE588" t="inlineStr">
        <is>
          <t>976685767</t>
        </is>
      </c>
      <c r="AF588" t="inlineStr">
        <is>
          <t>rocio-0511@hotmail.com</t>
        </is>
      </c>
      <c r="AG588" t="inlineStr">
        <is>
          <t>CAJAMARCA</t>
        </is>
      </c>
      <c r="AH588" t="inlineStr">
        <is>
          <t>CAJAMARCA</t>
        </is>
      </c>
      <c r="AI588" s="75" t="n">
        <v>46234</v>
      </c>
      <c r="AJ588" s="75" t="n"/>
      <c r="AK588" t="inlineStr">
        <is>
          <t>SALDO FINANCIAR</t>
        </is>
      </c>
      <c r="AL588" t="n">
        <v>1</v>
      </c>
      <c r="AM588" t="n">
        <v>24266.67</v>
      </c>
      <c r="AN588" t="n">
        <v>0</v>
      </c>
      <c r="AO588" t="n">
        <v>0</v>
      </c>
      <c r="AP588" s="39" t="n">
        <v>24266.67</v>
      </c>
      <c r="AQ588" s="39" t="n">
        <v>0</v>
      </c>
      <c r="AR588" s="39" t="n">
        <v>24266.67</v>
      </c>
      <c r="AT588" t="inlineStr">
        <is>
          <t>Crédito Directo</t>
        </is>
      </c>
      <c r="AZ588" t="inlineStr">
        <is>
          <t>No</t>
        </is>
      </c>
      <c r="BC588" t="inlineStr">
        <is>
          <t>PENDIENTE</t>
        </is>
      </c>
      <c r="BN588" t="inlineStr">
        <is>
          <t>No</t>
        </is>
      </c>
      <c r="BO588" s="76" t="n">
        <v>45898.34652777778</v>
      </c>
      <c r="BP588" t="inlineStr">
        <is>
          <t>Magaly Guevara Perez</t>
        </is>
      </c>
      <c r="BR588" t="n">
        <v>12</v>
      </c>
      <c r="BW588" t="inlineStr">
        <is>
          <t>Cobranzas_2026.csv</t>
        </is>
      </c>
      <c r="BX588" t="n">
        <v>2026</v>
      </c>
      <c r="BY588" t="inlineStr">
        <is>
          <t>01/01/2024</t>
        </is>
      </c>
      <c r="BZ588" t="inlineStr">
        <is>
          <t>30/06/2031</t>
        </is>
      </c>
    </row>
    <row r="589">
      <c r="A589" t="inlineStr">
        <is>
          <t>RESIDENCIAL VENECIA</t>
        </is>
      </c>
      <c r="B589" t="inlineStr">
        <is>
          <t>Etapa 1</t>
        </is>
      </c>
      <c r="C589" t="inlineStr">
        <is>
          <t>Edificio</t>
        </is>
      </c>
      <c r="D589" t="inlineStr">
        <is>
          <t>A</t>
        </is>
      </c>
      <c r="E589" t="inlineStr">
        <is>
          <t>Departamento</t>
        </is>
      </c>
      <c r="F589" t="inlineStr">
        <is>
          <t>602</t>
        </is>
      </c>
      <c r="G589" s="39" t="n">
        <v>573000</v>
      </c>
      <c r="H589" s="39" t="n">
        <v>573000</v>
      </c>
      <c r="I589" t="inlineStr">
        <is>
          <t>Edificio</t>
        </is>
      </c>
      <c r="J589" t="inlineStr">
        <is>
          <t>A</t>
        </is>
      </c>
      <c r="K589" t="inlineStr">
        <is>
          <t>Estacionamiento</t>
        </is>
      </c>
      <c r="L589" t="inlineStr">
        <is>
          <t>E 24 - D 5</t>
        </is>
      </c>
      <c r="M589" s="39" t="n">
        <v>51000</v>
      </c>
      <c r="N589" s="39" t="n">
        <v>51000</v>
      </c>
      <c r="S589" s="39" t="n"/>
      <c r="T589" s="39" t="n"/>
      <c r="Y589" s="39" t="n"/>
      <c r="Z589" s="39" t="n"/>
      <c r="AA589" t="inlineStr">
        <is>
          <t>Rocio Chuquimango Valencia</t>
        </is>
      </c>
      <c r="AB589" t="inlineStr">
        <is>
          <t>26707781</t>
        </is>
      </c>
      <c r="AC589" t="inlineStr">
        <is>
          <t xml:space="preserve">AV.ATAHUALPA 337.INT 2 </t>
        </is>
      </c>
      <c r="AD589" t="n">
        <v>0</v>
      </c>
      <c r="AE589" t="inlineStr">
        <is>
          <t>976685767</t>
        </is>
      </c>
      <c r="AF589" t="inlineStr">
        <is>
          <t>rocio-0511@hotmail.com</t>
        </is>
      </c>
      <c r="AG589" t="inlineStr">
        <is>
          <t>CAJAMARCA</t>
        </is>
      </c>
      <c r="AH589" t="inlineStr">
        <is>
          <t>CAJAMARCA</t>
        </is>
      </c>
      <c r="AI589" s="75" t="n">
        <v>46265</v>
      </c>
      <c r="AJ589" s="75" t="n"/>
      <c r="AK589" t="inlineStr">
        <is>
          <t>SALDO FINANCIAR</t>
        </is>
      </c>
      <c r="AL589" t="n">
        <v>2</v>
      </c>
      <c r="AM589" t="n">
        <v>24266.67</v>
      </c>
      <c r="AN589" t="n">
        <v>0</v>
      </c>
      <c r="AO589" t="n">
        <v>0</v>
      </c>
      <c r="AP589" s="39" t="n">
        <v>24266.67</v>
      </c>
      <c r="AQ589" s="39" t="n">
        <v>0</v>
      </c>
      <c r="AR589" s="39" t="n">
        <v>24266.67</v>
      </c>
      <c r="AT589" t="inlineStr">
        <is>
          <t>Crédito Directo</t>
        </is>
      </c>
      <c r="AZ589" t="inlineStr">
        <is>
          <t>No</t>
        </is>
      </c>
      <c r="BC589" t="inlineStr">
        <is>
          <t>PENDIENTE</t>
        </is>
      </c>
      <c r="BN589" t="inlineStr">
        <is>
          <t>No</t>
        </is>
      </c>
      <c r="BO589" s="76" t="n">
        <v>45898.34652777778</v>
      </c>
      <c r="BP589" t="inlineStr">
        <is>
          <t>Magaly Guevara Perez</t>
        </is>
      </c>
      <c r="BR589" t="n">
        <v>12</v>
      </c>
      <c r="BW589" t="inlineStr">
        <is>
          <t>Cobranzas_2026.csv</t>
        </is>
      </c>
      <c r="BX589" t="n">
        <v>2026</v>
      </c>
      <c r="BY589" t="inlineStr">
        <is>
          <t>01/01/2024</t>
        </is>
      </c>
      <c r="BZ589" t="inlineStr">
        <is>
          <t>30/06/2031</t>
        </is>
      </c>
    </row>
    <row r="590">
      <c r="A590" t="inlineStr">
        <is>
          <t>RESIDENCIAL VENECIA</t>
        </is>
      </c>
      <c r="B590" t="inlineStr">
        <is>
          <t>Etapa 1</t>
        </is>
      </c>
      <c r="C590" t="inlineStr">
        <is>
          <t>Edificio</t>
        </is>
      </c>
      <c r="D590" t="inlineStr">
        <is>
          <t>A</t>
        </is>
      </c>
      <c r="E590" t="inlineStr">
        <is>
          <t>Departamento</t>
        </is>
      </c>
      <c r="F590" t="inlineStr">
        <is>
          <t>602</t>
        </is>
      </c>
      <c r="G590" s="39" t="n">
        <v>573000</v>
      </c>
      <c r="H590" s="39" t="n">
        <v>573000</v>
      </c>
      <c r="I590" t="inlineStr">
        <is>
          <t>Edificio</t>
        </is>
      </c>
      <c r="J590" t="inlineStr">
        <is>
          <t>A</t>
        </is>
      </c>
      <c r="K590" t="inlineStr">
        <is>
          <t>Estacionamiento</t>
        </is>
      </c>
      <c r="L590" t="inlineStr">
        <is>
          <t>E 24 - D 5</t>
        </is>
      </c>
      <c r="M590" s="39" t="n">
        <v>51000</v>
      </c>
      <c r="N590" s="39" t="n">
        <v>51000</v>
      </c>
      <c r="S590" s="39" t="n"/>
      <c r="T590" s="39" t="n"/>
      <c r="Y590" s="39" t="n"/>
      <c r="Z590" s="39" t="n"/>
      <c r="AA590" t="inlineStr">
        <is>
          <t>Rocio Chuquimango Valencia</t>
        </is>
      </c>
      <c r="AB590" t="inlineStr">
        <is>
          <t>26707781</t>
        </is>
      </c>
      <c r="AC590" t="inlineStr">
        <is>
          <t xml:space="preserve">AV.ATAHUALPA 337.INT 2 </t>
        </is>
      </c>
      <c r="AD590" t="n">
        <v>0</v>
      </c>
      <c r="AE590" t="inlineStr">
        <is>
          <t>976685767</t>
        </is>
      </c>
      <c r="AF590" t="inlineStr">
        <is>
          <t>rocio-0511@hotmail.com</t>
        </is>
      </c>
      <c r="AG590" t="inlineStr">
        <is>
          <t>CAJAMARCA</t>
        </is>
      </c>
      <c r="AH590" t="inlineStr">
        <is>
          <t>CAJAMARCA</t>
        </is>
      </c>
      <c r="AI590" s="75" t="n">
        <v>46295</v>
      </c>
      <c r="AJ590" s="75" t="n"/>
      <c r="AK590" t="inlineStr">
        <is>
          <t>SALDO FINANCIAR</t>
        </is>
      </c>
      <c r="AL590" t="n">
        <v>3</v>
      </c>
      <c r="AM590" t="n">
        <v>24266.67</v>
      </c>
      <c r="AN590" t="n">
        <v>0</v>
      </c>
      <c r="AO590" t="n">
        <v>0</v>
      </c>
      <c r="AP590" s="39" t="n">
        <v>24266.67</v>
      </c>
      <c r="AQ590" s="39" t="n">
        <v>0</v>
      </c>
      <c r="AR590" s="39" t="n">
        <v>24266.67</v>
      </c>
      <c r="AT590" t="inlineStr">
        <is>
          <t>Crédito Directo</t>
        </is>
      </c>
      <c r="AZ590" t="inlineStr">
        <is>
          <t>No</t>
        </is>
      </c>
      <c r="BC590" t="inlineStr">
        <is>
          <t>PENDIENTE</t>
        </is>
      </c>
      <c r="BN590" t="inlineStr">
        <is>
          <t>No</t>
        </is>
      </c>
      <c r="BO590" s="76" t="n">
        <v>45898.34652777778</v>
      </c>
      <c r="BP590" t="inlineStr">
        <is>
          <t>Magaly Guevara Perez</t>
        </is>
      </c>
      <c r="BR590" t="n">
        <v>12</v>
      </c>
      <c r="BW590" t="inlineStr">
        <is>
          <t>Cobranzas_2026.csv</t>
        </is>
      </c>
      <c r="BX590" t="n">
        <v>2026</v>
      </c>
      <c r="BY590" t="inlineStr">
        <is>
          <t>01/01/2024</t>
        </is>
      </c>
      <c r="BZ590" t="inlineStr">
        <is>
          <t>30/06/2031</t>
        </is>
      </c>
    </row>
    <row r="591">
      <c r="A591" t="inlineStr">
        <is>
          <t>RESIDENCIAL VENECIA</t>
        </is>
      </c>
      <c r="B591" t="inlineStr">
        <is>
          <t>Etapa 1</t>
        </is>
      </c>
      <c r="C591" t="inlineStr">
        <is>
          <t>Edificio</t>
        </is>
      </c>
      <c r="D591" t="inlineStr">
        <is>
          <t>A</t>
        </is>
      </c>
      <c r="E591" t="inlineStr">
        <is>
          <t>Departamento</t>
        </is>
      </c>
      <c r="F591" t="inlineStr">
        <is>
          <t>602</t>
        </is>
      </c>
      <c r="G591" s="39" t="n">
        <v>573000</v>
      </c>
      <c r="H591" s="39" t="n">
        <v>573000</v>
      </c>
      <c r="I591" t="inlineStr">
        <is>
          <t>Edificio</t>
        </is>
      </c>
      <c r="J591" t="inlineStr">
        <is>
          <t>A</t>
        </is>
      </c>
      <c r="K591" t="inlineStr">
        <is>
          <t>Estacionamiento</t>
        </is>
      </c>
      <c r="L591" t="inlineStr">
        <is>
          <t>E 24 - D 5</t>
        </is>
      </c>
      <c r="M591" s="39" t="n">
        <v>51000</v>
      </c>
      <c r="N591" s="39" t="n">
        <v>51000</v>
      </c>
      <c r="S591" s="39" t="n"/>
      <c r="T591" s="39" t="n"/>
      <c r="Y591" s="39" t="n"/>
      <c r="Z591" s="39" t="n"/>
      <c r="AA591" t="inlineStr">
        <is>
          <t>Rocio Chuquimango Valencia</t>
        </is>
      </c>
      <c r="AB591" t="inlineStr">
        <is>
          <t>26707781</t>
        </is>
      </c>
      <c r="AC591" t="inlineStr">
        <is>
          <t xml:space="preserve">AV.ATAHUALPA 337.INT 2 </t>
        </is>
      </c>
      <c r="AD591" t="n">
        <v>0</v>
      </c>
      <c r="AE591" t="inlineStr">
        <is>
          <t>976685767</t>
        </is>
      </c>
      <c r="AF591" t="inlineStr">
        <is>
          <t>rocio-0511@hotmail.com</t>
        </is>
      </c>
      <c r="AG591" t="inlineStr">
        <is>
          <t>CAJAMARCA</t>
        </is>
      </c>
      <c r="AH591" t="inlineStr">
        <is>
          <t>CAJAMARCA</t>
        </is>
      </c>
      <c r="AI591" s="75" t="n">
        <v>46326</v>
      </c>
      <c r="AJ591" s="75" t="n"/>
      <c r="AK591" t="inlineStr">
        <is>
          <t>SALDO FINANCIAR</t>
        </is>
      </c>
      <c r="AL591" t="n">
        <v>4</v>
      </c>
      <c r="AM591" t="n">
        <v>24266.67</v>
      </c>
      <c r="AN591" t="n">
        <v>0</v>
      </c>
      <c r="AO591" t="n">
        <v>0</v>
      </c>
      <c r="AP591" s="39" t="n">
        <v>24266.67</v>
      </c>
      <c r="AQ591" s="39" t="n">
        <v>0</v>
      </c>
      <c r="AR591" s="39" t="n">
        <v>24266.67</v>
      </c>
      <c r="AT591" t="inlineStr">
        <is>
          <t>Crédito Directo</t>
        </is>
      </c>
      <c r="AZ591" t="inlineStr">
        <is>
          <t>No</t>
        </is>
      </c>
      <c r="BC591" t="inlineStr">
        <is>
          <t>PENDIENTE</t>
        </is>
      </c>
      <c r="BN591" t="inlineStr">
        <is>
          <t>No</t>
        </is>
      </c>
      <c r="BO591" s="76" t="n">
        <v>45898.34652777778</v>
      </c>
      <c r="BP591" t="inlineStr">
        <is>
          <t>Magaly Guevara Perez</t>
        </is>
      </c>
      <c r="BR591" t="n">
        <v>12</v>
      </c>
      <c r="BW591" t="inlineStr">
        <is>
          <t>Cobranzas_2026.csv</t>
        </is>
      </c>
      <c r="BX591" t="n">
        <v>2026</v>
      </c>
      <c r="BY591" t="inlineStr">
        <is>
          <t>01/01/2024</t>
        </is>
      </c>
      <c r="BZ591" t="inlineStr">
        <is>
          <t>30/06/2031</t>
        </is>
      </c>
    </row>
    <row r="592">
      <c r="A592" t="inlineStr">
        <is>
          <t>RESIDENCIAL VENECIA</t>
        </is>
      </c>
      <c r="B592" t="inlineStr">
        <is>
          <t>Etapa 1</t>
        </is>
      </c>
      <c r="C592" t="inlineStr">
        <is>
          <t>Edificio</t>
        </is>
      </c>
      <c r="D592" t="inlineStr">
        <is>
          <t>A</t>
        </is>
      </c>
      <c r="E592" t="inlineStr">
        <is>
          <t>Departamento</t>
        </is>
      </c>
      <c r="F592" t="inlineStr">
        <is>
          <t>602</t>
        </is>
      </c>
      <c r="G592" s="39" t="n">
        <v>573000</v>
      </c>
      <c r="H592" s="39" t="n">
        <v>573000</v>
      </c>
      <c r="I592" t="inlineStr">
        <is>
          <t>Edificio</t>
        </is>
      </c>
      <c r="J592" t="inlineStr">
        <is>
          <t>A</t>
        </is>
      </c>
      <c r="K592" t="inlineStr">
        <is>
          <t>Estacionamiento</t>
        </is>
      </c>
      <c r="L592" t="inlineStr">
        <is>
          <t>E 24 - D 5</t>
        </is>
      </c>
      <c r="M592" s="39" t="n">
        <v>51000</v>
      </c>
      <c r="N592" s="39" t="n">
        <v>51000</v>
      </c>
      <c r="S592" s="39" t="n"/>
      <c r="T592" s="39" t="n"/>
      <c r="Y592" s="39" t="n"/>
      <c r="Z592" s="39" t="n"/>
      <c r="AA592" t="inlineStr">
        <is>
          <t>Rocio Chuquimango Valencia</t>
        </is>
      </c>
      <c r="AB592" t="inlineStr">
        <is>
          <t>26707781</t>
        </is>
      </c>
      <c r="AC592" t="inlineStr">
        <is>
          <t xml:space="preserve">AV.ATAHUALPA 337.INT 2 </t>
        </is>
      </c>
      <c r="AD592" t="n">
        <v>0</v>
      </c>
      <c r="AE592" t="inlineStr">
        <is>
          <t>976685767</t>
        </is>
      </c>
      <c r="AF592" t="inlineStr">
        <is>
          <t>rocio-0511@hotmail.com</t>
        </is>
      </c>
      <c r="AG592" t="inlineStr">
        <is>
          <t>CAJAMARCA</t>
        </is>
      </c>
      <c r="AH592" t="inlineStr">
        <is>
          <t>CAJAMARCA</t>
        </is>
      </c>
      <c r="AI592" s="75" t="n">
        <v>46356</v>
      </c>
      <c r="AJ592" s="75" t="n"/>
      <c r="AK592" t="inlineStr">
        <is>
          <t>SALDO FINANCIAR</t>
        </is>
      </c>
      <c r="AL592" t="n">
        <v>5</v>
      </c>
      <c r="AM592" t="n">
        <v>24266.67</v>
      </c>
      <c r="AN592" t="n">
        <v>0</v>
      </c>
      <c r="AO592" t="n">
        <v>0</v>
      </c>
      <c r="AP592" s="39" t="n">
        <v>24266.67</v>
      </c>
      <c r="AQ592" s="39" t="n">
        <v>0</v>
      </c>
      <c r="AR592" s="39" t="n">
        <v>24266.67</v>
      </c>
      <c r="AT592" t="inlineStr">
        <is>
          <t>Crédito Directo</t>
        </is>
      </c>
      <c r="AZ592" t="inlineStr">
        <is>
          <t>No</t>
        </is>
      </c>
      <c r="BC592" t="inlineStr">
        <is>
          <t>PENDIENTE</t>
        </is>
      </c>
      <c r="BN592" t="inlineStr">
        <is>
          <t>No</t>
        </is>
      </c>
      <c r="BO592" s="76" t="n">
        <v>45898.34652777778</v>
      </c>
      <c r="BP592" t="inlineStr">
        <is>
          <t>Magaly Guevara Perez</t>
        </is>
      </c>
      <c r="BR592" t="n">
        <v>12</v>
      </c>
      <c r="BW592" t="inlineStr">
        <is>
          <t>Cobranzas_2026.csv</t>
        </is>
      </c>
      <c r="BX592" t="n">
        <v>2026</v>
      </c>
      <c r="BY592" t="inlineStr">
        <is>
          <t>01/01/2024</t>
        </is>
      </c>
      <c r="BZ592" t="inlineStr">
        <is>
          <t>30/06/2031</t>
        </is>
      </c>
    </row>
    <row r="593">
      <c r="A593" t="inlineStr">
        <is>
          <t>RESIDENCIAL VENECIA</t>
        </is>
      </c>
      <c r="B593" t="inlineStr">
        <is>
          <t>Etapa 1</t>
        </is>
      </c>
      <c r="C593" t="inlineStr">
        <is>
          <t>Edificio</t>
        </is>
      </c>
      <c r="D593" t="inlineStr">
        <is>
          <t>A</t>
        </is>
      </c>
      <c r="E593" t="inlineStr">
        <is>
          <t>Departamento</t>
        </is>
      </c>
      <c r="F593" t="inlineStr">
        <is>
          <t>602</t>
        </is>
      </c>
      <c r="G593" s="39" t="n">
        <v>573000</v>
      </c>
      <c r="H593" s="39" t="n">
        <v>573000</v>
      </c>
      <c r="I593" t="inlineStr">
        <is>
          <t>Edificio</t>
        </is>
      </c>
      <c r="J593" t="inlineStr">
        <is>
          <t>A</t>
        </is>
      </c>
      <c r="K593" t="inlineStr">
        <is>
          <t>Estacionamiento</t>
        </is>
      </c>
      <c r="L593" t="inlineStr">
        <is>
          <t>E 24 - D 5</t>
        </is>
      </c>
      <c r="M593" s="39" t="n">
        <v>51000</v>
      </c>
      <c r="N593" s="39" t="n">
        <v>51000</v>
      </c>
      <c r="S593" s="39" t="n"/>
      <c r="T593" s="39" t="n"/>
      <c r="Y593" s="39" t="n"/>
      <c r="Z593" s="39" t="n"/>
      <c r="AA593" t="inlineStr">
        <is>
          <t>Rocio Chuquimango Valencia</t>
        </is>
      </c>
      <c r="AB593" t="inlineStr">
        <is>
          <t>26707781</t>
        </is>
      </c>
      <c r="AC593" t="inlineStr">
        <is>
          <t xml:space="preserve">AV.ATAHUALPA 337.INT 2 </t>
        </is>
      </c>
      <c r="AD593" t="n">
        <v>0</v>
      </c>
      <c r="AE593" t="inlineStr">
        <is>
          <t>976685767</t>
        </is>
      </c>
      <c r="AF593" t="inlineStr">
        <is>
          <t>rocio-0511@hotmail.com</t>
        </is>
      </c>
      <c r="AG593" t="inlineStr">
        <is>
          <t>CAJAMARCA</t>
        </is>
      </c>
      <c r="AH593" t="inlineStr">
        <is>
          <t>CAJAMARCA</t>
        </is>
      </c>
      <c r="AI593" s="75" t="n">
        <v>46387</v>
      </c>
      <c r="AJ593" s="75" t="n"/>
      <c r="AK593" t="inlineStr">
        <is>
          <t>SALDO FINANCIAR</t>
        </is>
      </c>
      <c r="AL593" t="n">
        <v>6</v>
      </c>
      <c r="AM593" t="n">
        <v>24266.67</v>
      </c>
      <c r="AN593" t="n">
        <v>0</v>
      </c>
      <c r="AO593" t="n">
        <v>0</v>
      </c>
      <c r="AP593" s="39" t="n">
        <v>24266.67</v>
      </c>
      <c r="AQ593" s="39" t="n">
        <v>0</v>
      </c>
      <c r="AR593" s="39" t="n">
        <v>24266.67</v>
      </c>
      <c r="AT593" t="inlineStr">
        <is>
          <t>Crédito Directo</t>
        </is>
      </c>
      <c r="AZ593" t="inlineStr">
        <is>
          <t>No</t>
        </is>
      </c>
      <c r="BC593" t="inlineStr">
        <is>
          <t>PENDIENTE</t>
        </is>
      </c>
      <c r="BN593" t="inlineStr">
        <is>
          <t>No</t>
        </is>
      </c>
      <c r="BO593" s="76" t="n">
        <v>45898.34652777778</v>
      </c>
      <c r="BP593" t="inlineStr">
        <is>
          <t>Magaly Guevara Perez</t>
        </is>
      </c>
      <c r="BR593" t="n">
        <v>12</v>
      </c>
      <c r="BW593" t="inlineStr">
        <is>
          <t>Cobranzas_2026.csv</t>
        </is>
      </c>
      <c r="BX593" t="n">
        <v>2026</v>
      </c>
      <c r="BY593" t="inlineStr">
        <is>
          <t>01/01/2024</t>
        </is>
      </c>
      <c r="BZ593" t="inlineStr">
        <is>
          <t>30/06/2031</t>
        </is>
      </c>
    </row>
    <row r="594">
      <c r="A594" t="inlineStr">
        <is>
          <t>RESIDENCIAL BEYOND</t>
        </is>
      </c>
      <c r="B594" t="inlineStr">
        <is>
          <t>Etapa 1</t>
        </is>
      </c>
      <c r="C594" t="inlineStr">
        <is>
          <t>Edificio</t>
        </is>
      </c>
      <c r="D594" t="inlineStr">
        <is>
          <t>A</t>
        </is>
      </c>
      <c r="E594" t="inlineStr">
        <is>
          <t>Departamento</t>
        </is>
      </c>
      <c r="F594" t="inlineStr">
        <is>
          <t>905</t>
        </is>
      </c>
      <c r="G594" s="39" t="n">
        <v>532100</v>
      </c>
      <c r="H594" s="39" t="n">
        <v>510000</v>
      </c>
      <c r="M594" s="39" t="n"/>
      <c r="N594" s="39" t="n"/>
      <c r="S594" s="39" t="n"/>
      <c r="T594" s="39" t="n"/>
      <c r="Y594" s="39" t="n"/>
      <c r="Z594" s="39" t="n"/>
      <c r="AA594" t="inlineStr">
        <is>
          <t>Rocio del Pilar Quispe Vivanco</t>
        </is>
      </c>
      <c r="AB594" t="inlineStr">
        <is>
          <t>46571077</t>
        </is>
      </c>
      <c r="AC594" t="inlineStr">
        <is>
          <t>Calle 49 MZ UU2 Lt.14 Urb. La Floresta</t>
        </is>
      </c>
      <c r="AD594" t="n">
        <v>0</v>
      </c>
      <c r="AE594" t="inlineStr">
        <is>
          <t>942198649</t>
        </is>
      </c>
      <c r="AF594" t="inlineStr">
        <is>
          <t>chio22011@hotmail.com</t>
        </is>
      </c>
      <c r="AG594" t="inlineStr">
        <is>
          <t>LIMA</t>
        </is>
      </c>
      <c r="AH594" t="inlineStr">
        <is>
          <t>LOS OLIVOS</t>
        </is>
      </c>
      <c r="AI594" s="75" t="n">
        <v>46166</v>
      </c>
      <c r="AJ594" s="75" t="n">
        <v>46166</v>
      </c>
      <c r="AK594" t="inlineStr">
        <is>
          <t>SEPARACION</t>
        </is>
      </c>
      <c r="AL594" t="n">
        <v>1</v>
      </c>
      <c r="AM594" t="n">
        <v>3000</v>
      </c>
      <c r="AN594" t="n">
        <v>0</v>
      </c>
      <c r="AO594" t="n">
        <v>0</v>
      </c>
      <c r="AP594" s="39" t="n">
        <v>3000</v>
      </c>
      <c r="AQ594" s="39" t="n">
        <v>3000</v>
      </c>
      <c r="AR594" s="39" t="n">
        <v>0</v>
      </c>
      <c r="AS594" t="n">
        <v>0</v>
      </c>
      <c r="AT594" t="inlineStr">
        <is>
          <t>Ahorro</t>
        </is>
      </c>
      <c r="AU594" t="inlineStr">
        <is>
          <t>Banco de Credito del Perú</t>
        </is>
      </c>
      <c r="AV594" t="inlineStr">
        <is>
          <t>002-19400732577906596</t>
        </is>
      </c>
      <c r="AW594" t="inlineStr">
        <is>
          <t>TRANSFERENCIA BANCARIA</t>
        </is>
      </c>
      <c r="AY594" t="inlineStr">
        <is>
          <t>4926</t>
        </is>
      </c>
      <c r="AZ594" t="inlineStr">
        <is>
          <t>No</t>
        </is>
      </c>
      <c r="BB594" t="n">
        <v>4</v>
      </c>
      <c r="BC594" t="inlineStr">
        <is>
          <t>CANCELADO</t>
        </is>
      </c>
      <c r="BN594" t="inlineStr">
        <is>
          <t>No</t>
        </is>
      </c>
      <c r="BO594" s="76" t="n">
        <v>46174.33611111111</v>
      </c>
      <c r="BP594" t="inlineStr">
        <is>
          <t>Carla Michue M</t>
        </is>
      </c>
      <c r="BR594" t="n">
        <v>43</v>
      </c>
      <c r="BS594" t="inlineStr">
        <is>
          <t>28/05/2026 15:37</t>
        </is>
      </c>
      <c r="BW594" t="inlineStr">
        <is>
          <t>Cobranzas_2026.csv</t>
        </is>
      </c>
      <c r="BX594" t="n">
        <v>2026</v>
      </c>
      <c r="BY594" t="inlineStr">
        <is>
          <t>01/01/2024</t>
        </is>
      </c>
      <c r="BZ594" t="inlineStr">
        <is>
          <t>30/06/2031</t>
        </is>
      </c>
    </row>
    <row r="595">
      <c r="A595" t="inlineStr">
        <is>
          <t>RESIDENCIAL BEYOND</t>
        </is>
      </c>
      <c r="B595" t="inlineStr">
        <is>
          <t>Etapa 1</t>
        </is>
      </c>
      <c r="C595" t="inlineStr">
        <is>
          <t>Edificio</t>
        </is>
      </c>
      <c r="D595" t="inlineStr">
        <is>
          <t>A</t>
        </is>
      </c>
      <c r="E595" t="inlineStr">
        <is>
          <t>Departamento</t>
        </is>
      </c>
      <c r="F595" t="inlineStr">
        <is>
          <t>905</t>
        </is>
      </c>
      <c r="G595" s="39" t="n">
        <v>532100</v>
      </c>
      <c r="H595" s="39" t="n">
        <v>510000</v>
      </c>
      <c r="M595" s="39" t="n"/>
      <c r="N595" s="39" t="n"/>
      <c r="S595" s="39" t="n"/>
      <c r="T595" s="39" t="n"/>
      <c r="Y595" s="39" t="n"/>
      <c r="Z595" s="39" t="n"/>
      <c r="AA595" t="inlineStr">
        <is>
          <t>Rocio del Pilar Quispe Vivanco</t>
        </is>
      </c>
      <c r="AB595" t="inlineStr">
        <is>
          <t>46571077</t>
        </is>
      </c>
      <c r="AC595" t="inlineStr">
        <is>
          <t>Calle 49 MZ UU2 Lt.14 Urb. La Floresta</t>
        </is>
      </c>
      <c r="AD595" t="n">
        <v>0</v>
      </c>
      <c r="AE595" t="inlineStr">
        <is>
          <t>942198649</t>
        </is>
      </c>
      <c r="AF595" t="inlineStr">
        <is>
          <t>chio22011@hotmail.com</t>
        </is>
      </c>
      <c r="AG595" t="inlineStr">
        <is>
          <t>LIMA</t>
        </is>
      </c>
      <c r="AH595" t="inlineStr">
        <is>
          <t>LOS OLIVOS</t>
        </is>
      </c>
      <c r="AI595" s="75" t="n">
        <v>46188</v>
      </c>
      <c r="AJ595" s="75" t="n"/>
      <c r="AK595" t="inlineStr">
        <is>
          <t>CUOTA INICIAL</t>
        </is>
      </c>
      <c r="AL595" t="n">
        <v>1</v>
      </c>
      <c r="AM595" t="n">
        <v>57000</v>
      </c>
      <c r="AN595" t="n">
        <v>0</v>
      </c>
      <c r="AO595" t="n">
        <v>0</v>
      </c>
      <c r="AP595" s="39" t="n">
        <v>57000</v>
      </c>
      <c r="AQ595" s="39" t="n">
        <v>0</v>
      </c>
      <c r="AR595" s="39" t="n">
        <v>57000</v>
      </c>
      <c r="AT595" t="inlineStr">
        <is>
          <t>Ahorro</t>
        </is>
      </c>
      <c r="AZ595" t="inlineStr">
        <is>
          <t>No</t>
        </is>
      </c>
      <c r="BC595" t="inlineStr">
        <is>
          <t>VENCIDO</t>
        </is>
      </c>
      <c r="BN595" t="inlineStr">
        <is>
          <t>No</t>
        </is>
      </c>
      <c r="BO595" s="76" t="n">
        <v>46174.33611111111</v>
      </c>
      <c r="BP595" t="inlineStr">
        <is>
          <t>Carla Michue M</t>
        </is>
      </c>
      <c r="BR595" t="n">
        <v>43</v>
      </c>
      <c r="BW595" t="inlineStr">
        <is>
          <t>Cobranzas_2026.csv</t>
        </is>
      </c>
      <c r="BX595" t="n">
        <v>2026</v>
      </c>
      <c r="BY595" t="inlineStr">
        <is>
          <t>01/01/2024</t>
        </is>
      </c>
      <c r="BZ595" t="inlineStr">
        <is>
          <t>30/06/2031</t>
        </is>
      </c>
    </row>
    <row r="596">
      <c r="A596" t="inlineStr">
        <is>
          <t>RESIDENCIAL BEYOND</t>
        </is>
      </c>
      <c r="B596" t="inlineStr">
        <is>
          <t>Etapa 1</t>
        </is>
      </c>
      <c r="C596" t="inlineStr">
        <is>
          <t>Edificio</t>
        </is>
      </c>
      <c r="D596" t="inlineStr">
        <is>
          <t>A</t>
        </is>
      </c>
      <c r="E596" t="inlineStr">
        <is>
          <t>Departamento</t>
        </is>
      </c>
      <c r="F596" t="inlineStr">
        <is>
          <t>905</t>
        </is>
      </c>
      <c r="G596" s="39" t="n">
        <v>532100</v>
      </c>
      <c r="H596" s="39" t="n">
        <v>510000</v>
      </c>
      <c r="M596" s="39" t="n"/>
      <c r="N596" s="39" t="n"/>
      <c r="S596" s="39" t="n"/>
      <c r="T596" s="39" t="n"/>
      <c r="Y596" s="39" t="n"/>
      <c r="Z596" s="39" t="n"/>
      <c r="AA596" t="inlineStr">
        <is>
          <t>Rocio del Pilar Quispe Vivanco</t>
        </is>
      </c>
      <c r="AB596" t="inlineStr">
        <is>
          <t>46571077</t>
        </is>
      </c>
      <c r="AC596" t="inlineStr">
        <is>
          <t>Calle 49 MZ UU2 Lt.14 Urb. La Floresta</t>
        </is>
      </c>
      <c r="AD596" t="n">
        <v>0</v>
      </c>
      <c r="AE596" t="inlineStr">
        <is>
          <t>942198649</t>
        </is>
      </c>
      <c r="AF596" t="inlineStr">
        <is>
          <t>chio22011@hotmail.com</t>
        </is>
      </c>
      <c r="AG596" t="inlineStr">
        <is>
          <t>LIMA</t>
        </is>
      </c>
      <c r="AH596" t="inlineStr">
        <is>
          <t>LOS OLIVOS</t>
        </is>
      </c>
      <c r="AI596" s="75" t="n">
        <v>46356</v>
      </c>
      <c r="AJ596" s="75" t="n"/>
      <c r="AK596" t="inlineStr">
        <is>
          <t>CUOTA INICIAL</t>
        </is>
      </c>
      <c r="AL596" t="n">
        <v>2</v>
      </c>
      <c r="AM596" t="n">
        <v>42000</v>
      </c>
      <c r="AN596" t="n">
        <v>0</v>
      </c>
      <c r="AO596" t="n">
        <v>0</v>
      </c>
      <c r="AP596" s="39" t="n">
        <v>42000</v>
      </c>
      <c r="AQ596" s="39" t="n">
        <v>0</v>
      </c>
      <c r="AR596" s="39" t="n">
        <v>42000</v>
      </c>
      <c r="AT596" t="inlineStr">
        <is>
          <t>Ahorro</t>
        </is>
      </c>
      <c r="AZ596" t="inlineStr">
        <is>
          <t>No</t>
        </is>
      </c>
      <c r="BC596" t="inlineStr">
        <is>
          <t>PENDIENTE</t>
        </is>
      </c>
      <c r="BN596" t="inlineStr">
        <is>
          <t>No</t>
        </is>
      </c>
      <c r="BO596" s="76" t="n">
        <v>46174.33611111111</v>
      </c>
      <c r="BP596" t="inlineStr">
        <is>
          <t>Carla Michue M</t>
        </is>
      </c>
      <c r="BR596" t="n">
        <v>43</v>
      </c>
      <c r="BW596" t="inlineStr">
        <is>
          <t>Cobranzas_2026.csv</t>
        </is>
      </c>
      <c r="BX596" t="n">
        <v>2026</v>
      </c>
      <c r="BY596" t="inlineStr">
        <is>
          <t>01/01/2024</t>
        </is>
      </c>
      <c r="BZ596" t="inlineStr">
        <is>
          <t>30/06/2031</t>
        </is>
      </c>
    </row>
    <row r="597">
      <c r="A597" t="inlineStr">
        <is>
          <t>RESIDENCIAL PRADA</t>
        </is>
      </c>
      <c r="B597" t="inlineStr">
        <is>
          <t>Etapa 1</t>
        </is>
      </c>
      <c r="C597" t="inlineStr">
        <is>
          <t>Edificio</t>
        </is>
      </c>
      <c r="D597" t="inlineStr">
        <is>
          <t>A</t>
        </is>
      </c>
      <c r="E597" t="inlineStr">
        <is>
          <t>Departamento</t>
        </is>
      </c>
      <c r="F597" t="inlineStr">
        <is>
          <t>402</t>
        </is>
      </c>
      <c r="G597" s="39" t="n">
        <v>517000</v>
      </c>
      <c r="H597" s="39" t="n">
        <v>457600</v>
      </c>
      <c r="I597" t="inlineStr">
        <is>
          <t>Edificio</t>
        </is>
      </c>
      <c r="J597" t="inlineStr">
        <is>
          <t>A</t>
        </is>
      </c>
      <c r="K597" t="inlineStr">
        <is>
          <t>Estacionamiento</t>
        </is>
      </c>
      <c r="L597" t="inlineStr">
        <is>
          <t>E 46 - D 35</t>
        </is>
      </c>
      <c r="M597" s="39" t="n">
        <v>54400</v>
      </c>
      <c r="N597" s="39" t="n">
        <v>54400</v>
      </c>
      <c r="S597" s="39" t="n"/>
      <c r="T597" s="39" t="n"/>
      <c r="Y597" s="39" t="n"/>
      <c r="Z597" s="39" t="n"/>
      <c r="AA597" t="inlineStr">
        <is>
          <t>RODRIGO SANDRO CARDENAS BULLON</t>
        </is>
      </c>
      <c r="AB597" t="inlineStr">
        <is>
          <t>72200919</t>
        </is>
      </c>
      <c r="AC597" t="inlineStr">
        <is>
          <t>CALLE LOS NEGOCIOS 280 BLOCK 3 DPTO A401</t>
        </is>
      </c>
      <c r="AD597" t="n">
        <v>0</v>
      </c>
      <c r="AE597" t="inlineStr">
        <is>
          <t>944456394</t>
        </is>
      </c>
      <c r="AF597" t="inlineStr">
        <is>
          <t>rodrigo.cardenas.bullon@gmail.com</t>
        </is>
      </c>
      <c r="AG597" t="inlineStr">
        <is>
          <t>LIMA</t>
        </is>
      </c>
      <c r="AH597" t="inlineStr">
        <is>
          <t>SURQUILLO</t>
        </is>
      </c>
      <c r="AI597" s="75" t="n">
        <v>46159</v>
      </c>
      <c r="AJ597" s="75" t="n">
        <v>46159</v>
      </c>
      <c r="AK597" t="inlineStr">
        <is>
          <t>SEPARACION</t>
        </is>
      </c>
      <c r="AL597" t="n">
        <v>1</v>
      </c>
      <c r="AM597" t="n">
        <v>3000</v>
      </c>
      <c r="AN597" t="n">
        <v>0</v>
      </c>
      <c r="AO597" t="n">
        <v>0</v>
      </c>
      <c r="AP597" s="39" t="n">
        <v>3000</v>
      </c>
      <c r="AQ597" s="39" t="n">
        <v>3000</v>
      </c>
      <c r="AR597" s="39" t="n">
        <v>0</v>
      </c>
      <c r="AS597" t="n">
        <v>0</v>
      </c>
      <c r="AT597" t="inlineStr">
        <is>
          <t>Ahorro</t>
        </is>
      </c>
      <c r="AU597" t="inlineStr">
        <is>
          <t>Scotiabank Perú</t>
        </is>
      </c>
      <c r="AV597" t="inlineStr">
        <is>
          <t>000-2768484</t>
        </is>
      </c>
      <c r="AW597" t="inlineStr">
        <is>
          <t>POS VISA</t>
        </is>
      </c>
      <c r="AX597" t="n">
        <v>72200919</v>
      </c>
      <c r="AY597" t="inlineStr">
        <is>
          <t>0123</t>
        </is>
      </c>
      <c r="AZ597" t="inlineStr">
        <is>
          <t>No</t>
        </is>
      </c>
      <c r="BA597" t="inlineStr">
        <is>
          <t>NO PRECISA</t>
        </is>
      </c>
      <c r="BB597" t="n">
        <v>4</v>
      </c>
      <c r="BC597" t="inlineStr">
        <is>
          <t>CANCELADO</t>
        </is>
      </c>
      <c r="BN597" t="inlineStr">
        <is>
          <t>Si</t>
        </is>
      </c>
      <c r="BO597" s="76" t="n">
        <v>46165.68263888889</v>
      </c>
      <c r="BP597" t="inlineStr">
        <is>
          <t>Magaly Guevara Perez</t>
        </is>
      </c>
      <c r="BR597" t="n">
        <v>27</v>
      </c>
      <c r="BS597" t="inlineStr">
        <is>
          <t>18/05/2026 16:40</t>
        </is>
      </c>
      <c r="BW597" t="inlineStr">
        <is>
          <t>Cobranzas_2026.csv</t>
        </is>
      </c>
      <c r="BX597" t="n">
        <v>2026</v>
      </c>
      <c r="BY597" t="inlineStr">
        <is>
          <t>01/01/2024</t>
        </is>
      </c>
      <c r="BZ597" t="inlineStr">
        <is>
          <t>30/06/2031</t>
        </is>
      </c>
    </row>
    <row r="598">
      <c r="A598" t="inlineStr">
        <is>
          <t>RESIDENCIAL PRADA</t>
        </is>
      </c>
      <c r="B598" t="inlineStr">
        <is>
          <t>Etapa 1</t>
        </is>
      </c>
      <c r="C598" t="inlineStr">
        <is>
          <t>Edificio</t>
        </is>
      </c>
      <c r="D598" t="inlineStr">
        <is>
          <t>A</t>
        </is>
      </c>
      <c r="E598" t="inlineStr">
        <is>
          <t>Departamento</t>
        </is>
      </c>
      <c r="F598" t="inlineStr">
        <is>
          <t>402</t>
        </is>
      </c>
      <c r="G598" s="39" t="n">
        <v>517000</v>
      </c>
      <c r="H598" s="39" t="n">
        <v>457600</v>
      </c>
      <c r="I598" t="inlineStr">
        <is>
          <t>Edificio</t>
        </is>
      </c>
      <c r="J598" t="inlineStr">
        <is>
          <t>A</t>
        </is>
      </c>
      <c r="K598" t="inlineStr">
        <is>
          <t>Estacionamiento</t>
        </is>
      </c>
      <c r="L598" t="inlineStr">
        <is>
          <t>E 46 - D 35</t>
        </is>
      </c>
      <c r="M598" s="39" t="n">
        <v>54400</v>
      </c>
      <c r="N598" s="39" t="n">
        <v>54400</v>
      </c>
      <c r="S598" s="39" t="n"/>
      <c r="T598" s="39" t="n"/>
      <c r="Y598" s="39" t="n"/>
      <c r="Z598" s="39" t="n"/>
      <c r="AA598" t="inlineStr">
        <is>
          <t>RODRIGO SANDRO CARDENAS BULLON</t>
        </is>
      </c>
      <c r="AB598" t="inlineStr">
        <is>
          <t>72200919</t>
        </is>
      </c>
      <c r="AC598" t="inlineStr">
        <is>
          <t>CALLE LOS NEGOCIOS 280 BLOCK 3 DPTO A401</t>
        </is>
      </c>
      <c r="AD598" t="n">
        <v>0</v>
      </c>
      <c r="AE598" t="inlineStr">
        <is>
          <t>944456394</t>
        </is>
      </c>
      <c r="AF598" t="inlineStr">
        <is>
          <t>rodrigo.cardenas.bullon@gmail.com</t>
        </is>
      </c>
      <c r="AG598" t="inlineStr">
        <is>
          <t>LIMA</t>
        </is>
      </c>
      <c r="AH598" t="inlineStr">
        <is>
          <t>SURQUILLO</t>
        </is>
      </c>
      <c r="AI598" s="75" t="n">
        <v>46165</v>
      </c>
      <c r="AJ598" s="75" t="n">
        <v>46165</v>
      </c>
      <c r="AK598" t="inlineStr">
        <is>
          <t>CUOTA INICIAL</t>
        </is>
      </c>
      <c r="AL598" t="n">
        <v>1</v>
      </c>
      <c r="AM598" t="n">
        <v>22600</v>
      </c>
      <c r="AN598" t="n">
        <v>0</v>
      </c>
      <c r="AO598" t="n">
        <v>0</v>
      </c>
      <c r="AP598" s="39" t="n">
        <v>22600</v>
      </c>
      <c r="AQ598" s="39" t="n">
        <v>22600</v>
      </c>
      <c r="AR598" s="39" t="n">
        <v>0</v>
      </c>
      <c r="AS598" t="n">
        <v>0</v>
      </c>
      <c r="AT598" t="inlineStr">
        <is>
          <t>Ahorro</t>
        </is>
      </c>
      <c r="AU598" t="inlineStr">
        <is>
          <t>Scotiabank Perú</t>
        </is>
      </c>
      <c r="AV598" t="inlineStr">
        <is>
          <t>000-2768484</t>
        </is>
      </c>
      <c r="AW598" t="inlineStr">
        <is>
          <t>TRANSFERENCIA BANCARIA</t>
        </is>
      </c>
      <c r="AY598" t="inlineStr">
        <is>
          <t>P046133</t>
        </is>
      </c>
      <c r="AZ598" t="inlineStr">
        <is>
          <t>No</t>
        </is>
      </c>
      <c r="BB598" t="n">
        <v>4</v>
      </c>
      <c r="BC598" t="inlineStr">
        <is>
          <t>CANCELADO</t>
        </is>
      </c>
      <c r="BN598" t="inlineStr">
        <is>
          <t>Si</t>
        </is>
      </c>
      <c r="BO598" s="76" t="n">
        <v>46165.68263888889</v>
      </c>
      <c r="BP598" t="inlineStr">
        <is>
          <t>Magaly Guevara Perez</t>
        </is>
      </c>
      <c r="BR598" t="n">
        <v>27</v>
      </c>
      <c r="BS598" t="inlineStr">
        <is>
          <t>23/06/2026 15:54</t>
        </is>
      </c>
      <c r="BW598" t="inlineStr">
        <is>
          <t>Cobranzas_2026.csv</t>
        </is>
      </c>
      <c r="BX598" t="n">
        <v>2026</v>
      </c>
      <c r="BY598" t="inlineStr">
        <is>
          <t>01/01/2024</t>
        </is>
      </c>
      <c r="BZ598" t="inlineStr">
        <is>
          <t>30/06/2031</t>
        </is>
      </c>
    </row>
    <row r="599">
      <c r="A599" t="inlineStr">
        <is>
          <t>RESIDENCIAL PRADA</t>
        </is>
      </c>
      <c r="B599" t="inlineStr">
        <is>
          <t>Etapa 1</t>
        </is>
      </c>
      <c r="C599" t="inlineStr">
        <is>
          <t>Edificio</t>
        </is>
      </c>
      <c r="D599" t="inlineStr">
        <is>
          <t>A</t>
        </is>
      </c>
      <c r="E599" t="inlineStr">
        <is>
          <t>Departamento</t>
        </is>
      </c>
      <c r="F599" t="inlineStr">
        <is>
          <t>402</t>
        </is>
      </c>
      <c r="G599" s="39" t="n">
        <v>517000</v>
      </c>
      <c r="H599" s="39" t="n">
        <v>457600</v>
      </c>
      <c r="I599" t="inlineStr">
        <is>
          <t>Edificio</t>
        </is>
      </c>
      <c r="J599" t="inlineStr">
        <is>
          <t>A</t>
        </is>
      </c>
      <c r="K599" t="inlineStr">
        <is>
          <t>Estacionamiento</t>
        </is>
      </c>
      <c r="L599" t="inlineStr">
        <is>
          <t>E 46 - D 35</t>
        </is>
      </c>
      <c r="M599" s="39" t="n">
        <v>54400</v>
      </c>
      <c r="N599" s="39" t="n">
        <v>54400</v>
      </c>
      <c r="S599" s="39" t="n"/>
      <c r="T599" s="39" t="n"/>
      <c r="Y599" s="39" t="n"/>
      <c r="Z599" s="39" t="n"/>
      <c r="AA599" t="inlineStr">
        <is>
          <t>RODRIGO SANDRO CARDENAS BULLON</t>
        </is>
      </c>
      <c r="AB599" t="inlineStr">
        <is>
          <t>72200919</t>
        </is>
      </c>
      <c r="AC599" t="inlineStr">
        <is>
          <t>CALLE LOS NEGOCIOS 280 BLOCK 3 DPTO A401</t>
        </is>
      </c>
      <c r="AD599" t="n">
        <v>0</v>
      </c>
      <c r="AE599" t="inlineStr">
        <is>
          <t>944456394</t>
        </is>
      </c>
      <c r="AF599" t="inlineStr">
        <is>
          <t>rodrigo.cardenas.bullon@gmail.com</t>
        </is>
      </c>
      <c r="AG599" t="inlineStr">
        <is>
          <t>LIMA</t>
        </is>
      </c>
      <c r="AH599" t="inlineStr">
        <is>
          <t>SURQUILLO</t>
        </is>
      </c>
      <c r="AI599" s="75" t="n">
        <v>46264</v>
      </c>
      <c r="AJ599" s="75" t="n"/>
      <c r="AK599" t="inlineStr">
        <is>
          <t>AHORRO CASA</t>
        </is>
      </c>
      <c r="AL599" t="n">
        <v>2</v>
      </c>
      <c r="AM599" t="n">
        <v>25600</v>
      </c>
      <c r="AN599" t="n">
        <v>0</v>
      </c>
      <c r="AO599" t="n">
        <v>0</v>
      </c>
      <c r="AP599" s="39" t="n">
        <v>25600</v>
      </c>
      <c r="AQ599" s="39" t="n">
        <v>0</v>
      </c>
      <c r="AR599" s="39" t="n">
        <v>25600</v>
      </c>
      <c r="AT599" t="inlineStr">
        <is>
          <t>Ahorro</t>
        </is>
      </c>
      <c r="AZ599" t="inlineStr">
        <is>
          <t>No</t>
        </is>
      </c>
      <c r="BC599" t="inlineStr">
        <is>
          <t>PENDIENTE</t>
        </is>
      </c>
      <c r="BN599" t="inlineStr">
        <is>
          <t>No</t>
        </is>
      </c>
      <c r="BO599" s="76" t="n">
        <v>46165.68263888889</v>
      </c>
      <c r="BP599" t="inlineStr">
        <is>
          <t>Magaly Guevara Perez</t>
        </is>
      </c>
      <c r="BR599" t="n">
        <v>27</v>
      </c>
      <c r="BW599" t="inlineStr">
        <is>
          <t>Cobranzas_2026.csv</t>
        </is>
      </c>
      <c r="BX599" t="n">
        <v>2026</v>
      </c>
      <c r="BY599" t="inlineStr">
        <is>
          <t>01/01/2024</t>
        </is>
      </c>
      <c r="BZ599" t="inlineStr">
        <is>
          <t>30/06/2031</t>
        </is>
      </c>
    </row>
    <row r="600">
      <c r="A600" t="inlineStr">
        <is>
          <t>RESIDENCIAL PRADA</t>
        </is>
      </c>
      <c r="B600" t="inlineStr">
        <is>
          <t>Etapa 1</t>
        </is>
      </c>
      <c r="C600" t="inlineStr">
        <is>
          <t>Edificio</t>
        </is>
      </c>
      <c r="D600" t="inlineStr">
        <is>
          <t>A</t>
        </is>
      </c>
      <c r="E600" t="inlineStr">
        <is>
          <t>Departamento</t>
        </is>
      </c>
      <c r="F600" t="inlineStr">
        <is>
          <t>402</t>
        </is>
      </c>
      <c r="G600" s="39" t="n">
        <v>517000</v>
      </c>
      <c r="H600" s="39" t="n">
        <v>457600</v>
      </c>
      <c r="I600" t="inlineStr">
        <is>
          <t>Edificio</t>
        </is>
      </c>
      <c r="J600" t="inlineStr">
        <is>
          <t>A</t>
        </is>
      </c>
      <c r="K600" t="inlineStr">
        <is>
          <t>Estacionamiento</t>
        </is>
      </c>
      <c r="L600" t="inlineStr">
        <is>
          <t>E 46 - D 35</t>
        </is>
      </c>
      <c r="M600" s="39" t="n">
        <v>54400</v>
      </c>
      <c r="N600" s="39" t="n">
        <v>54400</v>
      </c>
      <c r="S600" s="39" t="n"/>
      <c r="T600" s="39" t="n"/>
      <c r="Y600" s="39" t="n"/>
      <c r="Z600" s="39" t="n"/>
      <c r="AA600" t="inlineStr">
        <is>
          <t>RODRIGO SANDRO CARDENAS BULLON</t>
        </is>
      </c>
      <c r="AB600" t="inlineStr">
        <is>
          <t>72200919</t>
        </is>
      </c>
      <c r="AC600" t="inlineStr">
        <is>
          <t>CALLE LOS NEGOCIOS 280 BLOCK 3 DPTO A401</t>
        </is>
      </c>
      <c r="AD600" t="n">
        <v>0</v>
      </c>
      <c r="AE600" t="inlineStr">
        <is>
          <t>944456394</t>
        </is>
      </c>
      <c r="AF600" t="inlineStr">
        <is>
          <t>rodrigo.cardenas.bullon@gmail.com</t>
        </is>
      </c>
      <c r="AG600" t="inlineStr">
        <is>
          <t>LIMA</t>
        </is>
      </c>
      <c r="AH600" t="inlineStr">
        <is>
          <t>SURQUILLO</t>
        </is>
      </c>
      <c r="AI600" s="75" t="n">
        <v>46295</v>
      </c>
      <c r="AJ600" s="75" t="n"/>
      <c r="AK600" t="inlineStr">
        <is>
          <t>SALDO FINANCIAR</t>
        </is>
      </c>
      <c r="AL600" t="n">
        <v>1</v>
      </c>
      <c r="AM600" t="n">
        <v>460800</v>
      </c>
      <c r="AN600" t="n">
        <v>0</v>
      </c>
      <c r="AO600" t="n">
        <v>0</v>
      </c>
      <c r="AP600" s="39" t="n">
        <v>460800</v>
      </c>
      <c r="AQ600" s="39" t="n">
        <v>0</v>
      </c>
      <c r="AR600" s="39" t="n">
        <v>460800</v>
      </c>
      <c r="AT600" t="inlineStr">
        <is>
          <t>Ahorro</t>
        </is>
      </c>
      <c r="AZ600" t="inlineStr">
        <is>
          <t>No</t>
        </is>
      </c>
      <c r="BC600" t="inlineStr">
        <is>
          <t>PENDIENTE</t>
        </is>
      </c>
      <c r="BN600" t="inlineStr">
        <is>
          <t>No</t>
        </is>
      </c>
      <c r="BO600" s="76" t="n">
        <v>46165.68263888889</v>
      </c>
      <c r="BP600" t="inlineStr">
        <is>
          <t>Magaly Guevara Perez</t>
        </is>
      </c>
      <c r="BR600" t="n">
        <v>27</v>
      </c>
      <c r="BW600" t="inlineStr">
        <is>
          <t>Cobranzas_2026.csv</t>
        </is>
      </c>
      <c r="BX600" t="n">
        <v>2026</v>
      </c>
      <c r="BY600" t="inlineStr">
        <is>
          <t>01/01/2024</t>
        </is>
      </c>
      <c r="BZ600" t="inlineStr">
        <is>
          <t>30/06/2031</t>
        </is>
      </c>
    </row>
    <row r="601">
      <c r="A601" t="inlineStr">
        <is>
          <t>RESIDENCIAL BEYOND</t>
        </is>
      </c>
      <c r="B601" t="inlineStr">
        <is>
          <t>Etapa 1</t>
        </is>
      </c>
      <c r="C601" t="inlineStr">
        <is>
          <t>Edificio</t>
        </is>
      </c>
      <c r="D601" t="inlineStr">
        <is>
          <t>A</t>
        </is>
      </c>
      <c r="E601" t="inlineStr">
        <is>
          <t>Departamento</t>
        </is>
      </c>
      <c r="F601" t="inlineStr">
        <is>
          <t>703</t>
        </is>
      </c>
      <c r="G601" s="39" t="n">
        <v>474700</v>
      </c>
      <c r="H601" s="39" t="n">
        <v>474700</v>
      </c>
      <c r="I601" t="inlineStr">
        <is>
          <t>Edificio</t>
        </is>
      </c>
      <c r="J601" t="inlineStr">
        <is>
          <t>A</t>
        </is>
      </c>
      <c r="K601" t="inlineStr">
        <is>
          <t>Departamento</t>
        </is>
      </c>
      <c r="L601" t="inlineStr">
        <is>
          <t>704</t>
        </is>
      </c>
      <c r="M601" s="39" t="n">
        <v>468000</v>
      </c>
      <c r="N601" s="39" t="n">
        <v>468000</v>
      </c>
      <c r="S601" s="39" t="n"/>
      <c r="T601" s="39" t="n"/>
      <c r="Y601" s="39" t="n"/>
      <c r="Z601" s="39" t="n"/>
      <c r="AA601" t="inlineStr">
        <is>
          <t>RONALD ANTONIO TICONA ARONES</t>
        </is>
      </c>
      <c r="AB601" t="inlineStr">
        <is>
          <t>41639626</t>
        </is>
      </c>
      <c r="AC601" t="inlineStr">
        <is>
          <t>Av. Gregorio Escobedo 426 Dpto. N°402 - Jesus Maria.</t>
        </is>
      </c>
      <c r="AE601" t="inlineStr">
        <is>
          <t>959833373</t>
        </is>
      </c>
      <c r="AF601" t="inlineStr">
        <is>
          <t>gr103@gmail.com</t>
        </is>
      </c>
      <c r="AG601" t="inlineStr">
        <is>
          <t>LIMA</t>
        </is>
      </c>
      <c r="AH601" t="inlineStr">
        <is>
          <t>JESUS MARIA</t>
        </is>
      </c>
      <c r="AI601" s="75" t="n">
        <v>46202.3625</v>
      </c>
      <c r="AJ601" s="75" t="n"/>
      <c r="AK601" t="inlineStr">
        <is>
          <t>CUOTA INICIAL</t>
        </is>
      </c>
      <c r="AL601" t="n">
        <v>1</v>
      </c>
      <c r="AM601" t="n">
        <v>117090</v>
      </c>
      <c r="AN601" t="n">
        <v>0</v>
      </c>
      <c r="AO601" t="n">
        <v>0</v>
      </c>
      <c r="AP601" s="39" t="n">
        <v>117090</v>
      </c>
      <c r="AQ601" s="39" t="n">
        <v>0</v>
      </c>
      <c r="AR601" s="39" t="n">
        <v>117090</v>
      </c>
      <c r="AT601" t="inlineStr">
        <is>
          <t>Crédito Hipotecario</t>
        </is>
      </c>
      <c r="AZ601" t="inlineStr">
        <is>
          <t>No</t>
        </is>
      </c>
      <c r="BC601" t="inlineStr">
        <is>
          <t>VENCIDO</t>
        </is>
      </c>
      <c r="BN601" t="inlineStr">
        <is>
          <t>No</t>
        </is>
      </c>
      <c r="BO601" s="76" t="n">
        <v>46181.41111111111</v>
      </c>
      <c r="BP601" t="inlineStr">
        <is>
          <t>Kenny Salazar S</t>
        </is>
      </c>
      <c r="BR601" t="n">
        <v>37</v>
      </c>
      <c r="BW601" t="inlineStr">
        <is>
          <t>Cobranzas_2026.csv</t>
        </is>
      </c>
      <c r="BX601" t="n">
        <v>2026</v>
      </c>
      <c r="BY601" t="inlineStr">
        <is>
          <t>01/01/2024</t>
        </is>
      </c>
      <c r="BZ601" t="inlineStr">
        <is>
          <t>30/06/2031</t>
        </is>
      </c>
    </row>
    <row r="602">
      <c r="A602" t="inlineStr">
        <is>
          <t>RESIDENCIAL BEYOND</t>
        </is>
      </c>
      <c r="B602" t="inlineStr">
        <is>
          <t>Etapa 1</t>
        </is>
      </c>
      <c r="C602" t="inlineStr">
        <is>
          <t>Edificio</t>
        </is>
      </c>
      <c r="D602" t="inlineStr">
        <is>
          <t>A</t>
        </is>
      </c>
      <c r="E602" t="inlineStr">
        <is>
          <t>Departamento</t>
        </is>
      </c>
      <c r="F602" t="inlineStr">
        <is>
          <t>703</t>
        </is>
      </c>
      <c r="G602" s="39" t="n">
        <v>474700</v>
      </c>
      <c r="H602" s="39" t="n">
        <v>474700</v>
      </c>
      <c r="I602" t="inlineStr">
        <is>
          <t>Edificio</t>
        </is>
      </c>
      <c r="J602" t="inlineStr">
        <is>
          <t>A</t>
        </is>
      </c>
      <c r="K602" t="inlineStr">
        <is>
          <t>Departamento</t>
        </is>
      </c>
      <c r="L602" t="inlineStr">
        <is>
          <t>704</t>
        </is>
      </c>
      <c r="M602" s="39" t="n">
        <v>468000</v>
      </c>
      <c r="N602" s="39" t="n">
        <v>468000</v>
      </c>
      <c r="S602" s="39" t="n"/>
      <c r="T602" s="39" t="n"/>
      <c r="Y602" s="39" t="n"/>
      <c r="Z602" s="39" t="n"/>
      <c r="AA602" t="inlineStr">
        <is>
          <t>RONALD ANTONIO TICONA ARONES</t>
        </is>
      </c>
      <c r="AB602" t="inlineStr">
        <is>
          <t>41639626</t>
        </is>
      </c>
      <c r="AC602" t="inlineStr">
        <is>
          <t>Av. Gregorio Escobedo 426 Dpto. N°402 - Jesus Maria.</t>
        </is>
      </c>
      <c r="AE602" t="inlineStr">
        <is>
          <t>959833373</t>
        </is>
      </c>
      <c r="AF602" t="inlineStr">
        <is>
          <t>gr103@gmail.com</t>
        </is>
      </c>
      <c r="AG602" t="inlineStr">
        <is>
          <t>LIMA</t>
        </is>
      </c>
      <c r="AH602" t="inlineStr">
        <is>
          <t>JESUS MARIA</t>
        </is>
      </c>
      <c r="AI602" s="75" t="n">
        <v>46232.3625</v>
      </c>
      <c r="AJ602" s="75" t="n"/>
      <c r="AK602" t="inlineStr">
        <is>
          <t>SALDO FINANCIAR</t>
        </is>
      </c>
      <c r="AL602" t="n">
        <v>1</v>
      </c>
      <c r="AM602" t="n">
        <v>825610</v>
      </c>
      <c r="AN602" t="n">
        <v>0</v>
      </c>
      <c r="AO602" t="n">
        <v>0</v>
      </c>
      <c r="AP602" s="39" t="n">
        <v>825610</v>
      </c>
      <c r="AQ602" s="39" t="n">
        <v>0</v>
      </c>
      <c r="AR602" s="39" t="n">
        <v>825610</v>
      </c>
      <c r="AT602" t="inlineStr">
        <is>
          <t>Crédito Hipotecario</t>
        </is>
      </c>
      <c r="AZ602" t="inlineStr">
        <is>
          <t>No</t>
        </is>
      </c>
      <c r="BC602" t="inlineStr">
        <is>
          <t>PENDIENTE</t>
        </is>
      </c>
      <c r="BN602" t="inlineStr">
        <is>
          <t>No</t>
        </is>
      </c>
      <c r="BO602" s="76" t="n">
        <v>46181.41111111111</v>
      </c>
      <c r="BP602" t="inlineStr">
        <is>
          <t>Kenny Salazar S</t>
        </is>
      </c>
      <c r="BR602" t="n">
        <v>37</v>
      </c>
      <c r="BW602" t="inlineStr">
        <is>
          <t>Cobranzas_2026.csv</t>
        </is>
      </c>
      <c r="BX602" t="n">
        <v>2026</v>
      </c>
      <c r="BY602" t="inlineStr">
        <is>
          <t>01/01/2024</t>
        </is>
      </c>
      <c r="BZ602" t="inlineStr">
        <is>
          <t>30/06/2031</t>
        </is>
      </c>
    </row>
    <row r="603">
      <c r="A603" t="inlineStr">
        <is>
          <t>RESIDENCIAL BEYOND</t>
        </is>
      </c>
      <c r="B603" t="inlineStr">
        <is>
          <t>Etapa 1</t>
        </is>
      </c>
      <c r="C603" t="inlineStr">
        <is>
          <t>Edificio</t>
        </is>
      </c>
      <c r="D603" t="inlineStr">
        <is>
          <t>A</t>
        </is>
      </c>
      <c r="E603" t="inlineStr">
        <is>
          <t>Departamento</t>
        </is>
      </c>
      <c r="F603" t="inlineStr">
        <is>
          <t>504</t>
        </is>
      </c>
      <c r="G603" s="39" t="n">
        <v>498000</v>
      </c>
      <c r="H603" s="39" t="n">
        <v>464400</v>
      </c>
      <c r="I603" t="inlineStr">
        <is>
          <t>Edificio</t>
        </is>
      </c>
      <c r="J603" t="inlineStr">
        <is>
          <t>A</t>
        </is>
      </c>
      <c r="K603" t="inlineStr">
        <is>
          <t>Estacionamiento</t>
        </is>
      </c>
      <c r="L603" t="inlineStr">
        <is>
          <t>E 07</t>
        </is>
      </c>
      <c r="M603" s="39" t="n">
        <v>45600</v>
      </c>
      <c r="N603" s="39" t="n">
        <v>45600</v>
      </c>
      <c r="S603" s="39" t="n"/>
      <c r="T603" s="39" t="n"/>
      <c r="Y603" s="39" t="n"/>
      <c r="Z603" s="39" t="n"/>
      <c r="AA603" t="inlineStr">
        <is>
          <t>Ronald José Claudio Ramírez</t>
        </is>
      </c>
      <c r="AB603" t="inlineStr">
        <is>
          <t>41129584</t>
        </is>
      </c>
      <c r="AC603" t="inlineStr">
        <is>
          <t>Av. Nicolas Allyon 7550 torre 2 dpto. 302</t>
        </is>
      </c>
      <c r="AD603" t="n">
        <v>0</v>
      </c>
      <c r="AE603" t="inlineStr">
        <is>
          <t>991470542</t>
        </is>
      </c>
      <c r="AF603" t="inlineStr">
        <is>
          <t>ronald.claudio@gmail.com</t>
        </is>
      </c>
      <c r="AG603" t="inlineStr">
        <is>
          <t>LIMA</t>
        </is>
      </c>
      <c r="AH603" t="inlineStr">
        <is>
          <t>ATE</t>
        </is>
      </c>
      <c r="AI603" s="75" t="n">
        <v>46071</v>
      </c>
      <c r="AJ603" s="75" t="n"/>
      <c r="AK603" t="inlineStr">
        <is>
          <t>CUOTA INICIAL</t>
        </is>
      </c>
      <c r="AL603" t="n">
        <v>1</v>
      </c>
      <c r="AM603" t="n">
        <v>49500</v>
      </c>
      <c r="AN603" t="n">
        <v>0</v>
      </c>
      <c r="AO603" t="n">
        <v>0</v>
      </c>
      <c r="AP603" s="39" t="n">
        <v>49500</v>
      </c>
      <c r="AQ603" s="39" t="n">
        <v>0</v>
      </c>
      <c r="AR603" s="39" t="n">
        <v>49500</v>
      </c>
      <c r="AT603" t="inlineStr">
        <is>
          <t>Ahorro</t>
        </is>
      </c>
      <c r="AZ603" t="inlineStr">
        <is>
          <t>No</t>
        </is>
      </c>
      <c r="BC603" t="inlineStr">
        <is>
          <t>VENCIDO</t>
        </is>
      </c>
      <c r="BN603" t="inlineStr">
        <is>
          <t>No</t>
        </is>
      </c>
      <c r="BO603" s="76" t="n">
        <v>46071.40208333333</v>
      </c>
      <c r="BP603" t="inlineStr">
        <is>
          <t>Magaly Guevara Perez</t>
        </is>
      </c>
      <c r="BR603" t="n">
        <v>32</v>
      </c>
      <c r="BW603" t="inlineStr">
        <is>
          <t>Cobranzas_2026.csv</t>
        </is>
      </c>
      <c r="BX603" t="n">
        <v>2026</v>
      </c>
      <c r="BY603" t="inlineStr">
        <is>
          <t>01/01/2024</t>
        </is>
      </c>
      <c r="BZ603" t="inlineStr">
        <is>
          <t>30/06/2031</t>
        </is>
      </c>
    </row>
    <row r="604">
      <c r="A604" t="inlineStr">
        <is>
          <t>RESIDENCIAL BEYOND</t>
        </is>
      </c>
      <c r="B604" t="inlineStr">
        <is>
          <t>Etapa 1</t>
        </is>
      </c>
      <c r="C604" t="inlineStr">
        <is>
          <t>Edificio</t>
        </is>
      </c>
      <c r="D604" t="inlineStr">
        <is>
          <t>A</t>
        </is>
      </c>
      <c r="E604" t="inlineStr">
        <is>
          <t>Departamento</t>
        </is>
      </c>
      <c r="F604" t="inlineStr">
        <is>
          <t>504</t>
        </is>
      </c>
      <c r="G604" s="39" t="n">
        <v>498000</v>
      </c>
      <c r="H604" s="39" t="n">
        <v>464400</v>
      </c>
      <c r="I604" t="inlineStr">
        <is>
          <t>Edificio</t>
        </is>
      </c>
      <c r="J604" t="inlineStr">
        <is>
          <t>A</t>
        </is>
      </c>
      <c r="K604" t="inlineStr">
        <is>
          <t>Estacionamiento</t>
        </is>
      </c>
      <c r="L604" t="inlineStr">
        <is>
          <t>E 07</t>
        </is>
      </c>
      <c r="M604" s="39" t="n">
        <v>45600</v>
      </c>
      <c r="N604" s="39" t="n">
        <v>45600</v>
      </c>
      <c r="S604" s="39" t="n"/>
      <c r="T604" s="39" t="n"/>
      <c r="Y604" s="39" t="n"/>
      <c r="Z604" s="39" t="n"/>
      <c r="AA604" t="inlineStr">
        <is>
          <t>Ronald José Claudio Ramírez</t>
        </is>
      </c>
      <c r="AB604" t="inlineStr">
        <is>
          <t>41129584</t>
        </is>
      </c>
      <c r="AC604" t="inlineStr">
        <is>
          <t>Av. Nicolas Allyon 7550 torre 2 dpto. 302</t>
        </is>
      </c>
      <c r="AD604" t="n">
        <v>0</v>
      </c>
      <c r="AE604" t="inlineStr">
        <is>
          <t>991470542</t>
        </is>
      </c>
      <c r="AF604" t="inlineStr">
        <is>
          <t>ronald.claudio@gmail.com</t>
        </is>
      </c>
      <c r="AG604" t="inlineStr">
        <is>
          <t>LIMA</t>
        </is>
      </c>
      <c r="AH604" t="inlineStr">
        <is>
          <t>ATE</t>
        </is>
      </c>
      <c r="AI604" s="75" t="n">
        <v>46233</v>
      </c>
      <c r="AJ604" s="75" t="n"/>
      <c r="AK604" t="inlineStr">
        <is>
          <t>CUOTA INICIAL</t>
        </is>
      </c>
      <c r="AL604" t="n">
        <v>2</v>
      </c>
      <c r="AM604" t="n">
        <v>49500</v>
      </c>
      <c r="AN604" t="n">
        <v>0</v>
      </c>
      <c r="AO604" t="n">
        <v>0</v>
      </c>
      <c r="AP604" s="39" t="n">
        <v>49500</v>
      </c>
      <c r="AQ604" s="39" t="n">
        <v>0</v>
      </c>
      <c r="AR604" s="39" t="n">
        <v>49500</v>
      </c>
      <c r="AT604" t="inlineStr">
        <is>
          <t>Ahorro</t>
        </is>
      </c>
      <c r="AZ604" t="inlineStr">
        <is>
          <t>No</t>
        </is>
      </c>
      <c r="BC604" t="inlineStr">
        <is>
          <t>PENDIENTE</t>
        </is>
      </c>
      <c r="BN604" t="inlineStr">
        <is>
          <t>No</t>
        </is>
      </c>
      <c r="BO604" s="76" t="n">
        <v>46071.40208333333</v>
      </c>
      <c r="BP604" t="inlineStr">
        <is>
          <t>Magaly Guevara Perez</t>
        </is>
      </c>
      <c r="BR604" t="n">
        <v>32</v>
      </c>
      <c r="BW604" t="inlineStr">
        <is>
          <t>Cobranzas_2026.csv</t>
        </is>
      </c>
      <c r="BX604" t="n">
        <v>2026</v>
      </c>
      <c r="BY604" t="inlineStr">
        <is>
          <t>01/01/2024</t>
        </is>
      </c>
      <c r="BZ604" t="inlineStr">
        <is>
          <t>30/06/2031</t>
        </is>
      </c>
    </row>
    <row r="605">
      <c r="A605" t="inlineStr">
        <is>
          <t>RESIDENCIAL BEYOND</t>
        </is>
      </c>
      <c r="B605" t="inlineStr">
        <is>
          <t>Etapa 1</t>
        </is>
      </c>
      <c r="C605" t="inlineStr">
        <is>
          <t>Edificio</t>
        </is>
      </c>
      <c r="D605" t="inlineStr">
        <is>
          <t>A</t>
        </is>
      </c>
      <c r="E605" t="inlineStr">
        <is>
          <t>Departamento</t>
        </is>
      </c>
      <c r="F605" t="inlineStr">
        <is>
          <t>504</t>
        </is>
      </c>
      <c r="G605" s="39" t="n">
        <v>498000</v>
      </c>
      <c r="H605" s="39" t="n">
        <v>464400</v>
      </c>
      <c r="I605" t="inlineStr">
        <is>
          <t>Edificio</t>
        </is>
      </c>
      <c r="J605" t="inlineStr">
        <is>
          <t>A</t>
        </is>
      </c>
      <c r="K605" t="inlineStr">
        <is>
          <t>Estacionamiento</t>
        </is>
      </c>
      <c r="L605" t="inlineStr">
        <is>
          <t>E 07</t>
        </is>
      </c>
      <c r="M605" s="39" t="n">
        <v>45600</v>
      </c>
      <c r="N605" s="39" t="n">
        <v>45600</v>
      </c>
      <c r="S605" s="39" t="n"/>
      <c r="T605" s="39" t="n"/>
      <c r="Y605" s="39" t="n"/>
      <c r="Z605" s="39" t="n"/>
      <c r="AA605" t="inlineStr">
        <is>
          <t>Ronald José Claudio Ramírez</t>
        </is>
      </c>
      <c r="AB605" t="inlineStr">
        <is>
          <t>41129584</t>
        </is>
      </c>
      <c r="AC605" t="inlineStr">
        <is>
          <t>Av. Nicolas Allyon 7550 torre 2 dpto. 302</t>
        </is>
      </c>
      <c r="AD605" t="n">
        <v>0</v>
      </c>
      <c r="AE605" t="inlineStr">
        <is>
          <t>991470542</t>
        </is>
      </c>
      <c r="AF605" t="inlineStr">
        <is>
          <t>ronald.claudio@gmail.com</t>
        </is>
      </c>
      <c r="AG605" t="inlineStr">
        <is>
          <t>LIMA</t>
        </is>
      </c>
      <c r="AH605" t="inlineStr">
        <is>
          <t>ATE</t>
        </is>
      </c>
      <c r="AI605" s="75" t="n">
        <v>46295</v>
      </c>
      <c r="AJ605" s="75" t="n"/>
      <c r="AK605" t="inlineStr">
        <is>
          <t>SALDO FINANCIAR</t>
        </is>
      </c>
      <c r="AL605" t="n">
        <v>1</v>
      </c>
      <c r="AM605" t="n">
        <v>408000</v>
      </c>
      <c r="AN605" t="n">
        <v>0</v>
      </c>
      <c r="AO605" t="n">
        <v>0</v>
      </c>
      <c r="AP605" s="39" t="n">
        <v>408000</v>
      </c>
      <c r="AQ605" s="39" t="n">
        <v>0</v>
      </c>
      <c r="AR605" s="39" t="n">
        <v>408000</v>
      </c>
      <c r="AT605" t="inlineStr">
        <is>
          <t>Ahorro</t>
        </is>
      </c>
      <c r="AZ605" t="inlineStr">
        <is>
          <t>No</t>
        </is>
      </c>
      <c r="BC605" t="inlineStr">
        <is>
          <t>PENDIENTE</t>
        </is>
      </c>
      <c r="BN605" t="inlineStr">
        <is>
          <t>No</t>
        </is>
      </c>
      <c r="BO605" s="76" t="n">
        <v>46071.40208333333</v>
      </c>
      <c r="BP605" t="inlineStr">
        <is>
          <t>Magaly Guevara Perez</t>
        </is>
      </c>
      <c r="BR605" t="n">
        <v>32</v>
      </c>
      <c r="BW605" t="inlineStr">
        <is>
          <t>Cobranzas_2026.csv</t>
        </is>
      </c>
      <c r="BX605" t="n">
        <v>2026</v>
      </c>
      <c r="BY605" t="inlineStr">
        <is>
          <t>01/01/2024</t>
        </is>
      </c>
      <c r="BZ605" t="inlineStr">
        <is>
          <t>30/06/2031</t>
        </is>
      </c>
    </row>
    <row r="606">
      <c r="A606" t="inlineStr">
        <is>
          <t>RESIDENCIAL PRADA</t>
        </is>
      </c>
      <c r="B606" t="inlineStr">
        <is>
          <t>Etapa 1</t>
        </is>
      </c>
      <c r="C606" t="inlineStr">
        <is>
          <t>Edificio</t>
        </is>
      </c>
      <c r="D606" t="inlineStr">
        <is>
          <t>A</t>
        </is>
      </c>
      <c r="E606" t="inlineStr">
        <is>
          <t>Departamento</t>
        </is>
      </c>
      <c r="F606" t="inlineStr">
        <is>
          <t>1005</t>
        </is>
      </c>
      <c r="G606" s="39" t="n">
        <v>480000</v>
      </c>
      <c r="H606" s="39" t="n">
        <v>480000</v>
      </c>
      <c r="M606" s="39" t="n"/>
      <c r="N606" s="39" t="n"/>
      <c r="S606" s="39" t="n"/>
      <c r="T606" s="39" t="n"/>
      <c r="Y606" s="39" t="n"/>
      <c r="Z606" s="39" t="n"/>
      <c r="AA606" t="inlineStr">
        <is>
          <t xml:space="preserve">STEPHANIE LIZETH AQUINO HERRERA </t>
        </is>
      </c>
      <c r="AB606" t="inlineStr">
        <is>
          <t>70292339</t>
        </is>
      </c>
      <c r="AC606" t="inlineStr">
        <is>
          <t xml:space="preserve">Jr. Juan Olaechea Arnao 1217 URB. Elio 1era Et. Lima - Lima </t>
        </is>
      </c>
      <c r="AD606" t="n">
        <v>966050658</v>
      </c>
      <c r="AE606" t="inlineStr">
        <is>
          <t>966050658</t>
        </is>
      </c>
      <c r="AF606" t="inlineStr">
        <is>
          <t>nxtsyox@gmail.com</t>
        </is>
      </c>
      <c r="AG606" t="inlineStr">
        <is>
          <t>LIMA</t>
        </is>
      </c>
      <c r="AH606" t="inlineStr">
        <is>
          <t>PUEBLO LIBRE</t>
        </is>
      </c>
      <c r="AI606" s="75" t="n">
        <v>46111</v>
      </c>
      <c r="AJ606" s="75" t="n">
        <v>46111</v>
      </c>
      <c r="AK606" t="inlineStr">
        <is>
          <t>SEPARACION</t>
        </is>
      </c>
      <c r="AL606" t="n">
        <v>1</v>
      </c>
      <c r="AM606" t="n">
        <v>3000</v>
      </c>
      <c r="AN606" t="n">
        <v>0</v>
      </c>
      <c r="AO606" t="n">
        <v>0</v>
      </c>
      <c r="AP606" s="39" t="n">
        <v>3000</v>
      </c>
      <c r="AQ606" s="39" t="n">
        <v>3000</v>
      </c>
      <c r="AR606" s="39" t="n">
        <v>0</v>
      </c>
      <c r="AS606" t="n">
        <v>0</v>
      </c>
      <c r="AT606" t="inlineStr">
        <is>
          <t>Crédito Hipotecario</t>
        </is>
      </c>
      <c r="AU606" t="inlineStr">
        <is>
          <t>Scotiabank Perú</t>
        </is>
      </c>
      <c r="AV606" t="inlineStr">
        <is>
          <t>000-2768484</t>
        </is>
      </c>
      <c r="AW606" t="inlineStr">
        <is>
          <t>TRANSFERENCIA BANCARIA</t>
        </is>
      </c>
      <c r="AY606" t="inlineStr">
        <is>
          <t>60423122</t>
        </is>
      </c>
      <c r="AZ606" t="inlineStr">
        <is>
          <t>No</t>
        </is>
      </c>
      <c r="BB606" t="n">
        <v>4</v>
      </c>
      <c r="BC606" t="inlineStr">
        <is>
          <t>CANCELADO</t>
        </is>
      </c>
      <c r="BN606" t="inlineStr">
        <is>
          <t>Si</t>
        </is>
      </c>
      <c r="BO606" s="76" t="n">
        <v>46112.58958333333</v>
      </c>
      <c r="BP606" t="inlineStr">
        <is>
          <t>Kenny Salazar S</t>
        </is>
      </c>
      <c r="BR606" t="n">
        <v>48</v>
      </c>
      <c r="BS606" t="inlineStr">
        <is>
          <t>03/06/2026 15:38</t>
        </is>
      </c>
      <c r="BW606" t="inlineStr">
        <is>
          <t>Cobranzas_2026.csv</t>
        </is>
      </c>
      <c r="BX606" t="n">
        <v>2026</v>
      </c>
      <c r="BY606" t="inlineStr">
        <is>
          <t>01/01/2024</t>
        </is>
      </c>
      <c r="BZ606" t="inlineStr">
        <is>
          <t>30/06/2031</t>
        </is>
      </c>
    </row>
    <row r="607">
      <c r="A607" t="inlineStr">
        <is>
          <t>RESIDENCIAL PRADA</t>
        </is>
      </c>
      <c r="B607" t="inlineStr">
        <is>
          <t>Etapa 1</t>
        </is>
      </c>
      <c r="C607" t="inlineStr">
        <is>
          <t>Edificio</t>
        </is>
      </c>
      <c r="D607" t="inlineStr">
        <is>
          <t>A</t>
        </is>
      </c>
      <c r="E607" t="inlineStr">
        <is>
          <t>Departamento</t>
        </is>
      </c>
      <c r="F607" t="inlineStr">
        <is>
          <t>1005</t>
        </is>
      </c>
      <c r="G607" s="39" t="n">
        <v>480000</v>
      </c>
      <c r="H607" s="39" t="n">
        <v>480000</v>
      </c>
      <c r="M607" s="39" t="n"/>
      <c r="N607" s="39" t="n"/>
      <c r="S607" s="39" t="n"/>
      <c r="T607" s="39" t="n"/>
      <c r="Y607" s="39" t="n"/>
      <c r="Z607" s="39" t="n"/>
      <c r="AA607" t="inlineStr">
        <is>
          <t xml:space="preserve">STEPHANIE LIZETH AQUINO HERRERA </t>
        </is>
      </c>
      <c r="AB607" t="inlineStr">
        <is>
          <t>70292339</t>
        </is>
      </c>
      <c r="AC607" t="inlineStr">
        <is>
          <t xml:space="preserve">Jr. Juan Olaechea Arnao 1217 URB. Elio 1era Et. Lima - Lima </t>
        </is>
      </c>
      <c r="AD607" t="n">
        <v>966050658</v>
      </c>
      <c r="AE607" t="inlineStr">
        <is>
          <t>966050658</t>
        </is>
      </c>
      <c r="AF607" t="inlineStr">
        <is>
          <t>nxtsyox@gmail.com</t>
        </is>
      </c>
      <c r="AG607" t="inlineStr">
        <is>
          <t>LIMA</t>
        </is>
      </c>
      <c r="AH607" t="inlineStr">
        <is>
          <t>PUEBLO LIBRE</t>
        </is>
      </c>
      <c r="AI607" s="75" t="n">
        <v>46112</v>
      </c>
      <c r="AJ607" s="75" t="n">
        <v>46112</v>
      </c>
      <c r="AK607" t="inlineStr">
        <is>
          <t>CUOTA INICIAL</t>
        </is>
      </c>
      <c r="AL607" t="n">
        <v>1</v>
      </c>
      <c r="AM607" t="n">
        <v>10000</v>
      </c>
      <c r="AN607" t="n">
        <v>0</v>
      </c>
      <c r="AO607" t="n">
        <v>0</v>
      </c>
      <c r="AP607" s="39" t="n">
        <v>10000</v>
      </c>
      <c r="AQ607" s="39" t="n">
        <v>10000</v>
      </c>
      <c r="AR607" s="39" t="n">
        <v>0</v>
      </c>
      <c r="AS607" t="n">
        <v>0</v>
      </c>
      <c r="AT607" t="inlineStr">
        <is>
          <t>Crédito Hipotecario</t>
        </is>
      </c>
      <c r="AU607" t="inlineStr">
        <is>
          <t>Scotiabank Perú</t>
        </is>
      </c>
      <c r="AV607" t="inlineStr">
        <is>
          <t>00917000000276848424</t>
        </is>
      </c>
      <c r="AW607" t="inlineStr">
        <is>
          <t>TRANSFERENCIA BANCARIA</t>
        </is>
      </c>
      <c r="AX607" t="n">
        <v>70292339</v>
      </c>
      <c r="AY607" t="inlineStr">
        <is>
          <t>06360653</t>
        </is>
      </c>
      <c r="AZ607" t="inlineStr">
        <is>
          <t>No</t>
        </is>
      </c>
      <c r="BA607" t="inlineStr">
        <is>
          <t>NO PRECISA</t>
        </is>
      </c>
      <c r="BB607" t="n">
        <v>4</v>
      </c>
      <c r="BC607" t="inlineStr">
        <is>
          <t>CANCELADO</t>
        </is>
      </c>
      <c r="BN607" t="inlineStr">
        <is>
          <t>Si</t>
        </is>
      </c>
      <c r="BO607" s="76" t="n">
        <v>46112.58958333333</v>
      </c>
      <c r="BP607" t="inlineStr">
        <is>
          <t>Kenny Salazar S</t>
        </is>
      </c>
      <c r="BR607" t="n">
        <v>48</v>
      </c>
      <c r="BS607" t="inlineStr">
        <is>
          <t>05/06/2026 14:53</t>
        </is>
      </c>
      <c r="BW607" t="inlineStr">
        <is>
          <t>Cobranzas_2026.csv</t>
        </is>
      </c>
      <c r="BX607" t="n">
        <v>2026</v>
      </c>
      <c r="BY607" t="inlineStr">
        <is>
          <t>01/01/2024</t>
        </is>
      </c>
      <c r="BZ607" t="inlineStr">
        <is>
          <t>30/06/2031</t>
        </is>
      </c>
    </row>
    <row r="608">
      <c r="A608" t="inlineStr">
        <is>
          <t>RESIDENCIAL PRADA</t>
        </is>
      </c>
      <c r="B608" t="inlineStr">
        <is>
          <t>Etapa 1</t>
        </is>
      </c>
      <c r="C608" t="inlineStr">
        <is>
          <t>Edificio</t>
        </is>
      </c>
      <c r="D608" t="inlineStr">
        <is>
          <t>A</t>
        </is>
      </c>
      <c r="E608" t="inlineStr">
        <is>
          <t>Departamento</t>
        </is>
      </c>
      <c r="F608" t="inlineStr">
        <is>
          <t>1005</t>
        </is>
      </c>
      <c r="G608" s="39" t="n">
        <v>480000</v>
      </c>
      <c r="H608" s="39" t="n">
        <v>480000</v>
      </c>
      <c r="M608" s="39" t="n"/>
      <c r="N608" s="39" t="n"/>
      <c r="S608" s="39" t="n"/>
      <c r="T608" s="39" t="n"/>
      <c r="Y608" s="39" t="n"/>
      <c r="Z608" s="39" t="n"/>
      <c r="AA608" t="inlineStr">
        <is>
          <t xml:space="preserve">STEPHANIE LIZETH AQUINO HERRERA </t>
        </is>
      </c>
      <c r="AB608" t="inlineStr">
        <is>
          <t>70292339</t>
        </is>
      </c>
      <c r="AC608" t="inlineStr">
        <is>
          <t xml:space="preserve">Jr. Juan Olaechea Arnao 1217 URB. Elio 1era Et. Lima - Lima </t>
        </is>
      </c>
      <c r="AD608" t="n">
        <v>966050658</v>
      </c>
      <c r="AE608" t="inlineStr">
        <is>
          <t>966050658</t>
        </is>
      </c>
      <c r="AF608" t="inlineStr">
        <is>
          <t>nxtsyox@gmail.com</t>
        </is>
      </c>
      <c r="AG608" t="inlineStr">
        <is>
          <t>LIMA</t>
        </is>
      </c>
      <c r="AH608" t="inlineStr">
        <is>
          <t>PUEBLO LIBRE</t>
        </is>
      </c>
      <c r="AI608" s="75" t="n">
        <v>46142</v>
      </c>
      <c r="AJ608" s="75" t="n">
        <v>46140</v>
      </c>
      <c r="AK608" t="inlineStr">
        <is>
          <t>CUOTA INICIAL</t>
        </is>
      </c>
      <c r="AL608" t="n">
        <v>2</v>
      </c>
      <c r="AM608" t="n">
        <v>11000</v>
      </c>
      <c r="AN608" t="n">
        <v>0</v>
      </c>
      <c r="AO608" t="n">
        <v>0</v>
      </c>
      <c r="AP608" s="39" t="n">
        <v>11000</v>
      </c>
      <c r="AQ608" s="39" t="n">
        <v>11000</v>
      </c>
      <c r="AR608" s="39" t="n">
        <v>0</v>
      </c>
      <c r="AS608" t="n">
        <v>0</v>
      </c>
      <c r="AT608" t="inlineStr">
        <is>
          <t>Crédito Hipotecario</t>
        </is>
      </c>
      <c r="AU608" t="inlineStr">
        <is>
          <t>Scotiabank Perú</t>
        </is>
      </c>
      <c r="AV608" t="inlineStr">
        <is>
          <t>000-2768484</t>
        </is>
      </c>
      <c r="AW608" t="inlineStr">
        <is>
          <t>TRANSFERENCIA BANCARIA</t>
        </is>
      </c>
      <c r="AX608" t="n">
        <v>70292339</v>
      </c>
      <c r="AY608" t="inlineStr">
        <is>
          <t>06494216</t>
        </is>
      </c>
      <c r="AZ608" t="inlineStr">
        <is>
          <t>No</t>
        </is>
      </c>
      <c r="BA608" t="inlineStr">
        <is>
          <t>NO PRECISA</t>
        </is>
      </c>
      <c r="BB608" t="n">
        <v>4</v>
      </c>
      <c r="BC608" t="inlineStr">
        <is>
          <t>CANCELADO</t>
        </is>
      </c>
      <c r="BN608" t="inlineStr">
        <is>
          <t>Si</t>
        </is>
      </c>
      <c r="BO608" s="76" t="n">
        <v>46112.58958333333</v>
      </c>
      <c r="BP608" t="inlineStr">
        <is>
          <t>Kenny Salazar S</t>
        </is>
      </c>
      <c r="BR608" t="n">
        <v>48</v>
      </c>
      <c r="BS608" t="inlineStr">
        <is>
          <t>05/06/2026 14:54</t>
        </is>
      </c>
      <c r="BW608" t="inlineStr">
        <is>
          <t>Cobranzas_2026.csv</t>
        </is>
      </c>
      <c r="BX608" t="n">
        <v>2026</v>
      </c>
      <c r="BY608" t="inlineStr">
        <is>
          <t>01/01/2024</t>
        </is>
      </c>
      <c r="BZ608" t="inlineStr">
        <is>
          <t>30/06/2031</t>
        </is>
      </c>
    </row>
    <row r="609">
      <c r="A609" t="inlineStr">
        <is>
          <t>RESIDENCIAL PRADA</t>
        </is>
      </c>
      <c r="B609" t="inlineStr">
        <is>
          <t>Etapa 1</t>
        </is>
      </c>
      <c r="C609" t="inlineStr">
        <is>
          <t>Edificio</t>
        </is>
      </c>
      <c r="D609" t="inlineStr">
        <is>
          <t>A</t>
        </is>
      </c>
      <c r="E609" t="inlineStr">
        <is>
          <t>Departamento</t>
        </is>
      </c>
      <c r="F609" t="inlineStr">
        <is>
          <t>1005</t>
        </is>
      </c>
      <c r="G609" s="39" t="n">
        <v>480000</v>
      </c>
      <c r="H609" s="39" t="n">
        <v>480000</v>
      </c>
      <c r="M609" s="39" t="n"/>
      <c r="N609" s="39" t="n"/>
      <c r="S609" s="39" t="n"/>
      <c r="T609" s="39" t="n"/>
      <c r="Y609" s="39" t="n"/>
      <c r="Z609" s="39" t="n"/>
      <c r="AA609" t="inlineStr">
        <is>
          <t xml:space="preserve">STEPHANIE LIZETH AQUINO HERRERA </t>
        </is>
      </c>
      <c r="AB609" t="inlineStr">
        <is>
          <t>70292339</t>
        </is>
      </c>
      <c r="AC609" t="inlineStr">
        <is>
          <t xml:space="preserve">Jr. Juan Olaechea Arnao 1217 URB. Elio 1era Et. Lima - Lima </t>
        </is>
      </c>
      <c r="AD609" t="n">
        <v>966050658</v>
      </c>
      <c r="AE609" t="inlineStr">
        <is>
          <t>966050658</t>
        </is>
      </c>
      <c r="AF609" t="inlineStr">
        <is>
          <t>nxtsyox@gmail.com</t>
        </is>
      </c>
      <c r="AG609" t="inlineStr">
        <is>
          <t>LIMA</t>
        </is>
      </c>
      <c r="AH609" t="inlineStr">
        <is>
          <t>PUEBLO LIBRE</t>
        </is>
      </c>
      <c r="AI609" s="75" t="n">
        <v>46203</v>
      </c>
      <c r="AJ609" s="75" t="n"/>
      <c r="AK609" t="inlineStr">
        <is>
          <t>CUOTA INICIAL</t>
        </is>
      </c>
      <c r="AL609" t="n">
        <v>3</v>
      </c>
      <c r="AM609" t="n">
        <v>24000</v>
      </c>
      <c r="AN609" t="n">
        <v>0</v>
      </c>
      <c r="AO609" t="n">
        <v>0</v>
      </c>
      <c r="AP609" s="39" t="n">
        <v>24000</v>
      </c>
      <c r="AQ609" s="39" t="n">
        <v>0</v>
      </c>
      <c r="AR609" s="39" t="n">
        <v>24000</v>
      </c>
      <c r="AT609" t="inlineStr">
        <is>
          <t>Crédito Hipotecario</t>
        </is>
      </c>
      <c r="AZ609" t="inlineStr">
        <is>
          <t>No</t>
        </is>
      </c>
      <c r="BC609" t="inlineStr">
        <is>
          <t>VENCIDO</t>
        </is>
      </c>
      <c r="BN609" t="inlineStr">
        <is>
          <t>No</t>
        </is>
      </c>
      <c r="BO609" s="76" t="n">
        <v>46112.58958333333</v>
      </c>
      <c r="BP609" t="inlineStr">
        <is>
          <t>Kenny Salazar S</t>
        </is>
      </c>
      <c r="BR609" t="n">
        <v>48</v>
      </c>
      <c r="BW609" t="inlineStr">
        <is>
          <t>Cobranzas_2026.csv</t>
        </is>
      </c>
      <c r="BX609" t="n">
        <v>2026</v>
      </c>
      <c r="BY609" t="inlineStr">
        <is>
          <t>01/01/2024</t>
        </is>
      </c>
      <c r="BZ609" t="inlineStr">
        <is>
          <t>30/06/2031</t>
        </is>
      </c>
    </row>
    <row r="610">
      <c r="A610" t="inlineStr">
        <is>
          <t>RESIDENCIAL PRADA</t>
        </is>
      </c>
      <c r="B610" t="inlineStr">
        <is>
          <t>Etapa 1</t>
        </is>
      </c>
      <c r="C610" t="inlineStr">
        <is>
          <t>Edificio</t>
        </is>
      </c>
      <c r="D610" t="inlineStr">
        <is>
          <t>A</t>
        </is>
      </c>
      <c r="E610" t="inlineStr">
        <is>
          <t>Departamento</t>
        </is>
      </c>
      <c r="F610" t="inlineStr">
        <is>
          <t>1005</t>
        </is>
      </c>
      <c r="G610" s="39" t="n">
        <v>480000</v>
      </c>
      <c r="H610" s="39" t="n">
        <v>480000</v>
      </c>
      <c r="M610" s="39" t="n"/>
      <c r="N610" s="39" t="n"/>
      <c r="S610" s="39" t="n"/>
      <c r="T610" s="39" t="n"/>
      <c r="Y610" s="39" t="n"/>
      <c r="Z610" s="39" t="n"/>
      <c r="AA610" t="inlineStr">
        <is>
          <t xml:space="preserve">STEPHANIE LIZETH AQUINO HERRERA </t>
        </is>
      </c>
      <c r="AB610" t="inlineStr">
        <is>
          <t>70292339</t>
        </is>
      </c>
      <c r="AC610" t="inlineStr">
        <is>
          <t xml:space="preserve">Jr. Juan Olaechea Arnao 1217 URB. Elio 1era Et. Lima - Lima </t>
        </is>
      </c>
      <c r="AD610" t="n">
        <v>966050658</v>
      </c>
      <c r="AE610" t="inlineStr">
        <is>
          <t>966050658</t>
        </is>
      </c>
      <c r="AF610" t="inlineStr">
        <is>
          <t>nxtsyox@gmail.com</t>
        </is>
      </c>
      <c r="AG610" t="inlineStr">
        <is>
          <t>LIMA</t>
        </is>
      </c>
      <c r="AH610" t="inlineStr">
        <is>
          <t>PUEBLO LIBRE</t>
        </is>
      </c>
      <c r="AI610" s="75" t="n">
        <v>46233</v>
      </c>
      <c r="AJ610" s="75" t="n"/>
      <c r="AK610" t="inlineStr">
        <is>
          <t>SALDO FINANCIAR</t>
        </is>
      </c>
      <c r="AL610" t="n">
        <v>1</v>
      </c>
      <c r="AM610" t="n">
        <v>432000</v>
      </c>
      <c r="AN610" t="n">
        <v>0</v>
      </c>
      <c r="AO610" t="n">
        <v>0</v>
      </c>
      <c r="AP610" s="39" t="n">
        <v>432000</v>
      </c>
      <c r="AQ610" s="39" t="n">
        <v>0</v>
      </c>
      <c r="AR610" s="39" t="n">
        <v>432000</v>
      </c>
      <c r="AT610" t="inlineStr">
        <is>
          <t>Crédito Hipotecario</t>
        </is>
      </c>
      <c r="AZ610" t="inlineStr">
        <is>
          <t>No</t>
        </is>
      </c>
      <c r="BC610" t="inlineStr">
        <is>
          <t>PENDIENTE</t>
        </is>
      </c>
      <c r="BN610" t="inlineStr">
        <is>
          <t>No</t>
        </is>
      </c>
      <c r="BO610" s="76" t="n">
        <v>46112.58958333333</v>
      </c>
      <c r="BP610" t="inlineStr">
        <is>
          <t>Kenny Salazar S</t>
        </is>
      </c>
      <c r="BR610" t="n">
        <v>48</v>
      </c>
      <c r="BW610" t="inlineStr">
        <is>
          <t>Cobranzas_2026.csv</t>
        </is>
      </c>
      <c r="BX610" t="n">
        <v>2026</v>
      </c>
      <c r="BY610" t="inlineStr">
        <is>
          <t>01/01/2024</t>
        </is>
      </c>
      <c r="BZ610" t="inlineStr">
        <is>
          <t>30/06/2031</t>
        </is>
      </c>
    </row>
    <row r="611">
      <c r="A611" t="inlineStr">
        <is>
          <t>RESIDENCIAL PRADA</t>
        </is>
      </c>
      <c r="B611" t="inlineStr">
        <is>
          <t>Etapa 1</t>
        </is>
      </c>
      <c r="C611" t="inlineStr">
        <is>
          <t>Edificio</t>
        </is>
      </c>
      <c r="D611" t="inlineStr">
        <is>
          <t>A</t>
        </is>
      </c>
      <c r="E611" t="inlineStr">
        <is>
          <t>Departamento</t>
        </is>
      </c>
      <c r="F611" t="inlineStr">
        <is>
          <t>805</t>
        </is>
      </c>
      <c r="G611" s="39" t="n">
        <v>470500</v>
      </c>
      <c r="H611" s="39" t="n">
        <v>470500</v>
      </c>
      <c r="M611" s="39" t="n"/>
      <c r="N611" s="39" t="n"/>
      <c r="S611" s="39" t="n"/>
      <c r="T611" s="39" t="n"/>
      <c r="Y611" s="39" t="n"/>
      <c r="Z611" s="39" t="n"/>
      <c r="AA611" t="inlineStr">
        <is>
          <t>Sussan Yassmine Rubin Domínguez</t>
        </is>
      </c>
      <c r="AB611" t="inlineStr">
        <is>
          <t>46963168</t>
        </is>
      </c>
      <c r="AC611" t="inlineStr">
        <is>
          <t xml:space="preserve">URB LOS PORTALES MZ E LT 21 </t>
        </is>
      </c>
      <c r="AD611" t="n">
        <v>0</v>
      </c>
      <c r="AE611" t="inlineStr">
        <is>
          <t>962099777</t>
        </is>
      </c>
      <c r="AF611" t="inlineStr">
        <is>
          <t>yassmine.rubin12@gmail.com</t>
        </is>
      </c>
      <c r="AG611" t="inlineStr">
        <is>
          <t>HUANUCO</t>
        </is>
      </c>
      <c r="AH611" t="inlineStr">
        <is>
          <t>AMARILIS</t>
        </is>
      </c>
      <c r="AI611" s="75" t="n">
        <v>46234</v>
      </c>
      <c r="AJ611" s="75" t="n"/>
      <c r="AK611" t="inlineStr">
        <is>
          <t>AHORRO CASA</t>
        </is>
      </c>
      <c r="AL611" t="n">
        <v>2</v>
      </c>
      <c r="AM611" t="n">
        <v>58000</v>
      </c>
      <c r="AN611" t="n">
        <v>0</v>
      </c>
      <c r="AO611" t="n">
        <v>0</v>
      </c>
      <c r="AP611" s="39" t="n">
        <v>58000</v>
      </c>
      <c r="AQ611" s="39" t="n">
        <v>0</v>
      </c>
      <c r="AR611" s="39" t="n">
        <v>58000</v>
      </c>
      <c r="AT611" t="inlineStr">
        <is>
          <t>Ahorro</t>
        </is>
      </c>
      <c r="AZ611" t="inlineStr">
        <is>
          <t>No</t>
        </is>
      </c>
      <c r="BC611" t="inlineStr">
        <is>
          <t>PENDIENTE</t>
        </is>
      </c>
      <c r="BN611" t="inlineStr">
        <is>
          <t>No</t>
        </is>
      </c>
      <c r="BO611" s="76" t="n">
        <v>45834.63611111111</v>
      </c>
      <c r="BP611" t="inlineStr">
        <is>
          <t>Magaly Guevara Perez</t>
        </is>
      </c>
      <c r="BR611" t="n">
        <v>50</v>
      </c>
      <c r="BW611" t="inlineStr">
        <is>
          <t>Cobranzas_2026.csv</t>
        </is>
      </c>
      <c r="BX611" t="n">
        <v>2026</v>
      </c>
      <c r="BY611" t="inlineStr">
        <is>
          <t>01/01/2024</t>
        </is>
      </c>
      <c r="BZ611" t="inlineStr">
        <is>
          <t>30/06/2031</t>
        </is>
      </c>
    </row>
    <row r="612">
      <c r="A612" t="inlineStr">
        <is>
          <t>RESIDENCIAL PRADA</t>
        </is>
      </c>
      <c r="B612" t="inlineStr">
        <is>
          <t>Etapa 1</t>
        </is>
      </c>
      <c r="C612" t="inlineStr">
        <is>
          <t>Edificio</t>
        </is>
      </c>
      <c r="D612" t="inlineStr">
        <is>
          <t>A</t>
        </is>
      </c>
      <c r="E612" t="inlineStr">
        <is>
          <t>Departamento</t>
        </is>
      </c>
      <c r="F612" t="inlineStr">
        <is>
          <t>805</t>
        </is>
      </c>
      <c r="G612" s="39" t="n">
        <v>470500</v>
      </c>
      <c r="H612" s="39" t="n">
        <v>470500</v>
      </c>
      <c r="M612" s="39" t="n"/>
      <c r="N612" s="39" t="n"/>
      <c r="S612" s="39" t="n"/>
      <c r="T612" s="39" t="n"/>
      <c r="Y612" s="39" t="n"/>
      <c r="Z612" s="39" t="n"/>
      <c r="AA612" t="inlineStr">
        <is>
          <t>Sussan Yassmine Rubin Domínguez</t>
        </is>
      </c>
      <c r="AB612" t="inlineStr">
        <is>
          <t>46963168</t>
        </is>
      </c>
      <c r="AC612" t="inlineStr">
        <is>
          <t xml:space="preserve">URB LOS PORTALES MZ E LT 21 </t>
        </is>
      </c>
      <c r="AD612" t="n">
        <v>0</v>
      </c>
      <c r="AE612" t="inlineStr">
        <is>
          <t>962099777</t>
        </is>
      </c>
      <c r="AF612" t="inlineStr">
        <is>
          <t>yassmine.rubin12@gmail.com</t>
        </is>
      </c>
      <c r="AG612" t="inlineStr">
        <is>
          <t>HUANUCO</t>
        </is>
      </c>
      <c r="AH612" t="inlineStr">
        <is>
          <t>AMARILIS</t>
        </is>
      </c>
      <c r="AI612" s="75" t="n">
        <v>46265</v>
      </c>
      <c r="AJ612" s="75" t="n"/>
      <c r="AK612" t="inlineStr">
        <is>
          <t>SALDO FINANCIAR</t>
        </is>
      </c>
      <c r="AL612" t="n">
        <v>1</v>
      </c>
      <c r="AM612" t="n">
        <v>370500</v>
      </c>
      <c r="AN612" t="n">
        <v>0</v>
      </c>
      <c r="AO612" t="n">
        <v>0</v>
      </c>
      <c r="AP612" s="39" t="n">
        <v>370500</v>
      </c>
      <c r="AQ612" s="39" t="n">
        <v>0</v>
      </c>
      <c r="AR612" s="39" t="n">
        <v>370500</v>
      </c>
      <c r="AT612" t="inlineStr">
        <is>
          <t>Ahorro</t>
        </is>
      </c>
      <c r="AZ612" t="inlineStr">
        <is>
          <t>No</t>
        </is>
      </c>
      <c r="BC612" t="inlineStr">
        <is>
          <t>PENDIENTE</t>
        </is>
      </c>
      <c r="BN612" t="inlineStr">
        <is>
          <t>No</t>
        </is>
      </c>
      <c r="BO612" s="76" t="n">
        <v>45834.63611111111</v>
      </c>
      <c r="BP612" t="inlineStr">
        <is>
          <t>Magaly Guevara Perez</t>
        </is>
      </c>
      <c r="BR612" t="n">
        <v>50</v>
      </c>
      <c r="BW612" t="inlineStr">
        <is>
          <t>Cobranzas_2026.csv</t>
        </is>
      </c>
      <c r="BX612" t="n">
        <v>2026</v>
      </c>
      <c r="BY612" t="inlineStr">
        <is>
          <t>01/01/2024</t>
        </is>
      </c>
      <c r="BZ612" t="inlineStr">
        <is>
          <t>30/06/2031</t>
        </is>
      </c>
    </row>
    <row r="613">
      <c r="A613" t="inlineStr">
        <is>
          <t>RESIDENCIAL BEYOND</t>
        </is>
      </c>
      <c r="B613" t="inlineStr">
        <is>
          <t>Etapa 1</t>
        </is>
      </c>
      <c r="C613" t="inlineStr">
        <is>
          <t>Edificio</t>
        </is>
      </c>
      <c r="D613" t="inlineStr">
        <is>
          <t>A</t>
        </is>
      </c>
      <c r="E613" t="inlineStr">
        <is>
          <t>Departamento</t>
        </is>
      </c>
      <c r="F613" t="inlineStr">
        <is>
          <t>1001</t>
        </is>
      </c>
      <c r="G613" s="39" t="n">
        <v>531100</v>
      </c>
      <c r="H613" s="39" t="n">
        <v>518500</v>
      </c>
      <c r="M613" s="39" t="n"/>
      <c r="N613" s="39" t="n"/>
      <c r="S613" s="39" t="n"/>
      <c r="T613" s="39" t="n"/>
      <c r="Y613" s="39" t="n"/>
      <c r="Z613" s="39" t="n"/>
      <c r="AA613" t="inlineStr">
        <is>
          <t>Tania Jackeline Valladares Timana</t>
        </is>
      </c>
      <c r="AB613" t="inlineStr">
        <is>
          <t>43216992</t>
        </is>
      </c>
      <c r="AC613" t="inlineStr">
        <is>
          <t>Jr. Maria Antonieta 130 Dpto. 301</t>
        </is>
      </c>
      <c r="AD613" t="n">
        <v>0</v>
      </c>
      <c r="AE613" t="inlineStr">
        <is>
          <t>990000227</t>
        </is>
      </c>
      <c r="AF613" t="inlineStr">
        <is>
          <t>tania.valladarest@gmail.com</t>
        </is>
      </c>
      <c r="AG613" t="inlineStr">
        <is>
          <t>LIMA</t>
        </is>
      </c>
      <c r="AH613" t="inlineStr">
        <is>
          <t>SAN MARTIN DE PORRES</t>
        </is>
      </c>
      <c r="AI613" s="75" t="n">
        <v>46053</v>
      </c>
      <c r="AJ613" s="75" t="n"/>
      <c r="AK613" t="inlineStr">
        <is>
          <t>AFP TITULAR</t>
        </is>
      </c>
      <c r="AL613" t="n">
        <v>3</v>
      </c>
      <c r="AM613" t="n">
        <v>12125</v>
      </c>
      <c r="AN613" t="n">
        <v>0</v>
      </c>
      <c r="AO613" t="n">
        <v>0</v>
      </c>
      <c r="AP613" s="39" t="n">
        <v>12125</v>
      </c>
      <c r="AQ613" s="39" t="n">
        <v>0</v>
      </c>
      <c r="AR613" s="39" t="n">
        <v>12125</v>
      </c>
      <c r="AT613" t="inlineStr">
        <is>
          <t>Ahorro</t>
        </is>
      </c>
      <c r="AZ613" t="inlineStr">
        <is>
          <t>No</t>
        </is>
      </c>
      <c r="BC613" t="inlineStr">
        <is>
          <t>VENCIDO</t>
        </is>
      </c>
      <c r="BN613" t="inlineStr">
        <is>
          <t>No</t>
        </is>
      </c>
      <c r="BO613" s="76" t="n">
        <v>45870.43402777778</v>
      </c>
      <c r="BP613" t="inlineStr">
        <is>
          <t>Magaly Guevara Perez</t>
        </is>
      </c>
      <c r="BR613" t="n">
        <v>16</v>
      </c>
      <c r="BW613" t="inlineStr">
        <is>
          <t>Cobranzas_2026.csv</t>
        </is>
      </c>
      <c r="BX613" t="n">
        <v>2026</v>
      </c>
      <c r="BY613" t="inlineStr">
        <is>
          <t>01/01/2024</t>
        </is>
      </c>
      <c r="BZ613" t="inlineStr">
        <is>
          <t>30/06/2031</t>
        </is>
      </c>
    </row>
    <row r="614">
      <c r="A614" t="inlineStr">
        <is>
          <t>RESIDENCIAL BEYOND</t>
        </is>
      </c>
      <c r="B614" t="inlineStr">
        <is>
          <t>Etapa 1</t>
        </is>
      </c>
      <c r="C614" t="inlineStr">
        <is>
          <t>Edificio</t>
        </is>
      </c>
      <c r="D614" t="inlineStr">
        <is>
          <t>A</t>
        </is>
      </c>
      <c r="E614" t="inlineStr">
        <is>
          <t>Departamento</t>
        </is>
      </c>
      <c r="F614" t="inlineStr">
        <is>
          <t>1001</t>
        </is>
      </c>
      <c r="G614" s="39" t="n">
        <v>531100</v>
      </c>
      <c r="H614" s="39" t="n">
        <v>518500</v>
      </c>
      <c r="M614" s="39" t="n"/>
      <c r="N614" s="39" t="n"/>
      <c r="S614" s="39" t="n"/>
      <c r="T614" s="39" t="n"/>
      <c r="Y614" s="39" t="n"/>
      <c r="Z614" s="39" t="n"/>
      <c r="AA614" t="inlineStr">
        <is>
          <t>Tania Jackeline Valladares Timana</t>
        </is>
      </c>
      <c r="AB614" t="inlineStr">
        <is>
          <t>43216992</t>
        </is>
      </c>
      <c r="AC614" t="inlineStr">
        <is>
          <t>Jr. Maria Antonieta 130 Dpto. 301</t>
        </is>
      </c>
      <c r="AD614" t="n">
        <v>0</v>
      </c>
      <c r="AE614" t="inlineStr">
        <is>
          <t>990000227</t>
        </is>
      </c>
      <c r="AF614" t="inlineStr">
        <is>
          <t>tania.valladarest@gmail.com</t>
        </is>
      </c>
      <c r="AG614" t="inlineStr">
        <is>
          <t>LIMA</t>
        </is>
      </c>
      <c r="AH614" t="inlineStr">
        <is>
          <t>SAN MARTIN DE PORRES</t>
        </is>
      </c>
      <c r="AI614" s="75" t="n">
        <v>46053</v>
      </c>
      <c r="AJ614" s="75" t="n"/>
      <c r="AK614" t="inlineStr">
        <is>
          <t>SALDO FINANCIAR</t>
        </is>
      </c>
      <c r="AL614" t="n">
        <v>1</v>
      </c>
      <c r="AM614" t="n">
        <v>466650</v>
      </c>
      <c r="AN614" t="n">
        <v>0</v>
      </c>
      <c r="AO614" t="n">
        <v>0</v>
      </c>
      <c r="AP614" s="39" t="n">
        <v>466650</v>
      </c>
      <c r="AQ614" s="39" t="n">
        <v>0</v>
      </c>
      <c r="AR614" s="39" t="n">
        <v>466650</v>
      </c>
      <c r="AT614" t="inlineStr">
        <is>
          <t>Ahorro</t>
        </is>
      </c>
      <c r="AZ614" t="inlineStr">
        <is>
          <t>No</t>
        </is>
      </c>
      <c r="BC614" t="inlineStr">
        <is>
          <t>VENCIDO</t>
        </is>
      </c>
      <c r="BN614" t="inlineStr">
        <is>
          <t>No</t>
        </is>
      </c>
      <c r="BO614" s="76" t="n">
        <v>45870.43402777778</v>
      </c>
      <c r="BP614" t="inlineStr">
        <is>
          <t>Magaly Guevara Perez</t>
        </is>
      </c>
      <c r="BR614" t="n">
        <v>16</v>
      </c>
      <c r="BW614" t="inlineStr">
        <is>
          <t>Cobranzas_2026.csv</t>
        </is>
      </c>
      <c r="BX614" t="n">
        <v>2026</v>
      </c>
      <c r="BY614" t="inlineStr">
        <is>
          <t>01/01/2024</t>
        </is>
      </c>
      <c r="BZ614" t="inlineStr">
        <is>
          <t>30/06/2031</t>
        </is>
      </c>
    </row>
    <row r="615">
      <c r="A615" t="inlineStr">
        <is>
          <t>RESIDENCIAL BEYOND</t>
        </is>
      </c>
      <c r="B615" t="inlineStr">
        <is>
          <t>Etapa 1</t>
        </is>
      </c>
      <c r="C615" t="inlineStr">
        <is>
          <t>Edificio</t>
        </is>
      </c>
      <c r="D615" t="inlineStr">
        <is>
          <t>A</t>
        </is>
      </c>
      <c r="E615" t="inlineStr">
        <is>
          <t>Departamento</t>
        </is>
      </c>
      <c r="F615" t="inlineStr">
        <is>
          <t>205</t>
        </is>
      </c>
      <c r="G615" s="39" t="n">
        <v>587000</v>
      </c>
      <c r="H615" s="39" t="n">
        <v>577000</v>
      </c>
      <c r="M615" s="39" t="n"/>
      <c r="N615" s="39" t="n"/>
      <c r="S615" s="39" t="n"/>
      <c r="T615" s="39" t="n"/>
      <c r="Y615" s="39" t="n"/>
      <c r="Z615" s="39" t="n"/>
      <c r="AA615" t="inlineStr">
        <is>
          <t>Tania Milagros Cotrina Vara</t>
        </is>
      </c>
      <c r="AB615" t="inlineStr">
        <is>
          <t>10140034</t>
        </is>
      </c>
      <c r="AC615" t="inlineStr">
        <is>
          <t>Av. Arnaldo Marquez 1526 Dpto. 26</t>
        </is>
      </c>
      <c r="AD615" t="n">
        <v>0</v>
      </c>
      <c r="AE615" t="inlineStr">
        <is>
          <t>941461159</t>
        </is>
      </c>
      <c r="AF615" t="inlineStr">
        <is>
          <t>tamicov@hotmail.com</t>
        </is>
      </c>
      <c r="AG615" t="inlineStr">
        <is>
          <t>LIMA</t>
        </is>
      </c>
      <c r="AH615" t="inlineStr">
        <is>
          <t>JESUS MARIA</t>
        </is>
      </c>
      <c r="AI615" s="75" t="n">
        <v>46188</v>
      </c>
      <c r="AJ615" s="75" t="n"/>
      <c r="AK615" t="inlineStr">
        <is>
          <t>CUOTA INICIAL</t>
        </is>
      </c>
      <c r="AL615" t="n">
        <v>2</v>
      </c>
      <c r="AM615" t="n">
        <v>27600</v>
      </c>
      <c r="AN615" t="n">
        <v>0</v>
      </c>
      <c r="AO615" t="n">
        <v>0</v>
      </c>
      <c r="AP615" s="39" t="n">
        <v>27600</v>
      </c>
      <c r="AQ615" s="39" t="n">
        <v>0</v>
      </c>
      <c r="AR615" s="39" t="n">
        <v>27600</v>
      </c>
      <c r="AT615" t="inlineStr">
        <is>
          <t>Ahorro</t>
        </is>
      </c>
      <c r="AZ615" t="inlineStr">
        <is>
          <t>No</t>
        </is>
      </c>
      <c r="BC615" t="inlineStr">
        <is>
          <t>VENCIDO</t>
        </is>
      </c>
      <c r="BN615" t="inlineStr">
        <is>
          <t>No</t>
        </is>
      </c>
      <c r="BO615" s="76" t="n">
        <v>45918.41597222222</v>
      </c>
      <c r="BP615" t="inlineStr">
        <is>
          <t>Magaly Guevara Perez</t>
        </is>
      </c>
      <c r="BR615" t="n">
        <v>4</v>
      </c>
      <c r="BW615" t="inlineStr">
        <is>
          <t>Cobranzas_2026.csv</t>
        </is>
      </c>
      <c r="BX615" t="n">
        <v>2026</v>
      </c>
      <c r="BY615" t="inlineStr">
        <is>
          <t>01/01/2024</t>
        </is>
      </c>
      <c r="BZ615" t="inlineStr">
        <is>
          <t>30/06/2031</t>
        </is>
      </c>
    </row>
    <row r="616">
      <c r="A616" t="inlineStr">
        <is>
          <t>RESIDENCIAL BEYOND</t>
        </is>
      </c>
      <c r="B616" t="inlineStr">
        <is>
          <t>Etapa 1</t>
        </is>
      </c>
      <c r="C616" t="inlineStr">
        <is>
          <t>Edificio</t>
        </is>
      </c>
      <c r="D616" t="inlineStr">
        <is>
          <t>A</t>
        </is>
      </c>
      <c r="E616" t="inlineStr">
        <is>
          <t>Departamento</t>
        </is>
      </c>
      <c r="F616" t="inlineStr">
        <is>
          <t>205</t>
        </is>
      </c>
      <c r="G616" s="39" t="n">
        <v>587000</v>
      </c>
      <c r="H616" s="39" t="n">
        <v>577000</v>
      </c>
      <c r="M616" s="39" t="n"/>
      <c r="N616" s="39" t="n"/>
      <c r="S616" s="39" t="n"/>
      <c r="T616" s="39" t="n"/>
      <c r="Y616" s="39" t="n"/>
      <c r="Z616" s="39" t="n"/>
      <c r="AA616" t="inlineStr">
        <is>
          <t>Tania Milagros Cotrina Vara</t>
        </is>
      </c>
      <c r="AB616" t="inlineStr">
        <is>
          <t>10140034</t>
        </is>
      </c>
      <c r="AC616" t="inlineStr">
        <is>
          <t>Av. Arnaldo Marquez 1526 Dpto. 26</t>
        </is>
      </c>
      <c r="AD616" t="n">
        <v>0</v>
      </c>
      <c r="AE616" t="inlineStr">
        <is>
          <t>941461159</t>
        </is>
      </c>
      <c r="AF616" t="inlineStr">
        <is>
          <t>tamicov@hotmail.com</t>
        </is>
      </c>
      <c r="AG616" t="inlineStr">
        <is>
          <t>LIMA</t>
        </is>
      </c>
      <c r="AH616" t="inlineStr">
        <is>
          <t>JESUS MARIA</t>
        </is>
      </c>
      <c r="AI616" s="75" t="n">
        <v>46234</v>
      </c>
      <c r="AJ616" s="75" t="n"/>
      <c r="AK616" t="inlineStr">
        <is>
          <t>SALDO FINANCIAR</t>
        </is>
      </c>
      <c r="AL616" t="n">
        <v>1</v>
      </c>
      <c r="AM616" t="n">
        <v>457000</v>
      </c>
      <c r="AN616" t="n">
        <v>0</v>
      </c>
      <c r="AO616" t="n">
        <v>0</v>
      </c>
      <c r="AP616" s="39" t="n">
        <v>457000</v>
      </c>
      <c r="AQ616" s="39" t="n">
        <v>0</v>
      </c>
      <c r="AR616" s="39" t="n">
        <v>457000</v>
      </c>
      <c r="AT616" t="inlineStr">
        <is>
          <t>Ahorro</t>
        </is>
      </c>
      <c r="AZ616" t="inlineStr">
        <is>
          <t>No</t>
        </is>
      </c>
      <c r="BC616" t="inlineStr">
        <is>
          <t>PENDIENTE</t>
        </is>
      </c>
      <c r="BN616" t="inlineStr">
        <is>
          <t>No</t>
        </is>
      </c>
      <c r="BO616" s="76" t="n">
        <v>45918.41597222222</v>
      </c>
      <c r="BP616" t="inlineStr">
        <is>
          <t>Magaly Guevara Perez</t>
        </is>
      </c>
      <c r="BR616" t="n">
        <v>4</v>
      </c>
      <c r="BW616" t="inlineStr">
        <is>
          <t>Cobranzas_2026.csv</t>
        </is>
      </c>
      <c r="BX616" t="n">
        <v>2026</v>
      </c>
      <c r="BY616" t="inlineStr">
        <is>
          <t>01/01/2024</t>
        </is>
      </c>
      <c r="BZ616" t="inlineStr">
        <is>
          <t>30/06/2031</t>
        </is>
      </c>
    </row>
    <row r="617">
      <c r="A617" t="inlineStr">
        <is>
          <t>RESIDENCIAL VENECIA</t>
        </is>
      </c>
      <c r="B617" t="inlineStr">
        <is>
          <t>Etapa 1</t>
        </is>
      </c>
      <c r="C617" t="inlineStr">
        <is>
          <t>Edificio</t>
        </is>
      </c>
      <c r="D617" t="inlineStr">
        <is>
          <t>A</t>
        </is>
      </c>
      <c r="E617" t="inlineStr">
        <is>
          <t>Departamento</t>
        </is>
      </c>
      <c r="F617" t="inlineStr">
        <is>
          <t>402</t>
        </is>
      </c>
      <c r="G617" s="39" t="n">
        <v>623000</v>
      </c>
      <c r="H617" s="39" t="n">
        <v>623000</v>
      </c>
      <c r="M617" s="39" t="n"/>
      <c r="N617" s="39" t="n"/>
      <c r="S617" s="39" t="n"/>
      <c r="T617" s="39" t="n"/>
      <c r="Y617" s="39" t="n"/>
      <c r="Z617" s="39" t="n"/>
      <c r="AA617" t="inlineStr">
        <is>
          <t>Ubaldo Yovera Puruguay</t>
        </is>
      </c>
      <c r="AB617" t="inlineStr">
        <is>
          <t>44369489</t>
        </is>
      </c>
      <c r="AC617" t="inlineStr">
        <is>
          <t>Av. Gerardo Unger 3601</t>
        </is>
      </c>
      <c r="AD617" t="n">
        <v>0</v>
      </c>
      <c r="AE617" t="inlineStr">
        <is>
          <t>916692937</t>
        </is>
      </c>
      <c r="AF617" t="inlineStr">
        <is>
          <t>ubaldoyoverap@gmail.com</t>
        </is>
      </c>
      <c r="AG617" t="inlineStr">
        <is>
          <t>LIMA</t>
        </is>
      </c>
      <c r="AH617" t="inlineStr">
        <is>
          <t>INDEPENDENCIA</t>
        </is>
      </c>
      <c r="AI617" s="75" t="n">
        <v>46041</v>
      </c>
      <c r="AJ617" s="75" t="n">
        <v>46041</v>
      </c>
      <c r="AK617" t="inlineStr">
        <is>
          <t>SEPARACION</t>
        </is>
      </c>
      <c r="AL617" t="n">
        <v>1</v>
      </c>
      <c r="AM617" t="n">
        <v>3000</v>
      </c>
      <c r="AN617" t="n">
        <v>0</v>
      </c>
      <c r="AO617" t="n">
        <v>0</v>
      </c>
      <c r="AP617" s="39" t="n">
        <v>3000</v>
      </c>
      <c r="AQ617" s="39" t="n">
        <v>3000</v>
      </c>
      <c r="AR617" s="39" t="n">
        <v>0</v>
      </c>
      <c r="AS617" t="n">
        <v>0</v>
      </c>
      <c r="AT617" t="inlineStr">
        <is>
          <t>Ahorro</t>
        </is>
      </c>
      <c r="AU617" t="inlineStr">
        <is>
          <t>Scotiabank Perú</t>
        </is>
      </c>
      <c r="AV617" t="inlineStr">
        <is>
          <t>0004071419</t>
        </is>
      </c>
      <c r="AW617" t="inlineStr">
        <is>
          <t>TRANSFERENCIA BANCARIA</t>
        </is>
      </c>
      <c r="AY617" t="inlineStr">
        <is>
          <t>04099142</t>
        </is>
      </c>
      <c r="AZ617" t="inlineStr">
        <is>
          <t>No</t>
        </is>
      </c>
      <c r="BB617" t="n">
        <v>4</v>
      </c>
      <c r="BC617" t="inlineStr">
        <is>
          <t>CANCELADO</t>
        </is>
      </c>
      <c r="BN617" t="inlineStr">
        <is>
          <t>No</t>
        </is>
      </c>
      <c r="BO617" s="76" t="n">
        <v>46071.34027777778</v>
      </c>
      <c r="BP617" t="inlineStr">
        <is>
          <t>Magaly Guevara Perez</t>
        </is>
      </c>
      <c r="BR617" t="n">
        <v>7</v>
      </c>
      <c r="BS617" t="inlineStr">
        <is>
          <t>24/05/2026 18:53</t>
        </is>
      </c>
      <c r="BW617" t="inlineStr">
        <is>
          <t>Cobranzas_2026.csv</t>
        </is>
      </c>
      <c r="BX617" t="n">
        <v>2026</v>
      </c>
      <c r="BY617" t="inlineStr">
        <is>
          <t>01/01/2024</t>
        </is>
      </c>
      <c r="BZ617" t="inlineStr">
        <is>
          <t>30/06/2031</t>
        </is>
      </c>
    </row>
    <row r="618">
      <c r="A618" t="inlineStr">
        <is>
          <t>RESIDENCIAL VENECIA</t>
        </is>
      </c>
      <c r="B618" t="inlineStr">
        <is>
          <t>Etapa 1</t>
        </is>
      </c>
      <c r="C618" t="inlineStr">
        <is>
          <t>Edificio</t>
        </is>
      </c>
      <c r="D618" t="inlineStr">
        <is>
          <t>A</t>
        </is>
      </c>
      <c r="E618" t="inlineStr">
        <is>
          <t>Departamento</t>
        </is>
      </c>
      <c r="F618" t="inlineStr">
        <is>
          <t>402</t>
        </is>
      </c>
      <c r="G618" s="39" t="n">
        <v>623000</v>
      </c>
      <c r="H618" s="39" t="n">
        <v>623000</v>
      </c>
      <c r="M618" s="39" t="n"/>
      <c r="N618" s="39" t="n"/>
      <c r="S618" s="39" t="n"/>
      <c r="T618" s="39" t="n"/>
      <c r="Y618" s="39" t="n"/>
      <c r="Z618" s="39" t="n"/>
      <c r="AA618" t="inlineStr">
        <is>
          <t>Ubaldo Yovera Puruguay</t>
        </is>
      </c>
      <c r="AB618" t="inlineStr">
        <is>
          <t>44369489</t>
        </is>
      </c>
      <c r="AC618" t="inlineStr">
        <is>
          <t>Av. Gerardo Unger 3601</t>
        </is>
      </c>
      <c r="AD618" t="n">
        <v>0</v>
      </c>
      <c r="AE618" t="inlineStr">
        <is>
          <t>916692937</t>
        </is>
      </c>
      <c r="AF618" t="inlineStr">
        <is>
          <t>ubaldoyoverap@gmail.com</t>
        </is>
      </c>
      <c r="AG618" t="inlineStr">
        <is>
          <t>LIMA</t>
        </is>
      </c>
      <c r="AH618" t="inlineStr">
        <is>
          <t>INDEPENDENCIA</t>
        </is>
      </c>
      <c r="AI618" s="75" t="n">
        <v>46071</v>
      </c>
      <c r="AJ618" s="75" t="n">
        <v>46071</v>
      </c>
      <c r="AK618" t="inlineStr">
        <is>
          <t>CUOTA INICIAL</t>
        </is>
      </c>
      <c r="AL618" t="n">
        <v>1</v>
      </c>
      <c r="AM618" t="n">
        <v>7000</v>
      </c>
      <c r="AN618" t="n">
        <v>0</v>
      </c>
      <c r="AO618" t="n">
        <v>0</v>
      </c>
      <c r="AP618" s="39" t="n">
        <v>7000</v>
      </c>
      <c r="AQ618" s="39" t="n">
        <v>7000</v>
      </c>
      <c r="AR618" s="39" t="n">
        <v>0</v>
      </c>
      <c r="AS618" t="n">
        <v>0</v>
      </c>
      <c r="AT618" t="inlineStr">
        <is>
          <t>Ahorro</t>
        </is>
      </c>
      <c r="AU618" t="inlineStr">
        <is>
          <t>Scotiabank Perú</t>
        </is>
      </c>
      <c r="AV618" t="inlineStr">
        <is>
          <t>0004071419</t>
        </is>
      </c>
      <c r="AW618" t="inlineStr">
        <is>
          <t>TRANSFERENCIA BANCARIA</t>
        </is>
      </c>
      <c r="AY618" t="inlineStr">
        <is>
          <t>01539288</t>
        </is>
      </c>
      <c r="AZ618" t="inlineStr">
        <is>
          <t>No</t>
        </is>
      </c>
      <c r="BB618" t="n">
        <v>4</v>
      </c>
      <c r="BC618" t="inlineStr">
        <is>
          <t>CANCELADO</t>
        </is>
      </c>
      <c r="BN618" t="inlineStr">
        <is>
          <t>No</t>
        </is>
      </c>
      <c r="BO618" s="76" t="n">
        <v>46071.34027777778</v>
      </c>
      <c r="BP618" t="inlineStr">
        <is>
          <t>Magaly Guevara Perez</t>
        </is>
      </c>
      <c r="BR618" t="n">
        <v>7</v>
      </c>
      <c r="BS618" t="inlineStr">
        <is>
          <t>24/05/2026 18:56</t>
        </is>
      </c>
      <c r="BW618" t="inlineStr">
        <is>
          <t>Cobranzas_2026.csv</t>
        </is>
      </c>
      <c r="BX618" t="n">
        <v>2026</v>
      </c>
      <c r="BY618" t="inlineStr">
        <is>
          <t>01/01/2024</t>
        </is>
      </c>
      <c r="BZ618" t="inlineStr">
        <is>
          <t>30/06/2031</t>
        </is>
      </c>
    </row>
    <row r="619">
      <c r="A619" t="inlineStr">
        <is>
          <t>RESIDENCIAL VENECIA</t>
        </is>
      </c>
      <c r="B619" t="inlineStr">
        <is>
          <t>Etapa 1</t>
        </is>
      </c>
      <c r="C619" t="inlineStr">
        <is>
          <t>Edificio</t>
        </is>
      </c>
      <c r="D619" t="inlineStr">
        <is>
          <t>A</t>
        </is>
      </c>
      <c r="E619" t="inlineStr">
        <is>
          <t>Departamento</t>
        </is>
      </c>
      <c r="F619" t="inlineStr">
        <is>
          <t>402</t>
        </is>
      </c>
      <c r="G619" s="39" t="n">
        <v>623000</v>
      </c>
      <c r="H619" s="39" t="n">
        <v>623000</v>
      </c>
      <c r="M619" s="39" t="n"/>
      <c r="N619" s="39" t="n"/>
      <c r="S619" s="39" t="n"/>
      <c r="T619" s="39" t="n"/>
      <c r="Y619" s="39" t="n"/>
      <c r="Z619" s="39" t="n"/>
      <c r="AA619" t="inlineStr">
        <is>
          <t>Ubaldo Yovera Puruguay</t>
        </is>
      </c>
      <c r="AB619" t="inlineStr">
        <is>
          <t>44369489</t>
        </is>
      </c>
      <c r="AC619" t="inlineStr">
        <is>
          <t>Av. Gerardo Unger 3601</t>
        </is>
      </c>
      <c r="AD619" t="n">
        <v>0</v>
      </c>
      <c r="AE619" t="inlineStr">
        <is>
          <t>916692937</t>
        </is>
      </c>
      <c r="AF619" t="inlineStr">
        <is>
          <t>ubaldoyoverap@gmail.com</t>
        </is>
      </c>
      <c r="AG619" t="inlineStr">
        <is>
          <t>LIMA</t>
        </is>
      </c>
      <c r="AH619" t="inlineStr">
        <is>
          <t>INDEPENDENCIA</t>
        </is>
      </c>
      <c r="AI619" s="75" t="n">
        <v>46234</v>
      </c>
      <c r="AJ619" s="75" t="n"/>
      <c r="AK619" t="inlineStr">
        <is>
          <t>AHORRO CASA</t>
        </is>
      </c>
      <c r="AL619" t="n">
        <v>2</v>
      </c>
      <c r="AM619" t="n">
        <v>52300</v>
      </c>
      <c r="AN619" t="n">
        <v>0</v>
      </c>
      <c r="AO619" t="n">
        <v>0</v>
      </c>
      <c r="AP619" s="39" t="n">
        <v>52300</v>
      </c>
      <c r="AQ619" s="39" t="n">
        <v>0</v>
      </c>
      <c r="AR619" s="39" t="n">
        <v>52300</v>
      </c>
      <c r="AT619" t="inlineStr">
        <is>
          <t>Ahorro</t>
        </is>
      </c>
      <c r="AZ619" t="inlineStr">
        <is>
          <t>No</t>
        </is>
      </c>
      <c r="BC619" t="inlineStr">
        <is>
          <t>PENDIENTE</t>
        </is>
      </c>
      <c r="BN619" t="inlineStr">
        <is>
          <t>No</t>
        </is>
      </c>
      <c r="BO619" s="76" t="n">
        <v>46071.34027777778</v>
      </c>
      <c r="BP619" t="inlineStr">
        <is>
          <t>Magaly Guevara Perez</t>
        </is>
      </c>
      <c r="BR619" t="n">
        <v>7</v>
      </c>
      <c r="BW619" t="inlineStr">
        <is>
          <t>Cobranzas_2026.csv</t>
        </is>
      </c>
      <c r="BX619" t="n">
        <v>2026</v>
      </c>
      <c r="BY619" t="inlineStr">
        <is>
          <t>01/01/2024</t>
        </is>
      </c>
      <c r="BZ619" t="inlineStr">
        <is>
          <t>30/06/2031</t>
        </is>
      </c>
    </row>
    <row r="620">
      <c r="A620" t="inlineStr">
        <is>
          <t>RESIDENCIAL VENECIA</t>
        </is>
      </c>
      <c r="B620" t="inlineStr">
        <is>
          <t>Etapa 1</t>
        </is>
      </c>
      <c r="C620" t="inlineStr">
        <is>
          <t>Edificio</t>
        </is>
      </c>
      <c r="D620" t="inlineStr">
        <is>
          <t>A</t>
        </is>
      </c>
      <c r="E620" t="inlineStr">
        <is>
          <t>Departamento</t>
        </is>
      </c>
      <c r="F620" t="inlineStr">
        <is>
          <t>402</t>
        </is>
      </c>
      <c r="G620" s="39" t="n">
        <v>623000</v>
      </c>
      <c r="H620" s="39" t="n">
        <v>623000</v>
      </c>
      <c r="M620" s="39" t="n"/>
      <c r="N620" s="39" t="n"/>
      <c r="S620" s="39" t="n"/>
      <c r="T620" s="39" t="n"/>
      <c r="Y620" s="39" t="n"/>
      <c r="Z620" s="39" t="n"/>
      <c r="AA620" t="inlineStr">
        <is>
          <t>Ubaldo Yovera Puruguay</t>
        </is>
      </c>
      <c r="AB620" t="inlineStr">
        <is>
          <t>44369489</t>
        </is>
      </c>
      <c r="AC620" t="inlineStr">
        <is>
          <t>Av. Gerardo Unger 3601</t>
        </is>
      </c>
      <c r="AD620" t="n">
        <v>0</v>
      </c>
      <c r="AE620" t="inlineStr">
        <is>
          <t>916692937</t>
        </is>
      </c>
      <c r="AF620" t="inlineStr">
        <is>
          <t>ubaldoyoverap@gmail.com</t>
        </is>
      </c>
      <c r="AG620" t="inlineStr">
        <is>
          <t>LIMA</t>
        </is>
      </c>
      <c r="AH620" t="inlineStr">
        <is>
          <t>INDEPENDENCIA</t>
        </is>
      </c>
      <c r="AI620" s="75" t="n">
        <v>46249</v>
      </c>
      <c r="AJ620" s="75" t="n"/>
      <c r="AK620" t="inlineStr">
        <is>
          <t>CUOTA INICIAL</t>
        </is>
      </c>
      <c r="AL620" t="n">
        <v>3</v>
      </c>
      <c r="AM620" t="n">
        <v>23000</v>
      </c>
      <c r="AN620" t="n">
        <v>0</v>
      </c>
      <c r="AO620" t="n">
        <v>0</v>
      </c>
      <c r="AP620" s="39" t="n">
        <v>23000</v>
      </c>
      <c r="AQ620" s="39" t="n">
        <v>0</v>
      </c>
      <c r="AR620" s="39" t="n">
        <v>23000</v>
      </c>
      <c r="AT620" t="inlineStr">
        <is>
          <t>Ahorro</t>
        </is>
      </c>
      <c r="AZ620" t="inlineStr">
        <is>
          <t>No</t>
        </is>
      </c>
      <c r="BC620" t="inlineStr">
        <is>
          <t>PENDIENTE</t>
        </is>
      </c>
      <c r="BN620" t="inlineStr">
        <is>
          <t>No</t>
        </is>
      </c>
      <c r="BO620" s="76" t="n">
        <v>46071.34027777778</v>
      </c>
      <c r="BP620" t="inlineStr">
        <is>
          <t>Magaly Guevara Perez</t>
        </is>
      </c>
      <c r="BR620" t="n">
        <v>7</v>
      </c>
      <c r="BW620" t="inlineStr">
        <is>
          <t>Cobranzas_2026.csv</t>
        </is>
      </c>
      <c r="BX620" t="n">
        <v>2026</v>
      </c>
      <c r="BY620" t="inlineStr">
        <is>
          <t>01/01/2024</t>
        </is>
      </c>
      <c r="BZ620" t="inlineStr">
        <is>
          <t>30/06/2031</t>
        </is>
      </c>
    </row>
    <row r="621">
      <c r="A621" t="inlineStr">
        <is>
          <t>RESIDENCIAL VENECIA</t>
        </is>
      </c>
      <c r="B621" t="inlineStr">
        <is>
          <t>Etapa 1</t>
        </is>
      </c>
      <c r="C621" t="inlineStr">
        <is>
          <t>Edificio</t>
        </is>
      </c>
      <c r="D621" t="inlineStr">
        <is>
          <t>A</t>
        </is>
      </c>
      <c r="E621" t="inlineStr">
        <is>
          <t>Departamento</t>
        </is>
      </c>
      <c r="F621" t="inlineStr">
        <is>
          <t>402</t>
        </is>
      </c>
      <c r="G621" s="39" t="n">
        <v>623000</v>
      </c>
      <c r="H621" s="39" t="n">
        <v>623000</v>
      </c>
      <c r="M621" s="39" t="n"/>
      <c r="N621" s="39" t="n"/>
      <c r="S621" s="39" t="n"/>
      <c r="T621" s="39" t="n"/>
      <c r="Y621" s="39" t="n"/>
      <c r="Z621" s="39" t="n"/>
      <c r="AA621" t="inlineStr">
        <is>
          <t>Ubaldo Yovera Puruguay</t>
        </is>
      </c>
      <c r="AB621" t="inlineStr">
        <is>
          <t>44369489</t>
        </is>
      </c>
      <c r="AC621" t="inlineStr">
        <is>
          <t>Av. Gerardo Unger 3601</t>
        </is>
      </c>
      <c r="AD621" t="n">
        <v>0</v>
      </c>
      <c r="AE621" t="inlineStr">
        <is>
          <t>916692937</t>
        </is>
      </c>
      <c r="AF621" t="inlineStr">
        <is>
          <t>ubaldoyoverap@gmail.com</t>
        </is>
      </c>
      <c r="AG621" t="inlineStr">
        <is>
          <t>LIMA</t>
        </is>
      </c>
      <c r="AH621" t="inlineStr">
        <is>
          <t>INDEPENDENCIA</t>
        </is>
      </c>
      <c r="AI621" s="75" t="n">
        <v>46295</v>
      </c>
      <c r="AJ621" s="75" t="n"/>
      <c r="AK621" t="inlineStr">
        <is>
          <t>SALDO FINANCIAR</t>
        </is>
      </c>
      <c r="AL621" t="n">
        <v>1</v>
      </c>
      <c r="AM621" t="n">
        <v>537700</v>
      </c>
      <c r="AN621" t="n">
        <v>0</v>
      </c>
      <c r="AO621" t="n">
        <v>0</v>
      </c>
      <c r="AP621" s="39" t="n">
        <v>537700</v>
      </c>
      <c r="AQ621" s="39" t="n">
        <v>0</v>
      </c>
      <c r="AR621" s="39" t="n">
        <v>537700</v>
      </c>
      <c r="AT621" t="inlineStr">
        <is>
          <t>Ahorro</t>
        </is>
      </c>
      <c r="AZ621" t="inlineStr">
        <is>
          <t>No</t>
        </is>
      </c>
      <c r="BC621" t="inlineStr">
        <is>
          <t>PENDIENTE</t>
        </is>
      </c>
      <c r="BN621" t="inlineStr">
        <is>
          <t>No</t>
        </is>
      </c>
      <c r="BO621" s="76" t="n">
        <v>46071.34027777778</v>
      </c>
      <c r="BP621" t="inlineStr">
        <is>
          <t>Magaly Guevara Perez</t>
        </is>
      </c>
      <c r="BR621" t="n">
        <v>7</v>
      </c>
      <c r="BW621" t="inlineStr">
        <is>
          <t>Cobranzas_2026.csv</t>
        </is>
      </c>
      <c r="BX621" t="n">
        <v>2026</v>
      </c>
      <c r="BY621" t="inlineStr">
        <is>
          <t>01/01/2024</t>
        </is>
      </c>
      <c r="BZ621" t="inlineStr">
        <is>
          <t>30/06/2031</t>
        </is>
      </c>
    </row>
    <row r="622">
      <c r="A622" t="inlineStr">
        <is>
          <t>RESIDENCIAL BEYOND</t>
        </is>
      </c>
      <c r="B622" t="inlineStr">
        <is>
          <t>Etapa 1</t>
        </is>
      </c>
      <c r="C622" t="inlineStr">
        <is>
          <t>Edificio</t>
        </is>
      </c>
      <c r="D622" t="inlineStr">
        <is>
          <t>A</t>
        </is>
      </c>
      <c r="E622" t="inlineStr">
        <is>
          <t>Departamento</t>
        </is>
      </c>
      <c r="F622" t="inlineStr">
        <is>
          <t>702</t>
        </is>
      </c>
      <c r="G622" s="39" t="n">
        <v>430000</v>
      </c>
      <c r="H622" s="39" t="n">
        <v>382000</v>
      </c>
      <c r="M622" s="39" t="n"/>
      <c r="N622" s="39" t="n"/>
      <c r="S622" s="39" t="n"/>
      <c r="T622" s="39" t="n"/>
      <c r="Y622" s="39" t="n"/>
      <c r="Z622" s="39" t="n"/>
      <c r="AA622" t="inlineStr">
        <is>
          <t>Víctor Daniel Chuquihuaccha Hernandez</t>
        </is>
      </c>
      <c r="AB622" t="inlineStr">
        <is>
          <t>73229140</t>
        </is>
      </c>
      <c r="AC622" t="inlineStr">
        <is>
          <t>Calle Los Licopodios 468</t>
        </is>
      </c>
      <c r="AD622" t="n">
        <v>999533600</v>
      </c>
      <c r="AE622" t="inlineStr">
        <is>
          <t>999533600</t>
        </is>
      </c>
      <c r="AF622" t="inlineStr">
        <is>
          <t>victor.d.ch.h@gmail.com</t>
        </is>
      </c>
      <c r="AG622" t="inlineStr">
        <is>
          <t>LIMA</t>
        </is>
      </c>
      <c r="AH622" t="inlineStr">
        <is>
          <t>SAN JUAN DE LURIGANCHO</t>
        </is>
      </c>
      <c r="AI622" s="75" t="n">
        <v>46032</v>
      </c>
      <c r="AJ622" s="75" t="n">
        <v>46031</v>
      </c>
      <c r="AK622" t="inlineStr">
        <is>
          <t>CUOTA INICIAL</t>
        </is>
      </c>
      <c r="AL622" t="n">
        <v>1</v>
      </c>
      <c r="AM622" t="n">
        <v>10000</v>
      </c>
      <c r="AN622" t="n">
        <v>0</v>
      </c>
      <c r="AO622" t="n">
        <v>0</v>
      </c>
      <c r="AP622" s="39" t="n">
        <v>10000</v>
      </c>
      <c r="AQ622" s="39" t="n">
        <v>10000</v>
      </c>
      <c r="AR622" s="39" t="n">
        <v>0</v>
      </c>
      <c r="AS622" t="n">
        <v>0</v>
      </c>
      <c r="AT622" t="inlineStr">
        <is>
          <t>Crédito Hipotecario</t>
        </is>
      </c>
      <c r="AU622" t="inlineStr">
        <is>
          <t>Banco de Credito del Perú</t>
        </is>
      </c>
      <c r="AV622" t="inlineStr">
        <is>
          <t>194-7325779-0-65</t>
        </is>
      </c>
      <c r="AW622" t="inlineStr">
        <is>
          <t>TRANSFERENCIA BANCARIA</t>
        </is>
      </c>
      <c r="AY622" t="inlineStr">
        <is>
          <t>00672532</t>
        </is>
      </c>
      <c r="AZ622" t="inlineStr">
        <is>
          <t>No</t>
        </is>
      </c>
      <c r="BB622" t="n">
        <v>4</v>
      </c>
      <c r="BC622" t="inlineStr">
        <is>
          <t>CANCELADO</t>
        </is>
      </c>
      <c r="BN622" t="inlineStr">
        <is>
          <t>No</t>
        </is>
      </c>
      <c r="BO622" s="76" t="n">
        <v>46031.40972222222</v>
      </c>
      <c r="BP622" t="inlineStr">
        <is>
          <t>Magaly Guevara Perez</t>
        </is>
      </c>
      <c r="BR622" t="n">
        <v>20</v>
      </c>
      <c r="BS622" t="inlineStr">
        <is>
          <t>23/05/2026 23:59</t>
        </is>
      </c>
      <c r="BW622" t="inlineStr">
        <is>
          <t>Cobranzas_2026.csv</t>
        </is>
      </c>
      <c r="BX622" t="n">
        <v>2026</v>
      </c>
      <c r="BY622" t="inlineStr">
        <is>
          <t>01/01/2024</t>
        </is>
      </c>
      <c r="BZ622" t="inlineStr">
        <is>
          <t>30/06/2031</t>
        </is>
      </c>
    </row>
    <row r="623">
      <c r="A623" t="inlineStr">
        <is>
          <t>RESIDENCIAL BEYOND</t>
        </is>
      </c>
      <c r="B623" t="inlineStr">
        <is>
          <t>Etapa 1</t>
        </is>
      </c>
      <c r="C623" t="inlineStr">
        <is>
          <t>Edificio</t>
        </is>
      </c>
      <c r="D623" t="inlineStr">
        <is>
          <t>A</t>
        </is>
      </c>
      <c r="E623" t="inlineStr">
        <is>
          <t>Departamento</t>
        </is>
      </c>
      <c r="F623" t="inlineStr">
        <is>
          <t>702</t>
        </is>
      </c>
      <c r="G623" s="39" t="n">
        <v>430000</v>
      </c>
      <c r="H623" s="39" t="n">
        <v>382000</v>
      </c>
      <c r="M623" s="39" t="n"/>
      <c r="N623" s="39" t="n"/>
      <c r="S623" s="39" t="n"/>
      <c r="T623" s="39" t="n"/>
      <c r="Y623" s="39" t="n"/>
      <c r="Z623" s="39" t="n"/>
      <c r="AA623" t="inlineStr">
        <is>
          <t>Víctor Daniel Chuquihuaccha Hernandez</t>
        </is>
      </c>
      <c r="AB623" t="inlineStr">
        <is>
          <t>73229140</t>
        </is>
      </c>
      <c r="AC623" t="inlineStr">
        <is>
          <t>Calle Los Licopodios 468</t>
        </is>
      </c>
      <c r="AD623" t="n">
        <v>999533600</v>
      </c>
      <c r="AE623" t="inlineStr">
        <is>
          <t>999533600</t>
        </is>
      </c>
      <c r="AF623" t="inlineStr">
        <is>
          <t>victor.d.ch.h@gmail.com</t>
        </is>
      </c>
      <c r="AG623" t="inlineStr">
        <is>
          <t>LIMA</t>
        </is>
      </c>
      <c r="AH623" t="inlineStr">
        <is>
          <t>SAN JUAN DE LURIGANCHO</t>
        </is>
      </c>
      <c r="AI623" s="75" t="n">
        <v>46063</v>
      </c>
      <c r="AJ623" s="75" t="n">
        <v>46031</v>
      </c>
      <c r="AK623" t="inlineStr">
        <is>
          <t>CUOTA INICIAL</t>
        </is>
      </c>
      <c r="AL623" t="n">
        <v>2</v>
      </c>
      <c r="AM623" t="n">
        <v>10000</v>
      </c>
      <c r="AN623" t="n">
        <v>0</v>
      </c>
      <c r="AO623" t="n">
        <v>0</v>
      </c>
      <c r="AP623" s="39" t="n">
        <v>10000</v>
      </c>
      <c r="AQ623" s="39" t="n">
        <v>10000</v>
      </c>
      <c r="AR623" s="39" t="n">
        <v>0</v>
      </c>
      <c r="AS623" t="n">
        <v>0</v>
      </c>
      <c r="AT623" t="inlineStr">
        <is>
          <t>Crédito Hipotecario</t>
        </is>
      </c>
      <c r="AU623" t="inlineStr">
        <is>
          <t>Banco de Credito del Perú</t>
        </is>
      </c>
      <c r="AV623" t="inlineStr">
        <is>
          <t>194-7325779-0-65</t>
        </is>
      </c>
      <c r="AW623" t="inlineStr">
        <is>
          <t>TRANSFERENCIA BANCARIA</t>
        </is>
      </c>
      <c r="AY623" t="inlineStr">
        <is>
          <t>02493584</t>
        </is>
      </c>
      <c r="AZ623" t="inlineStr">
        <is>
          <t>No</t>
        </is>
      </c>
      <c r="BB623" t="n">
        <v>4</v>
      </c>
      <c r="BC623" t="inlineStr">
        <is>
          <t>CANCELADO</t>
        </is>
      </c>
      <c r="BN623" t="inlineStr">
        <is>
          <t>No</t>
        </is>
      </c>
      <c r="BO623" s="76" t="n">
        <v>46031.40972222222</v>
      </c>
      <c r="BP623" t="inlineStr">
        <is>
          <t>Magaly Guevara Perez</t>
        </is>
      </c>
      <c r="BR623" t="n">
        <v>20</v>
      </c>
      <c r="BS623" t="inlineStr">
        <is>
          <t>23/05/2026 23:59</t>
        </is>
      </c>
      <c r="BW623" t="inlineStr">
        <is>
          <t>Cobranzas_2026.csv</t>
        </is>
      </c>
      <c r="BX623" t="n">
        <v>2026</v>
      </c>
      <c r="BY623" t="inlineStr">
        <is>
          <t>01/01/2024</t>
        </is>
      </c>
      <c r="BZ623" t="inlineStr">
        <is>
          <t>30/06/2031</t>
        </is>
      </c>
    </row>
    <row r="624">
      <c r="A624" t="inlineStr">
        <is>
          <t>RESIDENCIAL BEYOND</t>
        </is>
      </c>
      <c r="B624" t="inlineStr">
        <is>
          <t>Etapa 1</t>
        </is>
      </c>
      <c r="C624" t="inlineStr">
        <is>
          <t>Edificio</t>
        </is>
      </c>
      <c r="D624" t="inlineStr">
        <is>
          <t>A</t>
        </is>
      </c>
      <c r="E624" t="inlineStr">
        <is>
          <t>Departamento</t>
        </is>
      </c>
      <c r="F624" t="inlineStr">
        <is>
          <t>702</t>
        </is>
      </c>
      <c r="G624" s="39" t="n">
        <v>430000</v>
      </c>
      <c r="H624" s="39" t="n">
        <v>382000</v>
      </c>
      <c r="M624" s="39" t="n"/>
      <c r="N624" s="39" t="n"/>
      <c r="S624" s="39" t="n"/>
      <c r="T624" s="39" t="n"/>
      <c r="Y624" s="39" t="n"/>
      <c r="Z624" s="39" t="n"/>
      <c r="AA624" t="inlineStr">
        <is>
          <t>Víctor Daniel Chuquihuaccha Hernandez</t>
        </is>
      </c>
      <c r="AB624" t="inlineStr">
        <is>
          <t>73229140</t>
        </is>
      </c>
      <c r="AC624" t="inlineStr">
        <is>
          <t>Calle Los Licopodios 468</t>
        </is>
      </c>
      <c r="AD624" t="n">
        <v>999533600</v>
      </c>
      <c r="AE624" t="inlineStr">
        <is>
          <t>999533600</t>
        </is>
      </c>
      <c r="AF624" t="inlineStr">
        <is>
          <t>victor.d.ch.h@gmail.com</t>
        </is>
      </c>
      <c r="AG624" t="inlineStr">
        <is>
          <t>LIMA</t>
        </is>
      </c>
      <c r="AH624" t="inlineStr">
        <is>
          <t>SAN JUAN DE LURIGANCHO</t>
        </is>
      </c>
      <c r="AI624" s="75" t="n">
        <v>46091</v>
      </c>
      <c r="AJ624" s="75" t="n">
        <v>46108</v>
      </c>
      <c r="AK624" t="inlineStr">
        <is>
          <t>CUOTA INICIAL</t>
        </is>
      </c>
      <c r="AL624" t="n">
        <v>3</v>
      </c>
      <c r="AM624" t="n">
        <v>15200</v>
      </c>
      <c r="AN624" t="n">
        <v>0</v>
      </c>
      <c r="AO624" t="n">
        <v>0</v>
      </c>
      <c r="AP624" s="39" t="n">
        <v>15200</v>
      </c>
      <c r="AQ624" s="39" t="n">
        <v>7000</v>
      </c>
      <c r="AR624" s="39" t="n">
        <v>0</v>
      </c>
      <c r="AS624" t="n">
        <v>0</v>
      </c>
      <c r="AT624" t="inlineStr">
        <is>
          <t>Crédito Hipotecario</t>
        </is>
      </c>
      <c r="AU624" t="inlineStr">
        <is>
          <t>Banco de Credito del Perú</t>
        </is>
      </c>
      <c r="AV624" t="inlineStr">
        <is>
          <t>194-7325779-0-65</t>
        </is>
      </c>
      <c r="AW624" t="inlineStr">
        <is>
          <t>TRANSFERENCIA BANCARIA</t>
        </is>
      </c>
      <c r="AY624" t="inlineStr">
        <is>
          <t>7844651926764</t>
        </is>
      </c>
      <c r="AZ624" t="inlineStr">
        <is>
          <t>No</t>
        </is>
      </c>
      <c r="BB624" t="n">
        <v>4</v>
      </c>
      <c r="BC624" t="inlineStr">
        <is>
          <t>CANCELADO</t>
        </is>
      </c>
      <c r="BN624" t="inlineStr">
        <is>
          <t>No</t>
        </is>
      </c>
      <c r="BO624" s="76" t="n">
        <v>46031.40972222222</v>
      </c>
      <c r="BP624" t="inlineStr">
        <is>
          <t>Magaly Guevara Perez</t>
        </is>
      </c>
      <c r="BR624" t="n">
        <v>20</v>
      </c>
      <c r="BS624" t="inlineStr">
        <is>
          <t>24/05/2026 00:00</t>
        </is>
      </c>
      <c r="BW624" t="inlineStr">
        <is>
          <t>Cobranzas_2026.csv</t>
        </is>
      </c>
      <c r="BX624" t="n">
        <v>2026</v>
      </c>
      <c r="BY624" t="inlineStr">
        <is>
          <t>01/01/2024</t>
        </is>
      </c>
      <c r="BZ624" t="inlineStr">
        <is>
          <t>30/06/2031</t>
        </is>
      </c>
    </row>
    <row r="625">
      <c r="A625" t="inlineStr">
        <is>
          <t>RESIDENCIAL BEYOND</t>
        </is>
      </c>
      <c r="B625" t="inlineStr">
        <is>
          <t>Etapa 1</t>
        </is>
      </c>
      <c r="C625" t="inlineStr">
        <is>
          <t>Edificio</t>
        </is>
      </c>
      <c r="D625" t="inlineStr">
        <is>
          <t>A</t>
        </is>
      </c>
      <c r="E625" t="inlineStr">
        <is>
          <t>Departamento</t>
        </is>
      </c>
      <c r="F625" t="inlineStr">
        <is>
          <t>702</t>
        </is>
      </c>
      <c r="G625" s="39" t="n">
        <v>430000</v>
      </c>
      <c r="H625" s="39" t="n">
        <v>382000</v>
      </c>
      <c r="M625" s="39" t="n"/>
      <c r="N625" s="39" t="n"/>
      <c r="S625" s="39" t="n"/>
      <c r="T625" s="39" t="n"/>
      <c r="Y625" s="39" t="n"/>
      <c r="Z625" s="39" t="n"/>
      <c r="AA625" t="inlineStr">
        <is>
          <t>Víctor Daniel Chuquihuaccha Hernandez</t>
        </is>
      </c>
      <c r="AB625" t="inlineStr">
        <is>
          <t>73229140</t>
        </is>
      </c>
      <c r="AC625" t="inlineStr">
        <is>
          <t>Calle Los Licopodios 468</t>
        </is>
      </c>
      <c r="AD625" t="n">
        <v>999533600</v>
      </c>
      <c r="AE625" t="inlineStr">
        <is>
          <t>999533600</t>
        </is>
      </c>
      <c r="AF625" t="inlineStr">
        <is>
          <t>victor.d.ch.h@gmail.com</t>
        </is>
      </c>
      <c r="AG625" t="inlineStr">
        <is>
          <t>LIMA</t>
        </is>
      </c>
      <c r="AH625" t="inlineStr">
        <is>
          <t>SAN JUAN DE LURIGANCHO</t>
        </is>
      </c>
      <c r="AI625" s="75" t="n">
        <v>46091</v>
      </c>
      <c r="AJ625" s="75" t="n">
        <v>46169</v>
      </c>
      <c r="AK625" t="inlineStr">
        <is>
          <t>CUOTA INICIAL</t>
        </is>
      </c>
      <c r="AL625" t="n">
        <v>3</v>
      </c>
      <c r="AM625" t="n">
        <v>0</v>
      </c>
      <c r="AN625" t="n">
        <v>0</v>
      </c>
      <c r="AO625" t="n">
        <v>0</v>
      </c>
      <c r="AP625" s="39" t="n">
        <v>0</v>
      </c>
      <c r="AQ625" s="39" t="n">
        <v>8200</v>
      </c>
      <c r="AR625" s="39" t="n">
        <v>0</v>
      </c>
      <c r="AS625" t="n">
        <v>0</v>
      </c>
      <c r="AT625" t="inlineStr">
        <is>
          <t>Crédito Hipotecario</t>
        </is>
      </c>
      <c r="AU625" t="inlineStr">
        <is>
          <t>Banco de Credito del Perú</t>
        </is>
      </c>
      <c r="AV625" t="inlineStr">
        <is>
          <t>194-7325779-0-65</t>
        </is>
      </c>
      <c r="AW625" t="inlineStr">
        <is>
          <t>TRANSFERENCIA BANCARIA</t>
        </is>
      </c>
      <c r="AY625" t="inlineStr">
        <is>
          <t>013309973</t>
        </is>
      </c>
      <c r="AZ625" t="inlineStr">
        <is>
          <t>No</t>
        </is>
      </c>
      <c r="BB625" t="n">
        <v>4</v>
      </c>
      <c r="BC625" t="inlineStr">
        <is>
          <t>CANCELADO</t>
        </is>
      </c>
      <c r="BN625" t="inlineStr">
        <is>
          <t>No</t>
        </is>
      </c>
      <c r="BO625" s="76" t="n">
        <v>46031.40972222222</v>
      </c>
      <c r="BP625" t="inlineStr">
        <is>
          <t>Magaly Guevara Perez</t>
        </is>
      </c>
      <c r="BR625" t="n">
        <v>20</v>
      </c>
      <c r="BS625" t="inlineStr">
        <is>
          <t>24/05/2026 00:01</t>
        </is>
      </c>
      <c r="BW625" t="inlineStr">
        <is>
          <t>Cobranzas_2026.csv</t>
        </is>
      </c>
      <c r="BX625" t="n">
        <v>2026</v>
      </c>
      <c r="BY625" t="inlineStr">
        <is>
          <t>01/01/2024</t>
        </is>
      </c>
      <c r="BZ625" t="inlineStr">
        <is>
          <t>30/06/2031</t>
        </is>
      </c>
    </row>
    <row r="626">
      <c r="A626" t="inlineStr">
        <is>
          <t>RESIDENCIAL BEYOND</t>
        </is>
      </c>
      <c r="B626" t="inlineStr">
        <is>
          <t>Etapa 1</t>
        </is>
      </c>
      <c r="C626" t="inlineStr">
        <is>
          <t>Edificio</t>
        </is>
      </c>
      <c r="D626" t="inlineStr">
        <is>
          <t>A</t>
        </is>
      </c>
      <c r="E626" t="inlineStr">
        <is>
          <t>Departamento</t>
        </is>
      </c>
      <c r="F626" t="inlineStr">
        <is>
          <t>702</t>
        </is>
      </c>
      <c r="G626" s="39" t="n">
        <v>430000</v>
      </c>
      <c r="H626" s="39" t="n">
        <v>382000</v>
      </c>
      <c r="M626" s="39" t="n"/>
      <c r="N626" s="39" t="n"/>
      <c r="S626" s="39" t="n"/>
      <c r="T626" s="39" t="n"/>
      <c r="Y626" s="39" t="n"/>
      <c r="Z626" s="39" t="n"/>
      <c r="AA626" t="inlineStr">
        <is>
          <t>Víctor Daniel Chuquihuaccha Hernandez</t>
        </is>
      </c>
      <c r="AB626" t="inlineStr">
        <is>
          <t>73229140</t>
        </is>
      </c>
      <c r="AC626" t="inlineStr">
        <is>
          <t>Calle Los Licopodios 468</t>
        </is>
      </c>
      <c r="AD626" t="n">
        <v>999533600</v>
      </c>
      <c r="AE626" t="inlineStr">
        <is>
          <t>999533600</t>
        </is>
      </c>
      <c r="AF626" t="inlineStr">
        <is>
          <t>victor.d.ch.h@gmail.com</t>
        </is>
      </c>
      <c r="AG626" t="inlineStr">
        <is>
          <t>LIMA</t>
        </is>
      </c>
      <c r="AH626" t="inlineStr">
        <is>
          <t>SAN JUAN DE LURIGANCHO</t>
        </is>
      </c>
      <c r="AI626" s="75" t="n">
        <v>46084</v>
      </c>
      <c r="AJ626" s="75" t="n"/>
      <c r="AK626" t="inlineStr">
        <is>
          <t>SALDO FINANCIAR</t>
        </is>
      </c>
      <c r="AL626" t="n">
        <v>1</v>
      </c>
      <c r="AM626" t="n">
        <v>343800</v>
      </c>
      <c r="AN626" t="n">
        <v>0</v>
      </c>
      <c r="AO626" t="n">
        <v>0</v>
      </c>
      <c r="AP626" s="39" t="n">
        <v>343800</v>
      </c>
      <c r="AQ626" s="39" t="n">
        <v>0</v>
      </c>
      <c r="AR626" s="39" t="n">
        <v>343800</v>
      </c>
      <c r="AT626" t="inlineStr">
        <is>
          <t>Crédito Hipotecario</t>
        </is>
      </c>
      <c r="AZ626" t="inlineStr">
        <is>
          <t>No</t>
        </is>
      </c>
      <c r="BC626" t="inlineStr">
        <is>
          <t>VENCIDO</t>
        </is>
      </c>
      <c r="BN626" t="inlineStr">
        <is>
          <t>No</t>
        </is>
      </c>
      <c r="BO626" s="76" t="n">
        <v>46031.40972222222</v>
      </c>
      <c r="BP626" t="inlineStr">
        <is>
          <t>Magaly Guevara Perez</t>
        </is>
      </c>
      <c r="BR626" t="n">
        <v>20</v>
      </c>
      <c r="BW626" t="inlineStr">
        <is>
          <t>Cobranzas_2026.csv</t>
        </is>
      </c>
      <c r="BX626" t="n">
        <v>2026</v>
      </c>
      <c r="BY626" t="inlineStr">
        <is>
          <t>01/01/2024</t>
        </is>
      </c>
      <c r="BZ626" t="inlineStr">
        <is>
          <t>30/06/2031</t>
        </is>
      </c>
    </row>
    <row r="627">
      <c r="A627" t="inlineStr">
        <is>
          <t>RESIDENCIAL BEYOND</t>
        </is>
      </c>
      <c r="B627" t="inlineStr">
        <is>
          <t>Etapa 1</t>
        </is>
      </c>
      <c r="C627" t="inlineStr">
        <is>
          <t>Edificio</t>
        </is>
      </c>
      <c r="D627" t="inlineStr">
        <is>
          <t>A</t>
        </is>
      </c>
      <c r="E627" t="inlineStr">
        <is>
          <t>Departamento</t>
        </is>
      </c>
      <c r="F627" t="inlineStr">
        <is>
          <t>603</t>
        </is>
      </c>
      <c r="G627" s="39" t="n">
        <v>504700</v>
      </c>
      <c r="H627" s="39" t="n">
        <v>478000</v>
      </c>
      <c r="I627" t="inlineStr">
        <is>
          <t>Edificio</t>
        </is>
      </c>
      <c r="J627" t="inlineStr">
        <is>
          <t>A</t>
        </is>
      </c>
      <c r="K627" t="inlineStr">
        <is>
          <t>Estacionamiento</t>
        </is>
      </c>
      <c r="L627" t="inlineStr">
        <is>
          <t>E 37 - D 23</t>
        </is>
      </c>
      <c r="M627" s="39" t="n">
        <v>50000</v>
      </c>
      <c r="N627" s="39" t="n">
        <v>50000</v>
      </c>
      <c r="S627" s="39" t="n"/>
      <c r="T627" s="39" t="n"/>
      <c r="Y627" s="39" t="n"/>
      <c r="Z627" s="39" t="n"/>
      <c r="AA627" t="inlineStr">
        <is>
          <t>Vivina Pasco Blas Vda. De Saenz</t>
        </is>
      </c>
      <c r="AB627" t="inlineStr">
        <is>
          <t>08494885</t>
        </is>
      </c>
      <c r="AC627" t="inlineStr">
        <is>
          <t>Av. Cordialidad 8079 Urb. Floresta De Pro</t>
        </is>
      </c>
      <c r="AD627" t="n">
        <v>0</v>
      </c>
      <c r="AE627" t="inlineStr">
        <is>
          <t>992686657</t>
        </is>
      </c>
      <c r="AF627" t="inlineStr">
        <is>
          <t>g.saenz22@gmail.com</t>
        </is>
      </c>
      <c r="AG627" t="inlineStr">
        <is>
          <t>LIMA</t>
        </is>
      </c>
      <c r="AH627" t="inlineStr">
        <is>
          <t>LOS OLIVOS</t>
        </is>
      </c>
      <c r="AI627" s="75" t="n">
        <v>46096</v>
      </c>
      <c r="AJ627" s="75" t="n">
        <v>46096</v>
      </c>
      <c r="AK627" t="inlineStr">
        <is>
          <t>SEPARACION</t>
        </is>
      </c>
      <c r="AL627" t="n">
        <v>1</v>
      </c>
      <c r="AM627" t="n">
        <v>3000</v>
      </c>
      <c r="AN627" t="n">
        <v>0</v>
      </c>
      <c r="AO627" t="n">
        <v>0</v>
      </c>
      <c r="AP627" s="39" t="n">
        <v>3000</v>
      </c>
      <c r="AQ627" s="39" t="n">
        <v>3000</v>
      </c>
      <c r="AR627" s="39" t="n">
        <v>0</v>
      </c>
      <c r="AS627" t="n">
        <v>0</v>
      </c>
      <c r="AT627" t="inlineStr">
        <is>
          <t>Ahorro</t>
        </is>
      </c>
      <c r="AU627" t="inlineStr">
        <is>
          <t>Banco de Credito del Perú</t>
        </is>
      </c>
      <c r="AV627" t="inlineStr">
        <is>
          <t>194-7325779-0-65</t>
        </is>
      </c>
      <c r="AW627" t="inlineStr">
        <is>
          <t>POS VISA</t>
        </is>
      </c>
      <c r="AY627" t="inlineStr">
        <is>
          <t>0046485044</t>
        </is>
      </c>
      <c r="AZ627" t="inlineStr">
        <is>
          <t>No</t>
        </is>
      </c>
      <c r="BB627" t="n">
        <v>4</v>
      </c>
      <c r="BC627" t="inlineStr">
        <is>
          <t>CANCELADO</t>
        </is>
      </c>
      <c r="BN627" t="inlineStr">
        <is>
          <t>No</t>
        </is>
      </c>
      <c r="BO627" s="76" t="n">
        <v>46112.40555555555</v>
      </c>
      <c r="BP627" t="inlineStr">
        <is>
          <t>Magaly Guevara Perez</t>
        </is>
      </c>
      <c r="BR627" t="n">
        <v>23</v>
      </c>
      <c r="BS627" t="inlineStr">
        <is>
          <t>01/05/2026 20:31</t>
        </is>
      </c>
      <c r="BW627" t="inlineStr">
        <is>
          <t>Cobranzas_2026.csv</t>
        </is>
      </c>
      <c r="BX627" t="n">
        <v>2026</v>
      </c>
      <c r="BY627" t="inlineStr">
        <is>
          <t>01/01/2024</t>
        </is>
      </c>
      <c r="BZ627" t="inlineStr">
        <is>
          <t>30/06/2031</t>
        </is>
      </c>
    </row>
    <row r="628">
      <c r="A628" t="inlineStr">
        <is>
          <t>RESIDENCIAL BEYOND</t>
        </is>
      </c>
      <c r="B628" t="inlineStr">
        <is>
          <t>Etapa 1</t>
        </is>
      </c>
      <c r="C628" t="inlineStr">
        <is>
          <t>Edificio</t>
        </is>
      </c>
      <c r="D628" t="inlineStr">
        <is>
          <t>A</t>
        </is>
      </c>
      <c r="E628" t="inlineStr">
        <is>
          <t>Departamento</t>
        </is>
      </c>
      <c r="F628" t="inlineStr">
        <is>
          <t>603</t>
        </is>
      </c>
      <c r="G628" s="39" t="n">
        <v>504700</v>
      </c>
      <c r="H628" s="39" t="n">
        <v>478000</v>
      </c>
      <c r="I628" t="inlineStr">
        <is>
          <t>Edificio</t>
        </is>
      </c>
      <c r="J628" t="inlineStr">
        <is>
          <t>A</t>
        </is>
      </c>
      <c r="K628" t="inlineStr">
        <is>
          <t>Estacionamiento</t>
        </is>
      </c>
      <c r="L628" t="inlineStr">
        <is>
          <t>E 37 - D 23</t>
        </is>
      </c>
      <c r="M628" s="39" t="n">
        <v>50000</v>
      </c>
      <c r="N628" s="39" t="n">
        <v>50000</v>
      </c>
      <c r="S628" s="39" t="n"/>
      <c r="T628" s="39" t="n"/>
      <c r="Y628" s="39" t="n"/>
      <c r="Z628" s="39" t="n"/>
      <c r="AA628" t="inlineStr">
        <is>
          <t>Vivina Pasco Blas Vda. De Saenz</t>
        </is>
      </c>
      <c r="AB628" t="inlineStr">
        <is>
          <t>08494885</t>
        </is>
      </c>
      <c r="AC628" t="inlineStr">
        <is>
          <t>Av. Cordialidad 8079 Urb. Floresta De Pro</t>
        </is>
      </c>
      <c r="AD628" t="n">
        <v>0</v>
      </c>
      <c r="AE628" t="inlineStr">
        <is>
          <t>992686657</t>
        </is>
      </c>
      <c r="AF628" t="inlineStr">
        <is>
          <t>g.saenz22@gmail.com</t>
        </is>
      </c>
      <c r="AG628" t="inlineStr">
        <is>
          <t>LIMA</t>
        </is>
      </c>
      <c r="AH628" t="inlineStr">
        <is>
          <t>LOS OLIVOS</t>
        </is>
      </c>
      <c r="AI628" s="75" t="n">
        <v>46197.58958333333</v>
      </c>
      <c r="AJ628" s="75" t="n"/>
      <c r="AK628" t="inlineStr">
        <is>
          <t>CUOTA INICIAL</t>
        </is>
      </c>
      <c r="AL628" t="n">
        <v>1</v>
      </c>
      <c r="AM628" t="n">
        <v>1000</v>
      </c>
      <c r="AN628" t="n">
        <v>0</v>
      </c>
      <c r="AO628" t="n">
        <v>0</v>
      </c>
      <c r="AP628" s="39" t="n">
        <v>1000</v>
      </c>
      <c r="AQ628" s="39" t="n">
        <v>0</v>
      </c>
      <c r="AR628" s="39" t="n">
        <v>1000</v>
      </c>
      <c r="AT628" t="inlineStr">
        <is>
          <t>Ahorro</t>
        </is>
      </c>
      <c r="AZ628" t="inlineStr">
        <is>
          <t>No</t>
        </is>
      </c>
      <c r="BC628" t="inlineStr">
        <is>
          <t>VENCIDO</t>
        </is>
      </c>
      <c r="BH628" t="inlineStr">
        <is>
          <t>24/05/2026 00:00</t>
        </is>
      </c>
      <c r="BI628" t="n">
        <v>100000</v>
      </c>
      <c r="BJ628" t="n">
        <v>100</v>
      </c>
      <c r="BL628" t="inlineStr">
        <is>
          <t>24/05/2026 14:12</t>
        </is>
      </c>
      <c r="BM628" t="inlineStr">
        <is>
          <t>Magaly Guevara Perez</t>
        </is>
      </c>
      <c r="BN628" t="inlineStr">
        <is>
          <t>No</t>
        </is>
      </c>
      <c r="BO628" s="76" t="n">
        <v>46112.40555555555</v>
      </c>
      <c r="BP628" t="inlineStr">
        <is>
          <t>Magaly Guevara Perez</t>
        </is>
      </c>
      <c r="BR628" t="n">
        <v>23</v>
      </c>
      <c r="BW628" t="inlineStr">
        <is>
          <t>Cobranzas_2026.csv</t>
        </is>
      </c>
      <c r="BX628" t="n">
        <v>2026</v>
      </c>
      <c r="BY628" t="inlineStr">
        <is>
          <t>01/01/2024</t>
        </is>
      </c>
      <c r="BZ628" t="inlineStr">
        <is>
          <t>30/06/2031</t>
        </is>
      </c>
    </row>
    <row r="629">
      <c r="A629" t="inlineStr">
        <is>
          <t>RESIDENCIAL BEYOND</t>
        </is>
      </c>
      <c r="B629" t="inlineStr">
        <is>
          <t>Etapa 1</t>
        </is>
      </c>
      <c r="C629" t="inlineStr">
        <is>
          <t>Edificio</t>
        </is>
      </c>
      <c r="D629" t="inlineStr">
        <is>
          <t>A</t>
        </is>
      </c>
      <c r="E629" t="inlineStr">
        <is>
          <t>Departamento</t>
        </is>
      </c>
      <c r="F629" t="inlineStr">
        <is>
          <t>603</t>
        </is>
      </c>
      <c r="G629" s="39" t="n">
        <v>504700</v>
      </c>
      <c r="H629" s="39" t="n">
        <v>478000</v>
      </c>
      <c r="I629" t="inlineStr">
        <is>
          <t>Edificio</t>
        </is>
      </c>
      <c r="J629" t="inlineStr">
        <is>
          <t>A</t>
        </is>
      </c>
      <c r="K629" t="inlineStr">
        <is>
          <t>Estacionamiento</t>
        </is>
      </c>
      <c r="L629" t="inlineStr">
        <is>
          <t>E 37 - D 23</t>
        </is>
      </c>
      <c r="M629" s="39" t="n">
        <v>50000</v>
      </c>
      <c r="N629" s="39" t="n">
        <v>50000</v>
      </c>
      <c r="S629" s="39" t="n"/>
      <c r="T629" s="39" t="n"/>
      <c r="Y629" s="39" t="n"/>
      <c r="Z629" s="39" t="n"/>
      <c r="AA629" t="inlineStr">
        <is>
          <t>Vivina Pasco Blas Vda. De Saenz</t>
        </is>
      </c>
      <c r="AB629" t="inlineStr">
        <is>
          <t>08494885</t>
        </is>
      </c>
      <c r="AC629" t="inlineStr">
        <is>
          <t>Av. Cordialidad 8079 Urb. Floresta De Pro</t>
        </is>
      </c>
      <c r="AD629" t="n">
        <v>0</v>
      </c>
      <c r="AE629" t="inlineStr">
        <is>
          <t>992686657</t>
        </is>
      </c>
      <c r="AF629" t="inlineStr">
        <is>
          <t>g.saenz22@gmail.com</t>
        </is>
      </c>
      <c r="AG629" t="inlineStr">
        <is>
          <t>LIMA</t>
        </is>
      </c>
      <c r="AH629" t="inlineStr">
        <is>
          <t>LOS OLIVOS</t>
        </is>
      </c>
      <c r="AI629" s="75" t="n">
        <v>46227.58958333333</v>
      </c>
      <c r="AJ629" s="75" t="n"/>
      <c r="AK629" t="inlineStr">
        <is>
          <t>SALDO FINANCIAR</t>
        </is>
      </c>
      <c r="AL629" t="n">
        <v>1</v>
      </c>
      <c r="AM629" t="n">
        <v>524000</v>
      </c>
      <c r="AN629" t="n">
        <v>0</v>
      </c>
      <c r="AO629" t="n">
        <v>0</v>
      </c>
      <c r="AP629" s="39" t="n">
        <v>524000</v>
      </c>
      <c r="AQ629" s="39" t="n">
        <v>0</v>
      </c>
      <c r="AR629" s="39" t="n">
        <v>524000</v>
      </c>
      <c r="AT629" t="inlineStr">
        <is>
          <t>Ahorro</t>
        </is>
      </c>
      <c r="AZ629" t="inlineStr">
        <is>
          <t>No</t>
        </is>
      </c>
      <c r="BC629" t="inlineStr">
        <is>
          <t>PENDIENTE</t>
        </is>
      </c>
      <c r="BN629" t="inlineStr">
        <is>
          <t>No</t>
        </is>
      </c>
      <c r="BO629" s="76" t="n">
        <v>46112.40555555555</v>
      </c>
      <c r="BP629" t="inlineStr">
        <is>
          <t>Magaly Guevara Perez</t>
        </is>
      </c>
      <c r="BR629" t="n">
        <v>23</v>
      </c>
      <c r="BW629" t="inlineStr">
        <is>
          <t>Cobranzas_2026.csv</t>
        </is>
      </c>
      <c r="BX629" t="n">
        <v>2026</v>
      </c>
      <c r="BY629" t="inlineStr">
        <is>
          <t>01/01/2024</t>
        </is>
      </c>
      <c r="BZ629" t="inlineStr">
        <is>
          <t>30/06/2031</t>
        </is>
      </c>
    </row>
    <row r="630">
      <c r="A630" t="inlineStr">
        <is>
          <t>RESIDENCIAL PRADA</t>
        </is>
      </c>
      <c r="B630" t="inlineStr">
        <is>
          <t>Etapa 1</t>
        </is>
      </c>
      <c r="C630" t="inlineStr">
        <is>
          <t>Edificio</t>
        </is>
      </c>
      <c r="D630" t="inlineStr">
        <is>
          <t>A</t>
        </is>
      </c>
      <c r="E630" t="inlineStr">
        <is>
          <t>Departamento</t>
        </is>
      </c>
      <c r="F630" t="inlineStr">
        <is>
          <t>905</t>
        </is>
      </c>
      <c r="G630" s="39" t="n">
        <v>489000</v>
      </c>
      <c r="H630" s="39" t="n">
        <v>489000</v>
      </c>
      <c r="I630" t="inlineStr">
        <is>
          <t>Edificio</t>
        </is>
      </c>
      <c r="J630" t="inlineStr">
        <is>
          <t>A</t>
        </is>
      </c>
      <c r="K630" t="inlineStr">
        <is>
          <t>Estacionamiento</t>
        </is>
      </c>
      <c r="L630" t="inlineStr">
        <is>
          <t>E 36</t>
        </is>
      </c>
      <c r="M630" s="39" t="n">
        <v>46000</v>
      </c>
      <c r="N630" s="39" t="n">
        <v>46000</v>
      </c>
      <c r="S630" s="39" t="n"/>
      <c r="T630" s="39" t="n"/>
      <c r="Y630" s="39" t="n"/>
      <c r="Z630" s="39" t="n"/>
      <c r="AA630" t="inlineStr">
        <is>
          <t>Walther Antonio Espinoza Gomez</t>
        </is>
      </c>
      <c r="AB630" t="inlineStr">
        <is>
          <t>08657121</t>
        </is>
      </c>
      <c r="AC630" t="inlineStr">
        <is>
          <t>Jr. El Chaco 2422</t>
        </is>
      </c>
      <c r="AD630" t="n">
        <v>0</v>
      </c>
      <c r="AE630" t="inlineStr">
        <is>
          <t>998144198</t>
        </is>
      </c>
      <c r="AF630" t="inlineStr">
        <is>
          <t>wespinozawaeg@gmail.com</t>
        </is>
      </c>
      <c r="AG630" t="inlineStr">
        <is>
          <t>LIMA</t>
        </is>
      </c>
      <c r="AH630" t="inlineStr">
        <is>
          <t>SAN MARTIN DE PORRES</t>
        </is>
      </c>
      <c r="AI630" s="75" t="n">
        <v>46033</v>
      </c>
      <c r="AJ630" s="75" t="n">
        <v>46027</v>
      </c>
      <c r="AK630" t="inlineStr">
        <is>
          <t>CUOTA INICIAL</t>
        </is>
      </c>
      <c r="AL630" t="n">
        <v>1</v>
      </c>
      <c r="AM630" t="n">
        <v>53500</v>
      </c>
      <c r="AN630" t="n">
        <v>0</v>
      </c>
      <c r="AO630" t="n">
        <v>0</v>
      </c>
      <c r="AP630" s="39" t="n">
        <v>53500</v>
      </c>
      <c r="AQ630" s="39" t="n">
        <v>3000</v>
      </c>
      <c r="AR630" s="39" t="n">
        <v>0</v>
      </c>
      <c r="AS630" t="n">
        <v>0</v>
      </c>
      <c r="AT630" t="inlineStr">
        <is>
          <t>Crédito Hipotecario</t>
        </is>
      </c>
      <c r="AU630" t="inlineStr">
        <is>
          <t>Scotiabank Perú</t>
        </is>
      </c>
      <c r="AV630" t="inlineStr">
        <is>
          <t>000-2768484</t>
        </is>
      </c>
      <c r="AW630" t="inlineStr">
        <is>
          <t>TRANSFERENCIA BANCARIA</t>
        </is>
      </c>
      <c r="AY630" t="inlineStr">
        <is>
          <t>7844655534658</t>
        </is>
      </c>
      <c r="AZ630" t="inlineStr">
        <is>
          <t>No</t>
        </is>
      </c>
      <c r="BB630" t="n">
        <v>4</v>
      </c>
      <c r="BC630" t="inlineStr">
        <is>
          <t>CANCELADO</t>
        </is>
      </c>
      <c r="BN630" t="inlineStr">
        <is>
          <t>Si</t>
        </is>
      </c>
      <c r="BO630" s="76" t="n">
        <v>46033.65763888889</v>
      </c>
      <c r="BP630" t="inlineStr">
        <is>
          <t>Magaly Guevara Perez</t>
        </is>
      </c>
      <c r="BR630" t="n">
        <v>51</v>
      </c>
      <c r="BS630" t="inlineStr">
        <is>
          <t>07/07/2026 15:44</t>
        </is>
      </c>
      <c r="BW630" t="inlineStr">
        <is>
          <t>Cobranzas_2026.csv</t>
        </is>
      </c>
      <c r="BX630" t="n">
        <v>2026</v>
      </c>
      <c r="BY630" t="inlineStr">
        <is>
          <t>01/01/2024</t>
        </is>
      </c>
      <c r="BZ630" t="inlineStr">
        <is>
          <t>30/06/2031</t>
        </is>
      </c>
    </row>
    <row r="631">
      <c r="A631" t="inlineStr">
        <is>
          <t>RESIDENCIAL PRADA</t>
        </is>
      </c>
      <c r="B631" t="inlineStr">
        <is>
          <t>Etapa 1</t>
        </is>
      </c>
      <c r="C631" t="inlineStr">
        <is>
          <t>Edificio</t>
        </is>
      </c>
      <c r="D631" t="inlineStr">
        <is>
          <t>A</t>
        </is>
      </c>
      <c r="E631" t="inlineStr">
        <is>
          <t>Departamento</t>
        </is>
      </c>
      <c r="F631" t="inlineStr">
        <is>
          <t>905</t>
        </is>
      </c>
      <c r="G631" s="39" t="n">
        <v>489000</v>
      </c>
      <c r="H631" s="39" t="n">
        <v>489000</v>
      </c>
      <c r="I631" t="inlineStr">
        <is>
          <t>Edificio</t>
        </is>
      </c>
      <c r="J631" t="inlineStr">
        <is>
          <t>A</t>
        </is>
      </c>
      <c r="K631" t="inlineStr">
        <is>
          <t>Estacionamiento</t>
        </is>
      </c>
      <c r="L631" t="inlineStr">
        <is>
          <t>E 36</t>
        </is>
      </c>
      <c r="M631" s="39" t="n">
        <v>46000</v>
      </c>
      <c r="N631" s="39" t="n">
        <v>46000</v>
      </c>
      <c r="S631" s="39" t="n"/>
      <c r="T631" s="39" t="n"/>
      <c r="Y631" s="39" t="n"/>
      <c r="Z631" s="39" t="n"/>
      <c r="AA631" t="inlineStr">
        <is>
          <t>Walther Antonio Espinoza Gomez</t>
        </is>
      </c>
      <c r="AB631" t="inlineStr">
        <is>
          <t>08657121</t>
        </is>
      </c>
      <c r="AC631" t="inlineStr">
        <is>
          <t>Jr. El Chaco 2422</t>
        </is>
      </c>
      <c r="AD631" t="n">
        <v>0</v>
      </c>
      <c r="AE631" t="inlineStr">
        <is>
          <t>998144198</t>
        </is>
      </c>
      <c r="AF631" t="inlineStr">
        <is>
          <t>wespinozawaeg@gmail.com</t>
        </is>
      </c>
      <c r="AG631" t="inlineStr">
        <is>
          <t>LIMA</t>
        </is>
      </c>
      <c r="AH631" t="inlineStr">
        <is>
          <t>SAN MARTIN DE PORRES</t>
        </is>
      </c>
      <c r="AI631" s="75" t="n">
        <v>46033</v>
      </c>
      <c r="AJ631" s="75" t="n">
        <v>46033</v>
      </c>
      <c r="AK631" t="inlineStr">
        <is>
          <t>CUOTA INICIAL</t>
        </is>
      </c>
      <c r="AL631" t="n">
        <v>1</v>
      </c>
      <c r="AM631" t="n">
        <v>0</v>
      </c>
      <c r="AN631" t="n">
        <v>0</v>
      </c>
      <c r="AO631" t="n">
        <v>0</v>
      </c>
      <c r="AP631" s="39" t="n">
        <v>0</v>
      </c>
      <c r="AQ631" s="39" t="n">
        <v>50500</v>
      </c>
      <c r="AR631" s="39" t="n">
        <v>0</v>
      </c>
      <c r="AS631" t="n">
        <v>0</v>
      </c>
      <c r="AT631" t="inlineStr">
        <is>
          <t>Crédito Hipotecario</t>
        </is>
      </c>
      <c r="AU631" t="inlineStr">
        <is>
          <t>Scotiabank Perú</t>
        </is>
      </c>
      <c r="AV631" t="inlineStr">
        <is>
          <t>000-2768484</t>
        </is>
      </c>
      <c r="AW631" t="inlineStr">
        <is>
          <t>TRANSFERENCIA BANCARIA</t>
        </is>
      </c>
      <c r="AY631" t="inlineStr">
        <is>
          <t>039000000012211</t>
        </is>
      </c>
      <c r="AZ631" t="inlineStr">
        <is>
          <t>No</t>
        </is>
      </c>
      <c r="BB631" t="n">
        <v>4</v>
      </c>
      <c r="BC631" t="inlineStr">
        <is>
          <t>CANCELADO</t>
        </is>
      </c>
      <c r="BN631" t="inlineStr">
        <is>
          <t>Si</t>
        </is>
      </c>
      <c r="BO631" s="76" t="n">
        <v>46033.65763888889</v>
      </c>
      <c r="BP631" t="inlineStr">
        <is>
          <t>Magaly Guevara Perez</t>
        </is>
      </c>
      <c r="BR631" t="n">
        <v>51</v>
      </c>
      <c r="BS631" t="inlineStr">
        <is>
          <t>07/07/2026 15:45</t>
        </is>
      </c>
      <c r="BW631" t="inlineStr">
        <is>
          <t>Cobranzas_2026.csv</t>
        </is>
      </c>
      <c r="BX631" t="n">
        <v>2026</v>
      </c>
      <c r="BY631" t="inlineStr">
        <is>
          <t>01/01/2024</t>
        </is>
      </c>
      <c r="BZ631" t="inlineStr">
        <is>
          <t>30/06/2031</t>
        </is>
      </c>
    </row>
    <row r="632">
      <c r="A632" t="inlineStr">
        <is>
          <t>RESIDENCIAL PRADA</t>
        </is>
      </c>
      <c r="B632" t="inlineStr">
        <is>
          <t>Etapa 1</t>
        </is>
      </c>
      <c r="C632" t="inlineStr">
        <is>
          <t>Edificio</t>
        </is>
      </c>
      <c r="D632" t="inlineStr">
        <is>
          <t>A</t>
        </is>
      </c>
      <c r="E632" t="inlineStr">
        <is>
          <t>Departamento</t>
        </is>
      </c>
      <c r="F632" t="inlineStr">
        <is>
          <t>905</t>
        </is>
      </c>
      <c r="G632" s="39" t="n">
        <v>489000</v>
      </c>
      <c r="H632" s="39" t="n">
        <v>489000</v>
      </c>
      <c r="I632" t="inlineStr">
        <is>
          <t>Edificio</t>
        </is>
      </c>
      <c r="J632" t="inlineStr">
        <is>
          <t>A</t>
        </is>
      </c>
      <c r="K632" t="inlineStr">
        <is>
          <t>Estacionamiento</t>
        </is>
      </c>
      <c r="L632" t="inlineStr">
        <is>
          <t>E 36</t>
        </is>
      </c>
      <c r="M632" s="39" t="n">
        <v>46000</v>
      </c>
      <c r="N632" s="39" t="n">
        <v>46000</v>
      </c>
      <c r="S632" s="39" t="n"/>
      <c r="T632" s="39" t="n"/>
      <c r="Y632" s="39" t="n"/>
      <c r="Z632" s="39" t="n"/>
      <c r="AA632" t="inlineStr">
        <is>
          <t>Walther Antonio Espinoza Gomez</t>
        </is>
      </c>
      <c r="AB632" t="inlineStr">
        <is>
          <t>08657121</t>
        </is>
      </c>
      <c r="AC632" t="inlineStr">
        <is>
          <t>Jr. El Chaco 2422</t>
        </is>
      </c>
      <c r="AD632" t="n">
        <v>0</v>
      </c>
      <c r="AE632" t="inlineStr">
        <is>
          <t>998144198</t>
        </is>
      </c>
      <c r="AF632" t="inlineStr">
        <is>
          <t>wespinozawaeg@gmail.com</t>
        </is>
      </c>
      <c r="AG632" t="inlineStr">
        <is>
          <t>LIMA</t>
        </is>
      </c>
      <c r="AH632" t="inlineStr">
        <is>
          <t>SAN MARTIN DE PORRES</t>
        </is>
      </c>
      <c r="AI632" s="75" t="n">
        <v>46081</v>
      </c>
      <c r="AJ632" s="75" t="n">
        <v>46053</v>
      </c>
      <c r="AK632" t="inlineStr">
        <is>
          <t>SALDO FINANCIAR</t>
        </is>
      </c>
      <c r="AL632" t="n">
        <v>1</v>
      </c>
      <c r="AM632" t="n">
        <v>481500</v>
      </c>
      <c r="AN632" t="n">
        <v>0</v>
      </c>
      <c r="AO632" t="n">
        <v>0</v>
      </c>
      <c r="AP632" s="39" t="n">
        <v>481500</v>
      </c>
      <c r="AQ632" s="39" t="n">
        <v>481500</v>
      </c>
      <c r="AR632" s="39" t="n">
        <v>0</v>
      </c>
      <c r="AS632" t="n">
        <v>0</v>
      </c>
      <c r="AT632" t="inlineStr">
        <is>
          <t>Crédito Hipotecario</t>
        </is>
      </c>
      <c r="AU632" t="inlineStr">
        <is>
          <t>Scotiabank Perú</t>
        </is>
      </c>
      <c r="AV632" t="inlineStr">
        <is>
          <t>000-2768484</t>
        </is>
      </c>
      <c r="AW632" t="inlineStr">
        <is>
          <t>TRANSFERENCIA BANCARIA</t>
        </is>
      </c>
      <c r="AY632" t="inlineStr">
        <is>
          <t>0270800039</t>
        </is>
      </c>
      <c r="AZ632" t="inlineStr">
        <is>
          <t>No</t>
        </is>
      </c>
      <c r="BB632" t="n">
        <v>4</v>
      </c>
      <c r="BC632" t="inlineStr">
        <is>
          <t>CANCELADO</t>
        </is>
      </c>
      <c r="BN632" t="inlineStr">
        <is>
          <t>Si</t>
        </is>
      </c>
      <c r="BO632" s="76" t="n">
        <v>46033.65763888889</v>
      </c>
      <c r="BP632" t="inlineStr">
        <is>
          <t>Magaly Guevara Perez</t>
        </is>
      </c>
      <c r="BR632" t="n">
        <v>51</v>
      </c>
      <c r="BS632" t="inlineStr">
        <is>
          <t>07/07/2026 15:46</t>
        </is>
      </c>
      <c r="BW632" t="inlineStr">
        <is>
          <t>Cobranzas_2026.csv</t>
        </is>
      </c>
      <c r="BX632" t="n">
        <v>2026</v>
      </c>
      <c r="BY632" t="inlineStr">
        <is>
          <t>01/01/2024</t>
        </is>
      </c>
      <c r="BZ632" t="inlineStr">
        <is>
          <t>30/06/2031</t>
        </is>
      </c>
    </row>
    <row r="633">
      <c r="A633" t="inlineStr">
        <is>
          <t>RESIDENCIAL BEYOND</t>
        </is>
      </c>
      <c r="B633" t="inlineStr">
        <is>
          <t>Etapa 1</t>
        </is>
      </c>
      <c r="C633" t="inlineStr">
        <is>
          <t>Edificio</t>
        </is>
      </c>
      <c r="D633" t="inlineStr">
        <is>
          <t>A</t>
        </is>
      </c>
      <c r="E633" t="inlineStr">
        <is>
          <t>Departamento</t>
        </is>
      </c>
      <c r="F633" t="inlineStr">
        <is>
          <t>1705</t>
        </is>
      </c>
      <c r="G633" s="39" t="n">
        <v>482100</v>
      </c>
      <c r="H633" s="39" t="n">
        <v>482100</v>
      </c>
      <c r="I633" t="inlineStr">
        <is>
          <t>Edificio</t>
        </is>
      </c>
      <c r="J633" t="inlineStr">
        <is>
          <t>A</t>
        </is>
      </c>
      <c r="K633" t="inlineStr">
        <is>
          <t>Estacionamiento</t>
        </is>
      </c>
      <c r="L633" t="inlineStr">
        <is>
          <t>E 13 - D 11</t>
        </is>
      </c>
      <c r="M633" s="39" t="n">
        <v>54000</v>
      </c>
      <c r="N633" s="39" t="n">
        <v>54000</v>
      </c>
      <c r="S633" s="39" t="n"/>
      <c r="T633" s="39" t="n"/>
      <c r="Y633" s="39" t="n"/>
      <c r="Z633" s="39" t="n"/>
      <c r="AA633" t="inlineStr">
        <is>
          <t>Alejandro David Dianderas Leyzaquia</t>
        </is>
      </c>
      <c r="AB633" t="inlineStr">
        <is>
          <t>71802853</t>
        </is>
      </c>
      <c r="AC633" t="inlineStr">
        <is>
          <t>Av. Revolucion 530 - Urb. Collique Etapa 1</t>
        </is>
      </c>
      <c r="AD633" t="n">
        <v>0</v>
      </c>
      <c r="AE633" t="inlineStr">
        <is>
          <t>926428673</t>
        </is>
      </c>
      <c r="AF633" t="inlineStr">
        <is>
          <t>926428673@gmail.com</t>
        </is>
      </c>
      <c r="AG633" t="inlineStr">
        <is>
          <t>LIMA</t>
        </is>
      </c>
      <c r="AH633" t="inlineStr">
        <is>
          <t>COMAS</t>
        </is>
      </c>
      <c r="AI633" s="75" t="n">
        <v>46446</v>
      </c>
      <c r="AJ633" s="75" t="n"/>
      <c r="AK633" t="inlineStr">
        <is>
          <t>SALDO FINANCIAR</t>
        </is>
      </c>
      <c r="AL633" t="n">
        <v>1</v>
      </c>
      <c r="AM633" t="n">
        <v>428880</v>
      </c>
      <c r="AN633" t="n">
        <v>0</v>
      </c>
      <c r="AO633" t="n">
        <v>0</v>
      </c>
      <c r="AP633" s="39" t="n">
        <v>428880</v>
      </c>
      <c r="AQ633" s="39" t="n">
        <v>0</v>
      </c>
      <c r="AR633" s="39" t="n">
        <v>428880</v>
      </c>
      <c r="AT633" t="inlineStr">
        <is>
          <t>Ahorro</t>
        </is>
      </c>
      <c r="AZ633" t="inlineStr">
        <is>
          <t>No</t>
        </is>
      </c>
      <c r="BC633" t="inlineStr">
        <is>
          <t>PENDIENTE</t>
        </is>
      </c>
      <c r="BN633" t="inlineStr">
        <is>
          <t>No</t>
        </is>
      </c>
      <c r="BO633" s="76" t="n">
        <v>46172.7375</v>
      </c>
      <c r="BP633" t="inlineStr">
        <is>
          <t>Magaly Guevara Perez</t>
        </is>
      </c>
      <c r="BR633" t="n">
        <v>41</v>
      </c>
      <c r="BW633" t="inlineStr">
        <is>
          <t>Cobranzas_2027.csv</t>
        </is>
      </c>
      <c r="BX633" t="n">
        <v>2027</v>
      </c>
      <c r="BY633" t="inlineStr">
        <is>
          <t>01/01/2024</t>
        </is>
      </c>
      <c r="BZ633" t="inlineStr">
        <is>
          <t>30/06/2031</t>
        </is>
      </c>
    </row>
    <row r="634">
      <c r="A634" t="inlineStr">
        <is>
          <t>RESIDENCIAL BEYOND</t>
        </is>
      </c>
      <c r="B634" t="inlineStr">
        <is>
          <t>Etapa 1</t>
        </is>
      </c>
      <c r="C634" t="inlineStr">
        <is>
          <t>Edificio</t>
        </is>
      </c>
      <c r="D634" t="inlineStr">
        <is>
          <t>A</t>
        </is>
      </c>
      <c r="E634" t="inlineStr">
        <is>
          <t>Departamento</t>
        </is>
      </c>
      <c r="F634" t="inlineStr">
        <is>
          <t>1503</t>
        </is>
      </c>
      <c r="G634" s="39" t="n">
        <v>504700</v>
      </c>
      <c r="H634" s="39" t="n">
        <v>455000</v>
      </c>
      <c r="I634" t="inlineStr">
        <is>
          <t>Edificio</t>
        </is>
      </c>
      <c r="J634" t="inlineStr">
        <is>
          <t>A</t>
        </is>
      </c>
      <c r="K634" t="inlineStr">
        <is>
          <t>Estacionamiento</t>
        </is>
      </c>
      <c r="L634" t="inlineStr">
        <is>
          <t>E 01</t>
        </is>
      </c>
      <c r="M634" s="39" t="n">
        <v>47500</v>
      </c>
      <c r="N634" s="39" t="n">
        <v>47500</v>
      </c>
      <c r="S634" s="39" t="n"/>
      <c r="T634" s="39" t="n"/>
      <c r="Y634" s="39" t="n"/>
      <c r="Z634" s="39" t="n"/>
      <c r="AA634" t="inlineStr">
        <is>
          <t>CHRISTELL XIMENA ROMAINVILLE MONGE</t>
        </is>
      </c>
      <c r="AB634" t="inlineStr">
        <is>
          <t>70213991</t>
        </is>
      </c>
      <c r="AC634" t="inlineStr">
        <is>
          <t>Av. Gregorio Escobedo 570, Dpto N°1602 - Jesus Maria – Lima</t>
        </is>
      </c>
      <c r="AD634" t="n">
        <v>0</v>
      </c>
      <c r="AE634" t="inlineStr">
        <is>
          <t>966489295</t>
        </is>
      </c>
      <c r="AF634" t="inlineStr">
        <is>
          <t>ximenaromainville@gmail.com</t>
        </is>
      </c>
      <c r="AG634" t="inlineStr">
        <is>
          <t>LIMA</t>
        </is>
      </c>
      <c r="AH634" t="inlineStr">
        <is>
          <t>JESUS MARIA</t>
        </is>
      </c>
      <c r="AI634" s="75" t="n">
        <v>46446</v>
      </c>
      <c r="AJ634" s="75" t="n"/>
      <c r="AK634" t="inlineStr">
        <is>
          <t>CUOTA INICIAL</t>
        </is>
      </c>
      <c r="AL634" t="n">
        <v>4</v>
      </c>
      <c r="AM634" t="n">
        <v>50000</v>
      </c>
      <c r="AN634" t="n">
        <v>0</v>
      </c>
      <c r="AO634" t="n">
        <v>0</v>
      </c>
      <c r="AP634" s="39" t="n">
        <v>50000</v>
      </c>
      <c r="AQ634" s="39" t="n">
        <v>0</v>
      </c>
      <c r="AR634" s="39" t="n">
        <v>50000</v>
      </c>
      <c r="AT634" t="inlineStr">
        <is>
          <t>Crédito Hipotecario</t>
        </is>
      </c>
      <c r="AZ634" t="inlineStr">
        <is>
          <t>No</t>
        </is>
      </c>
      <c r="BC634" t="inlineStr">
        <is>
          <t>PENDIENTE</t>
        </is>
      </c>
      <c r="BN634" t="inlineStr">
        <is>
          <t>No</t>
        </is>
      </c>
      <c r="BO634" s="76" t="n">
        <v>46165.40555555555</v>
      </c>
      <c r="BP634" t="inlineStr">
        <is>
          <t>Kenny Salazar S</t>
        </is>
      </c>
      <c r="BR634" t="n">
        <v>47</v>
      </c>
      <c r="BW634" t="inlineStr">
        <is>
          <t>Cobranzas_2027.csv</t>
        </is>
      </c>
      <c r="BX634" t="n">
        <v>2027</v>
      </c>
      <c r="BY634" t="inlineStr">
        <is>
          <t>01/01/2024</t>
        </is>
      </c>
      <c r="BZ634" t="inlineStr">
        <is>
          <t>30/06/2031</t>
        </is>
      </c>
    </row>
    <row r="635">
      <c r="A635" t="inlineStr">
        <is>
          <t>RESIDENCIAL BEYOND</t>
        </is>
      </c>
      <c r="B635" t="inlineStr">
        <is>
          <t>Etapa 1</t>
        </is>
      </c>
      <c r="C635" t="inlineStr">
        <is>
          <t>Edificio</t>
        </is>
      </c>
      <c r="D635" t="inlineStr">
        <is>
          <t>A</t>
        </is>
      </c>
      <c r="E635" t="inlineStr">
        <is>
          <t>Departamento</t>
        </is>
      </c>
      <c r="F635" t="inlineStr">
        <is>
          <t>1503</t>
        </is>
      </c>
      <c r="G635" s="39" t="n">
        <v>504700</v>
      </c>
      <c r="H635" s="39" t="n">
        <v>455000</v>
      </c>
      <c r="I635" t="inlineStr">
        <is>
          <t>Edificio</t>
        </is>
      </c>
      <c r="J635" t="inlineStr">
        <is>
          <t>A</t>
        </is>
      </c>
      <c r="K635" t="inlineStr">
        <is>
          <t>Estacionamiento</t>
        </is>
      </c>
      <c r="L635" t="inlineStr">
        <is>
          <t>E 01</t>
        </is>
      </c>
      <c r="M635" s="39" t="n">
        <v>47500</v>
      </c>
      <c r="N635" s="39" t="n">
        <v>47500</v>
      </c>
      <c r="S635" s="39" t="n"/>
      <c r="T635" s="39" t="n"/>
      <c r="Y635" s="39" t="n"/>
      <c r="Z635" s="39" t="n"/>
      <c r="AA635" t="inlineStr">
        <is>
          <t>CHRISTELL XIMENA ROMAINVILLE MONGE</t>
        </is>
      </c>
      <c r="AB635" t="inlineStr">
        <is>
          <t>70213991</t>
        </is>
      </c>
      <c r="AC635" t="inlineStr">
        <is>
          <t>Av. Gregorio Escobedo 570, Dpto N°1602 - Jesus Maria – Lima</t>
        </is>
      </c>
      <c r="AD635" t="n">
        <v>0</v>
      </c>
      <c r="AE635" t="inlineStr">
        <is>
          <t>966489295</t>
        </is>
      </c>
      <c r="AF635" t="inlineStr">
        <is>
          <t>ximenaromainville@gmail.com</t>
        </is>
      </c>
      <c r="AG635" t="inlineStr">
        <is>
          <t>LIMA</t>
        </is>
      </c>
      <c r="AH635" t="inlineStr">
        <is>
          <t>JESUS MARIA</t>
        </is>
      </c>
      <c r="AI635" s="75" t="n">
        <v>46598</v>
      </c>
      <c r="AJ635" s="75" t="n"/>
      <c r="AK635" t="inlineStr">
        <is>
          <t>SALDO FINANCIAR</t>
        </is>
      </c>
      <c r="AL635" t="n">
        <v>1</v>
      </c>
      <c r="AM635" t="n">
        <v>352250</v>
      </c>
      <c r="AN635" t="n">
        <v>0</v>
      </c>
      <c r="AO635" t="n">
        <v>0</v>
      </c>
      <c r="AP635" s="39" t="n">
        <v>352250</v>
      </c>
      <c r="AQ635" s="39" t="n">
        <v>0</v>
      </c>
      <c r="AR635" s="39" t="n">
        <v>352250</v>
      </c>
      <c r="AT635" t="inlineStr">
        <is>
          <t>Crédito Hipotecario</t>
        </is>
      </c>
      <c r="AZ635" t="inlineStr">
        <is>
          <t>No</t>
        </is>
      </c>
      <c r="BC635" t="inlineStr">
        <is>
          <t>PENDIENTE</t>
        </is>
      </c>
      <c r="BN635" t="inlineStr">
        <is>
          <t>No</t>
        </is>
      </c>
      <c r="BO635" s="76" t="n">
        <v>46165.40555555555</v>
      </c>
      <c r="BP635" t="inlineStr">
        <is>
          <t>Kenny Salazar S</t>
        </is>
      </c>
      <c r="BR635" t="n">
        <v>47</v>
      </c>
      <c r="BW635" t="inlineStr">
        <is>
          <t>Cobranzas_2027.csv</t>
        </is>
      </c>
      <c r="BX635" t="n">
        <v>2027</v>
      </c>
      <c r="BY635" t="inlineStr">
        <is>
          <t>01/01/2024</t>
        </is>
      </c>
      <c r="BZ635" t="inlineStr">
        <is>
          <t>30/06/2031</t>
        </is>
      </c>
    </row>
    <row r="636">
      <c r="A636" t="inlineStr">
        <is>
          <t>RESIDENCIAL BEYOND</t>
        </is>
      </c>
      <c r="B636" t="inlineStr">
        <is>
          <t>Etapa 1</t>
        </is>
      </c>
      <c r="C636" t="inlineStr">
        <is>
          <t>Edificio</t>
        </is>
      </c>
      <c r="D636" t="inlineStr">
        <is>
          <t>A</t>
        </is>
      </c>
      <c r="E636" t="inlineStr">
        <is>
          <t>Departamento</t>
        </is>
      </c>
      <c r="F636" t="inlineStr">
        <is>
          <t>1202</t>
        </is>
      </c>
      <c r="G636" s="39" t="n">
        <v>422000</v>
      </c>
      <c r="H636" s="39" t="n">
        <v>370000</v>
      </c>
      <c r="M636" s="39" t="n"/>
      <c r="N636" s="39" t="n"/>
      <c r="S636" s="39" t="n"/>
      <c r="T636" s="39" t="n"/>
      <c r="Y636" s="39" t="n"/>
      <c r="Z636" s="39" t="n"/>
      <c r="AA636" t="inlineStr">
        <is>
          <t>Diana Carolina Asmat Cuno</t>
        </is>
      </c>
      <c r="AB636" t="inlineStr">
        <is>
          <t>47198881</t>
        </is>
      </c>
      <c r="AC636" t="inlineStr">
        <is>
          <t>Jr. Las Cidras 684 Coop Las Flores</t>
        </is>
      </c>
      <c r="AD636" t="n">
        <v>0</v>
      </c>
      <c r="AE636" t="inlineStr">
        <is>
          <t>+61451852811</t>
        </is>
      </c>
      <c r="AF636" t="inlineStr">
        <is>
          <t>ianikro@outlook.com</t>
        </is>
      </c>
      <c r="AG636" t="inlineStr">
        <is>
          <t>LIMA</t>
        </is>
      </c>
      <c r="AH636" t="inlineStr">
        <is>
          <t>SAN JUAN DE LURIGANCHO</t>
        </is>
      </c>
      <c r="AI636" s="75" t="n">
        <v>46598</v>
      </c>
      <c r="AJ636" s="75" t="n"/>
      <c r="AK636" t="inlineStr">
        <is>
          <t>SALDO FINANCIAR</t>
        </is>
      </c>
      <c r="AL636" t="n">
        <v>2</v>
      </c>
      <c r="AM636" t="n">
        <v>240500</v>
      </c>
      <c r="AN636" t="n">
        <v>0</v>
      </c>
      <c r="AO636" t="n">
        <v>0</v>
      </c>
      <c r="AP636" s="39" t="n">
        <v>240500</v>
      </c>
      <c r="AQ636" s="39" t="n">
        <v>0</v>
      </c>
      <c r="AR636" s="39" t="n">
        <v>240500</v>
      </c>
      <c r="AT636" t="inlineStr">
        <is>
          <t>Crédito Directo</t>
        </is>
      </c>
      <c r="AZ636" t="inlineStr">
        <is>
          <t>No</t>
        </is>
      </c>
      <c r="BC636" t="inlineStr">
        <is>
          <t>PENDIENTE</t>
        </is>
      </c>
      <c r="BN636" t="inlineStr">
        <is>
          <t>No</t>
        </is>
      </c>
      <c r="BO636" s="76" t="n">
        <v>46079.4375</v>
      </c>
      <c r="BP636" t="inlineStr">
        <is>
          <t>Magaly Guevara Perez</t>
        </is>
      </c>
      <c r="BR636" t="n">
        <v>15</v>
      </c>
      <c r="BW636" t="inlineStr">
        <is>
          <t>Cobranzas_2027.csv</t>
        </is>
      </c>
      <c r="BX636" t="n">
        <v>2027</v>
      </c>
      <c r="BY636" t="inlineStr">
        <is>
          <t>01/01/2024</t>
        </is>
      </c>
      <c r="BZ636" t="inlineStr">
        <is>
          <t>30/06/2031</t>
        </is>
      </c>
    </row>
    <row r="637">
      <c r="A637" t="inlineStr">
        <is>
          <t>RESIDENCIAL BEYOND</t>
        </is>
      </c>
      <c r="B637" t="inlineStr">
        <is>
          <t>Etapa 1</t>
        </is>
      </c>
      <c r="C637" t="inlineStr">
        <is>
          <t>Edificio</t>
        </is>
      </c>
      <c r="D637" t="inlineStr">
        <is>
          <t>A</t>
        </is>
      </c>
      <c r="E637" t="inlineStr">
        <is>
          <t>Departamento</t>
        </is>
      </c>
      <c r="F637" t="inlineStr">
        <is>
          <t>503</t>
        </is>
      </c>
      <c r="G637" s="39" t="n">
        <v>504700</v>
      </c>
      <c r="H637" s="39" t="n">
        <v>470000</v>
      </c>
      <c r="I637" t="inlineStr">
        <is>
          <t>Edificio</t>
        </is>
      </c>
      <c r="J637" t="inlineStr">
        <is>
          <t>A</t>
        </is>
      </c>
      <c r="K637" t="inlineStr">
        <is>
          <t>Estacionamiento</t>
        </is>
      </c>
      <c r="L637" t="inlineStr">
        <is>
          <t>E 12 - D 10</t>
        </is>
      </c>
      <c r="M637" s="39" t="n">
        <v>51500</v>
      </c>
      <c r="N637" s="39" t="n">
        <v>51500</v>
      </c>
      <c r="S637" s="39" t="n"/>
      <c r="T637" s="39" t="n"/>
      <c r="Y637" s="39" t="n"/>
      <c r="Z637" s="39" t="n"/>
      <c r="AA637" t="inlineStr">
        <is>
          <t>ERICK RAUL BEDOYA BACA</t>
        </is>
      </c>
      <c r="AB637" t="inlineStr">
        <is>
          <t>47551103</t>
        </is>
      </c>
      <c r="AC637" t="inlineStr">
        <is>
          <t>Urb. Virgen del Rosario I Etapa Mz D Lt 11</t>
        </is>
      </c>
      <c r="AD637" t="n">
        <v>0</v>
      </c>
      <c r="AE637" t="inlineStr">
        <is>
          <t>961968687</t>
        </is>
      </c>
      <c r="AF637" t="inlineStr">
        <is>
          <t>ebedoyaba@gmail.com</t>
        </is>
      </c>
      <c r="AG637" t="inlineStr">
        <is>
          <t>LIMA</t>
        </is>
      </c>
      <c r="AH637" t="inlineStr">
        <is>
          <t>SAN MARTIN DE PORRES</t>
        </is>
      </c>
      <c r="AI637" s="75" t="n">
        <v>46477</v>
      </c>
      <c r="AJ637" s="75" t="n"/>
      <c r="AK637" t="inlineStr">
        <is>
          <t>SALDO FINANCIAR</t>
        </is>
      </c>
      <c r="AL637" t="n">
        <v>3</v>
      </c>
      <c r="AM637" t="n">
        <v>107750</v>
      </c>
      <c r="AN637" t="n">
        <v>0</v>
      </c>
      <c r="AO637" t="n">
        <v>0</v>
      </c>
      <c r="AP637" s="39" t="n">
        <v>107750</v>
      </c>
      <c r="AQ637" s="39" t="n">
        <v>0</v>
      </c>
      <c r="AR637" s="39" t="n">
        <v>107750</v>
      </c>
      <c r="AT637" t="inlineStr">
        <is>
          <t>Crédito Hipotecario</t>
        </is>
      </c>
      <c r="AZ637" t="inlineStr">
        <is>
          <t>No</t>
        </is>
      </c>
      <c r="BC637" t="inlineStr">
        <is>
          <t>PENDIENTE</t>
        </is>
      </c>
      <c r="BN637" t="inlineStr">
        <is>
          <t>No</t>
        </is>
      </c>
      <c r="BO637" s="76" t="n">
        <v>46049.39861111111</v>
      </c>
      <c r="BP637" t="inlineStr">
        <is>
          <t>Magaly Guevara Perez</t>
        </is>
      </c>
      <c r="BR637" t="n">
        <v>31</v>
      </c>
      <c r="BW637" t="inlineStr">
        <is>
          <t>Cobranzas_2027.csv</t>
        </is>
      </c>
      <c r="BX637" t="n">
        <v>2027</v>
      </c>
      <c r="BY637" t="inlineStr">
        <is>
          <t>01/01/2024</t>
        </is>
      </c>
      <c r="BZ637" t="inlineStr">
        <is>
          <t>30/06/2031</t>
        </is>
      </c>
    </row>
    <row r="638">
      <c r="A638" t="inlineStr">
        <is>
          <t>RESIDENCIAL BEYOND</t>
        </is>
      </c>
      <c r="B638" t="inlineStr">
        <is>
          <t>Etapa 1</t>
        </is>
      </c>
      <c r="C638" t="inlineStr">
        <is>
          <t>Edificio</t>
        </is>
      </c>
      <c r="D638" t="inlineStr">
        <is>
          <t>A</t>
        </is>
      </c>
      <c r="E638" t="inlineStr">
        <is>
          <t>Departamento</t>
        </is>
      </c>
      <c r="F638" t="inlineStr">
        <is>
          <t>503</t>
        </is>
      </c>
      <c r="G638" s="39" t="n">
        <v>504700</v>
      </c>
      <c r="H638" s="39" t="n">
        <v>470000</v>
      </c>
      <c r="I638" t="inlineStr">
        <is>
          <t>Edificio</t>
        </is>
      </c>
      <c r="J638" t="inlineStr">
        <is>
          <t>A</t>
        </is>
      </c>
      <c r="K638" t="inlineStr">
        <is>
          <t>Estacionamiento</t>
        </is>
      </c>
      <c r="L638" t="inlineStr">
        <is>
          <t>E 12 - D 10</t>
        </is>
      </c>
      <c r="M638" s="39" t="n">
        <v>51500</v>
      </c>
      <c r="N638" s="39" t="n">
        <v>51500</v>
      </c>
      <c r="S638" s="39" t="n"/>
      <c r="T638" s="39" t="n"/>
      <c r="Y638" s="39" t="n"/>
      <c r="Z638" s="39" t="n"/>
      <c r="AA638" t="inlineStr">
        <is>
          <t>ERICK RAUL BEDOYA BACA</t>
        </is>
      </c>
      <c r="AB638" t="inlineStr">
        <is>
          <t>47551103</t>
        </is>
      </c>
      <c r="AC638" t="inlineStr">
        <is>
          <t>Urb. Virgen del Rosario I Etapa Mz D Lt 11</t>
        </is>
      </c>
      <c r="AD638" t="n">
        <v>0</v>
      </c>
      <c r="AE638" t="inlineStr">
        <is>
          <t>961968687</t>
        </is>
      </c>
      <c r="AF638" t="inlineStr">
        <is>
          <t>ebedoyaba@gmail.com</t>
        </is>
      </c>
      <c r="AG638" t="inlineStr">
        <is>
          <t>LIMA</t>
        </is>
      </c>
      <c r="AH638" t="inlineStr">
        <is>
          <t>SAN MARTIN DE PORRES</t>
        </is>
      </c>
      <c r="AI638" s="75" t="n">
        <v>46599</v>
      </c>
      <c r="AJ638" s="75" t="n"/>
      <c r="AK638" t="inlineStr">
        <is>
          <t>SALDO FINANCIAR</t>
        </is>
      </c>
      <c r="AL638" t="n">
        <v>4</v>
      </c>
      <c r="AM638" t="n">
        <v>107750</v>
      </c>
      <c r="AN638" t="n">
        <v>0</v>
      </c>
      <c r="AO638" t="n">
        <v>0</v>
      </c>
      <c r="AP638" s="39" t="n">
        <v>107750</v>
      </c>
      <c r="AQ638" s="39" t="n">
        <v>0</v>
      </c>
      <c r="AR638" s="39" t="n">
        <v>107750</v>
      </c>
      <c r="AT638" t="inlineStr">
        <is>
          <t>Crédito Hipotecario</t>
        </is>
      </c>
      <c r="AZ638" t="inlineStr">
        <is>
          <t>No</t>
        </is>
      </c>
      <c r="BC638" t="inlineStr">
        <is>
          <t>PENDIENTE</t>
        </is>
      </c>
      <c r="BN638" t="inlineStr">
        <is>
          <t>No</t>
        </is>
      </c>
      <c r="BO638" s="76" t="n">
        <v>46049.39861111111</v>
      </c>
      <c r="BP638" t="inlineStr">
        <is>
          <t>Magaly Guevara Perez</t>
        </is>
      </c>
      <c r="BR638" t="n">
        <v>31</v>
      </c>
      <c r="BW638" t="inlineStr">
        <is>
          <t>Cobranzas_2027.csv</t>
        </is>
      </c>
      <c r="BX638" t="n">
        <v>2027</v>
      </c>
      <c r="BY638" t="inlineStr">
        <is>
          <t>01/01/2024</t>
        </is>
      </c>
      <c r="BZ638" t="inlineStr">
        <is>
          <t>30/06/2031</t>
        </is>
      </c>
    </row>
    <row r="639">
      <c r="A639" t="inlineStr">
        <is>
          <t>RESIDENCIAL BEYOND</t>
        </is>
      </c>
      <c r="B639" t="inlineStr">
        <is>
          <t>Etapa 1</t>
        </is>
      </c>
      <c r="C639" t="inlineStr">
        <is>
          <t>Edificio</t>
        </is>
      </c>
      <c r="D639" t="inlineStr">
        <is>
          <t>A</t>
        </is>
      </c>
      <c r="E639" t="inlineStr">
        <is>
          <t>Departamento</t>
        </is>
      </c>
      <c r="F639" t="inlineStr">
        <is>
          <t>1205</t>
        </is>
      </c>
      <c r="G639" s="39" t="n">
        <v>520100</v>
      </c>
      <c r="H639" s="39" t="n">
        <v>467100</v>
      </c>
      <c r="M639" s="39" t="n"/>
      <c r="N639" s="39" t="n"/>
      <c r="S639" s="39" t="n"/>
      <c r="T639" s="39" t="n"/>
      <c r="Y639" s="39" t="n"/>
      <c r="Z639" s="39" t="n"/>
      <c r="AA639" t="inlineStr">
        <is>
          <t>Fabiola Maria Lecca Vargas</t>
        </is>
      </c>
      <c r="AB639" t="inlineStr">
        <is>
          <t>08034254</t>
        </is>
      </c>
      <c r="AC639" t="inlineStr">
        <is>
          <t>Jr. Manuel Irribarren 1012 dpto 1</t>
        </is>
      </c>
      <c r="AD639" t="n">
        <v>0</v>
      </c>
      <c r="AE639" t="inlineStr">
        <is>
          <t>988708317</t>
        </is>
      </c>
      <c r="AF639" t="inlineStr">
        <is>
          <t>fabiolaleccavargas@g.mail.com</t>
        </is>
      </c>
      <c r="AG639" t="inlineStr">
        <is>
          <t>LIMA</t>
        </is>
      </c>
      <c r="AH639" t="inlineStr">
        <is>
          <t>RIMAC</t>
        </is>
      </c>
      <c r="AI639" s="75" t="n">
        <v>46417</v>
      </c>
      <c r="AJ639" s="75" t="n"/>
      <c r="AK639" t="inlineStr">
        <is>
          <t>SALDO FINANCIAR</t>
        </is>
      </c>
      <c r="AL639" t="n">
        <v>10</v>
      </c>
      <c r="AM639" t="n">
        <v>10000</v>
      </c>
      <c r="AN639" t="n">
        <v>0</v>
      </c>
      <c r="AO639" t="n">
        <v>0</v>
      </c>
      <c r="AP639" s="39" t="n">
        <v>10000</v>
      </c>
      <c r="AQ639" s="39" t="n">
        <v>0</v>
      </c>
      <c r="AR639" s="39" t="n">
        <v>10000</v>
      </c>
      <c r="AT639" t="inlineStr">
        <is>
          <t>Crédito Directo</t>
        </is>
      </c>
      <c r="AZ639" t="inlineStr">
        <is>
          <t>No</t>
        </is>
      </c>
      <c r="BC639" t="inlineStr">
        <is>
          <t>PENDIENTE</t>
        </is>
      </c>
      <c r="BN639" t="inlineStr">
        <is>
          <t>No</t>
        </is>
      </c>
      <c r="BO639" s="76" t="n">
        <v>46081.43819444445</v>
      </c>
      <c r="BP639" t="inlineStr">
        <is>
          <t>Magaly Guevara Perez</t>
        </is>
      </c>
      <c r="BR639" t="n">
        <v>14</v>
      </c>
      <c r="BW639" t="inlineStr">
        <is>
          <t>Cobranzas_2027.csv</t>
        </is>
      </c>
      <c r="BX639" t="n">
        <v>2027</v>
      </c>
      <c r="BY639" t="inlineStr">
        <is>
          <t>01/01/2024</t>
        </is>
      </c>
      <c r="BZ639" t="inlineStr">
        <is>
          <t>30/06/2031</t>
        </is>
      </c>
    </row>
    <row r="640">
      <c r="A640" t="inlineStr">
        <is>
          <t>RESIDENCIAL BEYOND</t>
        </is>
      </c>
      <c r="B640" t="inlineStr">
        <is>
          <t>Etapa 1</t>
        </is>
      </c>
      <c r="C640" t="inlineStr">
        <is>
          <t>Edificio</t>
        </is>
      </c>
      <c r="D640" t="inlineStr">
        <is>
          <t>A</t>
        </is>
      </c>
      <c r="E640" t="inlineStr">
        <is>
          <t>Departamento</t>
        </is>
      </c>
      <c r="F640" t="inlineStr">
        <is>
          <t>1205</t>
        </is>
      </c>
      <c r="G640" s="39" t="n">
        <v>520100</v>
      </c>
      <c r="H640" s="39" t="n">
        <v>467100</v>
      </c>
      <c r="M640" s="39" t="n"/>
      <c r="N640" s="39" t="n"/>
      <c r="S640" s="39" t="n"/>
      <c r="T640" s="39" t="n"/>
      <c r="Y640" s="39" t="n"/>
      <c r="Z640" s="39" t="n"/>
      <c r="AA640" t="inlineStr">
        <is>
          <t>Fabiola Maria Lecca Vargas</t>
        </is>
      </c>
      <c r="AB640" t="inlineStr">
        <is>
          <t>08034254</t>
        </is>
      </c>
      <c r="AC640" t="inlineStr">
        <is>
          <t>Jr. Manuel Irribarren 1012 dpto 1</t>
        </is>
      </c>
      <c r="AD640" t="n">
        <v>0</v>
      </c>
      <c r="AE640" t="inlineStr">
        <is>
          <t>988708317</t>
        </is>
      </c>
      <c r="AF640" t="inlineStr">
        <is>
          <t>fabiolaleccavargas@g.mail.com</t>
        </is>
      </c>
      <c r="AG640" t="inlineStr">
        <is>
          <t>LIMA</t>
        </is>
      </c>
      <c r="AH640" t="inlineStr">
        <is>
          <t>RIMAC</t>
        </is>
      </c>
      <c r="AI640" s="75" t="n">
        <v>46446</v>
      </c>
      <c r="AJ640" s="75" t="n"/>
      <c r="AK640" t="inlineStr">
        <is>
          <t>SALDO FINANCIAR</t>
        </is>
      </c>
      <c r="AL640" t="n">
        <v>11</v>
      </c>
      <c r="AM640" t="n">
        <v>10000</v>
      </c>
      <c r="AN640" t="n">
        <v>0</v>
      </c>
      <c r="AO640" t="n">
        <v>0</v>
      </c>
      <c r="AP640" s="39" t="n">
        <v>10000</v>
      </c>
      <c r="AQ640" s="39" t="n">
        <v>0</v>
      </c>
      <c r="AR640" s="39" t="n">
        <v>10000</v>
      </c>
      <c r="AT640" t="inlineStr">
        <is>
          <t>Crédito Directo</t>
        </is>
      </c>
      <c r="AZ640" t="inlineStr">
        <is>
          <t>No</t>
        </is>
      </c>
      <c r="BC640" t="inlineStr">
        <is>
          <t>PENDIENTE</t>
        </is>
      </c>
      <c r="BN640" t="inlineStr">
        <is>
          <t>No</t>
        </is>
      </c>
      <c r="BO640" s="76" t="n">
        <v>46081.43819444445</v>
      </c>
      <c r="BP640" t="inlineStr">
        <is>
          <t>Magaly Guevara Perez</t>
        </is>
      </c>
      <c r="BR640" t="n">
        <v>14</v>
      </c>
      <c r="BW640" t="inlineStr">
        <is>
          <t>Cobranzas_2027.csv</t>
        </is>
      </c>
      <c r="BX640" t="n">
        <v>2027</v>
      </c>
      <c r="BY640" t="inlineStr">
        <is>
          <t>01/01/2024</t>
        </is>
      </c>
      <c r="BZ640" t="inlineStr">
        <is>
          <t>30/06/2031</t>
        </is>
      </c>
    </row>
    <row r="641">
      <c r="A641" t="inlineStr">
        <is>
          <t>RESIDENCIAL BEYOND</t>
        </is>
      </c>
      <c r="B641" t="inlineStr">
        <is>
          <t>Etapa 1</t>
        </is>
      </c>
      <c r="C641" t="inlineStr">
        <is>
          <t>Edificio</t>
        </is>
      </c>
      <c r="D641" t="inlineStr">
        <is>
          <t>A</t>
        </is>
      </c>
      <c r="E641" t="inlineStr">
        <is>
          <t>Departamento</t>
        </is>
      </c>
      <c r="F641" t="inlineStr">
        <is>
          <t>1205</t>
        </is>
      </c>
      <c r="G641" s="39" t="n">
        <v>520100</v>
      </c>
      <c r="H641" s="39" t="n">
        <v>467100</v>
      </c>
      <c r="M641" s="39" t="n"/>
      <c r="N641" s="39" t="n"/>
      <c r="S641" s="39" t="n"/>
      <c r="T641" s="39" t="n"/>
      <c r="Y641" s="39" t="n"/>
      <c r="Z641" s="39" t="n"/>
      <c r="AA641" t="inlineStr">
        <is>
          <t>Fabiola Maria Lecca Vargas</t>
        </is>
      </c>
      <c r="AB641" t="inlineStr">
        <is>
          <t>08034254</t>
        </is>
      </c>
      <c r="AC641" t="inlineStr">
        <is>
          <t>Jr. Manuel Irribarren 1012 dpto 1</t>
        </is>
      </c>
      <c r="AD641" t="n">
        <v>0</v>
      </c>
      <c r="AE641" t="inlineStr">
        <is>
          <t>988708317</t>
        </is>
      </c>
      <c r="AF641" t="inlineStr">
        <is>
          <t>fabiolaleccavargas@g.mail.com</t>
        </is>
      </c>
      <c r="AG641" t="inlineStr">
        <is>
          <t>LIMA</t>
        </is>
      </c>
      <c r="AH641" t="inlineStr">
        <is>
          <t>RIMAC</t>
        </is>
      </c>
      <c r="AI641" s="75" t="n">
        <v>46476</v>
      </c>
      <c r="AJ641" s="75" t="n"/>
      <c r="AK641" t="inlineStr">
        <is>
          <t>SALDO FINANCIAR</t>
        </is>
      </c>
      <c r="AL641" t="n">
        <v>12</v>
      </c>
      <c r="AM641" t="n">
        <v>10000</v>
      </c>
      <c r="AN641" t="n">
        <v>0</v>
      </c>
      <c r="AO641" t="n">
        <v>0</v>
      </c>
      <c r="AP641" s="39" t="n">
        <v>10000</v>
      </c>
      <c r="AQ641" s="39" t="n">
        <v>0</v>
      </c>
      <c r="AR641" s="39" t="n">
        <v>10000</v>
      </c>
      <c r="AT641" t="inlineStr">
        <is>
          <t>Crédito Directo</t>
        </is>
      </c>
      <c r="AZ641" t="inlineStr">
        <is>
          <t>No</t>
        </is>
      </c>
      <c r="BC641" t="inlineStr">
        <is>
          <t>PENDIENTE</t>
        </is>
      </c>
      <c r="BN641" t="inlineStr">
        <is>
          <t>No</t>
        </is>
      </c>
      <c r="BO641" s="76" t="n">
        <v>46081.43819444445</v>
      </c>
      <c r="BP641" t="inlineStr">
        <is>
          <t>Magaly Guevara Perez</t>
        </is>
      </c>
      <c r="BR641" t="n">
        <v>14</v>
      </c>
      <c r="BW641" t="inlineStr">
        <is>
          <t>Cobranzas_2027.csv</t>
        </is>
      </c>
      <c r="BX641" t="n">
        <v>2027</v>
      </c>
      <c r="BY641" t="inlineStr">
        <is>
          <t>01/01/2024</t>
        </is>
      </c>
      <c r="BZ641" t="inlineStr">
        <is>
          <t>30/06/2031</t>
        </is>
      </c>
    </row>
    <row r="642">
      <c r="A642" t="inlineStr">
        <is>
          <t>RESIDENCIAL BEYOND</t>
        </is>
      </c>
      <c r="B642" t="inlineStr">
        <is>
          <t>Etapa 1</t>
        </is>
      </c>
      <c r="C642" t="inlineStr">
        <is>
          <t>Edificio</t>
        </is>
      </c>
      <c r="D642" t="inlineStr">
        <is>
          <t>A</t>
        </is>
      </c>
      <c r="E642" t="inlineStr">
        <is>
          <t>Departamento</t>
        </is>
      </c>
      <c r="F642" t="inlineStr">
        <is>
          <t>1205</t>
        </is>
      </c>
      <c r="G642" s="39" t="n">
        <v>520100</v>
      </c>
      <c r="H642" s="39" t="n">
        <v>467100</v>
      </c>
      <c r="M642" s="39" t="n"/>
      <c r="N642" s="39" t="n"/>
      <c r="S642" s="39" t="n"/>
      <c r="T642" s="39" t="n"/>
      <c r="Y642" s="39" t="n"/>
      <c r="Z642" s="39" t="n"/>
      <c r="AA642" t="inlineStr">
        <is>
          <t>Fabiola Maria Lecca Vargas</t>
        </is>
      </c>
      <c r="AB642" t="inlineStr">
        <is>
          <t>08034254</t>
        </is>
      </c>
      <c r="AC642" t="inlineStr">
        <is>
          <t>Jr. Manuel Irribarren 1012 dpto 1</t>
        </is>
      </c>
      <c r="AD642" t="n">
        <v>0</v>
      </c>
      <c r="AE642" t="inlineStr">
        <is>
          <t>988708317</t>
        </is>
      </c>
      <c r="AF642" t="inlineStr">
        <is>
          <t>fabiolaleccavargas@g.mail.com</t>
        </is>
      </c>
      <c r="AG642" t="inlineStr">
        <is>
          <t>LIMA</t>
        </is>
      </c>
      <c r="AH642" t="inlineStr">
        <is>
          <t>RIMAC</t>
        </is>
      </c>
      <c r="AI642" s="75" t="n">
        <v>46507</v>
      </c>
      <c r="AJ642" s="75" t="n"/>
      <c r="AK642" t="inlineStr">
        <is>
          <t>SALDO FINANCIAR</t>
        </is>
      </c>
      <c r="AL642" t="n">
        <v>13</v>
      </c>
      <c r="AM642" t="n">
        <v>10000</v>
      </c>
      <c r="AN642" t="n">
        <v>0</v>
      </c>
      <c r="AO642" t="n">
        <v>0</v>
      </c>
      <c r="AP642" s="39" t="n">
        <v>10000</v>
      </c>
      <c r="AQ642" s="39" t="n">
        <v>0</v>
      </c>
      <c r="AR642" s="39" t="n">
        <v>10000</v>
      </c>
      <c r="AT642" t="inlineStr">
        <is>
          <t>Crédito Directo</t>
        </is>
      </c>
      <c r="AZ642" t="inlineStr">
        <is>
          <t>No</t>
        </is>
      </c>
      <c r="BC642" t="inlineStr">
        <is>
          <t>PENDIENTE</t>
        </is>
      </c>
      <c r="BN642" t="inlineStr">
        <is>
          <t>No</t>
        </is>
      </c>
      <c r="BO642" s="76" t="n">
        <v>46081.43819444445</v>
      </c>
      <c r="BP642" t="inlineStr">
        <is>
          <t>Magaly Guevara Perez</t>
        </is>
      </c>
      <c r="BR642" t="n">
        <v>14</v>
      </c>
      <c r="BW642" t="inlineStr">
        <is>
          <t>Cobranzas_2027.csv</t>
        </is>
      </c>
      <c r="BX642" t="n">
        <v>2027</v>
      </c>
      <c r="BY642" t="inlineStr">
        <is>
          <t>01/01/2024</t>
        </is>
      </c>
      <c r="BZ642" t="inlineStr">
        <is>
          <t>30/06/2031</t>
        </is>
      </c>
    </row>
    <row r="643">
      <c r="A643" t="inlineStr">
        <is>
          <t>RESIDENCIAL BEYOND</t>
        </is>
      </c>
      <c r="B643" t="inlineStr">
        <is>
          <t>Etapa 1</t>
        </is>
      </c>
      <c r="C643" t="inlineStr">
        <is>
          <t>Edificio</t>
        </is>
      </c>
      <c r="D643" t="inlineStr">
        <is>
          <t>A</t>
        </is>
      </c>
      <c r="E643" t="inlineStr">
        <is>
          <t>Departamento</t>
        </is>
      </c>
      <c r="F643" t="inlineStr">
        <is>
          <t>1205</t>
        </is>
      </c>
      <c r="G643" s="39" t="n">
        <v>520100</v>
      </c>
      <c r="H643" s="39" t="n">
        <v>467100</v>
      </c>
      <c r="M643" s="39" t="n"/>
      <c r="N643" s="39" t="n"/>
      <c r="S643" s="39" t="n"/>
      <c r="T643" s="39" t="n"/>
      <c r="Y643" s="39" t="n"/>
      <c r="Z643" s="39" t="n"/>
      <c r="AA643" t="inlineStr">
        <is>
          <t>Fabiola Maria Lecca Vargas</t>
        </is>
      </c>
      <c r="AB643" t="inlineStr">
        <is>
          <t>08034254</t>
        </is>
      </c>
      <c r="AC643" t="inlineStr">
        <is>
          <t>Jr. Manuel Irribarren 1012 dpto 1</t>
        </is>
      </c>
      <c r="AD643" t="n">
        <v>0</v>
      </c>
      <c r="AE643" t="inlineStr">
        <is>
          <t>988708317</t>
        </is>
      </c>
      <c r="AF643" t="inlineStr">
        <is>
          <t>fabiolaleccavargas@g.mail.com</t>
        </is>
      </c>
      <c r="AG643" t="inlineStr">
        <is>
          <t>LIMA</t>
        </is>
      </c>
      <c r="AH643" t="inlineStr">
        <is>
          <t>RIMAC</t>
        </is>
      </c>
      <c r="AI643" s="75" t="n">
        <v>46537</v>
      </c>
      <c r="AJ643" s="75" t="n"/>
      <c r="AK643" t="inlineStr">
        <is>
          <t>SALDO FINANCIAR</t>
        </is>
      </c>
      <c r="AL643" t="n">
        <v>14</v>
      </c>
      <c r="AM643" t="n">
        <v>10000</v>
      </c>
      <c r="AN643" t="n">
        <v>0</v>
      </c>
      <c r="AO643" t="n">
        <v>0</v>
      </c>
      <c r="AP643" s="39" t="n">
        <v>10000</v>
      </c>
      <c r="AQ643" s="39" t="n">
        <v>0</v>
      </c>
      <c r="AR643" s="39" t="n">
        <v>10000</v>
      </c>
      <c r="AT643" t="inlineStr">
        <is>
          <t>Crédito Directo</t>
        </is>
      </c>
      <c r="AZ643" t="inlineStr">
        <is>
          <t>No</t>
        </is>
      </c>
      <c r="BC643" t="inlineStr">
        <is>
          <t>PENDIENTE</t>
        </is>
      </c>
      <c r="BN643" t="inlineStr">
        <is>
          <t>No</t>
        </is>
      </c>
      <c r="BO643" s="76" t="n">
        <v>46081.43819444445</v>
      </c>
      <c r="BP643" t="inlineStr">
        <is>
          <t>Magaly Guevara Perez</t>
        </is>
      </c>
      <c r="BR643" t="n">
        <v>14</v>
      </c>
      <c r="BW643" t="inlineStr">
        <is>
          <t>Cobranzas_2027.csv</t>
        </is>
      </c>
      <c r="BX643" t="n">
        <v>2027</v>
      </c>
      <c r="BY643" t="inlineStr">
        <is>
          <t>01/01/2024</t>
        </is>
      </c>
      <c r="BZ643" t="inlineStr">
        <is>
          <t>30/06/2031</t>
        </is>
      </c>
    </row>
    <row r="644">
      <c r="A644" t="inlineStr">
        <is>
          <t>RESIDENCIAL BEYOND</t>
        </is>
      </c>
      <c r="B644" t="inlineStr">
        <is>
          <t>Etapa 1</t>
        </is>
      </c>
      <c r="C644" t="inlineStr">
        <is>
          <t>Edificio</t>
        </is>
      </c>
      <c r="D644" t="inlineStr">
        <is>
          <t>A</t>
        </is>
      </c>
      <c r="E644" t="inlineStr">
        <is>
          <t>Departamento</t>
        </is>
      </c>
      <c r="F644" t="inlineStr">
        <is>
          <t>1205</t>
        </is>
      </c>
      <c r="G644" s="39" t="n">
        <v>520100</v>
      </c>
      <c r="H644" s="39" t="n">
        <v>467100</v>
      </c>
      <c r="M644" s="39" t="n"/>
      <c r="N644" s="39" t="n"/>
      <c r="S644" s="39" t="n"/>
      <c r="T644" s="39" t="n"/>
      <c r="Y644" s="39" t="n"/>
      <c r="Z644" s="39" t="n"/>
      <c r="AA644" t="inlineStr">
        <is>
          <t>Fabiola Maria Lecca Vargas</t>
        </is>
      </c>
      <c r="AB644" t="inlineStr">
        <is>
          <t>08034254</t>
        </is>
      </c>
      <c r="AC644" t="inlineStr">
        <is>
          <t>Jr. Manuel Irribarren 1012 dpto 1</t>
        </is>
      </c>
      <c r="AD644" t="n">
        <v>0</v>
      </c>
      <c r="AE644" t="inlineStr">
        <is>
          <t>988708317</t>
        </is>
      </c>
      <c r="AF644" t="inlineStr">
        <is>
          <t>fabiolaleccavargas@g.mail.com</t>
        </is>
      </c>
      <c r="AG644" t="inlineStr">
        <is>
          <t>LIMA</t>
        </is>
      </c>
      <c r="AH644" t="inlineStr">
        <is>
          <t>RIMAC</t>
        </is>
      </c>
      <c r="AI644" s="75" t="n">
        <v>46568</v>
      </c>
      <c r="AJ644" s="75" t="n"/>
      <c r="AK644" t="inlineStr">
        <is>
          <t>SALDO FINANCIAR</t>
        </is>
      </c>
      <c r="AL644" t="n">
        <v>15</v>
      </c>
      <c r="AM644" t="n">
        <v>217630</v>
      </c>
      <c r="AN644" t="n">
        <v>0</v>
      </c>
      <c r="AO644" t="n">
        <v>0</v>
      </c>
      <c r="AP644" s="39" t="n">
        <v>217630</v>
      </c>
      <c r="AQ644" s="39" t="n">
        <v>0</v>
      </c>
      <c r="AR644" s="39" t="n">
        <v>217630</v>
      </c>
      <c r="AT644" t="inlineStr">
        <is>
          <t>Crédito Directo</t>
        </is>
      </c>
      <c r="AZ644" t="inlineStr">
        <is>
          <t>No</t>
        </is>
      </c>
      <c r="BC644" t="inlineStr">
        <is>
          <t>PENDIENTE</t>
        </is>
      </c>
      <c r="BN644" t="inlineStr">
        <is>
          <t>No</t>
        </is>
      </c>
      <c r="BO644" s="76" t="n">
        <v>46081.43819444445</v>
      </c>
      <c r="BP644" t="inlineStr">
        <is>
          <t>Magaly Guevara Perez</t>
        </is>
      </c>
      <c r="BR644" t="n">
        <v>14</v>
      </c>
      <c r="BW644" t="inlineStr">
        <is>
          <t>Cobranzas_2027.csv</t>
        </is>
      </c>
      <c r="BX644" t="n">
        <v>2027</v>
      </c>
      <c r="BY644" t="inlineStr">
        <is>
          <t>01/01/2024</t>
        </is>
      </c>
      <c r="BZ644" t="inlineStr">
        <is>
          <t>30/06/2031</t>
        </is>
      </c>
    </row>
    <row r="645">
      <c r="A645" t="inlineStr">
        <is>
          <t>RESIDENCIAL BEYOND</t>
        </is>
      </c>
      <c r="B645" t="inlineStr">
        <is>
          <t>Etapa 1</t>
        </is>
      </c>
      <c r="C645" t="inlineStr">
        <is>
          <t>Edificio</t>
        </is>
      </c>
      <c r="D645" t="inlineStr">
        <is>
          <t>A</t>
        </is>
      </c>
      <c r="E645" t="inlineStr">
        <is>
          <t>Departamento</t>
        </is>
      </c>
      <c r="F645" t="inlineStr">
        <is>
          <t>402</t>
        </is>
      </c>
      <c r="G645" s="39" t="n">
        <v>430000</v>
      </c>
      <c r="H645" s="39" t="n">
        <v>400000</v>
      </c>
      <c r="I645" t="inlineStr">
        <is>
          <t>Edificio</t>
        </is>
      </c>
      <c r="J645" t="inlineStr">
        <is>
          <t>A</t>
        </is>
      </c>
      <c r="K645" t="inlineStr">
        <is>
          <t>Estacionamiento</t>
        </is>
      </c>
      <c r="L645" t="inlineStr">
        <is>
          <t>E 44 - D 26</t>
        </is>
      </c>
      <c r="M645" s="39" t="n">
        <v>48500</v>
      </c>
      <c r="N645" s="39" t="n">
        <v>48500</v>
      </c>
      <c r="S645" s="39" t="n"/>
      <c r="T645" s="39" t="n"/>
      <c r="Y645" s="39" t="n"/>
      <c r="Z645" s="39" t="n"/>
      <c r="AA645" t="inlineStr">
        <is>
          <t>Gina Victoria Saenz Pasco</t>
        </is>
      </c>
      <c r="AB645" t="inlineStr">
        <is>
          <t>70436237</t>
        </is>
      </c>
      <c r="AC645" t="inlineStr">
        <is>
          <t>Av. Cordialidad 8079 Urb. La Floresta</t>
        </is>
      </c>
      <c r="AD645" t="n">
        <v>0</v>
      </c>
      <c r="AE645" t="inlineStr">
        <is>
          <t>992686657</t>
        </is>
      </c>
      <c r="AF645" t="inlineStr">
        <is>
          <t>g.saenz22@gmail.com</t>
        </is>
      </c>
      <c r="AG645" t="inlineStr">
        <is>
          <t>LIMA</t>
        </is>
      </c>
      <c r="AH645" t="inlineStr">
        <is>
          <t>LOS OLIVOS</t>
        </is>
      </c>
      <c r="AI645" s="75" t="n">
        <v>46476</v>
      </c>
      <c r="AJ645" s="75" t="n"/>
      <c r="AK645" t="inlineStr">
        <is>
          <t>SALDO FINANCIAR</t>
        </is>
      </c>
      <c r="AL645" t="n">
        <v>2</v>
      </c>
      <c r="AM645" t="n">
        <v>98375</v>
      </c>
      <c r="AN645" t="n">
        <v>0</v>
      </c>
      <c r="AO645" t="n">
        <v>0</v>
      </c>
      <c r="AP645" s="39" t="n">
        <v>98375</v>
      </c>
      <c r="AQ645" s="39" t="n">
        <v>0</v>
      </c>
      <c r="AR645" s="39" t="n">
        <v>98375</v>
      </c>
      <c r="AT645" t="inlineStr">
        <is>
          <t>Ahorro</t>
        </is>
      </c>
      <c r="AZ645" t="inlineStr">
        <is>
          <t>No</t>
        </is>
      </c>
      <c r="BC645" t="inlineStr">
        <is>
          <t>PENDIENTE</t>
        </is>
      </c>
      <c r="BN645" t="inlineStr">
        <is>
          <t>No</t>
        </is>
      </c>
      <c r="BO645" s="76" t="n">
        <v>46111.42430555556</v>
      </c>
      <c r="BP645" t="inlineStr">
        <is>
          <t>Magaly Guevara Perez</t>
        </is>
      </c>
      <c r="BR645" t="n">
        <v>27</v>
      </c>
      <c r="BW645" t="inlineStr">
        <is>
          <t>Cobranzas_2027.csv</t>
        </is>
      </c>
      <c r="BX645" t="n">
        <v>2027</v>
      </c>
      <c r="BY645" t="inlineStr">
        <is>
          <t>01/01/2024</t>
        </is>
      </c>
      <c r="BZ645" t="inlineStr">
        <is>
          <t>30/06/2031</t>
        </is>
      </c>
    </row>
    <row r="646">
      <c r="A646" t="inlineStr">
        <is>
          <t>RESIDENCIAL BEYOND</t>
        </is>
      </c>
      <c r="B646" t="inlineStr">
        <is>
          <t>Etapa 1</t>
        </is>
      </c>
      <c r="C646" t="inlineStr">
        <is>
          <t>Edificio</t>
        </is>
      </c>
      <c r="D646" t="inlineStr">
        <is>
          <t>A</t>
        </is>
      </c>
      <c r="E646" t="inlineStr">
        <is>
          <t>Departamento</t>
        </is>
      </c>
      <c r="F646" t="inlineStr">
        <is>
          <t>402</t>
        </is>
      </c>
      <c r="G646" s="39" t="n">
        <v>430000</v>
      </c>
      <c r="H646" s="39" t="n">
        <v>400000</v>
      </c>
      <c r="I646" t="inlineStr">
        <is>
          <t>Edificio</t>
        </is>
      </c>
      <c r="J646" t="inlineStr">
        <is>
          <t>A</t>
        </is>
      </c>
      <c r="K646" t="inlineStr">
        <is>
          <t>Estacionamiento</t>
        </is>
      </c>
      <c r="L646" t="inlineStr">
        <is>
          <t>E 44 - D 26</t>
        </is>
      </c>
      <c r="M646" s="39" t="n">
        <v>48500</v>
      </c>
      <c r="N646" s="39" t="n">
        <v>48500</v>
      </c>
      <c r="S646" s="39" t="n"/>
      <c r="T646" s="39" t="n"/>
      <c r="Y646" s="39" t="n"/>
      <c r="Z646" s="39" t="n"/>
      <c r="AA646" t="inlineStr">
        <is>
          <t>Gina Victoria Saenz Pasco</t>
        </is>
      </c>
      <c r="AB646" t="inlineStr">
        <is>
          <t>70436237</t>
        </is>
      </c>
      <c r="AC646" t="inlineStr">
        <is>
          <t>Av. Cordialidad 8079 Urb. La Floresta</t>
        </is>
      </c>
      <c r="AD646" t="n">
        <v>0</v>
      </c>
      <c r="AE646" t="inlineStr">
        <is>
          <t>992686657</t>
        </is>
      </c>
      <c r="AF646" t="inlineStr">
        <is>
          <t>g.saenz22@gmail.com</t>
        </is>
      </c>
      <c r="AG646" t="inlineStr">
        <is>
          <t>LIMA</t>
        </is>
      </c>
      <c r="AH646" t="inlineStr">
        <is>
          <t>LOS OLIVOS</t>
        </is>
      </c>
      <c r="AI646" s="75" t="n">
        <v>46568</v>
      </c>
      <c r="AJ646" s="75" t="n"/>
      <c r="AK646" t="inlineStr">
        <is>
          <t>SALDO FINANCIAR</t>
        </is>
      </c>
      <c r="AL646" t="n">
        <v>3</v>
      </c>
      <c r="AM646" t="n">
        <v>98375</v>
      </c>
      <c r="AN646" t="n">
        <v>0</v>
      </c>
      <c r="AO646" t="n">
        <v>0</v>
      </c>
      <c r="AP646" s="39" t="n">
        <v>98375</v>
      </c>
      <c r="AQ646" s="39" t="n">
        <v>0</v>
      </c>
      <c r="AR646" s="39" t="n">
        <v>98375</v>
      </c>
      <c r="AT646" t="inlineStr">
        <is>
          <t>Ahorro</t>
        </is>
      </c>
      <c r="AZ646" t="inlineStr">
        <is>
          <t>No</t>
        </is>
      </c>
      <c r="BC646" t="inlineStr">
        <is>
          <t>PENDIENTE</t>
        </is>
      </c>
      <c r="BN646" t="inlineStr">
        <is>
          <t>No</t>
        </is>
      </c>
      <c r="BO646" s="76" t="n">
        <v>46111.42430555556</v>
      </c>
      <c r="BP646" t="inlineStr">
        <is>
          <t>Magaly Guevara Perez</t>
        </is>
      </c>
      <c r="BR646" t="n">
        <v>27</v>
      </c>
      <c r="BW646" t="inlineStr">
        <is>
          <t>Cobranzas_2027.csv</t>
        </is>
      </c>
      <c r="BX646" t="n">
        <v>2027</v>
      </c>
      <c r="BY646" t="inlineStr">
        <is>
          <t>01/01/2024</t>
        </is>
      </c>
      <c r="BZ646" t="inlineStr">
        <is>
          <t>30/06/2031</t>
        </is>
      </c>
    </row>
    <row r="647">
      <c r="A647" t="inlineStr">
        <is>
          <t>RESIDENCIAL BEYOND</t>
        </is>
      </c>
      <c r="B647" t="inlineStr">
        <is>
          <t>Etapa 1</t>
        </is>
      </c>
      <c r="C647" t="inlineStr">
        <is>
          <t>Edificio</t>
        </is>
      </c>
      <c r="D647" t="inlineStr">
        <is>
          <t>A</t>
        </is>
      </c>
      <c r="E647" t="inlineStr">
        <is>
          <t>Departamento</t>
        </is>
      </c>
      <c r="F647" t="inlineStr">
        <is>
          <t>402</t>
        </is>
      </c>
      <c r="G647" s="39" t="n">
        <v>430000</v>
      </c>
      <c r="H647" s="39" t="n">
        <v>400000</v>
      </c>
      <c r="I647" t="inlineStr">
        <is>
          <t>Edificio</t>
        </is>
      </c>
      <c r="J647" t="inlineStr">
        <is>
          <t>A</t>
        </is>
      </c>
      <c r="K647" t="inlineStr">
        <is>
          <t>Estacionamiento</t>
        </is>
      </c>
      <c r="L647" t="inlineStr">
        <is>
          <t>E 44 - D 26</t>
        </is>
      </c>
      <c r="M647" s="39" t="n">
        <v>48500</v>
      </c>
      <c r="N647" s="39" t="n">
        <v>48500</v>
      </c>
      <c r="S647" s="39" t="n"/>
      <c r="T647" s="39" t="n"/>
      <c r="Y647" s="39" t="n"/>
      <c r="Z647" s="39" t="n"/>
      <c r="AA647" t="inlineStr">
        <is>
          <t>Gina Victoria Saenz Pasco</t>
        </is>
      </c>
      <c r="AB647" t="inlineStr">
        <is>
          <t>70436237</t>
        </is>
      </c>
      <c r="AC647" t="inlineStr">
        <is>
          <t>Av. Cordialidad 8079 Urb. La Floresta</t>
        </is>
      </c>
      <c r="AD647" t="n">
        <v>0</v>
      </c>
      <c r="AE647" t="inlineStr">
        <is>
          <t>992686657</t>
        </is>
      </c>
      <c r="AF647" t="inlineStr">
        <is>
          <t>g.saenz22@gmail.com</t>
        </is>
      </c>
      <c r="AG647" t="inlineStr">
        <is>
          <t>LIMA</t>
        </is>
      </c>
      <c r="AH647" t="inlineStr">
        <is>
          <t>LOS OLIVOS</t>
        </is>
      </c>
      <c r="AI647" s="75" t="n">
        <v>46598</v>
      </c>
      <c r="AJ647" s="75" t="n"/>
      <c r="AK647" t="inlineStr">
        <is>
          <t>SALDO FINANCIAR</t>
        </is>
      </c>
      <c r="AL647" t="n">
        <v>4</v>
      </c>
      <c r="AM647" t="n">
        <v>98375</v>
      </c>
      <c r="AN647" t="n">
        <v>0</v>
      </c>
      <c r="AO647" t="n">
        <v>0</v>
      </c>
      <c r="AP647" s="39" t="n">
        <v>98375</v>
      </c>
      <c r="AQ647" s="39" t="n">
        <v>0</v>
      </c>
      <c r="AR647" s="39" t="n">
        <v>98375</v>
      </c>
      <c r="AT647" t="inlineStr">
        <is>
          <t>Ahorro</t>
        </is>
      </c>
      <c r="AZ647" t="inlineStr">
        <is>
          <t>No</t>
        </is>
      </c>
      <c r="BC647" t="inlineStr">
        <is>
          <t>PENDIENTE</t>
        </is>
      </c>
      <c r="BN647" t="inlineStr">
        <is>
          <t>No</t>
        </is>
      </c>
      <c r="BO647" s="76" t="n">
        <v>46111.42430555556</v>
      </c>
      <c r="BP647" t="inlineStr">
        <is>
          <t>Magaly Guevara Perez</t>
        </is>
      </c>
      <c r="BR647" t="n">
        <v>27</v>
      </c>
      <c r="BW647" t="inlineStr">
        <is>
          <t>Cobranzas_2027.csv</t>
        </is>
      </c>
      <c r="BX647" t="n">
        <v>2027</v>
      </c>
      <c r="BY647" t="inlineStr">
        <is>
          <t>01/01/2024</t>
        </is>
      </c>
      <c r="BZ647" t="inlineStr">
        <is>
          <t>30/06/2031</t>
        </is>
      </c>
    </row>
    <row r="648">
      <c r="A648" t="inlineStr">
        <is>
          <t>RESIDENCIAL BEYOND</t>
        </is>
      </c>
      <c r="B648" t="inlineStr">
        <is>
          <t>Etapa 1</t>
        </is>
      </c>
      <c r="C648" t="inlineStr">
        <is>
          <t>Edificio</t>
        </is>
      </c>
      <c r="D648" t="inlineStr">
        <is>
          <t>A</t>
        </is>
      </c>
      <c r="E648" t="inlineStr">
        <is>
          <t>Departamento</t>
        </is>
      </c>
      <c r="F648" t="inlineStr">
        <is>
          <t>1401</t>
        </is>
      </c>
      <c r="G648" s="39" t="n">
        <v>531100</v>
      </c>
      <c r="H648" s="39" t="n">
        <v>483000</v>
      </c>
      <c r="M648" s="39" t="n"/>
      <c r="N648" s="39" t="n"/>
      <c r="S648" s="39" t="n"/>
      <c r="T648" s="39" t="n"/>
      <c r="Y648" s="39" t="n"/>
      <c r="Z648" s="39" t="n"/>
      <c r="AA648" t="inlineStr">
        <is>
          <t>Jacqueline Elsa Moreno Huaman</t>
        </is>
      </c>
      <c r="AB648" t="inlineStr">
        <is>
          <t>28276212</t>
        </is>
      </c>
      <c r="AC648" t="inlineStr">
        <is>
          <t>Calle Padr Urraca 111 Edifc. 6 - Dpto. 603</t>
        </is>
      </c>
      <c r="AD648" t="n">
        <v>0</v>
      </c>
      <c r="AE648" t="inlineStr">
        <is>
          <t>966689822</t>
        </is>
      </c>
      <c r="AF648" t="inlineStr">
        <is>
          <t>jmoreno.incorp@gmail.com</t>
        </is>
      </c>
      <c r="AG648" t="inlineStr">
        <is>
          <t>LIMA</t>
        </is>
      </c>
      <c r="AH648" t="inlineStr">
        <is>
          <t>SAN MIGUEL</t>
        </is>
      </c>
      <c r="AI648" s="75" t="n">
        <v>46445</v>
      </c>
      <c r="AJ648" s="75" t="n"/>
      <c r="AK648" t="inlineStr">
        <is>
          <t>SALDO FINANCIAR</t>
        </is>
      </c>
      <c r="AL648" t="n">
        <v>1</v>
      </c>
      <c r="AM648" t="n">
        <v>363000</v>
      </c>
      <c r="AN648" t="n">
        <v>0</v>
      </c>
      <c r="AO648" t="n">
        <v>0</v>
      </c>
      <c r="AP648" s="39" t="n">
        <v>363000</v>
      </c>
      <c r="AQ648" s="39" t="n">
        <v>0</v>
      </c>
      <c r="AR648" s="39" t="n">
        <v>363000</v>
      </c>
      <c r="AT648" t="inlineStr">
        <is>
          <t>Crédito Hipotecario</t>
        </is>
      </c>
      <c r="AZ648" t="inlineStr">
        <is>
          <t>No</t>
        </is>
      </c>
      <c r="BC648" t="inlineStr">
        <is>
          <t>PENDIENTE</t>
        </is>
      </c>
      <c r="BN648" t="inlineStr">
        <is>
          <t>No</t>
        </is>
      </c>
      <c r="BO648" s="76" t="n">
        <v>46172.40138888889</v>
      </c>
      <c r="BP648" t="inlineStr">
        <is>
          <t>Carla Michue M</t>
        </is>
      </c>
      <c r="BR648" t="n">
        <v>46</v>
      </c>
      <c r="BW648" t="inlineStr">
        <is>
          <t>Cobranzas_2027.csv</t>
        </is>
      </c>
      <c r="BX648" t="n">
        <v>2027</v>
      </c>
      <c r="BY648" t="inlineStr">
        <is>
          <t>01/01/2024</t>
        </is>
      </c>
      <c r="BZ648" t="inlineStr">
        <is>
          <t>30/06/2031</t>
        </is>
      </c>
    </row>
    <row r="649">
      <c r="A649" t="inlineStr">
        <is>
          <t>RESIDENCIAL BEYOND</t>
        </is>
      </c>
      <c r="B649" t="inlineStr">
        <is>
          <t>Etapa 1</t>
        </is>
      </c>
      <c r="C649" t="inlineStr">
        <is>
          <t>Edificio</t>
        </is>
      </c>
      <c r="D649" t="inlineStr">
        <is>
          <t>A</t>
        </is>
      </c>
      <c r="E649" t="inlineStr">
        <is>
          <t>Departamento</t>
        </is>
      </c>
      <c r="F649" t="inlineStr">
        <is>
          <t>405</t>
        </is>
      </c>
      <c r="G649" s="39" t="n">
        <v>532100</v>
      </c>
      <c r="H649" s="39" t="n">
        <v>501100</v>
      </c>
      <c r="M649" s="39" t="n"/>
      <c r="N649" s="39" t="n"/>
      <c r="S649" s="39" t="n"/>
      <c r="T649" s="39" t="n"/>
      <c r="Y649" s="39" t="n"/>
      <c r="Z649" s="39" t="n"/>
      <c r="AA649" t="inlineStr">
        <is>
          <t>Jiri Ruzicka R</t>
        </is>
      </c>
      <c r="AB649" t="inlineStr">
        <is>
          <t>001831906</t>
        </is>
      </c>
      <c r="AC649" t="inlineStr">
        <is>
          <t xml:space="preserve">Calle Los Mirtos 230 Edificio Live Lima Flats Torre C </t>
        </is>
      </c>
      <c r="AD649" t="n">
        <v>0</v>
      </c>
      <c r="AE649" t="inlineStr">
        <is>
          <t>943541529</t>
        </is>
      </c>
      <c r="AF649" t="inlineStr">
        <is>
          <t>jiriruzicka@web.de</t>
        </is>
      </c>
      <c r="AG649" t="inlineStr">
        <is>
          <t>LIMA</t>
        </is>
      </c>
      <c r="AH649" t="inlineStr">
        <is>
          <t>LINCE</t>
        </is>
      </c>
      <c r="AI649" s="75" t="n">
        <v>46446</v>
      </c>
      <c r="AJ649" s="75" t="n"/>
      <c r="AK649" t="inlineStr">
        <is>
          <t>AHORRO CASA</t>
        </is>
      </c>
      <c r="AL649" t="n">
        <v>2</v>
      </c>
      <c r="AM649" t="n">
        <v>25055</v>
      </c>
      <c r="AN649" t="n">
        <v>0</v>
      </c>
      <c r="AO649" t="n">
        <v>0</v>
      </c>
      <c r="AP649" s="39" t="n">
        <v>25055</v>
      </c>
      <c r="AQ649" s="39" t="n">
        <v>0</v>
      </c>
      <c r="AR649" s="39" t="n">
        <v>25055</v>
      </c>
      <c r="AT649" t="inlineStr">
        <is>
          <t>Ahorro</t>
        </is>
      </c>
      <c r="AZ649" t="inlineStr">
        <is>
          <t>No</t>
        </is>
      </c>
      <c r="BC649" t="inlineStr">
        <is>
          <t>PENDIENTE</t>
        </is>
      </c>
      <c r="BN649" t="inlineStr">
        <is>
          <t>No</t>
        </is>
      </c>
      <c r="BO649" s="76" t="n">
        <v>46164.38958333333</v>
      </c>
      <c r="BP649" t="inlineStr">
        <is>
          <t>Josue andres Perez Chamorro</t>
        </is>
      </c>
      <c r="BR649" t="n">
        <v>8</v>
      </c>
      <c r="BW649" t="inlineStr">
        <is>
          <t>Cobranzas_2027.csv</t>
        </is>
      </c>
      <c r="BX649" t="n">
        <v>2027</v>
      </c>
      <c r="BY649" t="inlineStr">
        <is>
          <t>01/01/2024</t>
        </is>
      </c>
      <c r="BZ649" t="inlineStr">
        <is>
          <t>30/06/2031</t>
        </is>
      </c>
    </row>
    <row r="650">
      <c r="A650" t="inlineStr">
        <is>
          <t>RESIDENCIAL BEYOND</t>
        </is>
      </c>
      <c r="B650" t="inlineStr">
        <is>
          <t>Etapa 1</t>
        </is>
      </c>
      <c r="C650" t="inlineStr">
        <is>
          <t>Edificio</t>
        </is>
      </c>
      <c r="D650" t="inlineStr">
        <is>
          <t>A</t>
        </is>
      </c>
      <c r="E650" t="inlineStr">
        <is>
          <t>Departamento</t>
        </is>
      </c>
      <c r="F650" t="inlineStr">
        <is>
          <t>405</t>
        </is>
      </c>
      <c r="G650" s="39" t="n">
        <v>532100</v>
      </c>
      <c r="H650" s="39" t="n">
        <v>501100</v>
      </c>
      <c r="M650" s="39" t="n"/>
      <c r="N650" s="39" t="n"/>
      <c r="S650" s="39" t="n"/>
      <c r="T650" s="39" t="n"/>
      <c r="Y650" s="39" t="n"/>
      <c r="Z650" s="39" t="n"/>
      <c r="AA650" t="inlineStr">
        <is>
          <t>Jiri Ruzicka R</t>
        </is>
      </c>
      <c r="AB650" t="inlineStr">
        <is>
          <t>001831906</t>
        </is>
      </c>
      <c r="AC650" t="inlineStr">
        <is>
          <t xml:space="preserve">Calle Los Mirtos 230 Edificio Live Lima Flats Torre C </t>
        </is>
      </c>
      <c r="AD650" t="n">
        <v>0</v>
      </c>
      <c r="AE650" t="inlineStr">
        <is>
          <t>943541529</t>
        </is>
      </c>
      <c r="AF650" t="inlineStr">
        <is>
          <t>jiriruzicka@web.de</t>
        </is>
      </c>
      <c r="AG650" t="inlineStr">
        <is>
          <t>LIMA</t>
        </is>
      </c>
      <c r="AH650" t="inlineStr">
        <is>
          <t>LINCE</t>
        </is>
      </c>
      <c r="AI650" s="75" t="n">
        <v>46477</v>
      </c>
      <c r="AJ650" s="75" t="n"/>
      <c r="AK650" t="inlineStr">
        <is>
          <t>SALDO FINANCIAR</t>
        </is>
      </c>
      <c r="AL650" t="n">
        <v>1</v>
      </c>
      <c r="AM650" t="n">
        <v>450990</v>
      </c>
      <c r="AN650" t="n">
        <v>0</v>
      </c>
      <c r="AO650" t="n">
        <v>0</v>
      </c>
      <c r="AP650" s="39" t="n">
        <v>450990</v>
      </c>
      <c r="AQ650" s="39" t="n">
        <v>0</v>
      </c>
      <c r="AR650" s="39" t="n">
        <v>450990</v>
      </c>
      <c r="AT650" t="inlineStr">
        <is>
          <t>Ahorro</t>
        </is>
      </c>
      <c r="AZ650" t="inlineStr">
        <is>
          <t>No</t>
        </is>
      </c>
      <c r="BC650" t="inlineStr">
        <is>
          <t>PENDIENTE</t>
        </is>
      </c>
      <c r="BN650" t="inlineStr">
        <is>
          <t>No</t>
        </is>
      </c>
      <c r="BO650" s="76" t="n">
        <v>46164.38958333333</v>
      </c>
      <c r="BP650" t="inlineStr">
        <is>
          <t>Josue andres Perez Chamorro</t>
        </is>
      </c>
      <c r="BR650" t="n">
        <v>8</v>
      </c>
      <c r="BW650" t="inlineStr">
        <is>
          <t>Cobranzas_2027.csv</t>
        </is>
      </c>
      <c r="BX650" t="n">
        <v>2027</v>
      </c>
      <c r="BY650" t="inlineStr">
        <is>
          <t>01/01/2024</t>
        </is>
      </c>
      <c r="BZ650" t="inlineStr">
        <is>
          <t>30/06/2031</t>
        </is>
      </c>
    </row>
    <row r="651">
      <c r="A651" t="inlineStr">
        <is>
          <t>RESIDENCIAL BEYOND</t>
        </is>
      </c>
      <c r="B651" t="inlineStr">
        <is>
          <t>Etapa 1</t>
        </is>
      </c>
      <c r="C651" t="inlineStr">
        <is>
          <t>Edificio</t>
        </is>
      </c>
      <c r="D651" t="inlineStr">
        <is>
          <t>A</t>
        </is>
      </c>
      <c r="E651" t="inlineStr">
        <is>
          <t>Departamento</t>
        </is>
      </c>
      <c r="F651" t="inlineStr">
        <is>
          <t>803</t>
        </is>
      </c>
      <c r="G651" s="39" t="n">
        <v>510000</v>
      </c>
      <c r="H651" s="39" t="n">
        <v>476700</v>
      </c>
      <c r="I651" t="inlineStr">
        <is>
          <t>Edificio</t>
        </is>
      </c>
      <c r="J651" t="inlineStr">
        <is>
          <t>A</t>
        </is>
      </c>
      <c r="K651" t="inlineStr">
        <is>
          <t>Estacionamiento</t>
        </is>
      </c>
      <c r="L651" t="inlineStr">
        <is>
          <t>E 28 - D 18</t>
        </is>
      </c>
      <c r="M651" s="39" t="n">
        <v>48600</v>
      </c>
      <c r="N651" s="39" t="n">
        <v>48600</v>
      </c>
      <c r="S651" s="39" t="n"/>
      <c r="T651" s="39" t="n"/>
      <c r="Y651" s="39" t="n"/>
      <c r="Z651" s="39" t="n"/>
      <c r="AA651" t="inlineStr">
        <is>
          <t>Jorge Luis Montoya Mendoza</t>
        </is>
      </c>
      <c r="AB651" t="inlineStr">
        <is>
          <t>21458250</t>
        </is>
      </c>
      <c r="AC651" t="inlineStr">
        <is>
          <t>luismm65@hotmail.com</t>
        </is>
      </c>
      <c r="AD651" t="n">
        <v>0</v>
      </c>
      <c r="AE651" t="inlineStr">
        <is>
          <t>962673705</t>
        </is>
      </c>
      <c r="AF651" t="inlineStr">
        <is>
          <t>luismm65@hotmail.com</t>
        </is>
      </c>
      <c r="AG651" t="inlineStr">
        <is>
          <t>LIMA</t>
        </is>
      </c>
      <c r="AH651" t="inlineStr">
        <is>
          <t>PUEBLO LIBRE</t>
        </is>
      </c>
      <c r="AI651" s="75" t="n">
        <v>46568</v>
      </c>
      <c r="AJ651" s="75" t="n"/>
      <c r="AK651" t="inlineStr">
        <is>
          <t>SALDO FINANCIAR</t>
        </is>
      </c>
      <c r="AL651" t="n">
        <v>2</v>
      </c>
      <c r="AM651" t="n">
        <v>262650</v>
      </c>
      <c r="AN651" t="n">
        <v>0</v>
      </c>
      <c r="AO651" t="n">
        <v>0</v>
      </c>
      <c r="AP651" s="39" t="n">
        <v>262650</v>
      </c>
      <c r="AQ651" s="39" t="n">
        <v>0</v>
      </c>
      <c r="AR651" s="39" t="n">
        <v>262650</v>
      </c>
      <c r="AT651" t="inlineStr">
        <is>
          <t>Crédito Directo</t>
        </is>
      </c>
      <c r="AZ651" t="inlineStr">
        <is>
          <t>No</t>
        </is>
      </c>
      <c r="BC651" t="inlineStr">
        <is>
          <t>PENDIENTE</t>
        </is>
      </c>
      <c r="BN651" t="inlineStr">
        <is>
          <t>No</t>
        </is>
      </c>
      <c r="BO651" s="76" t="n">
        <v>46142.41805555556</v>
      </c>
      <c r="BP651" t="inlineStr">
        <is>
          <t>Magaly Guevara Perez</t>
        </is>
      </c>
      <c r="BR651" t="n">
        <v>18</v>
      </c>
      <c r="BW651" t="inlineStr">
        <is>
          <t>Cobranzas_2027.csv</t>
        </is>
      </c>
      <c r="BX651" t="n">
        <v>2027</v>
      </c>
      <c r="BY651" t="inlineStr">
        <is>
          <t>01/01/2024</t>
        </is>
      </c>
      <c r="BZ651" t="inlineStr">
        <is>
          <t>30/06/2031</t>
        </is>
      </c>
    </row>
    <row r="652">
      <c r="A652" t="inlineStr">
        <is>
          <t>RESIDENCIAL VENECIA</t>
        </is>
      </c>
      <c r="B652" t="inlineStr">
        <is>
          <t>Etapa 1</t>
        </is>
      </c>
      <c r="C652" t="inlineStr">
        <is>
          <t>Edificio</t>
        </is>
      </c>
      <c r="D652" t="inlineStr">
        <is>
          <t>A</t>
        </is>
      </c>
      <c r="E652" t="inlineStr">
        <is>
          <t>Estacionamiento</t>
        </is>
      </c>
      <c r="F652" t="inlineStr">
        <is>
          <t>E 10 - D 1</t>
        </is>
      </c>
      <c r="G652" s="39" t="n">
        <v>54000</v>
      </c>
      <c r="H652" s="39" t="n">
        <v>54000</v>
      </c>
      <c r="M652" s="39" t="n"/>
      <c r="N652" s="39" t="n"/>
      <c r="S652" s="39" t="n"/>
      <c r="T652" s="39" t="n"/>
      <c r="Y652" s="39" t="n"/>
      <c r="Z652" s="39" t="n"/>
      <c r="AA652" t="inlineStr">
        <is>
          <t>Jose Edgardo Cespedes Camacho</t>
        </is>
      </c>
      <c r="AB652" t="inlineStr">
        <is>
          <t>16631860</t>
        </is>
      </c>
      <c r="AC652" t="inlineStr">
        <is>
          <t>Jr. Huamachuco 1961Urb.Fundo Oyague</t>
        </is>
      </c>
      <c r="AD652" t="n">
        <v>0</v>
      </c>
      <c r="AE652" t="inlineStr">
        <is>
          <t>985758164</t>
        </is>
      </c>
      <c r="AF652" t="inlineStr">
        <is>
          <t>edgardocc1ro@gmail.com</t>
        </is>
      </c>
      <c r="AG652" t="inlineStr">
        <is>
          <t>LIMA</t>
        </is>
      </c>
      <c r="AH652" t="inlineStr">
        <is>
          <t>JESUS MARIA</t>
        </is>
      </c>
      <c r="AI652" s="75" t="n">
        <v>46417</v>
      </c>
      <c r="AJ652" s="75" t="n"/>
      <c r="AK652" t="inlineStr">
        <is>
          <t>SALDO FINANCIAR</t>
        </is>
      </c>
      <c r="AL652" t="n">
        <v>8</v>
      </c>
      <c r="AM652" t="n">
        <v>3666.67</v>
      </c>
      <c r="AN652" t="n">
        <v>0</v>
      </c>
      <c r="AO652" t="n">
        <v>0</v>
      </c>
      <c r="AP652" s="39" t="n">
        <v>3666.67</v>
      </c>
      <c r="AQ652" s="39" t="n">
        <v>0</v>
      </c>
      <c r="AR652" s="39" t="n">
        <v>3666.67</v>
      </c>
      <c r="AT652" t="inlineStr">
        <is>
          <t>Crédito Directo</t>
        </is>
      </c>
      <c r="AZ652" t="inlineStr">
        <is>
          <t>No</t>
        </is>
      </c>
      <c r="BC652" t="inlineStr">
        <is>
          <t>PENDIENTE</t>
        </is>
      </c>
      <c r="BN652" t="inlineStr">
        <is>
          <t>No</t>
        </is>
      </c>
      <c r="BO652" s="76" t="n">
        <v>46079.41944444444</v>
      </c>
      <c r="BP652" t="inlineStr">
        <is>
          <t>Magaly Guevara Perez</t>
        </is>
      </c>
      <c r="BR652" t="n">
        <v>17</v>
      </c>
      <c r="BW652" t="inlineStr">
        <is>
          <t>Cobranzas_2027.csv</t>
        </is>
      </c>
      <c r="BX652" t="n">
        <v>2027</v>
      </c>
      <c r="BY652" t="inlineStr">
        <is>
          <t>01/01/2024</t>
        </is>
      </c>
      <c r="BZ652" t="inlineStr">
        <is>
          <t>30/06/2031</t>
        </is>
      </c>
    </row>
    <row r="653">
      <c r="A653" t="inlineStr">
        <is>
          <t>RESIDENCIAL VENECIA</t>
        </is>
      </c>
      <c r="B653" t="inlineStr">
        <is>
          <t>Etapa 1</t>
        </is>
      </c>
      <c r="C653" t="inlineStr">
        <is>
          <t>Edificio</t>
        </is>
      </c>
      <c r="D653" t="inlineStr">
        <is>
          <t>A</t>
        </is>
      </c>
      <c r="E653" t="inlineStr">
        <is>
          <t>Estacionamiento</t>
        </is>
      </c>
      <c r="F653" t="inlineStr">
        <is>
          <t>E 10 - D 1</t>
        </is>
      </c>
      <c r="G653" s="39" t="n">
        <v>54000</v>
      </c>
      <c r="H653" s="39" t="n">
        <v>54000</v>
      </c>
      <c r="M653" s="39" t="n"/>
      <c r="N653" s="39" t="n"/>
      <c r="S653" s="39" t="n"/>
      <c r="T653" s="39" t="n"/>
      <c r="Y653" s="39" t="n"/>
      <c r="Z653" s="39" t="n"/>
      <c r="AA653" t="inlineStr">
        <is>
          <t>Jose Edgardo Cespedes Camacho</t>
        </is>
      </c>
      <c r="AB653" t="inlineStr">
        <is>
          <t>16631860</t>
        </is>
      </c>
      <c r="AC653" t="inlineStr">
        <is>
          <t>Jr. Huamachuco 1961Urb.Fundo Oyague</t>
        </is>
      </c>
      <c r="AD653" t="n">
        <v>0</v>
      </c>
      <c r="AE653" t="inlineStr">
        <is>
          <t>985758164</t>
        </is>
      </c>
      <c r="AF653" t="inlineStr">
        <is>
          <t>edgardocc1ro@gmail.com</t>
        </is>
      </c>
      <c r="AG653" t="inlineStr">
        <is>
          <t>LIMA</t>
        </is>
      </c>
      <c r="AH653" t="inlineStr">
        <is>
          <t>JESUS MARIA</t>
        </is>
      </c>
      <c r="AI653" s="75" t="n">
        <v>46446</v>
      </c>
      <c r="AJ653" s="75" t="n"/>
      <c r="AK653" t="inlineStr">
        <is>
          <t>SALDO FINANCIAR</t>
        </is>
      </c>
      <c r="AL653" t="n">
        <v>9</v>
      </c>
      <c r="AM653" t="n">
        <v>3666.67</v>
      </c>
      <c r="AN653" t="n">
        <v>0</v>
      </c>
      <c r="AO653" t="n">
        <v>0</v>
      </c>
      <c r="AP653" s="39" t="n">
        <v>3666.67</v>
      </c>
      <c r="AQ653" s="39" t="n">
        <v>0</v>
      </c>
      <c r="AR653" s="39" t="n">
        <v>3666.67</v>
      </c>
      <c r="AT653" t="inlineStr">
        <is>
          <t>Crédito Directo</t>
        </is>
      </c>
      <c r="AZ653" t="inlineStr">
        <is>
          <t>No</t>
        </is>
      </c>
      <c r="BC653" t="inlineStr">
        <is>
          <t>PENDIENTE</t>
        </is>
      </c>
      <c r="BN653" t="inlineStr">
        <is>
          <t>No</t>
        </is>
      </c>
      <c r="BO653" s="76" t="n">
        <v>46079.41944444444</v>
      </c>
      <c r="BP653" t="inlineStr">
        <is>
          <t>Magaly Guevara Perez</t>
        </is>
      </c>
      <c r="BR653" t="n">
        <v>17</v>
      </c>
      <c r="BW653" t="inlineStr">
        <is>
          <t>Cobranzas_2027.csv</t>
        </is>
      </c>
      <c r="BX653" t="n">
        <v>2027</v>
      </c>
      <c r="BY653" t="inlineStr">
        <is>
          <t>01/01/2024</t>
        </is>
      </c>
      <c r="BZ653" t="inlineStr">
        <is>
          <t>30/06/2031</t>
        </is>
      </c>
    </row>
    <row r="654">
      <c r="A654" t="inlineStr">
        <is>
          <t>RESIDENCIAL VENECIA</t>
        </is>
      </c>
      <c r="B654" t="inlineStr">
        <is>
          <t>Etapa 1</t>
        </is>
      </c>
      <c r="C654" t="inlineStr">
        <is>
          <t>Edificio</t>
        </is>
      </c>
      <c r="D654" t="inlineStr">
        <is>
          <t>A</t>
        </is>
      </c>
      <c r="E654" t="inlineStr">
        <is>
          <t>Estacionamiento</t>
        </is>
      </c>
      <c r="F654" t="inlineStr">
        <is>
          <t>E 10 - D 1</t>
        </is>
      </c>
      <c r="G654" s="39" t="n">
        <v>54000</v>
      </c>
      <c r="H654" s="39" t="n">
        <v>54000</v>
      </c>
      <c r="M654" s="39" t="n"/>
      <c r="N654" s="39" t="n"/>
      <c r="S654" s="39" t="n"/>
      <c r="T654" s="39" t="n"/>
      <c r="Y654" s="39" t="n"/>
      <c r="Z654" s="39" t="n"/>
      <c r="AA654" t="inlineStr">
        <is>
          <t>Jose Edgardo Cespedes Camacho</t>
        </is>
      </c>
      <c r="AB654" t="inlineStr">
        <is>
          <t>16631860</t>
        </is>
      </c>
      <c r="AC654" t="inlineStr">
        <is>
          <t>Jr. Huamachuco 1961Urb.Fundo Oyague</t>
        </is>
      </c>
      <c r="AD654" t="n">
        <v>0</v>
      </c>
      <c r="AE654" t="inlineStr">
        <is>
          <t>985758164</t>
        </is>
      </c>
      <c r="AF654" t="inlineStr">
        <is>
          <t>edgardocc1ro@gmail.com</t>
        </is>
      </c>
      <c r="AG654" t="inlineStr">
        <is>
          <t>LIMA</t>
        </is>
      </c>
      <c r="AH654" t="inlineStr">
        <is>
          <t>JESUS MARIA</t>
        </is>
      </c>
      <c r="AI654" s="75" t="n">
        <v>46476</v>
      </c>
      <c r="AJ654" s="75" t="n"/>
      <c r="AK654" t="inlineStr">
        <is>
          <t>SALDO FINANCIAR</t>
        </is>
      </c>
      <c r="AL654" t="n">
        <v>10</v>
      </c>
      <c r="AM654" t="n">
        <v>3666.67</v>
      </c>
      <c r="AN654" t="n">
        <v>0</v>
      </c>
      <c r="AO654" t="n">
        <v>0</v>
      </c>
      <c r="AP654" s="39" t="n">
        <v>3666.67</v>
      </c>
      <c r="AQ654" s="39" t="n">
        <v>0</v>
      </c>
      <c r="AR654" s="39" t="n">
        <v>3666.67</v>
      </c>
      <c r="AT654" t="inlineStr">
        <is>
          <t>Crédito Directo</t>
        </is>
      </c>
      <c r="AZ654" t="inlineStr">
        <is>
          <t>No</t>
        </is>
      </c>
      <c r="BC654" t="inlineStr">
        <is>
          <t>PENDIENTE</t>
        </is>
      </c>
      <c r="BN654" t="inlineStr">
        <is>
          <t>No</t>
        </is>
      </c>
      <c r="BO654" s="76" t="n">
        <v>46079.41944444444</v>
      </c>
      <c r="BP654" t="inlineStr">
        <is>
          <t>Magaly Guevara Perez</t>
        </is>
      </c>
      <c r="BR654" t="n">
        <v>17</v>
      </c>
      <c r="BW654" t="inlineStr">
        <is>
          <t>Cobranzas_2027.csv</t>
        </is>
      </c>
      <c r="BX654" t="n">
        <v>2027</v>
      </c>
      <c r="BY654" t="inlineStr">
        <is>
          <t>01/01/2024</t>
        </is>
      </c>
      <c r="BZ654" t="inlineStr">
        <is>
          <t>30/06/2031</t>
        </is>
      </c>
    </row>
    <row r="655">
      <c r="A655" t="inlineStr">
        <is>
          <t>RESIDENCIAL VENECIA</t>
        </is>
      </c>
      <c r="B655" t="inlineStr">
        <is>
          <t>Etapa 1</t>
        </is>
      </c>
      <c r="C655" t="inlineStr">
        <is>
          <t>Edificio</t>
        </is>
      </c>
      <c r="D655" t="inlineStr">
        <is>
          <t>A</t>
        </is>
      </c>
      <c r="E655" t="inlineStr">
        <is>
          <t>Estacionamiento</t>
        </is>
      </c>
      <c r="F655" t="inlineStr">
        <is>
          <t>E 10 - D 1</t>
        </is>
      </c>
      <c r="G655" s="39" t="n">
        <v>54000</v>
      </c>
      <c r="H655" s="39" t="n">
        <v>54000</v>
      </c>
      <c r="M655" s="39" t="n"/>
      <c r="N655" s="39" t="n"/>
      <c r="S655" s="39" t="n"/>
      <c r="T655" s="39" t="n"/>
      <c r="Y655" s="39" t="n"/>
      <c r="Z655" s="39" t="n"/>
      <c r="AA655" t="inlineStr">
        <is>
          <t>Jose Edgardo Cespedes Camacho</t>
        </is>
      </c>
      <c r="AB655" t="inlineStr">
        <is>
          <t>16631860</t>
        </is>
      </c>
      <c r="AC655" t="inlineStr">
        <is>
          <t>Jr. Huamachuco 1961Urb.Fundo Oyague</t>
        </is>
      </c>
      <c r="AD655" t="n">
        <v>0</v>
      </c>
      <c r="AE655" t="inlineStr">
        <is>
          <t>985758164</t>
        </is>
      </c>
      <c r="AF655" t="inlineStr">
        <is>
          <t>edgardocc1ro@gmail.com</t>
        </is>
      </c>
      <c r="AG655" t="inlineStr">
        <is>
          <t>LIMA</t>
        </is>
      </c>
      <c r="AH655" t="inlineStr">
        <is>
          <t>JESUS MARIA</t>
        </is>
      </c>
      <c r="AI655" s="75" t="n">
        <v>46507</v>
      </c>
      <c r="AJ655" s="75" t="n"/>
      <c r="AK655" t="inlineStr">
        <is>
          <t>SALDO FINANCIAR</t>
        </is>
      </c>
      <c r="AL655" t="n">
        <v>11</v>
      </c>
      <c r="AM655" t="n">
        <v>3666.67</v>
      </c>
      <c r="AN655" t="n">
        <v>0</v>
      </c>
      <c r="AO655" t="n">
        <v>0</v>
      </c>
      <c r="AP655" s="39" t="n">
        <v>3666.67</v>
      </c>
      <c r="AQ655" s="39" t="n">
        <v>0</v>
      </c>
      <c r="AR655" s="39" t="n">
        <v>3666.67</v>
      </c>
      <c r="AT655" t="inlineStr">
        <is>
          <t>Crédito Directo</t>
        </is>
      </c>
      <c r="AZ655" t="inlineStr">
        <is>
          <t>No</t>
        </is>
      </c>
      <c r="BC655" t="inlineStr">
        <is>
          <t>PENDIENTE</t>
        </is>
      </c>
      <c r="BN655" t="inlineStr">
        <is>
          <t>No</t>
        </is>
      </c>
      <c r="BO655" s="76" t="n">
        <v>46079.41944444444</v>
      </c>
      <c r="BP655" t="inlineStr">
        <is>
          <t>Magaly Guevara Perez</t>
        </is>
      </c>
      <c r="BR655" t="n">
        <v>17</v>
      </c>
      <c r="BW655" t="inlineStr">
        <is>
          <t>Cobranzas_2027.csv</t>
        </is>
      </c>
      <c r="BX655" t="n">
        <v>2027</v>
      </c>
      <c r="BY655" t="inlineStr">
        <is>
          <t>01/01/2024</t>
        </is>
      </c>
      <c r="BZ655" t="inlineStr">
        <is>
          <t>30/06/2031</t>
        </is>
      </c>
    </row>
    <row r="656">
      <c r="A656" t="inlineStr">
        <is>
          <t>RESIDENCIAL VENECIA</t>
        </is>
      </c>
      <c r="B656" t="inlineStr">
        <is>
          <t>Etapa 1</t>
        </is>
      </c>
      <c r="C656" t="inlineStr">
        <is>
          <t>Edificio</t>
        </is>
      </c>
      <c r="D656" t="inlineStr">
        <is>
          <t>A</t>
        </is>
      </c>
      <c r="E656" t="inlineStr">
        <is>
          <t>Estacionamiento</t>
        </is>
      </c>
      <c r="F656" t="inlineStr">
        <is>
          <t>E 10 - D 1</t>
        </is>
      </c>
      <c r="G656" s="39" t="n">
        <v>54000</v>
      </c>
      <c r="H656" s="39" t="n">
        <v>54000</v>
      </c>
      <c r="M656" s="39" t="n"/>
      <c r="N656" s="39" t="n"/>
      <c r="S656" s="39" t="n"/>
      <c r="T656" s="39" t="n"/>
      <c r="Y656" s="39" t="n"/>
      <c r="Z656" s="39" t="n"/>
      <c r="AA656" t="inlineStr">
        <is>
          <t>Jose Edgardo Cespedes Camacho</t>
        </is>
      </c>
      <c r="AB656" t="inlineStr">
        <is>
          <t>16631860</t>
        </is>
      </c>
      <c r="AC656" t="inlineStr">
        <is>
          <t>Jr. Huamachuco 1961Urb.Fundo Oyague</t>
        </is>
      </c>
      <c r="AD656" t="n">
        <v>0</v>
      </c>
      <c r="AE656" t="inlineStr">
        <is>
          <t>985758164</t>
        </is>
      </c>
      <c r="AF656" t="inlineStr">
        <is>
          <t>edgardocc1ro@gmail.com</t>
        </is>
      </c>
      <c r="AG656" t="inlineStr">
        <is>
          <t>LIMA</t>
        </is>
      </c>
      <c r="AH656" t="inlineStr">
        <is>
          <t>JESUS MARIA</t>
        </is>
      </c>
      <c r="AI656" s="75" t="n">
        <v>46537</v>
      </c>
      <c r="AJ656" s="75" t="n"/>
      <c r="AK656" t="inlineStr">
        <is>
          <t>SALDO FINANCIAR</t>
        </is>
      </c>
      <c r="AL656" t="n">
        <v>12</v>
      </c>
      <c r="AM656" t="n">
        <v>3666.63</v>
      </c>
      <c r="AN656" t="n">
        <v>0</v>
      </c>
      <c r="AO656" t="n">
        <v>0</v>
      </c>
      <c r="AP656" s="39" t="n">
        <v>3666.63</v>
      </c>
      <c r="AQ656" s="39" t="n">
        <v>0</v>
      </c>
      <c r="AR656" s="39" t="n">
        <v>3666.63</v>
      </c>
      <c r="AT656" t="inlineStr">
        <is>
          <t>Crédito Directo</t>
        </is>
      </c>
      <c r="AZ656" t="inlineStr">
        <is>
          <t>No</t>
        </is>
      </c>
      <c r="BC656" t="inlineStr">
        <is>
          <t>PENDIENTE</t>
        </is>
      </c>
      <c r="BN656" t="inlineStr">
        <is>
          <t>No</t>
        </is>
      </c>
      <c r="BO656" s="76" t="n">
        <v>46079.41944444444</v>
      </c>
      <c r="BP656" t="inlineStr">
        <is>
          <t>Magaly Guevara Perez</t>
        </is>
      </c>
      <c r="BR656" t="n">
        <v>17</v>
      </c>
      <c r="BW656" t="inlineStr">
        <is>
          <t>Cobranzas_2027.csv</t>
        </is>
      </c>
      <c r="BX656" t="n">
        <v>2027</v>
      </c>
      <c r="BY656" t="inlineStr">
        <is>
          <t>01/01/2024</t>
        </is>
      </c>
      <c r="BZ656" t="inlineStr">
        <is>
          <t>30/06/2031</t>
        </is>
      </c>
    </row>
    <row r="657">
      <c r="A657" t="inlineStr">
        <is>
          <t>RESIDENCIAL BEYOND</t>
        </is>
      </c>
      <c r="B657" t="inlineStr">
        <is>
          <t>Etapa 1</t>
        </is>
      </c>
      <c r="C657" t="inlineStr">
        <is>
          <t>Edificio</t>
        </is>
      </c>
      <c r="D657" t="inlineStr">
        <is>
          <t>A</t>
        </is>
      </c>
      <c r="E657" t="inlineStr">
        <is>
          <t>Departamento</t>
        </is>
      </c>
      <c r="F657" t="inlineStr">
        <is>
          <t>201</t>
        </is>
      </c>
      <c r="G657" s="39" t="n">
        <v>518500</v>
      </c>
      <c r="H657" s="39" t="n">
        <v>469500</v>
      </c>
      <c r="I657" t="inlineStr">
        <is>
          <t>Edificio</t>
        </is>
      </c>
      <c r="J657" t="inlineStr">
        <is>
          <t>A</t>
        </is>
      </c>
      <c r="K657" t="inlineStr">
        <is>
          <t>Estacionamiento</t>
        </is>
      </c>
      <c r="L657" t="inlineStr">
        <is>
          <t>E 16</t>
        </is>
      </c>
      <c r="M657" s="39" t="n">
        <v>50400</v>
      </c>
      <c r="N657" s="39" t="n">
        <v>50400</v>
      </c>
      <c r="S657" s="39" t="n"/>
      <c r="T657" s="39" t="n"/>
      <c r="Y657" s="39" t="n"/>
      <c r="Z657" s="39" t="n"/>
      <c r="AA657" t="inlineStr">
        <is>
          <t>Marco Antonio Cordova Oropeza</t>
        </is>
      </c>
      <c r="AB657" t="inlineStr">
        <is>
          <t>22079563</t>
        </is>
      </c>
      <c r="AC657" t="inlineStr">
        <is>
          <t>Av.Cayetano Heredia 435 Int.1 Urb Fundo Oyague</t>
        </is>
      </c>
      <c r="AD657" t="n">
        <v>0</v>
      </c>
      <c r="AE657" t="inlineStr">
        <is>
          <t>1513-257-6062</t>
        </is>
      </c>
      <c r="AF657" t="inlineStr">
        <is>
          <t>maancoor@gmail.com</t>
        </is>
      </c>
      <c r="AG657" t="inlineStr">
        <is>
          <t>LIMA</t>
        </is>
      </c>
      <c r="AH657" t="inlineStr">
        <is>
          <t>JESUS MARIA</t>
        </is>
      </c>
      <c r="AI657" s="75" t="n">
        <v>46415</v>
      </c>
      <c r="AJ657" s="75" t="n"/>
      <c r="AK657" t="inlineStr">
        <is>
          <t>SALDO FINANCIAR</t>
        </is>
      </c>
      <c r="AL657" t="n">
        <v>7</v>
      </c>
      <c r="AM657" t="n">
        <v>37270.91</v>
      </c>
      <c r="AN657" t="n">
        <v>0</v>
      </c>
      <c r="AO657" t="n">
        <v>0</v>
      </c>
      <c r="AP657" s="39" t="n">
        <v>37270.91</v>
      </c>
      <c r="AQ657" s="39" t="n">
        <v>0</v>
      </c>
      <c r="AR657" s="39" t="n">
        <v>37270.91</v>
      </c>
      <c r="AT657" t="inlineStr">
        <is>
          <t>Crédito Directo</t>
        </is>
      </c>
      <c r="AZ657" t="inlineStr">
        <is>
          <t>No</t>
        </is>
      </c>
      <c r="BC657" t="inlineStr">
        <is>
          <t>PENDIENTE</t>
        </is>
      </c>
      <c r="BN657" t="inlineStr">
        <is>
          <t>No</t>
        </is>
      </c>
      <c r="BO657" s="76" t="n">
        <v>45986.54513888889</v>
      </c>
      <c r="BP657" t="inlineStr">
        <is>
          <t>Magaly Guevara Perez</t>
        </is>
      </c>
      <c r="BR657" t="n">
        <v>1</v>
      </c>
      <c r="BW657" t="inlineStr">
        <is>
          <t>Cobranzas_2027.csv</t>
        </is>
      </c>
      <c r="BX657" t="n">
        <v>2027</v>
      </c>
      <c r="BY657" t="inlineStr">
        <is>
          <t>01/01/2024</t>
        </is>
      </c>
      <c r="BZ657" t="inlineStr">
        <is>
          <t>30/06/2031</t>
        </is>
      </c>
    </row>
    <row r="658">
      <c r="A658" t="inlineStr">
        <is>
          <t>RESIDENCIAL BEYOND</t>
        </is>
      </c>
      <c r="B658" t="inlineStr">
        <is>
          <t>Etapa 1</t>
        </is>
      </c>
      <c r="C658" t="inlineStr">
        <is>
          <t>Edificio</t>
        </is>
      </c>
      <c r="D658" t="inlineStr">
        <is>
          <t>A</t>
        </is>
      </c>
      <c r="E658" t="inlineStr">
        <is>
          <t>Departamento</t>
        </is>
      </c>
      <c r="F658" t="inlineStr">
        <is>
          <t>201</t>
        </is>
      </c>
      <c r="G658" s="39" t="n">
        <v>518500</v>
      </c>
      <c r="H658" s="39" t="n">
        <v>469500</v>
      </c>
      <c r="I658" t="inlineStr">
        <is>
          <t>Edificio</t>
        </is>
      </c>
      <c r="J658" t="inlineStr">
        <is>
          <t>A</t>
        </is>
      </c>
      <c r="K658" t="inlineStr">
        <is>
          <t>Estacionamiento</t>
        </is>
      </c>
      <c r="L658" t="inlineStr">
        <is>
          <t>E 16</t>
        </is>
      </c>
      <c r="M658" s="39" t="n">
        <v>50400</v>
      </c>
      <c r="N658" s="39" t="n">
        <v>50400</v>
      </c>
      <c r="S658" s="39" t="n"/>
      <c r="T658" s="39" t="n"/>
      <c r="Y658" s="39" t="n"/>
      <c r="Z658" s="39" t="n"/>
      <c r="AA658" t="inlineStr">
        <is>
          <t>Marco Antonio Cordova Oropeza</t>
        </is>
      </c>
      <c r="AB658" t="inlineStr">
        <is>
          <t>22079563</t>
        </is>
      </c>
      <c r="AC658" t="inlineStr">
        <is>
          <t>Av.Cayetano Heredia 435 Int.1 Urb Fundo Oyague</t>
        </is>
      </c>
      <c r="AD658" t="n">
        <v>0</v>
      </c>
      <c r="AE658" t="inlineStr">
        <is>
          <t>1513-257-6062</t>
        </is>
      </c>
      <c r="AF658" t="inlineStr">
        <is>
          <t>maancoor@gmail.com</t>
        </is>
      </c>
      <c r="AG658" t="inlineStr">
        <is>
          <t>LIMA</t>
        </is>
      </c>
      <c r="AH658" t="inlineStr">
        <is>
          <t>JESUS MARIA</t>
        </is>
      </c>
      <c r="AI658" s="75" t="n">
        <v>46446</v>
      </c>
      <c r="AJ658" s="75" t="n"/>
      <c r="AK658" t="inlineStr">
        <is>
          <t>SALDO FINANCIAR</t>
        </is>
      </c>
      <c r="AL658" t="n">
        <v>8</v>
      </c>
      <c r="AM658" t="n">
        <v>37270.91</v>
      </c>
      <c r="AN658" t="n">
        <v>0</v>
      </c>
      <c r="AO658" t="n">
        <v>0</v>
      </c>
      <c r="AP658" s="39" t="n">
        <v>37270.91</v>
      </c>
      <c r="AQ658" s="39" t="n">
        <v>0</v>
      </c>
      <c r="AR658" s="39" t="n">
        <v>37270.91</v>
      </c>
      <c r="AT658" t="inlineStr">
        <is>
          <t>Crédito Directo</t>
        </is>
      </c>
      <c r="AZ658" t="inlineStr">
        <is>
          <t>No</t>
        </is>
      </c>
      <c r="BC658" t="inlineStr">
        <is>
          <t>PENDIENTE</t>
        </is>
      </c>
      <c r="BN658" t="inlineStr">
        <is>
          <t>No</t>
        </is>
      </c>
      <c r="BO658" s="76" t="n">
        <v>45986.54513888889</v>
      </c>
      <c r="BP658" t="inlineStr">
        <is>
          <t>Magaly Guevara Perez</t>
        </is>
      </c>
      <c r="BR658" t="n">
        <v>1</v>
      </c>
      <c r="BW658" t="inlineStr">
        <is>
          <t>Cobranzas_2027.csv</t>
        </is>
      </c>
      <c r="BX658" t="n">
        <v>2027</v>
      </c>
      <c r="BY658" t="inlineStr">
        <is>
          <t>01/01/2024</t>
        </is>
      </c>
      <c r="BZ658" t="inlineStr">
        <is>
          <t>30/06/2031</t>
        </is>
      </c>
    </row>
    <row r="659">
      <c r="A659" t="inlineStr">
        <is>
          <t>RESIDENCIAL BEYOND</t>
        </is>
      </c>
      <c r="B659" t="inlineStr">
        <is>
          <t>Etapa 1</t>
        </is>
      </c>
      <c r="C659" t="inlineStr">
        <is>
          <t>Edificio</t>
        </is>
      </c>
      <c r="D659" t="inlineStr">
        <is>
          <t>A</t>
        </is>
      </c>
      <c r="E659" t="inlineStr">
        <is>
          <t>Departamento</t>
        </is>
      </c>
      <c r="F659" t="inlineStr">
        <is>
          <t>201</t>
        </is>
      </c>
      <c r="G659" s="39" t="n">
        <v>518500</v>
      </c>
      <c r="H659" s="39" t="n">
        <v>469500</v>
      </c>
      <c r="I659" t="inlineStr">
        <is>
          <t>Edificio</t>
        </is>
      </c>
      <c r="J659" t="inlineStr">
        <is>
          <t>A</t>
        </is>
      </c>
      <c r="K659" t="inlineStr">
        <is>
          <t>Estacionamiento</t>
        </is>
      </c>
      <c r="L659" t="inlineStr">
        <is>
          <t>E 16</t>
        </is>
      </c>
      <c r="M659" s="39" t="n">
        <v>50400</v>
      </c>
      <c r="N659" s="39" t="n">
        <v>50400</v>
      </c>
      <c r="S659" s="39" t="n"/>
      <c r="T659" s="39" t="n"/>
      <c r="Y659" s="39" t="n"/>
      <c r="Z659" s="39" t="n"/>
      <c r="AA659" t="inlineStr">
        <is>
          <t>Marco Antonio Cordova Oropeza</t>
        </is>
      </c>
      <c r="AB659" t="inlineStr">
        <is>
          <t>22079563</t>
        </is>
      </c>
      <c r="AC659" t="inlineStr">
        <is>
          <t>Av.Cayetano Heredia 435 Int.1 Urb Fundo Oyague</t>
        </is>
      </c>
      <c r="AD659" t="n">
        <v>0</v>
      </c>
      <c r="AE659" t="inlineStr">
        <is>
          <t>1513-257-6062</t>
        </is>
      </c>
      <c r="AF659" t="inlineStr">
        <is>
          <t>maancoor@gmail.com</t>
        </is>
      </c>
      <c r="AG659" t="inlineStr">
        <is>
          <t>LIMA</t>
        </is>
      </c>
      <c r="AH659" t="inlineStr">
        <is>
          <t>JESUS MARIA</t>
        </is>
      </c>
      <c r="AI659" s="75" t="n">
        <v>46474</v>
      </c>
      <c r="AJ659" s="75" t="n"/>
      <c r="AK659" t="inlineStr">
        <is>
          <t>SALDO FINANCIAR</t>
        </is>
      </c>
      <c r="AL659" t="n">
        <v>9</v>
      </c>
      <c r="AM659" t="n">
        <v>37270.91</v>
      </c>
      <c r="AN659" t="n">
        <v>0</v>
      </c>
      <c r="AO659" t="n">
        <v>0</v>
      </c>
      <c r="AP659" s="39" t="n">
        <v>37270.91</v>
      </c>
      <c r="AQ659" s="39" t="n">
        <v>0</v>
      </c>
      <c r="AR659" s="39" t="n">
        <v>37270.91</v>
      </c>
      <c r="AT659" t="inlineStr">
        <is>
          <t>Crédito Directo</t>
        </is>
      </c>
      <c r="AZ659" t="inlineStr">
        <is>
          <t>No</t>
        </is>
      </c>
      <c r="BC659" t="inlineStr">
        <is>
          <t>PENDIENTE</t>
        </is>
      </c>
      <c r="BN659" t="inlineStr">
        <is>
          <t>No</t>
        </is>
      </c>
      <c r="BO659" s="76" t="n">
        <v>45986.54513888889</v>
      </c>
      <c r="BP659" t="inlineStr">
        <is>
          <t>Magaly Guevara Perez</t>
        </is>
      </c>
      <c r="BR659" t="n">
        <v>1</v>
      </c>
      <c r="BW659" t="inlineStr">
        <is>
          <t>Cobranzas_2027.csv</t>
        </is>
      </c>
      <c r="BX659" t="n">
        <v>2027</v>
      </c>
      <c r="BY659" t="inlineStr">
        <is>
          <t>01/01/2024</t>
        </is>
      </c>
      <c r="BZ659" t="inlineStr">
        <is>
          <t>30/06/2031</t>
        </is>
      </c>
    </row>
    <row r="660">
      <c r="A660" t="inlineStr">
        <is>
          <t>RESIDENCIAL BEYOND</t>
        </is>
      </c>
      <c r="B660" t="inlineStr">
        <is>
          <t>Etapa 1</t>
        </is>
      </c>
      <c r="C660" t="inlineStr">
        <is>
          <t>Edificio</t>
        </is>
      </c>
      <c r="D660" t="inlineStr">
        <is>
          <t>A</t>
        </is>
      </c>
      <c r="E660" t="inlineStr">
        <is>
          <t>Departamento</t>
        </is>
      </c>
      <c r="F660" t="inlineStr">
        <is>
          <t>201</t>
        </is>
      </c>
      <c r="G660" s="39" t="n">
        <v>518500</v>
      </c>
      <c r="H660" s="39" t="n">
        <v>469500</v>
      </c>
      <c r="I660" t="inlineStr">
        <is>
          <t>Edificio</t>
        </is>
      </c>
      <c r="J660" t="inlineStr">
        <is>
          <t>A</t>
        </is>
      </c>
      <c r="K660" t="inlineStr">
        <is>
          <t>Estacionamiento</t>
        </is>
      </c>
      <c r="L660" t="inlineStr">
        <is>
          <t>E 16</t>
        </is>
      </c>
      <c r="M660" s="39" t="n">
        <v>50400</v>
      </c>
      <c r="N660" s="39" t="n">
        <v>50400</v>
      </c>
      <c r="S660" s="39" t="n"/>
      <c r="T660" s="39" t="n"/>
      <c r="Y660" s="39" t="n"/>
      <c r="Z660" s="39" t="n"/>
      <c r="AA660" t="inlineStr">
        <is>
          <t>Marco Antonio Cordova Oropeza</t>
        </is>
      </c>
      <c r="AB660" t="inlineStr">
        <is>
          <t>22079563</t>
        </is>
      </c>
      <c r="AC660" t="inlineStr">
        <is>
          <t>Av.Cayetano Heredia 435 Int.1 Urb Fundo Oyague</t>
        </is>
      </c>
      <c r="AD660" t="n">
        <v>0</v>
      </c>
      <c r="AE660" t="inlineStr">
        <is>
          <t>1513-257-6062</t>
        </is>
      </c>
      <c r="AF660" t="inlineStr">
        <is>
          <t>maancoor@gmail.com</t>
        </is>
      </c>
      <c r="AG660" t="inlineStr">
        <is>
          <t>LIMA</t>
        </is>
      </c>
      <c r="AH660" t="inlineStr">
        <is>
          <t>JESUS MARIA</t>
        </is>
      </c>
      <c r="AI660" s="75" t="n">
        <v>46505</v>
      </c>
      <c r="AJ660" s="75" t="n"/>
      <c r="AK660" t="inlineStr">
        <is>
          <t>SALDO FINANCIAR</t>
        </is>
      </c>
      <c r="AL660" t="n">
        <v>10</v>
      </c>
      <c r="AM660" t="n">
        <v>37270.91</v>
      </c>
      <c r="AN660" t="n">
        <v>0</v>
      </c>
      <c r="AO660" t="n">
        <v>0</v>
      </c>
      <c r="AP660" s="39" t="n">
        <v>37270.91</v>
      </c>
      <c r="AQ660" s="39" t="n">
        <v>0</v>
      </c>
      <c r="AR660" s="39" t="n">
        <v>37270.91</v>
      </c>
      <c r="AT660" t="inlineStr">
        <is>
          <t>Crédito Directo</t>
        </is>
      </c>
      <c r="AZ660" t="inlineStr">
        <is>
          <t>No</t>
        </is>
      </c>
      <c r="BC660" t="inlineStr">
        <is>
          <t>PENDIENTE</t>
        </is>
      </c>
      <c r="BN660" t="inlineStr">
        <is>
          <t>No</t>
        </is>
      </c>
      <c r="BO660" s="76" t="n">
        <v>45986.54513888889</v>
      </c>
      <c r="BP660" t="inlineStr">
        <is>
          <t>Magaly Guevara Perez</t>
        </is>
      </c>
      <c r="BR660" t="n">
        <v>1</v>
      </c>
      <c r="BW660" t="inlineStr">
        <is>
          <t>Cobranzas_2027.csv</t>
        </is>
      </c>
      <c r="BX660" t="n">
        <v>2027</v>
      </c>
      <c r="BY660" t="inlineStr">
        <is>
          <t>01/01/2024</t>
        </is>
      </c>
      <c r="BZ660" t="inlineStr">
        <is>
          <t>30/06/2031</t>
        </is>
      </c>
    </row>
    <row r="661">
      <c r="A661" t="inlineStr">
        <is>
          <t>RESIDENCIAL BEYOND</t>
        </is>
      </c>
      <c r="B661" t="inlineStr">
        <is>
          <t>Etapa 1</t>
        </is>
      </c>
      <c r="C661" t="inlineStr">
        <is>
          <t>Edificio</t>
        </is>
      </c>
      <c r="D661" t="inlineStr">
        <is>
          <t>A</t>
        </is>
      </c>
      <c r="E661" t="inlineStr">
        <is>
          <t>Departamento</t>
        </is>
      </c>
      <c r="F661" t="inlineStr">
        <is>
          <t>201</t>
        </is>
      </c>
      <c r="G661" s="39" t="n">
        <v>518500</v>
      </c>
      <c r="H661" s="39" t="n">
        <v>469500</v>
      </c>
      <c r="I661" t="inlineStr">
        <is>
          <t>Edificio</t>
        </is>
      </c>
      <c r="J661" t="inlineStr">
        <is>
          <t>A</t>
        </is>
      </c>
      <c r="K661" t="inlineStr">
        <is>
          <t>Estacionamiento</t>
        </is>
      </c>
      <c r="L661" t="inlineStr">
        <is>
          <t>E 16</t>
        </is>
      </c>
      <c r="M661" s="39" t="n">
        <v>50400</v>
      </c>
      <c r="N661" s="39" t="n">
        <v>50400</v>
      </c>
      <c r="S661" s="39" t="n"/>
      <c r="T661" s="39" t="n"/>
      <c r="Y661" s="39" t="n"/>
      <c r="Z661" s="39" t="n"/>
      <c r="AA661" t="inlineStr">
        <is>
          <t>Marco Antonio Cordova Oropeza</t>
        </is>
      </c>
      <c r="AB661" t="inlineStr">
        <is>
          <t>22079563</t>
        </is>
      </c>
      <c r="AC661" t="inlineStr">
        <is>
          <t>Av.Cayetano Heredia 435 Int.1 Urb Fundo Oyague</t>
        </is>
      </c>
      <c r="AD661" t="n">
        <v>0</v>
      </c>
      <c r="AE661" t="inlineStr">
        <is>
          <t>1513-257-6062</t>
        </is>
      </c>
      <c r="AF661" t="inlineStr">
        <is>
          <t>maancoor@gmail.com</t>
        </is>
      </c>
      <c r="AG661" t="inlineStr">
        <is>
          <t>LIMA</t>
        </is>
      </c>
      <c r="AH661" t="inlineStr">
        <is>
          <t>JESUS MARIA</t>
        </is>
      </c>
      <c r="AI661" s="75" t="n">
        <v>46535</v>
      </c>
      <c r="AJ661" s="75" t="n"/>
      <c r="AK661" t="inlineStr">
        <is>
          <t>SALDO FINANCIAR</t>
        </is>
      </c>
      <c r="AL661" t="n">
        <v>11</v>
      </c>
      <c r="AM661" t="n">
        <v>37270.9</v>
      </c>
      <c r="AN661" t="n">
        <v>0</v>
      </c>
      <c r="AO661" t="n">
        <v>0</v>
      </c>
      <c r="AP661" s="39" t="n">
        <v>37270.9</v>
      </c>
      <c r="AQ661" s="39" t="n">
        <v>0</v>
      </c>
      <c r="AR661" s="39" t="n">
        <v>37270.9</v>
      </c>
      <c r="AT661" t="inlineStr">
        <is>
          <t>Crédito Directo</t>
        </is>
      </c>
      <c r="AZ661" t="inlineStr">
        <is>
          <t>No</t>
        </is>
      </c>
      <c r="BC661" t="inlineStr">
        <is>
          <t>PENDIENTE</t>
        </is>
      </c>
      <c r="BN661" t="inlineStr">
        <is>
          <t>No</t>
        </is>
      </c>
      <c r="BO661" s="76" t="n">
        <v>45986.54513888889</v>
      </c>
      <c r="BP661" t="inlineStr">
        <is>
          <t>Magaly Guevara Perez</t>
        </is>
      </c>
      <c r="BR661" t="n">
        <v>1</v>
      </c>
      <c r="BW661" t="inlineStr">
        <is>
          <t>Cobranzas_2027.csv</t>
        </is>
      </c>
      <c r="BX661" t="n">
        <v>2027</v>
      </c>
      <c r="BY661" t="inlineStr">
        <is>
          <t>01/01/2024</t>
        </is>
      </c>
      <c r="BZ661" t="inlineStr">
        <is>
          <t>30/06/2031</t>
        </is>
      </c>
    </row>
    <row r="662">
      <c r="A662" t="inlineStr">
        <is>
          <t>RESIDENCIAL BEYOND</t>
        </is>
      </c>
      <c r="B662" t="inlineStr">
        <is>
          <t>Etapa 1</t>
        </is>
      </c>
      <c r="C662" t="inlineStr">
        <is>
          <t>Edificio</t>
        </is>
      </c>
      <c r="D662" t="inlineStr">
        <is>
          <t>A</t>
        </is>
      </c>
      <c r="E662" t="inlineStr">
        <is>
          <t>Departamento</t>
        </is>
      </c>
      <c r="F662" t="inlineStr">
        <is>
          <t>902</t>
        </is>
      </c>
      <c r="G662" s="39" t="n">
        <v>469000</v>
      </c>
      <c r="H662" s="39" t="n">
        <v>429000</v>
      </c>
      <c r="M662" s="39" t="n"/>
      <c r="N662" s="39" t="n"/>
      <c r="S662" s="39" t="n"/>
      <c r="T662" s="39" t="n"/>
      <c r="Y662" s="39" t="n"/>
      <c r="Z662" s="39" t="n"/>
      <c r="AA662" t="inlineStr">
        <is>
          <t>Medaly Mendoza .</t>
        </is>
      </c>
      <c r="AB662" t="inlineStr">
        <is>
          <t>75197073</t>
        </is>
      </c>
      <c r="AC662" t="inlineStr">
        <is>
          <t>.</t>
        </is>
      </c>
      <c r="AD662" t="n">
        <v>0</v>
      </c>
      <c r="AE662" t="inlineStr">
        <is>
          <t>979218897</t>
        </is>
      </c>
      <c r="AF662" t="inlineStr">
        <is>
          <t>medalymendoza223@gmail.com</t>
        </is>
      </c>
      <c r="AG662" t="inlineStr">
        <is>
          <t>LIMA</t>
        </is>
      </c>
      <c r="AH662" t="inlineStr">
        <is>
          <t>JESUS MARIA</t>
        </is>
      </c>
      <c r="AI662" s="75" t="n">
        <v>46417</v>
      </c>
      <c r="AJ662" s="75" t="n"/>
      <c r="AK662" t="inlineStr">
        <is>
          <t>SALDO FINANCIAR</t>
        </is>
      </c>
      <c r="AL662" t="n">
        <v>1</v>
      </c>
      <c r="AM662" t="n">
        <v>386100</v>
      </c>
      <c r="AN662" t="n">
        <v>0</v>
      </c>
      <c r="AO662" t="n">
        <v>0</v>
      </c>
      <c r="AP662" s="39" t="n">
        <v>386100</v>
      </c>
      <c r="AQ662" s="39" t="n">
        <v>0</v>
      </c>
      <c r="AR662" s="39" t="n">
        <v>386100</v>
      </c>
      <c r="AT662" t="inlineStr">
        <is>
          <t>Ahorro</t>
        </is>
      </c>
      <c r="AZ662" t="inlineStr">
        <is>
          <t>No</t>
        </is>
      </c>
      <c r="BC662" t="inlineStr">
        <is>
          <t>PENDIENTE</t>
        </is>
      </c>
      <c r="BN662" t="inlineStr">
        <is>
          <t>No</t>
        </is>
      </c>
      <c r="BO662" s="76" t="n">
        <v>46191.39652777778</v>
      </c>
      <c r="BP662" t="inlineStr">
        <is>
          <t>Kenny Salazar S</t>
        </is>
      </c>
      <c r="BR662" t="n">
        <v>45</v>
      </c>
      <c r="BW662" t="inlineStr">
        <is>
          <t>Cobranzas_2027.csv</t>
        </is>
      </c>
      <c r="BX662" t="n">
        <v>2027</v>
      </c>
      <c r="BY662" t="inlineStr">
        <is>
          <t>01/01/2024</t>
        </is>
      </c>
      <c r="BZ662" t="inlineStr">
        <is>
          <t>30/06/2031</t>
        </is>
      </c>
    </row>
    <row r="663">
      <c r="A663" t="inlineStr">
        <is>
          <t>RESIDENCIAL BEYOND</t>
        </is>
      </c>
      <c r="B663" t="inlineStr">
        <is>
          <t>Etapa 1</t>
        </is>
      </c>
      <c r="C663" t="inlineStr">
        <is>
          <t>Edificio</t>
        </is>
      </c>
      <c r="D663" t="inlineStr">
        <is>
          <t>A</t>
        </is>
      </c>
      <c r="E663" t="inlineStr">
        <is>
          <t>Departamento</t>
        </is>
      </c>
      <c r="F663" t="inlineStr">
        <is>
          <t>1502</t>
        </is>
      </c>
      <c r="G663" s="39" t="n">
        <v>430000</v>
      </c>
      <c r="H663" s="39" t="n">
        <v>369000</v>
      </c>
      <c r="I663" t="inlineStr">
        <is>
          <t>Edificio</t>
        </is>
      </c>
      <c r="J663" t="inlineStr">
        <is>
          <t>A</t>
        </is>
      </c>
      <c r="K663" t="inlineStr">
        <is>
          <t>Estacionamiento</t>
        </is>
      </c>
      <c r="L663" t="inlineStr">
        <is>
          <t>E 39</t>
        </is>
      </c>
      <c r="M663" s="39" t="n">
        <v>43200</v>
      </c>
      <c r="N663" s="39" t="n">
        <v>43200</v>
      </c>
      <c r="S663" s="39" t="n"/>
      <c r="T663" s="39" t="n"/>
      <c r="Y663" s="39" t="n"/>
      <c r="Z663" s="39" t="n"/>
      <c r="AA663" t="inlineStr">
        <is>
          <t>Melanny Dayanna Flores Blas</t>
        </is>
      </c>
      <c r="AB663" t="inlineStr">
        <is>
          <t>75334346</t>
        </is>
      </c>
      <c r="AC663" t="inlineStr">
        <is>
          <t xml:space="preserve">Av. Los Alisos Urb. Naranjal MZ Ñ-1 LT 27 </t>
        </is>
      </c>
      <c r="AD663" t="n">
        <v>0</v>
      </c>
      <c r="AE663" t="inlineStr">
        <is>
          <t>979775301</t>
        </is>
      </c>
      <c r="AF663" t="inlineStr">
        <is>
          <t>flores.d19958@gmail.com</t>
        </is>
      </c>
      <c r="AG663" t="inlineStr">
        <is>
          <t>LIMA</t>
        </is>
      </c>
      <c r="AH663" t="inlineStr">
        <is>
          <t>SAN MARTIN DE PORRES</t>
        </is>
      </c>
      <c r="AI663" s="75" t="n">
        <v>46417</v>
      </c>
      <c r="AJ663" s="75" t="n"/>
      <c r="AK663" t="inlineStr">
        <is>
          <t>SALDO FINANCIAR</t>
        </is>
      </c>
      <c r="AL663" t="n">
        <v>9</v>
      </c>
      <c r="AM663" t="n">
        <v>12000</v>
      </c>
      <c r="AN663" t="n">
        <v>0</v>
      </c>
      <c r="AO663" t="n">
        <v>0</v>
      </c>
      <c r="AP663" s="39" t="n">
        <v>12000</v>
      </c>
      <c r="AQ663" s="39" t="n">
        <v>0</v>
      </c>
      <c r="AR663" s="39" t="n">
        <v>12000</v>
      </c>
      <c r="AT663" t="inlineStr">
        <is>
          <t>Crédito Directo</t>
        </is>
      </c>
      <c r="AZ663" t="inlineStr">
        <is>
          <t>No</t>
        </is>
      </c>
      <c r="BC663" t="inlineStr">
        <is>
          <t>PENDIENTE</t>
        </is>
      </c>
      <c r="BN663" t="inlineStr">
        <is>
          <t>No</t>
        </is>
      </c>
      <c r="BO663" s="76" t="n">
        <v>46046.47361111111</v>
      </c>
      <c r="BP663" t="inlineStr">
        <is>
          <t>Carla Michue M</t>
        </is>
      </c>
      <c r="BR663" t="n">
        <v>10</v>
      </c>
      <c r="BW663" t="inlineStr">
        <is>
          <t>Cobranzas_2027.csv</t>
        </is>
      </c>
      <c r="BX663" t="n">
        <v>2027</v>
      </c>
      <c r="BY663" t="inlineStr">
        <is>
          <t>01/01/2024</t>
        </is>
      </c>
      <c r="BZ663" t="inlineStr">
        <is>
          <t>30/06/2031</t>
        </is>
      </c>
    </row>
    <row r="664">
      <c r="A664" t="inlineStr">
        <is>
          <t>RESIDENCIAL BEYOND</t>
        </is>
      </c>
      <c r="B664" t="inlineStr">
        <is>
          <t>Etapa 1</t>
        </is>
      </c>
      <c r="C664" t="inlineStr">
        <is>
          <t>Edificio</t>
        </is>
      </c>
      <c r="D664" t="inlineStr">
        <is>
          <t>A</t>
        </is>
      </c>
      <c r="E664" t="inlineStr">
        <is>
          <t>Departamento</t>
        </is>
      </c>
      <c r="F664" t="inlineStr">
        <is>
          <t>1502</t>
        </is>
      </c>
      <c r="G664" s="39" t="n">
        <v>430000</v>
      </c>
      <c r="H664" s="39" t="n">
        <v>369000</v>
      </c>
      <c r="I664" t="inlineStr">
        <is>
          <t>Edificio</t>
        </is>
      </c>
      <c r="J664" t="inlineStr">
        <is>
          <t>A</t>
        </is>
      </c>
      <c r="K664" t="inlineStr">
        <is>
          <t>Estacionamiento</t>
        </is>
      </c>
      <c r="L664" t="inlineStr">
        <is>
          <t>E 39</t>
        </is>
      </c>
      <c r="M664" s="39" t="n">
        <v>43200</v>
      </c>
      <c r="N664" s="39" t="n">
        <v>43200</v>
      </c>
      <c r="S664" s="39" t="n"/>
      <c r="T664" s="39" t="n"/>
      <c r="Y664" s="39" t="n"/>
      <c r="Z664" s="39" t="n"/>
      <c r="AA664" t="inlineStr">
        <is>
          <t>Melanny Dayanna Flores Blas</t>
        </is>
      </c>
      <c r="AB664" t="inlineStr">
        <is>
          <t>75334346</t>
        </is>
      </c>
      <c r="AC664" t="inlineStr">
        <is>
          <t xml:space="preserve">Av. Los Alisos Urb. Naranjal MZ Ñ-1 LT 27 </t>
        </is>
      </c>
      <c r="AD664" t="n">
        <v>0</v>
      </c>
      <c r="AE664" t="inlineStr">
        <is>
          <t>979775301</t>
        </is>
      </c>
      <c r="AF664" t="inlineStr">
        <is>
          <t>flores.d19958@gmail.com</t>
        </is>
      </c>
      <c r="AG664" t="inlineStr">
        <is>
          <t>LIMA</t>
        </is>
      </c>
      <c r="AH664" t="inlineStr">
        <is>
          <t>SAN MARTIN DE PORRES</t>
        </is>
      </c>
      <c r="AI664" s="75" t="n">
        <v>46446</v>
      </c>
      <c r="AJ664" s="75" t="n"/>
      <c r="AK664" t="inlineStr">
        <is>
          <t>SALDO FINANCIAR</t>
        </is>
      </c>
      <c r="AL664" t="n">
        <v>10</v>
      </c>
      <c r="AM664" t="n">
        <v>12000</v>
      </c>
      <c r="AN664" t="n">
        <v>0</v>
      </c>
      <c r="AO664" t="n">
        <v>0</v>
      </c>
      <c r="AP664" s="39" t="n">
        <v>12000</v>
      </c>
      <c r="AQ664" s="39" t="n">
        <v>0</v>
      </c>
      <c r="AR664" s="39" t="n">
        <v>12000</v>
      </c>
      <c r="AT664" t="inlineStr">
        <is>
          <t>Crédito Directo</t>
        </is>
      </c>
      <c r="AZ664" t="inlineStr">
        <is>
          <t>No</t>
        </is>
      </c>
      <c r="BC664" t="inlineStr">
        <is>
          <t>PENDIENTE</t>
        </is>
      </c>
      <c r="BN664" t="inlineStr">
        <is>
          <t>No</t>
        </is>
      </c>
      <c r="BO664" s="76" t="n">
        <v>46046.47361111111</v>
      </c>
      <c r="BP664" t="inlineStr">
        <is>
          <t>Carla Michue M</t>
        </is>
      </c>
      <c r="BR664" t="n">
        <v>10</v>
      </c>
      <c r="BW664" t="inlineStr">
        <is>
          <t>Cobranzas_2027.csv</t>
        </is>
      </c>
      <c r="BX664" t="n">
        <v>2027</v>
      </c>
      <c r="BY664" t="inlineStr">
        <is>
          <t>01/01/2024</t>
        </is>
      </c>
      <c r="BZ664" t="inlineStr">
        <is>
          <t>30/06/2031</t>
        </is>
      </c>
    </row>
    <row r="665">
      <c r="A665" t="inlineStr">
        <is>
          <t>RESIDENCIAL BEYOND</t>
        </is>
      </c>
      <c r="B665" t="inlineStr">
        <is>
          <t>Etapa 1</t>
        </is>
      </c>
      <c r="C665" t="inlineStr">
        <is>
          <t>Edificio</t>
        </is>
      </c>
      <c r="D665" t="inlineStr">
        <is>
          <t>A</t>
        </is>
      </c>
      <c r="E665" t="inlineStr">
        <is>
          <t>Departamento</t>
        </is>
      </c>
      <c r="F665" t="inlineStr">
        <is>
          <t>1502</t>
        </is>
      </c>
      <c r="G665" s="39" t="n">
        <v>430000</v>
      </c>
      <c r="H665" s="39" t="n">
        <v>369000</v>
      </c>
      <c r="I665" t="inlineStr">
        <is>
          <t>Edificio</t>
        </is>
      </c>
      <c r="J665" t="inlineStr">
        <is>
          <t>A</t>
        </is>
      </c>
      <c r="K665" t="inlineStr">
        <is>
          <t>Estacionamiento</t>
        </is>
      </c>
      <c r="L665" t="inlineStr">
        <is>
          <t>E 39</t>
        </is>
      </c>
      <c r="M665" s="39" t="n">
        <v>43200</v>
      </c>
      <c r="N665" s="39" t="n">
        <v>43200</v>
      </c>
      <c r="S665" s="39" t="n"/>
      <c r="T665" s="39" t="n"/>
      <c r="Y665" s="39" t="n"/>
      <c r="Z665" s="39" t="n"/>
      <c r="AA665" t="inlineStr">
        <is>
          <t>Melanny Dayanna Flores Blas</t>
        </is>
      </c>
      <c r="AB665" t="inlineStr">
        <is>
          <t>75334346</t>
        </is>
      </c>
      <c r="AC665" t="inlineStr">
        <is>
          <t xml:space="preserve">Av. Los Alisos Urb. Naranjal MZ Ñ-1 LT 27 </t>
        </is>
      </c>
      <c r="AD665" t="n">
        <v>0</v>
      </c>
      <c r="AE665" t="inlineStr">
        <is>
          <t>979775301</t>
        </is>
      </c>
      <c r="AF665" t="inlineStr">
        <is>
          <t>flores.d19958@gmail.com</t>
        </is>
      </c>
      <c r="AG665" t="inlineStr">
        <is>
          <t>LIMA</t>
        </is>
      </c>
      <c r="AH665" t="inlineStr">
        <is>
          <t>SAN MARTIN DE PORRES</t>
        </is>
      </c>
      <c r="AI665" s="75" t="n">
        <v>46476</v>
      </c>
      <c r="AJ665" s="75" t="n"/>
      <c r="AK665" t="inlineStr">
        <is>
          <t>SALDO FINANCIAR</t>
        </is>
      </c>
      <c r="AL665" t="n">
        <v>11</v>
      </c>
      <c r="AM665" t="n">
        <v>12000</v>
      </c>
      <c r="AN665" t="n">
        <v>0</v>
      </c>
      <c r="AO665" t="n">
        <v>0</v>
      </c>
      <c r="AP665" s="39" t="n">
        <v>12000</v>
      </c>
      <c r="AQ665" s="39" t="n">
        <v>0</v>
      </c>
      <c r="AR665" s="39" t="n">
        <v>12000</v>
      </c>
      <c r="AT665" t="inlineStr">
        <is>
          <t>Crédito Directo</t>
        </is>
      </c>
      <c r="AZ665" t="inlineStr">
        <is>
          <t>No</t>
        </is>
      </c>
      <c r="BC665" t="inlineStr">
        <is>
          <t>PENDIENTE</t>
        </is>
      </c>
      <c r="BN665" t="inlineStr">
        <is>
          <t>No</t>
        </is>
      </c>
      <c r="BO665" s="76" t="n">
        <v>46046.47361111111</v>
      </c>
      <c r="BP665" t="inlineStr">
        <is>
          <t>Carla Michue M</t>
        </is>
      </c>
      <c r="BR665" t="n">
        <v>10</v>
      </c>
      <c r="BW665" t="inlineStr">
        <is>
          <t>Cobranzas_2027.csv</t>
        </is>
      </c>
      <c r="BX665" t="n">
        <v>2027</v>
      </c>
      <c r="BY665" t="inlineStr">
        <is>
          <t>01/01/2024</t>
        </is>
      </c>
      <c r="BZ665" t="inlineStr">
        <is>
          <t>30/06/2031</t>
        </is>
      </c>
    </row>
    <row r="666">
      <c r="A666" t="inlineStr">
        <is>
          <t>RESIDENCIAL BEYOND</t>
        </is>
      </c>
      <c r="B666" t="inlineStr">
        <is>
          <t>Etapa 1</t>
        </is>
      </c>
      <c r="C666" t="inlineStr">
        <is>
          <t>Edificio</t>
        </is>
      </c>
      <c r="D666" t="inlineStr">
        <is>
          <t>A</t>
        </is>
      </c>
      <c r="E666" t="inlineStr">
        <is>
          <t>Departamento</t>
        </is>
      </c>
      <c r="F666" t="inlineStr">
        <is>
          <t>1502</t>
        </is>
      </c>
      <c r="G666" s="39" t="n">
        <v>430000</v>
      </c>
      <c r="H666" s="39" t="n">
        <v>369000</v>
      </c>
      <c r="I666" t="inlineStr">
        <is>
          <t>Edificio</t>
        </is>
      </c>
      <c r="J666" t="inlineStr">
        <is>
          <t>A</t>
        </is>
      </c>
      <c r="K666" t="inlineStr">
        <is>
          <t>Estacionamiento</t>
        </is>
      </c>
      <c r="L666" t="inlineStr">
        <is>
          <t>E 39</t>
        </is>
      </c>
      <c r="M666" s="39" t="n">
        <v>43200</v>
      </c>
      <c r="N666" s="39" t="n">
        <v>43200</v>
      </c>
      <c r="S666" s="39" t="n"/>
      <c r="T666" s="39" t="n"/>
      <c r="Y666" s="39" t="n"/>
      <c r="Z666" s="39" t="n"/>
      <c r="AA666" t="inlineStr">
        <is>
          <t>Melanny Dayanna Flores Blas</t>
        </is>
      </c>
      <c r="AB666" t="inlineStr">
        <is>
          <t>75334346</t>
        </is>
      </c>
      <c r="AC666" t="inlineStr">
        <is>
          <t xml:space="preserve">Av. Los Alisos Urb. Naranjal MZ Ñ-1 LT 27 </t>
        </is>
      </c>
      <c r="AD666" t="n">
        <v>0</v>
      </c>
      <c r="AE666" t="inlineStr">
        <is>
          <t>979775301</t>
        </is>
      </c>
      <c r="AF666" t="inlineStr">
        <is>
          <t>flores.d19958@gmail.com</t>
        </is>
      </c>
      <c r="AG666" t="inlineStr">
        <is>
          <t>LIMA</t>
        </is>
      </c>
      <c r="AH666" t="inlineStr">
        <is>
          <t>SAN MARTIN DE PORRES</t>
        </is>
      </c>
      <c r="AI666" s="75" t="n">
        <v>46507</v>
      </c>
      <c r="AJ666" s="75" t="n"/>
      <c r="AK666" t="inlineStr">
        <is>
          <t>SALDO FINANCIAR</t>
        </is>
      </c>
      <c r="AL666" t="n">
        <v>12</v>
      </c>
      <c r="AM666" t="n">
        <v>12000</v>
      </c>
      <c r="AN666" t="n">
        <v>0</v>
      </c>
      <c r="AO666" t="n">
        <v>0</v>
      </c>
      <c r="AP666" s="39" t="n">
        <v>12000</v>
      </c>
      <c r="AQ666" s="39" t="n">
        <v>0</v>
      </c>
      <c r="AR666" s="39" t="n">
        <v>12000</v>
      </c>
      <c r="AT666" t="inlineStr">
        <is>
          <t>Crédito Directo</t>
        </is>
      </c>
      <c r="AZ666" t="inlineStr">
        <is>
          <t>No</t>
        </is>
      </c>
      <c r="BC666" t="inlineStr">
        <is>
          <t>PENDIENTE</t>
        </is>
      </c>
      <c r="BN666" t="inlineStr">
        <is>
          <t>No</t>
        </is>
      </c>
      <c r="BO666" s="76" t="n">
        <v>46046.47361111111</v>
      </c>
      <c r="BP666" t="inlineStr">
        <is>
          <t>Carla Michue M</t>
        </is>
      </c>
      <c r="BR666" t="n">
        <v>10</v>
      </c>
      <c r="BW666" t="inlineStr">
        <is>
          <t>Cobranzas_2027.csv</t>
        </is>
      </c>
      <c r="BX666" t="n">
        <v>2027</v>
      </c>
      <c r="BY666" t="inlineStr">
        <is>
          <t>01/01/2024</t>
        </is>
      </c>
      <c r="BZ666" t="inlineStr">
        <is>
          <t>30/06/2031</t>
        </is>
      </c>
    </row>
    <row r="667">
      <c r="A667" t="inlineStr">
        <is>
          <t>RESIDENCIAL BEYOND</t>
        </is>
      </c>
      <c r="B667" t="inlineStr">
        <is>
          <t>Etapa 1</t>
        </is>
      </c>
      <c r="C667" t="inlineStr">
        <is>
          <t>Edificio</t>
        </is>
      </c>
      <c r="D667" t="inlineStr">
        <is>
          <t>A</t>
        </is>
      </c>
      <c r="E667" t="inlineStr">
        <is>
          <t>Departamento</t>
        </is>
      </c>
      <c r="F667" t="inlineStr">
        <is>
          <t>1502</t>
        </is>
      </c>
      <c r="G667" s="39" t="n">
        <v>430000</v>
      </c>
      <c r="H667" s="39" t="n">
        <v>369000</v>
      </c>
      <c r="I667" t="inlineStr">
        <is>
          <t>Edificio</t>
        </is>
      </c>
      <c r="J667" t="inlineStr">
        <is>
          <t>A</t>
        </is>
      </c>
      <c r="K667" t="inlineStr">
        <is>
          <t>Estacionamiento</t>
        </is>
      </c>
      <c r="L667" t="inlineStr">
        <is>
          <t>E 39</t>
        </is>
      </c>
      <c r="M667" s="39" t="n">
        <v>43200</v>
      </c>
      <c r="N667" s="39" t="n">
        <v>43200</v>
      </c>
      <c r="S667" s="39" t="n"/>
      <c r="T667" s="39" t="n"/>
      <c r="Y667" s="39" t="n"/>
      <c r="Z667" s="39" t="n"/>
      <c r="AA667" t="inlineStr">
        <is>
          <t>Melanny Dayanna Flores Blas</t>
        </is>
      </c>
      <c r="AB667" t="inlineStr">
        <is>
          <t>75334346</t>
        </is>
      </c>
      <c r="AC667" t="inlineStr">
        <is>
          <t xml:space="preserve">Av. Los Alisos Urb. Naranjal MZ Ñ-1 LT 27 </t>
        </is>
      </c>
      <c r="AD667" t="n">
        <v>0</v>
      </c>
      <c r="AE667" t="inlineStr">
        <is>
          <t>979775301</t>
        </is>
      </c>
      <c r="AF667" t="inlineStr">
        <is>
          <t>flores.d19958@gmail.com</t>
        </is>
      </c>
      <c r="AG667" t="inlineStr">
        <is>
          <t>LIMA</t>
        </is>
      </c>
      <c r="AH667" t="inlineStr">
        <is>
          <t>SAN MARTIN DE PORRES</t>
        </is>
      </c>
      <c r="AI667" s="75" t="n">
        <v>46537</v>
      </c>
      <c r="AJ667" s="75" t="n"/>
      <c r="AK667" t="inlineStr">
        <is>
          <t>SALDO FINANCIAR</t>
        </is>
      </c>
      <c r="AL667" t="n">
        <v>13</v>
      </c>
      <c r="AM667" t="n">
        <v>12000</v>
      </c>
      <c r="AN667" t="n">
        <v>0</v>
      </c>
      <c r="AO667" t="n">
        <v>0</v>
      </c>
      <c r="AP667" s="39" t="n">
        <v>12000</v>
      </c>
      <c r="AQ667" s="39" t="n">
        <v>0</v>
      </c>
      <c r="AR667" s="39" t="n">
        <v>12000</v>
      </c>
      <c r="AT667" t="inlineStr">
        <is>
          <t>Crédito Directo</t>
        </is>
      </c>
      <c r="AZ667" t="inlineStr">
        <is>
          <t>No</t>
        </is>
      </c>
      <c r="BC667" t="inlineStr">
        <is>
          <t>PENDIENTE</t>
        </is>
      </c>
      <c r="BN667" t="inlineStr">
        <is>
          <t>No</t>
        </is>
      </c>
      <c r="BO667" s="76" t="n">
        <v>46046.47361111111</v>
      </c>
      <c r="BP667" t="inlineStr">
        <is>
          <t>Carla Michue M</t>
        </is>
      </c>
      <c r="BR667" t="n">
        <v>10</v>
      </c>
      <c r="BW667" t="inlineStr">
        <is>
          <t>Cobranzas_2027.csv</t>
        </is>
      </c>
      <c r="BX667" t="n">
        <v>2027</v>
      </c>
      <c r="BY667" t="inlineStr">
        <is>
          <t>01/01/2024</t>
        </is>
      </c>
      <c r="BZ667" t="inlineStr">
        <is>
          <t>30/06/2031</t>
        </is>
      </c>
    </row>
    <row r="668">
      <c r="A668" t="inlineStr">
        <is>
          <t>RESIDENCIAL BEYOND</t>
        </is>
      </c>
      <c r="B668" t="inlineStr">
        <is>
          <t>Etapa 1</t>
        </is>
      </c>
      <c r="C668" t="inlineStr">
        <is>
          <t>Edificio</t>
        </is>
      </c>
      <c r="D668" t="inlineStr">
        <is>
          <t>A</t>
        </is>
      </c>
      <c r="E668" t="inlineStr">
        <is>
          <t>Departamento</t>
        </is>
      </c>
      <c r="F668" t="inlineStr">
        <is>
          <t>1502</t>
        </is>
      </c>
      <c r="G668" s="39" t="n">
        <v>430000</v>
      </c>
      <c r="H668" s="39" t="n">
        <v>369000</v>
      </c>
      <c r="I668" t="inlineStr">
        <is>
          <t>Edificio</t>
        </is>
      </c>
      <c r="J668" t="inlineStr">
        <is>
          <t>A</t>
        </is>
      </c>
      <c r="K668" t="inlineStr">
        <is>
          <t>Estacionamiento</t>
        </is>
      </c>
      <c r="L668" t="inlineStr">
        <is>
          <t>E 39</t>
        </is>
      </c>
      <c r="M668" s="39" t="n">
        <v>43200</v>
      </c>
      <c r="N668" s="39" t="n">
        <v>43200</v>
      </c>
      <c r="S668" s="39" t="n"/>
      <c r="T668" s="39" t="n"/>
      <c r="Y668" s="39" t="n"/>
      <c r="Z668" s="39" t="n"/>
      <c r="AA668" t="inlineStr">
        <is>
          <t>Melanny Dayanna Flores Blas</t>
        </is>
      </c>
      <c r="AB668" t="inlineStr">
        <is>
          <t>75334346</t>
        </is>
      </c>
      <c r="AC668" t="inlineStr">
        <is>
          <t xml:space="preserve">Av. Los Alisos Urb. Naranjal MZ Ñ-1 LT 27 </t>
        </is>
      </c>
      <c r="AD668" t="n">
        <v>0</v>
      </c>
      <c r="AE668" t="inlineStr">
        <is>
          <t>979775301</t>
        </is>
      </c>
      <c r="AF668" t="inlineStr">
        <is>
          <t>flores.d19958@gmail.com</t>
        </is>
      </c>
      <c r="AG668" t="inlineStr">
        <is>
          <t>LIMA</t>
        </is>
      </c>
      <c r="AH668" t="inlineStr">
        <is>
          <t>SAN MARTIN DE PORRES</t>
        </is>
      </c>
      <c r="AI668" s="75" t="n">
        <v>46568</v>
      </c>
      <c r="AJ668" s="75" t="n"/>
      <c r="AK668" t="inlineStr">
        <is>
          <t>SALDO FINANCIAR</t>
        </is>
      </c>
      <c r="AL668" t="n">
        <v>14</v>
      </c>
      <c r="AM668" t="n">
        <v>12000</v>
      </c>
      <c r="AN668" t="n">
        <v>0</v>
      </c>
      <c r="AO668" t="n">
        <v>0</v>
      </c>
      <c r="AP668" s="39" t="n">
        <v>12000</v>
      </c>
      <c r="AQ668" s="39" t="n">
        <v>0</v>
      </c>
      <c r="AR668" s="39" t="n">
        <v>12000</v>
      </c>
      <c r="AT668" t="inlineStr">
        <is>
          <t>Crédito Directo</t>
        </is>
      </c>
      <c r="AZ668" t="inlineStr">
        <is>
          <t>No</t>
        </is>
      </c>
      <c r="BC668" t="inlineStr">
        <is>
          <t>PENDIENTE</t>
        </is>
      </c>
      <c r="BN668" t="inlineStr">
        <is>
          <t>No</t>
        </is>
      </c>
      <c r="BO668" s="76" t="n">
        <v>46046.47361111111</v>
      </c>
      <c r="BP668" t="inlineStr">
        <is>
          <t>Carla Michue M</t>
        </is>
      </c>
      <c r="BR668" t="n">
        <v>10</v>
      </c>
      <c r="BW668" t="inlineStr">
        <is>
          <t>Cobranzas_2027.csv</t>
        </is>
      </c>
      <c r="BX668" t="n">
        <v>2027</v>
      </c>
      <c r="BY668" t="inlineStr">
        <is>
          <t>01/01/2024</t>
        </is>
      </c>
      <c r="BZ668" t="inlineStr">
        <is>
          <t>30/06/2031</t>
        </is>
      </c>
    </row>
    <row r="669">
      <c r="A669" t="inlineStr">
        <is>
          <t>RESIDENCIAL BEYOND</t>
        </is>
      </c>
      <c r="B669" t="inlineStr">
        <is>
          <t>Etapa 1</t>
        </is>
      </c>
      <c r="C669" t="inlineStr">
        <is>
          <t>Edificio</t>
        </is>
      </c>
      <c r="D669" t="inlineStr">
        <is>
          <t>A</t>
        </is>
      </c>
      <c r="E669" t="inlineStr">
        <is>
          <t>Departamento</t>
        </is>
      </c>
      <c r="F669" t="inlineStr">
        <is>
          <t>1502</t>
        </is>
      </c>
      <c r="G669" s="39" t="n">
        <v>430000</v>
      </c>
      <c r="H669" s="39" t="n">
        <v>369000</v>
      </c>
      <c r="I669" t="inlineStr">
        <is>
          <t>Edificio</t>
        </is>
      </c>
      <c r="J669" t="inlineStr">
        <is>
          <t>A</t>
        </is>
      </c>
      <c r="K669" t="inlineStr">
        <is>
          <t>Estacionamiento</t>
        </is>
      </c>
      <c r="L669" t="inlineStr">
        <is>
          <t>E 39</t>
        </is>
      </c>
      <c r="M669" s="39" t="n">
        <v>43200</v>
      </c>
      <c r="N669" s="39" t="n">
        <v>43200</v>
      </c>
      <c r="S669" s="39" t="n"/>
      <c r="T669" s="39" t="n"/>
      <c r="Y669" s="39" t="n"/>
      <c r="Z669" s="39" t="n"/>
      <c r="AA669" t="inlineStr">
        <is>
          <t>Melanny Dayanna Flores Blas</t>
        </is>
      </c>
      <c r="AB669" t="inlineStr">
        <is>
          <t>75334346</t>
        </is>
      </c>
      <c r="AC669" t="inlineStr">
        <is>
          <t xml:space="preserve">Av. Los Alisos Urb. Naranjal MZ Ñ-1 LT 27 </t>
        </is>
      </c>
      <c r="AD669" t="n">
        <v>0</v>
      </c>
      <c r="AE669" t="inlineStr">
        <is>
          <t>979775301</t>
        </is>
      </c>
      <c r="AF669" t="inlineStr">
        <is>
          <t>flores.d19958@gmail.com</t>
        </is>
      </c>
      <c r="AG669" t="inlineStr">
        <is>
          <t>LIMA</t>
        </is>
      </c>
      <c r="AH669" t="inlineStr">
        <is>
          <t>SAN MARTIN DE PORRES</t>
        </is>
      </c>
      <c r="AI669" s="75" t="n">
        <v>46598</v>
      </c>
      <c r="AJ669" s="75" t="n"/>
      <c r="AK669" t="inlineStr">
        <is>
          <t>SALDO FINANCIAR</t>
        </is>
      </c>
      <c r="AL669" t="n">
        <v>15</v>
      </c>
      <c r="AM669" t="n">
        <v>12000</v>
      </c>
      <c r="AN669" t="n">
        <v>0</v>
      </c>
      <c r="AO669" t="n">
        <v>0</v>
      </c>
      <c r="AP669" s="39" t="n">
        <v>12000</v>
      </c>
      <c r="AQ669" s="39" t="n">
        <v>0</v>
      </c>
      <c r="AR669" s="39" t="n">
        <v>12000</v>
      </c>
      <c r="AT669" t="inlineStr">
        <is>
          <t>Crédito Directo</t>
        </is>
      </c>
      <c r="AZ669" t="inlineStr">
        <is>
          <t>No</t>
        </is>
      </c>
      <c r="BC669" t="inlineStr">
        <is>
          <t>PENDIENTE</t>
        </is>
      </c>
      <c r="BN669" t="inlineStr">
        <is>
          <t>No</t>
        </is>
      </c>
      <c r="BO669" s="76" t="n">
        <v>46046.47361111111</v>
      </c>
      <c r="BP669" t="inlineStr">
        <is>
          <t>Carla Michue M</t>
        </is>
      </c>
      <c r="BR669" t="n">
        <v>10</v>
      </c>
      <c r="BW669" t="inlineStr">
        <is>
          <t>Cobranzas_2027.csv</t>
        </is>
      </c>
      <c r="BX669" t="n">
        <v>2027</v>
      </c>
      <c r="BY669" t="inlineStr">
        <is>
          <t>01/01/2024</t>
        </is>
      </c>
      <c r="BZ669" t="inlineStr">
        <is>
          <t>30/06/2031</t>
        </is>
      </c>
    </row>
    <row r="670">
      <c r="A670" t="inlineStr">
        <is>
          <t>RESIDENCIAL BEYOND</t>
        </is>
      </c>
      <c r="B670" t="inlineStr">
        <is>
          <t>Etapa 1</t>
        </is>
      </c>
      <c r="C670" t="inlineStr">
        <is>
          <t>Edificio</t>
        </is>
      </c>
      <c r="D670" t="inlineStr">
        <is>
          <t>A</t>
        </is>
      </c>
      <c r="E670" t="inlineStr">
        <is>
          <t>Departamento</t>
        </is>
      </c>
      <c r="F670" t="inlineStr">
        <is>
          <t>1502</t>
        </is>
      </c>
      <c r="G670" s="39" t="n">
        <v>430000</v>
      </c>
      <c r="H670" s="39" t="n">
        <v>369000</v>
      </c>
      <c r="I670" t="inlineStr">
        <is>
          <t>Edificio</t>
        </is>
      </c>
      <c r="J670" t="inlineStr">
        <is>
          <t>A</t>
        </is>
      </c>
      <c r="K670" t="inlineStr">
        <is>
          <t>Estacionamiento</t>
        </is>
      </c>
      <c r="L670" t="inlineStr">
        <is>
          <t>E 39</t>
        </is>
      </c>
      <c r="M670" s="39" t="n">
        <v>43200</v>
      </c>
      <c r="N670" s="39" t="n">
        <v>43200</v>
      </c>
      <c r="S670" s="39" t="n"/>
      <c r="T670" s="39" t="n"/>
      <c r="Y670" s="39" t="n"/>
      <c r="Z670" s="39" t="n"/>
      <c r="AA670" t="inlineStr">
        <is>
          <t>Melanny Dayanna Flores Blas</t>
        </is>
      </c>
      <c r="AB670" t="inlineStr">
        <is>
          <t>75334346</t>
        </is>
      </c>
      <c r="AC670" t="inlineStr">
        <is>
          <t xml:space="preserve">Av. Los Alisos Urb. Naranjal MZ Ñ-1 LT 27 </t>
        </is>
      </c>
      <c r="AD670" t="n">
        <v>0</v>
      </c>
      <c r="AE670" t="inlineStr">
        <is>
          <t>979775301</t>
        </is>
      </c>
      <c r="AF670" t="inlineStr">
        <is>
          <t>flores.d19958@gmail.com</t>
        </is>
      </c>
      <c r="AG670" t="inlineStr">
        <is>
          <t>LIMA</t>
        </is>
      </c>
      <c r="AH670" t="inlineStr">
        <is>
          <t>SAN MARTIN DE PORRES</t>
        </is>
      </c>
      <c r="AI670" s="75" t="n">
        <v>46629</v>
      </c>
      <c r="AJ670" s="75" t="n"/>
      <c r="AK670" t="inlineStr">
        <is>
          <t>SALDO FINANCIAR</t>
        </is>
      </c>
      <c r="AL670" t="n">
        <v>16</v>
      </c>
      <c r="AM670" t="n">
        <v>12000</v>
      </c>
      <c r="AN670" t="n">
        <v>0</v>
      </c>
      <c r="AO670" t="n">
        <v>0</v>
      </c>
      <c r="AP670" s="39" t="n">
        <v>12000</v>
      </c>
      <c r="AQ670" s="39" t="n">
        <v>0</v>
      </c>
      <c r="AR670" s="39" t="n">
        <v>12000</v>
      </c>
      <c r="AT670" t="inlineStr">
        <is>
          <t>Crédito Directo</t>
        </is>
      </c>
      <c r="AZ670" t="inlineStr">
        <is>
          <t>No</t>
        </is>
      </c>
      <c r="BC670" t="inlineStr">
        <is>
          <t>PENDIENTE</t>
        </is>
      </c>
      <c r="BN670" t="inlineStr">
        <is>
          <t>No</t>
        </is>
      </c>
      <c r="BO670" s="76" t="n">
        <v>46046.47361111111</v>
      </c>
      <c r="BP670" t="inlineStr">
        <is>
          <t>Carla Michue M</t>
        </is>
      </c>
      <c r="BR670" t="n">
        <v>10</v>
      </c>
      <c r="BW670" t="inlineStr">
        <is>
          <t>Cobranzas_2027.csv</t>
        </is>
      </c>
      <c r="BX670" t="n">
        <v>2027</v>
      </c>
      <c r="BY670" t="inlineStr">
        <is>
          <t>01/01/2024</t>
        </is>
      </c>
      <c r="BZ670" t="inlineStr">
        <is>
          <t>30/06/2031</t>
        </is>
      </c>
    </row>
    <row r="671">
      <c r="A671" t="inlineStr">
        <is>
          <t>RESIDENCIAL BEYOND</t>
        </is>
      </c>
      <c r="B671" t="inlineStr">
        <is>
          <t>Etapa 1</t>
        </is>
      </c>
      <c r="C671" t="inlineStr">
        <is>
          <t>Edificio</t>
        </is>
      </c>
      <c r="D671" t="inlineStr">
        <is>
          <t>A</t>
        </is>
      </c>
      <c r="E671" t="inlineStr">
        <is>
          <t>Departamento</t>
        </is>
      </c>
      <c r="F671" t="inlineStr">
        <is>
          <t>1502</t>
        </is>
      </c>
      <c r="G671" s="39" t="n">
        <v>430000</v>
      </c>
      <c r="H671" s="39" t="n">
        <v>369000</v>
      </c>
      <c r="I671" t="inlineStr">
        <is>
          <t>Edificio</t>
        </is>
      </c>
      <c r="J671" t="inlineStr">
        <is>
          <t>A</t>
        </is>
      </c>
      <c r="K671" t="inlineStr">
        <is>
          <t>Estacionamiento</t>
        </is>
      </c>
      <c r="L671" t="inlineStr">
        <is>
          <t>E 39</t>
        </is>
      </c>
      <c r="M671" s="39" t="n">
        <v>43200</v>
      </c>
      <c r="N671" s="39" t="n">
        <v>43200</v>
      </c>
      <c r="S671" s="39" t="n"/>
      <c r="T671" s="39" t="n"/>
      <c r="Y671" s="39" t="n"/>
      <c r="Z671" s="39" t="n"/>
      <c r="AA671" t="inlineStr">
        <is>
          <t>Melanny Dayanna Flores Blas</t>
        </is>
      </c>
      <c r="AB671" t="inlineStr">
        <is>
          <t>75334346</t>
        </is>
      </c>
      <c r="AC671" t="inlineStr">
        <is>
          <t xml:space="preserve">Av. Los Alisos Urb. Naranjal MZ Ñ-1 LT 27 </t>
        </is>
      </c>
      <c r="AD671" t="n">
        <v>0</v>
      </c>
      <c r="AE671" t="inlineStr">
        <is>
          <t>979775301</t>
        </is>
      </c>
      <c r="AF671" t="inlineStr">
        <is>
          <t>flores.d19958@gmail.com</t>
        </is>
      </c>
      <c r="AG671" t="inlineStr">
        <is>
          <t>LIMA</t>
        </is>
      </c>
      <c r="AH671" t="inlineStr">
        <is>
          <t>SAN MARTIN DE PORRES</t>
        </is>
      </c>
      <c r="AI671" s="75" t="n">
        <v>46660</v>
      </c>
      <c r="AJ671" s="75" t="n"/>
      <c r="AK671" t="inlineStr">
        <is>
          <t>SALDO FINANCIAR</t>
        </is>
      </c>
      <c r="AL671" t="n">
        <v>17</v>
      </c>
      <c r="AM671" t="n">
        <v>12000</v>
      </c>
      <c r="AN671" t="n">
        <v>0</v>
      </c>
      <c r="AO671" t="n">
        <v>0</v>
      </c>
      <c r="AP671" s="39" t="n">
        <v>12000</v>
      </c>
      <c r="AQ671" s="39" t="n">
        <v>0</v>
      </c>
      <c r="AR671" s="39" t="n">
        <v>12000</v>
      </c>
      <c r="AT671" t="inlineStr">
        <is>
          <t>Crédito Directo</t>
        </is>
      </c>
      <c r="AZ671" t="inlineStr">
        <is>
          <t>No</t>
        </is>
      </c>
      <c r="BC671" t="inlineStr">
        <is>
          <t>PENDIENTE</t>
        </is>
      </c>
      <c r="BN671" t="inlineStr">
        <is>
          <t>No</t>
        </is>
      </c>
      <c r="BO671" s="76" t="n">
        <v>46046.47361111111</v>
      </c>
      <c r="BP671" t="inlineStr">
        <is>
          <t>Carla Michue M</t>
        </is>
      </c>
      <c r="BR671" t="n">
        <v>10</v>
      </c>
      <c r="BW671" t="inlineStr">
        <is>
          <t>Cobranzas_2027.csv</t>
        </is>
      </c>
      <c r="BX671" t="n">
        <v>2027</v>
      </c>
      <c r="BY671" t="inlineStr">
        <is>
          <t>01/01/2024</t>
        </is>
      </c>
      <c r="BZ671" t="inlineStr">
        <is>
          <t>30/06/2031</t>
        </is>
      </c>
    </row>
    <row r="672">
      <c r="A672" t="inlineStr">
        <is>
          <t>RESIDENCIAL BEYOND</t>
        </is>
      </c>
      <c r="B672" t="inlineStr">
        <is>
          <t>Etapa 1</t>
        </is>
      </c>
      <c r="C672" t="inlineStr">
        <is>
          <t>Edificio</t>
        </is>
      </c>
      <c r="D672" t="inlineStr">
        <is>
          <t>A</t>
        </is>
      </c>
      <c r="E672" t="inlineStr">
        <is>
          <t>Departamento</t>
        </is>
      </c>
      <c r="F672" t="inlineStr">
        <is>
          <t>1502</t>
        </is>
      </c>
      <c r="G672" s="39" t="n">
        <v>430000</v>
      </c>
      <c r="H672" s="39" t="n">
        <v>369000</v>
      </c>
      <c r="I672" t="inlineStr">
        <is>
          <t>Edificio</t>
        </is>
      </c>
      <c r="J672" t="inlineStr">
        <is>
          <t>A</t>
        </is>
      </c>
      <c r="K672" t="inlineStr">
        <is>
          <t>Estacionamiento</t>
        </is>
      </c>
      <c r="L672" t="inlineStr">
        <is>
          <t>E 39</t>
        </is>
      </c>
      <c r="M672" s="39" t="n">
        <v>43200</v>
      </c>
      <c r="N672" s="39" t="n">
        <v>43200</v>
      </c>
      <c r="S672" s="39" t="n"/>
      <c r="T672" s="39" t="n"/>
      <c r="Y672" s="39" t="n"/>
      <c r="Z672" s="39" t="n"/>
      <c r="AA672" t="inlineStr">
        <is>
          <t>Melanny Dayanna Flores Blas</t>
        </is>
      </c>
      <c r="AB672" t="inlineStr">
        <is>
          <t>75334346</t>
        </is>
      </c>
      <c r="AC672" t="inlineStr">
        <is>
          <t xml:space="preserve">Av. Los Alisos Urb. Naranjal MZ Ñ-1 LT 27 </t>
        </is>
      </c>
      <c r="AD672" t="n">
        <v>0</v>
      </c>
      <c r="AE672" t="inlineStr">
        <is>
          <t>979775301</t>
        </is>
      </c>
      <c r="AF672" t="inlineStr">
        <is>
          <t>flores.d19958@gmail.com</t>
        </is>
      </c>
      <c r="AG672" t="inlineStr">
        <is>
          <t>LIMA</t>
        </is>
      </c>
      <c r="AH672" t="inlineStr">
        <is>
          <t>SAN MARTIN DE PORRES</t>
        </is>
      </c>
      <c r="AI672" s="75" t="n">
        <v>46690</v>
      </c>
      <c r="AJ672" s="75" t="n"/>
      <c r="AK672" t="inlineStr">
        <is>
          <t>SALDO FINANCIAR</t>
        </is>
      </c>
      <c r="AL672" t="n">
        <v>18</v>
      </c>
      <c r="AM672" t="n">
        <v>63930</v>
      </c>
      <c r="AN672" t="n">
        <v>0</v>
      </c>
      <c r="AO672" t="n">
        <v>0</v>
      </c>
      <c r="AP672" s="39" t="n">
        <v>63930</v>
      </c>
      <c r="AQ672" s="39" t="n">
        <v>0</v>
      </c>
      <c r="AR672" s="39" t="n">
        <v>63930</v>
      </c>
      <c r="AT672" t="inlineStr">
        <is>
          <t>Crédito Directo</t>
        </is>
      </c>
      <c r="AZ672" t="inlineStr">
        <is>
          <t>No</t>
        </is>
      </c>
      <c r="BC672" t="inlineStr">
        <is>
          <t>PENDIENTE</t>
        </is>
      </c>
      <c r="BN672" t="inlineStr">
        <is>
          <t>No</t>
        </is>
      </c>
      <c r="BO672" s="76" t="n">
        <v>46046.47361111111</v>
      </c>
      <c r="BP672" t="inlineStr">
        <is>
          <t>Carla Michue M</t>
        </is>
      </c>
      <c r="BR672" t="n">
        <v>10</v>
      </c>
      <c r="BW672" t="inlineStr">
        <is>
          <t>Cobranzas_2027.csv</t>
        </is>
      </c>
      <c r="BX672" t="n">
        <v>2027</v>
      </c>
      <c r="BY672" t="inlineStr">
        <is>
          <t>01/01/2024</t>
        </is>
      </c>
      <c r="BZ672" t="inlineStr">
        <is>
          <t>30/06/2031</t>
        </is>
      </c>
    </row>
    <row r="673">
      <c r="A673" t="inlineStr">
        <is>
          <t>RESIDENCIAL BEYOND</t>
        </is>
      </c>
      <c r="B673" t="inlineStr">
        <is>
          <t>Etapa 1</t>
        </is>
      </c>
      <c r="C673" t="inlineStr">
        <is>
          <t>Edificio</t>
        </is>
      </c>
      <c r="D673" t="inlineStr">
        <is>
          <t>A</t>
        </is>
      </c>
      <c r="E673" t="inlineStr">
        <is>
          <t>Departamento</t>
        </is>
      </c>
      <c r="F673" t="inlineStr">
        <is>
          <t>1603</t>
        </is>
      </c>
      <c r="G673" s="39" t="n">
        <v>493700</v>
      </c>
      <c r="H673" s="39" t="n">
        <v>436200</v>
      </c>
      <c r="I673" t="inlineStr">
        <is>
          <t>Edificio</t>
        </is>
      </c>
      <c r="J673" t="inlineStr">
        <is>
          <t>A</t>
        </is>
      </c>
      <c r="K673" t="inlineStr">
        <is>
          <t>Estacionamiento</t>
        </is>
      </c>
      <c r="L673" t="inlineStr">
        <is>
          <t>E 08 - D 08</t>
        </is>
      </c>
      <c r="M673" s="39" t="n">
        <v>53800</v>
      </c>
      <c r="N673" s="39" t="n">
        <v>53800</v>
      </c>
      <c r="S673" s="39" t="n"/>
      <c r="T673" s="39" t="n"/>
      <c r="Y673" s="39" t="n"/>
      <c r="Z673" s="39" t="n"/>
      <c r="AA673" t="inlineStr">
        <is>
          <t>Mohammed Belhaj b</t>
        </is>
      </c>
      <c r="AB673" t="inlineStr">
        <is>
          <t>NUoF6KHK3</t>
        </is>
      </c>
      <c r="AC673" t="inlineStr">
        <is>
          <t>Jr. Los Aromos Coop. Las Flores Mz 21LT. 31</t>
        </is>
      </c>
      <c r="AD673" t="n">
        <v>0</v>
      </c>
      <c r="AE673" t="inlineStr">
        <is>
          <t>922412765</t>
        </is>
      </c>
      <c r="AF673" t="inlineStr">
        <is>
          <t>mo.belhaj@outlook.com</t>
        </is>
      </c>
      <c r="AG673" t="inlineStr">
        <is>
          <t>LIMA</t>
        </is>
      </c>
      <c r="AH673" t="inlineStr">
        <is>
          <t>SAN JUAN DE LURIGANCHO</t>
        </is>
      </c>
      <c r="AI673" s="75" t="n">
        <v>46418</v>
      </c>
      <c r="AJ673" s="75" t="n"/>
      <c r="AK673" t="inlineStr">
        <is>
          <t>SALDO FINANCIAR</t>
        </is>
      </c>
      <c r="AL673" t="n">
        <v>6</v>
      </c>
      <c r="AM673" t="n">
        <v>20008.75</v>
      </c>
      <c r="AN673" t="n">
        <v>0</v>
      </c>
      <c r="AO673" t="n">
        <v>0</v>
      </c>
      <c r="AP673" s="39" t="n">
        <v>20008.75</v>
      </c>
      <c r="AQ673" s="39" t="n">
        <v>0</v>
      </c>
      <c r="AR673" s="39" t="n">
        <v>20008.75</v>
      </c>
      <c r="AT673" t="inlineStr">
        <is>
          <t>Crédito Directo</t>
        </is>
      </c>
      <c r="AZ673" t="inlineStr">
        <is>
          <t>No</t>
        </is>
      </c>
      <c r="BC673" t="inlineStr">
        <is>
          <t>PENDIENTE</t>
        </is>
      </c>
      <c r="BN673" t="inlineStr">
        <is>
          <t>No</t>
        </is>
      </c>
      <c r="BO673" s="76" t="n">
        <v>46181.47777777778</v>
      </c>
      <c r="BP673" t="inlineStr">
        <is>
          <t>Carla Michue M</t>
        </is>
      </c>
      <c r="BR673" t="n">
        <v>9</v>
      </c>
      <c r="BW673" t="inlineStr">
        <is>
          <t>Cobranzas_2027.csv</t>
        </is>
      </c>
      <c r="BX673" t="n">
        <v>2027</v>
      </c>
      <c r="BY673" t="inlineStr">
        <is>
          <t>01/01/2024</t>
        </is>
      </c>
      <c r="BZ673" t="inlineStr">
        <is>
          <t>30/06/2031</t>
        </is>
      </c>
    </row>
    <row r="674">
      <c r="A674" t="inlineStr">
        <is>
          <t>RESIDENCIAL BEYOND</t>
        </is>
      </c>
      <c r="B674" t="inlineStr">
        <is>
          <t>Etapa 1</t>
        </is>
      </c>
      <c r="C674" t="inlineStr">
        <is>
          <t>Edificio</t>
        </is>
      </c>
      <c r="D674" t="inlineStr">
        <is>
          <t>A</t>
        </is>
      </c>
      <c r="E674" t="inlineStr">
        <is>
          <t>Departamento</t>
        </is>
      </c>
      <c r="F674" t="inlineStr">
        <is>
          <t>1603</t>
        </is>
      </c>
      <c r="G674" s="39" t="n">
        <v>493700</v>
      </c>
      <c r="H674" s="39" t="n">
        <v>436200</v>
      </c>
      <c r="I674" t="inlineStr">
        <is>
          <t>Edificio</t>
        </is>
      </c>
      <c r="J674" t="inlineStr">
        <is>
          <t>A</t>
        </is>
      </c>
      <c r="K674" t="inlineStr">
        <is>
          <t>Estacionamiento</t>
        </is>
      </c>
      <c r="L674" t="inlineStr">
        <is>
          <t>E 08 - D 08</t>
        </is>
      </c>
      <c r="M674" s="39" t="n">
        <v>53800</v>
      </c>
      <c r="N674" s="39" t="n">
        <v>53800</v>
      </c>
      <c r="S674" s="39" t="n"/>
      <c r="T674" s="39" t="n"/>
      <c r="Y674" s="39" t="n"/>
      <c r="Z674" s="39" t="n"/>
      <c r="AA674" t="inlineStr">
        <is>
          <t>Mohammed Belhaj b</t>
        </is>
      </c>
      <c r="AB674" t="inlineStr">
        <is>
          <t>NUoF6KHK3</t>
        </is>
      </c>
      <c r="AC674" t="inlineStr">
        <is>
          <t>Jr. Los Aromos Coop. Las Flores Mz 21LT. 31</t>
        </is>
      </c>
      <c r="AD674" t="n">
        <v>0</v>
      </c>
      <c r="AE674" t="inlineStr">
        <is>
          <t>922412765</t>
        </is>
      </c>
      <c r="AF674" t="inlineStr">
        <is>
          <t>mo.belhaj@outlook.com</t>
        </is>
      </c>
      <c r="AG674" t="inlineStr">
        <is>
          <t>LIMA</t>
        </is>
      </c>
      <c r="AH674" t="inlineStr">
        <is>
          <t>SAN JUAN DE LURIGANCHO</t>
        </is>
      </c>
      <c r="AI674" s="75" t="n">
        <v>46446</v>
      </c>
      <c r="AJ674" s="75" t="n"/>
      <c r="AK674" t="inlineStr">
        <is>
          <t>SALDO FINANCIAR</t>
        </is>
      </c>
      <c r="AL674" t="n">
        <v>7</v>
      </c>
      <c r="AM674" t="n">
        <v>20008.75</v>
      </c>
      <c r="AN674" t="n">
        <v>0</v>
      </c>
      <c r="AO674" t="n">
        <v>0</v>
      </c>
      <c r="AP674" s="39" t="n">
        <v>20008.75</v>
      </c>
      <c r="AQ674" s="39" t="n">
        <v>0</v>
      </c>
      <c r="AR674" s="39" t="n">
        <v>20008.75</v>
      </c>
      <c r="AT674" t="inlineStr">
        <is>
          <t>Crédito Directo</t>
        </is>
      </c>
      <c r="AZ674" t="inlineStr">
        <is>
          <t>No</t>
        </is>
      </c>
      <c r="BC674" t="inlineStr">
        <is>
          <t>PENDIENTE</t>
        </is>
      </c>
      <c r="BN674" t="inlineStr">
        <is>
          <t>No</t>
        </is>
      </c>
      <c r="BO674" s="76" t="n">
        <v>46181.47777777778</v>
      </c>
      <c r="BP674" t="inlineStr">
        <is>
          <t>Carla Michue M</t>
        </is>
      </c>
      <c r="BR674" t="n">
        <v>9</v>
      </c>
      <c r="BW674" t="inlineStr">
        <is>
          <t>Cobranzas_2027.csv</t>
        </is>
      </c>
      <c r="BX674" t="n">
        <v>2027</v>
      </c>
      <c r="BY674" t="inlineStr">
        <is>
          <t>01/01/2024</t>
        </is>
      </c>
      <c r="BZ674" t="inlineStr">
        <is>
          <t>30/06/2031</t>
        </is>
      </c>
    </row>
    <row r="675">
      <c r="A675" t="inlineStr">
        <is>
          <t>RESIDENCIAL BEYOND</t>
        </is>
      </c>
      <c r="B675" t="inlineStr">
        <is>
          <t>Etapa 1</t>
        </is>
      </c>
      <c r="C675" t="inlineStr">
        <is>
          <t>Edificio</t>
        </is>
      </c>
      <c r="D675" t="inlineStr">
        <is>
          <t>A</t>
        </is>
      </c>
      <c r="E675" t="inlineStr">
        <is>
          <t>Departamento</t>
        </is>
      </c>
      <c r="F675" t="inlineStr">
        <is>
          <t>1603</t>
        </is>
      </c>
      <c r="G675" s="39" t="n">
        <v>493700</v>
      </c>
      <c r="H675" s="39" t="n">
        <v>436200</v>
      </c>
      <c r="I675" t="inlineStr">
        <is>
          <t>Edificio</t>
        </is>
      </c>
      <c r="J675" t="inlineStr">
        <is>
          <t>A</t>
        </is>
      </c>
      <c r="K675" t="inlineStr">
        <is>
          <t>Estacionamiento</t>
        </is>
      </c>
      <c r="L675" t="inlineStr">
        <is>
          <t>E 08 - D 08</t>
        </is>
      </c>
      <c r="M675" s="39" t="n">
        <v>53800</v>
      </c>
      <c r="N675" s="39" t="n">
        <v>53800</v>
      </c>
      <c r="S675" s="39" t="n"/>
      <c r="T675" s="39" t="n"/>
      <c r="Y675" s="39" t="n"/>
      <c r="Z675" s="39" t="n"/>
      <c r="AA675" t="inlineStr">
        <is>
          <t>Mohammed Belhaj b</t>
        </is>
      </c>
      <c r="AB675" t="inlineStr">
        <is>
          <t>NUoF6KHK3</t>
        </is>
      </c>
      <c r="AC675" t="inlineStr">
        <is>
          <t>Jr. Los Aromos Coop. Las Flores Mz 21LT. 31</t>
        </is>
      </c>
      <c r="AD675" t="n">
        <v>0</v>
      </c>
      <c r="AE675" t="inlineStr">
        <is>
          <t>922412765</t>
        </is>
      </c>
      <c r="AF675" t="inlineStr">
        <is>
          <t>mo.belhaj@outlook.com</t>
        </is>
      </c>
      <c r="AG675" t="inlineStr">
        <is>
          <t>LIMA</t>
        </is>
      </c>
      <c r="AH675" t="inlineStr">
        <is>
          <t>SAN JUAN DE LURIGANCHO</t>
        </is>
      </c>
      <c r="AI675" s="75" t="n">
        <v>46477</v>
      </c>
      <c r="AJ675" s="75" t="n"/>
      <c r="AK675" t="inlineStr">
        <is>
          <t>SALDO FINANCIAR</t>
        </is>
      </c>
      <c r="AL675" t="n">
        <v>8</v>
      </c>
      <c r="AM675" t="n">
        <v>20008.75</v>
      </c>
      <c r="AN675" t="n">
        <v>0</v>
      </c>
      <c r="AO675" t="n">
        <v>0</v>
      </c>
      <c r="AP675" s="39" t="n">
        <v>20008.75</v>
      </c>
      <c r="AQ675" s="39" t="n">
        <v>0</v>
      </c>
      <c r="AR675" s="39" t="n">
        <v>20008.75</v>
      </c>
      <c r="AT675" t="inlineStr">
        <is>
          <t>Crédito Directo</t>
        </is>
      </c>
      <c r="AZ675" t="inlineStr">
        <is>
          <t>No</t>
        </is>
      </c>
      <c r="BC675" t="inlineStr">
        <is>
          <t>PENDIENTE</t>
        </is>
      </c>
      <c r="BN675" t="inlineStr">
        <is>
          <t>No</t>
        </is>
      </c>
      <c r="BO675" s="76" t="n">
        <v>46181.47777777778</v>
      </c>
      <c r="BP675" t="inlineStr">
        <is>
          <t>Carla Michue M</t>
        </is>
      </c>
      <c r="BR675" t="n">
        <v>9</v>
      </c>
      <c r="BW675" t="inlineStr">
        <is>
          <t>Cobranzas_2027.csv</t>
        </is>
      </c>
      <c r="BX675" t="n">
        <v>2027</v>
      </c>
      <c r="BY675" t="inlineStr">
        <is>
          <t>01/01/2024</t>
        </is>
      </c>
      <c r="BZ675" t="inlineStr">
        <is>
          <t>30/06/2031</t>
        </is>
      </c>
    </row>
    <row r="676">
      <c r="A676" t="inlineStr">
        <is>
          <t>RESIDENCIAL BEYOND</t>
        </is>
      </c>
      <c r="B676" t="inlineStr">
        <is>
          <t>Etapa 1</t>
        </is>
      </c>
      <c r="C676" t="inlineStr">
        <is>
          <t>Edificio</t>
        </is>
      </c>
      <c r="D676" t="inlineStr">
        <is>
          <t>A</t>
        </is>
      </c>
      <c r="E676" t="inlineStr">
        <is>
          <t>Departamento</t>
        </is>
      </c>
      <c r="F676" t="inlineStr">
        <is>
          <t>1603</t>
        </is>
      </c>
      <c r="G676" s="39" t="n">
        <v>493700</v>
      </c>
      <c r="H676" s="39" t="n">
        <v>436200</v>
      </c>
      <c r="I676" t="inlineStr">
        <is>
          <t>Edificio</t>
        </is>
      </c>
      <c r="J676" t="inlineStr">
        <is>
          <t>A</t>
        </is>
      </c>
      <c r="K676" t="inlineStr">
        <is>
          <t>Estacionamiento</t>
        </is>
      </c>
      <c r="L676" t="inlineStr">
        <is>
          <t>E 08 - D 08</t>
        </is>
      </c>
      <c r="M676" s="39" t="n">
        <v>53800</v>
      </c>
      <c r="N676" s="39" t="n">
        <v>53800</v>
      </c>
      <c r="S676" s="39" t="n"/>
      <c r="T676" s="39" t="n"/>
      <c r="Y676" s="39" t="n"/>
      <c r="Z676" s="39" t="n"/>
      <c r="AA676" t="inlineStr">
        <is>
          <t>Mohammed Belhaj b</t>
        </is>
      </c>
      <c r="AB676" t="inlineStr">
        <is>
          <t>NUoF6KHK3</t>
        </is>
      </c>
      <c r="AC676" t="inlineStr">
        <is>
          <t>Jr. Los Aromos Coop. Las Flores Mz 21LT. 31</t>
        </is>
      </c>
      <c r="AD676" t="n">
        <v>0</v>
      </c>
      <c r="AE676" t="inlineStr">
        <is>
          <t>922412765</t>
        </is>
      </c>
      <c r="AF676" t="inlineStr">
        <is>
          <t>mo.belhaj@outlook.com</t>
        </is>
      </c>
      <c r="AG676" t="inlineStr">
        <is>
          <t>LIMA</t>
        </is>
      </c>
      <c r="AH676" t="inlineStr">
        <is>
          <t>SAN JUAN DE LURIGANCHO</t>
        </is>
      </c>
      <c r="AI676" s="75" t="n">
        <v>46507</v>
      </c>
      <c r="AJ676" s="75" t="n"/>
      <c r="AK676" t="inlineStr">
        <is>
          <t>SALDO FINANCIAR</t>
        </is>
      </c>
      <c r="AL676" t="n">
        <v>9</v>
      </c>
      <c r="AM676" t="n">
        <v>20008.79</v>
      </c>
      <c r="AN676" t="n">
        <v>0</v>
      </c>
      <c r="AO676" t="n">
        <v>0</v>
      </c>
      <c r="AP676" s="39" t="n">
        <v>20008.79</v>
      </c>
      <c r="AQ676" s="39" t="n">
        <v>0</v>
      </c>
      <c r="AR676" s="39" t="n">
        <v>20008.79</v>
      </c>
      <c r="AT676" t="inlineStr">
        <is>
          <t>Crédito Directo</t>
        </is>
      </c>
      <c r="AZ676" t="inlineStr">
        <is>
          <t>No</t>
        </is>
      </c>
      <c r="BC676" t="inlineStr">
        <is>
          <t>PENDIENTE</t>
        </is>
      </c>
      <c r="BN676" t="inlineStr">
        <is>
          <t>No</t>
        </is>
      </c>
      <c r="BO676" s="76" t="n">
        <v>46181.47777777778</v>
      </c>
      <c r="BP676" t="inlineStr">
        <is>
          <t>Carla Michue M</t>
        </is>
      </c>
      <c r="BR676" t="n">
        <v>9</v>
      </c>
      <c r="BW676" t="inlineStr">
        <is>
          <t>Cobranzas_2027.csv</t>
        </is>
      </c>
      <c r="BX676" t="n">
        <v>2027</v>
      </c>
      <c r="BY676" t="inlineStr">
        <is>
          <t>01/01/2024</t>
        </is>
      </c>
      <c r="BZ676" t="inlineStr">
        <is>
          <t>30/06/2031</t>
        </is>
      </c>
    </row>
    <row r="677">
      <c r="A677" t="inlineStr">
        <is>
          <t>RESIDENCIAL VENECIA</t>
        </is>
      </c>
      <c r="B677" t="inlineStr">
        <is>
          <t>Etapa 1</t>
        </is>
      </c>
      <c r="C677" t="inlineStr">
        <is>
          <t>Edificio</t>
        </is>
      </c>
      <c r="D677" t="inlineStr">
        <is>
          <t>A</t>
        </is>
      </c>
      <c r="E677" t="inlineStr">
        <is>
          <t>Departamento</t>
        </is>
      </c>
      <c r="F677" t="inlineStr">
        <is>
          <t>601</t>
        </is>
      </c>
      <c r="G677" s="39" t="n">
        <v>545000</v>
      </c>
      <c r="H677" s="39" t="n">
        <v>545000</v>
      </c>
      <c r="I677" t="inlineStr">
        <is>
          <t>Edificio</t>
        </is>
      </c>
      <c r="J677" t="inlineStr">
        <is>
          <t>A</t>
        </is>
      </c>
      <c r="K677" t="inlineStr">
        <is>
          <t>Estacionamiento</t>
        </is>
      </c>
      <c r="L677" t="inlineStr">
        <is>
          <t>E 11</t>
        </is>
      </c>
      <c r="M677" s="39" t="n">
        <v>50800</v>
      </c>
      <c r="N677" s="39" t="n">
        <v>50800</v>
      </c>
      <c r="S677" s="39" t="n"/>
      <c r="T677" s="39" t="n"/>
      <c r="Y677" s="39" t="n"/>
      <c r="Z677" s="39" t="n"/>
      <c r="AA677" t="inlineStr">
        <is>
          <t>Norma Luz Tello Contreras</t>
        </is>
      </c>
      <c r="AB677" t="inlineStr">
        <is>
          <t>04063971</t>
        </is>
      </c>
      <c r="AC677" t="inlineStr">
        <is>
          <t>Av. Militar 1745 - Dpto. 1202</t>
        </is>
      </c>
      <c r="AD677" t="n">
        <v>0</v>
      </c>
      <c r="AE677" t="inlineStr">
        <is>
          <t>952305311</t>
        </is>
      </c>
      <c r="AF677" t="inlineStr">
        <is>
          <t>normatello@gmail.com</t>
        </is>
      </c>
      <c r="AG677" t="inlineStr">
        <is>
          <t>LIMA</t>
        </is>
      </c>
      <c r="AH677" t="inlineStr">
        <is>
          <t>LA VICTORIA</t>
        </is>
      </c>
      <c r="AI677" s="75" t="n">
        <v>46417</v>
      </c>
      <c r="AJ677" s="75" t="n"/>
      <c r="AK677" t="inlineStr">
        <is>
          <t>SALDO FINANCIAR</t>
        </is>
      </c>
      <c r="AL677" t="n">
        <v>17</v>
      </c>
      <c r="AM677" t="n">
        <v>6000</v>
      </c>
      <c r="AN677" t="n">
        <v>0</v>
      </c>
      <c r="AO677" t="n">
        <v>0</v>
      </c>
      <c r="AP677" s="39" t="n">
        <v>6000</v>
      </c>
      <c r="AQ677" s="39" t="n">
        <v>0</v>
      </c>
      <c r="AR677" s="39" t="n">
        <v>6000</v>
      </c>
      <c r="AT677" t="inlineStr">
        <is>
          <t>Crédito Directo</t>
        </is>
      </c>
      <c r="AZ677" t="inlineStr">
        <is>
          <t>No</t>
        </is>
      </c>
      <c r="BC677" t="inlineStr">
        <is>
          <t>PENDIENTE</t>
        </is>
      </c>
      <c r="BN677" t="inlineStr">
        <is>
          <t>No</t>
        </is>
      </c>
      <c r="BO677" s="76" t="n">
        <v>45857.51944444444</v>
      </c>
      <c r="BP677" t="inlineStr">
        <is>
          <t>Magaly Guevara Perez</t>
        </is>
      </c>
      <c r="BR677" t="n">
        <v>11</v>
      </c>
      <c r="BW677" t="inlineStr">
        <is>
          <t>Cobranzas_2027.csv</t>
        </is>
      </c>
      <c r="BX677" t="n">
        <v>2027</v>
      </c>
      <c r="BY677" t="inlineStr">
        <is>
          <t>01/01/2024</t>
        </is>
      </c>
      <c r="BZ677" t="inlineStr">
        <is>
          <t>30/06/2031</t>
        </is>
      </c>
    </row>
    <row r="678">
      <c r="A678" t="inlineStr">
        <is>
          <t>RESIDENCIAL VENECIA</t>
        </is>
      </c>
      <c r="B678" t="inlineStr">
        <is>
          <t>Etapa 1</t>
        </is>
      </c>
      <c r="C678" t="inlineStr">
        <is>
          <t>Edificio</t>
        </is>
      </c>
      <c r="D678" t="inlineStr">
        <is>
          <t>A</t>
        </is>
      </c>
      <c r="E678" t="inlineStr">
        <is>
          <t>Departamento</t>
        </is>
      </c>
      <c r="F678" t="inlineStr">
        <is>
          <t>601</t>
        </is>
      </c>
      <c r="G678" s="39" t="n">
        <v>545000</v>
      </c>
      <c r="H678" s="39" t="n">
        <v>545000</v>
      </c>
      <c r="I678" t="inlineStr">
        <is>
          <t>Edificio</t>
        </is>
      </c>
      <c r="J678" t="inlineStr">
        <is>
          <t>A</t>
        </is>
      </c>
      <c r="K678" t="inlineStr">
        <is>
          <t>Estacionamiento</t>
        </is>
      </c>
      <c r="L678" t="inlineStr">
        <is>
          <t>E 11</t>
        </is>
      </c>
      <c r="M678" s="39" t="n">
        <v>50800</v>
      </c>
      <c r="N678" s="39" t="n">
        <v>50800</v>
      </c>
      <c r="S678" s="39" t="n"/>
      <c r="T678" s="39" t="n"/>
      <c r="Y678" s="39" t="n"/>
      <c r="Z678" s="39" t="n"/>
      <c r="AA678" t="inlineStr">
        <is>
          <t>Norma Luz Tello Contreras</t>
        </is>
      </c>
      <c r="AB678" t="inlineStr">
        <is>
          <t>04063971</t>
        </is>
      </c>
      <c r="AC678" t="inlineStr">
        <is>
          <t>Av. Militar 1745 - Dpto. 1202</t>
        </is>
      </c>
      <c r="AD678" t="n">
        <v>0</v>
      </c>
      <c r="AE678" t="inlineStr">
        <is>
          <t>952305311</t>
        </is>
      </c>
      <c r="AF678" t="inlineStr">
        <is>
          <t>normatello@gmail.com</t>
        </is>
      </c>
      <c r="AG678" t="inlineStr">
        <is>
          <t>LIMA</t>
        </is>
      </c>
      <c r="AH678" t="inlineStr">
        <is>
          <t>LA VICTORIA</t>
        </is>
      </c>
      <c r="AI678" s="75" t="n">
        <v>46446</v>
      </c>
      <c r="AJ678" s="75" t="n"/>
      <c r="AK678" t="inlineStr">
        <is>
          <t>SALDO FINANCIAR</t>
        </is>
      </c>
      <c r="AL678" t="n">
        <v>18</v>
      </c>
      <c r="AM678" t="n">
        <v>6000</v>
      </c>
      <c r="AN678" t="n">
        <v>0</v>
      </c>
      <c r="AO678" t="n">
        <v>0</v>
      </c>
      <c r="AP678" s="39" t="n">
        <v>6000</v>
      </c>
      <c r="AQ678" s="39" t="n">
        <v>0</v>
      </c>
      <c r="AR678" s="39" t="n">
        <v>6000</v>
      </c>
      <c r="AT678" t="inlineStr">
        <is>
          <t>Crédito Directo</t>
        </is>
      </c>
      <c r="AZ678" t="inlineStr">
        <is>
          <t>No</t>
        </is>
      </c>
      <c r="BC678" t="inlineStr">
        <is>
          <t>PENDIENTE</t>
        </is>
      </c>
      <c r="BN678" t="inlineStr">
        <is>
          <t>No</t>
        </is>
      </c>
      <c r="BO678" s="76" t="n">
        <v>45857.51944444444</v>
      </c>
      <c r="BP678" t="inlineStr">
        <is>
          <t>Magaly Guevara Perez</t>
        </is>
      </c>
      <c r="BR678" t="n">
        <v>11</v>
      </c>
      <c r="BW678" t="inlineStr">
        <is>
          <t>Cobranzas_2027.csv</t>
        </is>
      </c>
      <c r="BX678" t="n">
        <v>2027</v>
      </c>
      <c r="BY678" t="inlineStr">
        <is>
          <t>01/01/2024</t>
        </is>
      </c>
      <c r="BZ678" t="inlineStr">
        <is>
          <t>30/06/2031</t>
        </is>
      </c>
    </row>
    <row r="679">
      <c r="A679" t="inlineStr">
        <is>
          <t>RESIDENCIAL VENECIA</t>
        </is>
      </c>
      <c r="B679" t="inlineStr">
        <is>
          <t>Etapa 1</t>
        </is>
      </c>
      <c r="C679" t="inlineStr">
        <is>
          <t>Edificio</t>
        </is>
      </c>
      <c r="D679" t="inlineStr">
        <is>
          <t>A</t>
        </is>
      </c>
      <c r="E679" t="inlineStr">
        <is>
          <t>Departamento</t>
        </is>
      </c>
      <c r="F679" t="inlineStr">
        <is>
          <t>601</t>
        </is>
      </c>
      <c r="G679" s="39" t="n">
        <v>545000</v>
      </c>
      <c r="H679" s="39" t="n">
        <v>545000</v>
      </c>
      <c r="I679" t="inlineStr">
        <is>
          <t>Edificio</t>
        </is>
      </c>
      <c r="J679" t="inlineStr">
        <is>
          <t>A</t>
        </is>
      </c>
      <c r="K679" t="inlineStr">
        <is>
          <t>Estacionamiento</t>
        </is>
      </c>
      <c r="L679" t="inlineStr">
        <is>
          <t>E 11</t>
        </is>
      </c>
      <c r="M679" s="39" t="n">
        <v>50800</v>
      </c>
      <c r="N679" s="39" t="n">
        <v>50800</v>
      </c>
      <c r="S679" s="39" t="n"/>
      <c r="T679" s="39" t="n"/>
      <c r="Y679" s="39" t="n"/>
      <c r="Z679" s="39" t="n"/>
      <c r="AA679" t="inlineStr">
        <is>
          <t>Norma Luz Tello Contreras</t>
        </is>
      </c>
      <c r="AB679" t="inlineStr">
        <is>
          <t>04063971</t>
        </is>
      </c>
      <c r="AC679" t="inlineStr">
        <is>
          <t>Av. Militar 1745 - Dpto. 1202</t>
        </is>
      </c>
      <c r="AD679" t="n">
        <v>0</v>
      </c>
      <c r="AE679" t="inlineStr">
        <is>
          <t>952305311</t>
        </is>
      </c>
      <c r="AF679" t="inlineStr">
        <is>
          <t>normatello@gmail.com</t>
        </is>
      </c>
      <c r="AG679" t="inlineStr">
        <is>
          <t>LIMA</t>
        </is>
      </c>
      <c r="AH679" t="inlineStr">
        <is>
          <t>LA VICTORIA</t>
        </is>
      </c>
      <c r="AI679" s="75" t="n">
        <v>46476</v>
      </c>
      <c r="AJ679" s="75" t="n"/>
      <c r="AK679" t="inlineStr">
        <is>
          <t>SALDO FINANCIAR</t>
        </is>
      </c>
      <c r="AL679" t="n">
        <v>19</v>
      </c>
      <c r="AM679" t="n">
        <v>6000</v>
      </c>
      <c r="AN679" t="n">
        <v>0</v>
      </c>
      <c r="AO679" t="n">
        <v>0</v>
      </c>
      <c r="AP679" s="39" t="n">
        <v>6000</v>
      </c>
      <c r="AQ679" s="39" t="n">
        <v>0</v>
      </c>
      <c r="AR679" s="39" t="n">
        <v>6000</v>
      </c>
      <c r="AT679" t="inlineStr">
        <is>
          <t>Crédito Directo</t>
        </is>
      </c>
      <c r="AZ679" t="inlineStr">
        <is>
          <t>No</t>
        </is>
      </c>
      <c r="BC679" t="inlineStr">
        <is>
          <t>PENDIENTE</t>
        </is>
      </c>
      <c r="BN679" t="inlineStr">
        <is>
          <t>No</t>
        </is>
      </c>
      <c r="BO679" s="76" t="n">
        <v>45857.51944444444</v>
      </c>
      <c r="BP679" t="inlineStr">
        <is>
          <t>Magaly Guevara Perez</t>
        </is>
      </c>
      <c r="BR679" t="n">
        <v>11</v>
      </c>
      <c r="BW679" t="inlineStr">
        <is>
          <t>Cobranzas_2027.csv</t>
        </is>
      </c>
      <c r="BX679" t="n">
        <v>2027</v>
      </c>
      <c r="BY679" t="inlineStr">
        <is>
          <t>01/01/2024</t>
        </is>
      </c>
      <c r="BZ679" t="inlineStr">
        <is>
          <t>30/06/2031</t>
        </is>
      </c>
    </row>
    <row r="680">
      <c r="A680" t="inlineStr">
        <is>
          <t>RESIDENCIAL VENECIA</t>
        </is>
      </c>
      <c r="B680" t="inlineStr">
        <is>
          <t>Etapa 1</t>
        </is>
      </c>
      <c r="C680" t="inlineStr">
        <is>
          <t>Edificio</t>
        </is>
      </c>
      <c r="D680" t="inlineStr">
        <is>
          <t>A</t>
        </is>
      </c>
      <c r="E680" t="inlineStr">
        <is>
          <t>Departamento</t>
        </is>
      </c>
      <c r="F680" t="inlineStr">
        <is>
          <t>601</t>
        </is>
      </c>
      <c r="G680" s="39" t="n">
        <v>545000</v>
      </c>
      <c r="H680" s="39" t="n">
        <v>545000</v>
      </c>
      <c r="I680" t="inlineStr">
        <is>
          <t>Edificio</t>
        </is>
      </c>
      <c r="J680" t="inlineStr">
        <is>
          <t>A</t>
        </is>
      </c>
      <c r="K680" t="inlineStr">
        <is>
          <t>Estacionamiento</t>
        </is>
      </c>
      <c r="L680" t="inlineStr">
        <is>
          <t>E 11</t>
        </is>
      </c>
      <c r="M680" s="39" t="n">
        <v>50800</v>
      </c>
      <c r="N680" s="39" t="n">
        <v>50800</v>
      </c>
      <c r="S680" s="39" t="n"/>
      <c r="T680" s="39" t="n"/>
      <c r="Y680" s="39" t="n"/>
      <c r="Z680" s="39" t="n"/>
      <c r="AA680" t="inlineStr">
        <is>
          <t>Norma Luz Tello Contreras</t>
        </is>
      </c>
      <c r="AB680" t="inlineStr">
        <is>
          <t>04063971</t>
        </is>
      </c>
      <c r="AC680" t="inlineStr">
        <is>
          <t>Av. Militar 1745 - Dpto. 1202</t>
        </is>
      </c>
      <c r="AD680" t="n">
        <v>0</v>
      </c>
      <c r="AE680" t="inlineStr">
        <is>
          <t>952305311</t>
        </is>
      </c>
      <c r="AF680" t="inlineStr">
        <is>
          <t>normatello@gmail.com</t>
        </is>
      </c>
      <c r="AG680" t="inlineStr">
        <is>
          <t>LIMA</t>
        </is>
      </c>
      <c r="AH680" t="inlineStr">
        <is>
          <t>LA VICTORIA</t>
        </is>
      </c>
      <c r="AI680" s="75" t="n">
        <v>46507</v>
      </c>
      <c r="AJ680" s="75" t="n"/>
      <c r="AK680" t="inlineStr">
        <is>
          <t>SALDO FINANCIAR</t>
        </is>
      </c>
      <c r="AL680" t="n">
        <v>20</v>
      </c>
      <c r="AM680" t="n">
        <v>238000</v>
      </c>
      <c r="AN680" t="n">
        <v>0</v>
      </c>
      <c r="AO680" t="n">
        <v>0</v>
      </c>
      <c r="AP680" s="39" t="n">
        <v>238000</v>
      </c>
      <c r="AQ680" s="39" t="n">
        <v>0</v>
      </c>
      <c r="AR680" s="39" t="n">
        <v>238000</v>
      </c>
      <c r="AT680" t="inlineStr">
        <is>
          <t>Crédito Directo</t>
        </is>
      </c>
      <c r="AZ680" t="inlineStr">
        <is>
          <t>No</t>
        </is>
      </c>
      <c r="BC680" t="inlineStr">
        <is>
          <t>PENDIENTE</t>
        </is>
      </c>
      <c r="BN680" t="inlineStr">
        <is>
          <t>No</t>
        </is>
      </c>
      <c r="BO680" s="76" t="n">
        <v>45857.51944444444</v>
      </c>
      <c r="BP680" t="inlineStr">
        <is>
          <t>Magaly Guevara Perez</t>
        </is>
      </c>
      <c r="BR680" t="n">
        <v>11</v>
      </c>
      <c r="BW680" t="inlineStr">
        <is>
          <t>Cobranzas_2027.csv</t>
        </is>
      </c>
      <c r="BX680" t="n">
        <v>2027</v>
      </c>
      <c r="BY680" t="inlineStr">
        <is>
          <t>01/01/2024</t>
        </is>
      </c>
      <c r="BZ680" t="inlineStr">
        <is>
          <t>30/06/2031</t>
        </is>
      </c>
    </row>
    <row r="681">
      <c r="A681" t="inlineStr">
        <is>
          <t>RESIDENCIAL VENECIA</t>
        </is>
      </c>
      <c r="B681" t="inlineStr">
        <is>
          <t>Etapa 1</t>
        </is>
      </c>
      <c r="C681" t="inlineStr">
        <is>
          <t>Edificio</t>
        </is>
      </c>
      <c r="D681" t="inlineStr">
        <is>
          <t>A</t>
        </is>
      </c>
      <c r="E681" t="inlineStr">
        <is>
          <t>Departamento</t>
        </is>
      </c>
      <c r="F681" t="inlineStr">
        <is>
          <t>302</t>
        </is>
      </c>
      <c r="G681" s="39" t="n">
        <v>623000</v>
      </c>
      <c r="H681" s="39" t="n">
        <v>600000</v>
      </c>
      <c r="M681" s="39" t="n"/>
      <c r="N681" s="39" t="n"/>
      <c r="S681" s="39" t="n"/>
      <c r="T681" s="39" t="n"/>
      <c r="Y681" s="39" t="n"/>
      <c r="Z681" s="39" t="n"/>
      <c r="AA681" t="inlineStr">
        <is>
          <t>Patricia Salazar Aparcana</t>
        </is>
      </c>
      <c r="AB681" t="inlineStr">
        <is>
          <t>10142891</t>
        </is>
      </c>
      <c r="AC681" t="inlineStr">
        <is>
          <t xml:space="preserve"> Jr. Manco segundo 2258 dpto 207</t>
        </is>
      </c>
      <c r="AD681" t="n">
        <v>0</v>
      </c>
      <c r="AE681" t="inlineStr">
        <is>
          <t>996611448</t>
        </is>
      </c>
      <c r="AF681" t="inlineStr">
        <is>
          <t>PATRICIASALAZAR25@HOTMAIL.COM</t>
        </is>
      </c>
      <c r="AG681" t="inlineStr">
        <is>
          <t>LIMA</t>
        </is>
      </c>
      <c r="AH681" t="inlineStr">
        <is>
          <t>LINCE</t>
        </is>
      </c>
      <c r="AI681" s="75" t="n">
        <v>46416</v>
      </c>
      <c r="AJ681" s="75" t="n"/>
      <c r="AK681" t="inlineStr">
        <is>
          <t>SALDO FINANCIAR</t>
        </is>
      </c>
      <c r="AL681" t="n">
        <v>1</v>
      </c>
      <c r="AM681" t="n">
        <v>540000</v>
      </c>
      <c r="AN681" t="n">
        <v>0</v>
      </c>
      <c r="AO681" t="n">
        <v>0</v>
      </c>
      <c r="AP681" s="39" t="n">
        <v>540000</v>
      </c>
      <c r="AQ681" s="39" t="n">
        <v>0</v>
      </c>
      <c r="AR681" s="39" t="n">
        <v>540000</v>
      </c>
      <c r="AT681" t="inlineStr">
        <is>
          <t>Ahorro</t>
        </is>
      </c>
      <c r="AZ681" t="inlineStr">
        <is>
          <t>No</t>
        </is>
      </c>
      <c r="BC681" t="inlineStr">
        <is>
          <t>PENDIENTE</t>
        </is>
      </c>
      <c r="BN681" t="inlineStr">
        <is>
          <t>No</t>
        </is>
      </c>
      <c r="BO681" s="76" t="n">
        <v>46081.33819444444</v>
      </c>
      <c r="BP681" t="inlineStr">
        <is>
          <t>Magaly Guevara Perez</t>
        </is>
      </c>
      <c r="BR681" t="n">
        <v>1</v>
      </c>
      <c r="BW681" t="inlineStr">
        <is>
          <t>Cobranzas_2027.csv</t>
        </is>
      </c>
      <c r="BX681" t="n">
        <v>2027</v>
      </c>
      <c r="BY681" t="inlineStr">
        <is>
          <t>01/01/2024</t>
        </is>
      </c>
      <c r="BZ681" t="inlineStr">
        <is>
          <t>30/06/2031</t>
        </is>
      </c>
    </row>
    <row r="682">
      <c r="A682" t="inlineStr">
        <is>
          <t>RESIDENCIAL VENECIA</t>
        </is>
      </c>
      <c r="B682" t="inlineStr">
        <is>
          <t>Etapa 1</t>
        </is>
      </c>
      <c r="C682" t="inlineStr">
        <is>
          <t>Edificio</t>
        </is>
      </c>
      <c r="D682" t="inlineStr">
        <is>
          <t>A</t>
        </is>
      </c>
      <c r="E682" t="inlineStr">
        <is>
          <t>Departamento</t>
        </is>
      </c>
      <c r="F682" t="inlineStr">
        <is>
          <t>602</t>
        </is>
      </c>
      <c r="G682" s="39" t="n">
        <v>573000</v>
      </c>
      <c r="H682" s="39" t="n">
        <v>573000</v>
      </c>
      <c r="I682" t="inlineStr">
        <is>
          <t>Edificio</t>
        </is>
      </c>
      <c r="J682" t="inlineStr">
        <is>
          <t>A</t>
        </is>
      </c>
      <c r="K682" t="inlineStr">
        <is>
          <t>Estacionamiento</t>
        </is>
      </c>
      <c r="L682" t="inlineStr">
        <is>
          <t>E 24 - D 5</t>
        </is>
      </c>
      <c r="M682" s="39" t="n">
        <v>51000</v>
      </c>
      <c r="N682" s="39" t="n">
        <v>51000</v>
      </c>
      <c r="S682" s="39" t="n"/>
      <c r="T682" s="39" t="n"/>
      <c r="Y682" s="39" t="n"/>
      <c r="Z682" s="39" t="n"/>
      <c r="AA682" t="inlineStr">
        <is>
          <t>Rocio Chuquimango Valencia</t>
        </is>
      </c>
      <c r="AB682" t="inlineStr">
        <is>
          <t>26707781</t>
        </is>
      </c>
      <c r="AC682" t="inlineStr">
        <is>
          <t xml:space="preserve">AV.ATAHUALPA 337.INT 2 </t>
        </is>
      </c>
      <c r="AD682" t="n">
        <v>0</v>
      </c>
      <c r="AE682" t="inlineStr">
        <is>
          <t>976685767</t>
        </is>
      </c>
      <c r="AF682" t="inlineStr">
        <is>
          <t>rocio-0511@hotmail.com</t>
        </is>
      </c>
      <c r="AG682" t="inlineStr">
        <is>
          <t>CAJAMARCA</t>
        </is>
      </c>
      <c r="AH682" t="inlineStr">
        <is>
          <t>CAJAMARCA</t>
        </is>
      </c>
      <c r="AI682" s="75" t="n">
        <v>46418</v>
      </c>
      <c r="AJ682" s="75" t="n"/>
      <c r="AK682" t="inlineStr">
        <is>
          <t>SALDO FINANCIAR</t>
        </is>
      </c>
      <c r="AL682" t="n">
        <v>7</v>
      </c>
      <c r="AM682" t="n">
        <v>24266.67</v>
      </c>
      <c r="AN682" t="n">
        <v>0</v>
      </c>
      <c r="AO682" t="n">
        <v>0</v>
      </c>
      <c r="AP682" s="39" t="n">
        <v>24266.67</v>
      </c>
      <c r="AQ682" s="39" t="n">
        <v>0</v>
      </c>
      <c r="AR682" s="39" t="n">
        <v>24266.67</v>
      </c>
      <c r="AT682" t="inlineStr">
        <is>
          <t>Crédito Directo</t>
        </is>
      </c>
      <c r="AZ682" t="inlineStr">
        <is>
          <t>No</t>
        </is>
      </c>
      <c r="BC682" t="inlineStr">
        <is>
          <t>PENDIENTE</t>
        </is>
      </c>
      <c r="BN682" t="inlineStr">
        <is>
          <t>No</t>
        </is>
      </c>
      <c r="BO682" s="76" t="n">
        <v>45898.34652777778</v>
      </c>
      <c r="BP682" t="inlineStr">
        <is>
          <t>Magaly Guevara Perez</t>
        </is>
      </c>
      <c r="BR682" t="n">
        <v>12</v>
      </c>
      <c r="BW682" t="inlineStr">
        <is>
          <t>Cobranzas_2027.csv</t>
        </is>
      </c>
      <c r="BX682" t="n">
        <v>2027</v>
      </c>
      <c r="BY682" t="inlineStr">
        <is>
          <t>01/01/2024</t>
        </is>
      </c>
      <c r="BZ682" t="inlineStr">
        <is>
          <t>30/06/2031</t>
        </is>
      </c>
    </row>
    <row r="683">
      <c r="A683" t="inlineStr">
        <is>
          <t>RESIDENCIAL VENECIA</t>
        </is>
      </c>
      <c r="B683" t="inlineStr">
        <is>
          <t>Etapa 1</t>
        </is>
      </c>
      <c r="C683" t="inlineStr">
        <is>
          <t>Edificio</t>
        </is>
      </c>
      <c r="D683" t="inlineStr">
        <is>
          <t>A</t>
        </is>
      </c>
      <c r="E683" t="inlineStr">
        <is>
          <t>Departamento</t>
        </is>
      </c>
      <c r="F683" t="inlineStr">
        <is>
          <t>602</t>
        </is>
      </c>
      <c r="G683" s="39" t="n">
        <v>573000</v>
      </c>
      <c r="H683" s="39" t="n">
        <v>573000</v>
      </c>
      <c r="I683" t="inlineStr">
        <is>
          <t>Edificio</t>
        </is>
      </c>
      <c r="J683" t="inlineStr">
        <is>
          <t>A</t>
        </is>
      </c>
      <c r="K683" t="inlineStr">
        <is>
          <t>Estacionamiento</t>
        </is>
      </c>
      <c r="L683" t="inlineStr">
        <is>
          <t>E 24 - D 5</t>
        </is>
      </c>
      <c r="M683" s="39" t="n">
        <v>51000</v>
      </c>
      <c r="N683" s="39" t="n">
        <v>51000</v>
      </c>
      <c r="S683" s="39" t="n"/>
      <c r="T683" s="39" t="n"/>
      <c r="Y683" s="39" t="n"/>
      <c r="Z683" s="39" t="n"/>
      <c r="AA683" t="inlineStr">
        <is>
          <t>Rocio Chuquimango Valencia</t>
        </is>
      </c>
      <c r="AB683" t="inlineStr">
        <is>
          <t>26707781</t>
        </is>
      </c>
      <c r="AC683" t="inlineStr">
        <is>
          <t xml:space="preserve">AV.ATAHUALPA 337.INT 2 </t>
        </is>
      </c>
      <c r="AD683" t="n">
        <v>0</v>
      </c>
      <c r="AE683" t="inlineStr">
        <is>
          <t>976685767</t>
        </is>
      </c>
      <c r="AF683" t="inlineStr">
        <is>
          <t>rocio-0511@hotmail.com</t>
        </is>
      </c>
      <c r="AG683" t="inlineStr">
        <is>
          <t>CAJAMARCA</t>
        </is>
      </c>
      <c r="AH683" t="inlineStr">
        <is>
          <t>CAJAMARCA</t>
        </is>
      </c>
      <c r="AI683" s="75" t="n">
        <v>46446</v>
      </c>
      <c r="AJ683" s="75" t="n"/>
      <c r="AK683" t="inlineStr">
        <is>
          <t>SALDO FINANCIAR</t>
        </is>
      </c>
      <c r="AL683" t="n">
        <v>8</v>
      </c>
      <c r="AM683" t="n">
        <v>24266.67</v>
      </c>
      <c r="AN683" t="n">
        <v>0</v>
      </c>
      <c r="AO683" t="n">
        <v>0</v>
      </c>
      <c r="AP683" s="39" t="n">
        <v>24266.67</v>
      </c>
      <c r="AQ683" s="39" t="n">
        <v>0</v>
      </c>
      <c r="AR683" s="39" t="n">
        <v>24266.67</v>
      </c>
      <c r="AT683" t="inlineStr">
        <is>
          <t>Crédito Directo</t>
        </is>
      </c>
      <c r="AZ683" t="inlineStr">
        <is>
          <t>No</t>
        </is>
      </c>
      <c r="BC683" t="inlineStr">
        <is>
          <t>PENDIENTE</t>
        </is>
      </c>
      <c r="BN683" t="inlineStr">
        <is>
          <t>No</t>
        </is>
      </c>
      <c r="BO683" s="76" t="n">
        <v>45898.34652777778</v>
      </c>
      <c r="BP683" t="inlineStr">
        <is>
          <t>Magaly Guevara Perez</t>
        </is>
      </c>
      <c r="BR683" t="n">
        <v>12</v>
      </c>
      <c r="BW683" t="inlineStr">
        <is>
          <t>Cobranzas_2027.csv</t>
        </is>
      </c>
      <c r="BX683" t="n">
        <v>2027</v>
      </c>
      <c r="BY683" t="inlineStr">
        <is>
          <t>01/01/2024</t>
        </is>
      </c>
      <c r="BZ683" t="inlineStr">
        <is>
          <t>30/06/2031</t>
        </is>
      </c>
    </row>
    <row r="684">
      <c r="A684" t="inlineStr">
        <is>
          <t>RESIDENCIAL VENECIA</t>
        </is>
      </c>
      <c r="B684" t="inlineStr">
        <is>
          <t>Etapa 1</t>
        </is>
      </c>
      <c r="C684" t="inlineStr">
        <is>
          <t>Edificio</t>
        </is>
      </c>
      <c r="D684" t="inlineStr">
        <is>
          <t>A</t>
        </is>
      </c>
      <c r="E684" t="inlineStr">
        <is>
          <t>Departamento</t>
        </is>
      </c>
      <c r="F684" t="inlineStr">
        <is>
          <t>602</t>
        </is>
      </c>
      <c r="G684" s="39" t="n">
        <v>573000</v>
      </c>
      <c r="H684" s="39" t="n">
        <v>573000</v>
      </c>
      <c r="I684" t="inlineStr">
        <is>
          <t>Edificio</t>
        </is>
      </c>
      <c r="J684" t="inlineStr">
        <is>
          <t>A</t>
        </is>
      </c>
      <c r="K684" t="inlineStr">
        <is>
          <t>Estacionamiento</t>
        </is>
      </c>
      <c r="L684" t="inlineStr">
        <is>
          <t>E 24 - D 5</t>
        </is>
      </c>
      <c r="M684" s="39" t="n">
        <v>51000</v>
      </c>
      <c r="N684" s="39" t="n">
        <v>51000</v>
      </c>
      <c r="S684" s="39" t="n"/>
      <c r="T684" s="39" t="n"/>
      <c r="Y684" s="39" t="n"/>
      <c r="Z684" s="39" t="n"/>
      <c r="AA684" t="inlineStr">
        <is>
          <t>Rocio Chuquimango Valencia</t>
        </is>
      </c>
      <c r="AB684" t="inlineStr">
        <is>
          <t>26707781</t>
        </is>
      </c>
      <c r="AC684" t="inlineStr">
        <is>
          <t xml:space="preserve">AV.ATAHUALPA 337.INT 2 </t>
        </is>
      </c>
      <c r="AD684" t="n">
        <v>0</v>
      </c>
      <c r="AE684" t="inlineStr">
        <is>
          <t>976685767</t>
        </is>
      </c>
      <c r="AF684" t="inlineStr">
        <is>
          <t>rocio-0511@hotmail.com</t>
        </is>
      </c>
      <c r="AG684" t="inlineStr">
        <is>
          <t>CAJAMARCA</t>
        </is>
      </c>
      <c r="AH684" t="inlineStr">
        <is>
          <t>CAJAMARCA</t>
        </is>
      </c>
      <c r="AI684" s="75" t="n">
        <v>46477</v>
      </c>
      <c r="AJ684" s="75" t="n"/>
      <c r="AK684" t="inlineStr">
        <is>
          <t>SALDO FINANCIAR</t>
        </is>
      </c>
      <c r="AL684" t="n">
        <v>9</v>
      </c>
      <c r="AM684" t="n">
        <v>24266.67</v>
      </c>
      <c r="AN684" t="n">
        <v>0</v>
      </c>
      <c r="AO684" t="n">
        <v>0</v>
      </c>
      <c r="AP684" s="39" t="n">
        <v>24266.67</v>
      </c>
      <c r="AQ684" s="39" t="n">
        <v>0</v>
      </c>
      <c r="AR684" s="39" t="n">
        <v>24266.67</v>
      </c>
      <c r="AT684" t="inlineStr">
        <is>
          <t>Crédito Directo</t>
        </is>
      </c>
      <c r="AZ684" t="inlineStr">
        <is>
          <t>No</t>
        </is>
      </c>
      <c r="BC684" t="inlineStr">
        <is>
          <t>PENDIENTE</t>
        </is>
      </c>
      <c r="BN684" t="inlineStr">
        <is>
          <t>No</t>
        </is>
      </c>
      <c r="BO684" s="76" t="n">
        <v>45898.34652777778</v>
      </c>
      <c r="BP684" t="inlineStr">
        <is>
          <t>Magaly Guevara Perez</t>
        </is>
      </c>
      <c r="BR684" t="n">
        <v>12</v>
      </c>
      <c r="BW684" t="inlineStr">
        <is>
          <t>Cobranzas_2027.csv</t>
        </is>
      </c>
      <c r="BX684" t="n">
        <v>2027</v>
      </c>
      <c r="BY684" t="inlineStr">
        <is>
          <t>01/01/2024</t>
        </is>
      </c>
      <c r="BZ684" t="inlineStr">
        <is>
          <t>30/06/2031</t>
        </is>
      </c>
    </row>
    <row r="685">
      <c r="A685" t="inlineStr">
        <is>
          <t>RESIDENCIAL VENECIA</t>
        </is>
      </c>
      <c r="B685" t="inlineStr">
        <is>
          <t>Etapa 1</t>
        </is>
      </c>
      <c r="C685" t="inlineStr">
        <is>
          <t>Edificio</t>
        </is>
      </c>
      <c r="D685" t="inlineStr">
        <is>
          <t>A</t>
        </is>
      </c>
      <c r="E685" t="inlineStr">
        <is>
          <t>Departamento</t>
        </is>
      </c>
      <c r="F685" t="inlineStr">
        <is>
          <t>602</t>
        </is>
      </c>
      <c r="G685" s="39" t="n">
        <v>573000</v>
      </c>
      <c r="H685" s="39" t="n">
        <v>573000</v>
      </c>
      <c r="I685" t="inlineStr">
        <is>
          <t>Edificio</t>
        </is>
      </c>
      <c r="J685" t="inlineStr">
        <is>
          <t>A</t>
        </is>
      </c>
      <c r="K685" t="inlineStr">
        <is>
          <t>Estacionamiento</t>
        </is>
      </c>
      <c r="L685" t="inlineStr">
        <is>
          <t>E 24 - D 5</t>
        </is>
      </c>
      <c r="M685" s="39" t="n">
        <v>51000</v>
      </c>
      <c r="N685" s="39" t="n">
        <v>51000</v>
      </c>
      <c r="S685" s="39" t="n"/>
      <c r="T685" s="39" t="n"/>
      <c r="Y685" s="39" t="n"/>
      <c r="Z685" s="39" t="n"/>
      <c r="AA685" t="inlineStr">
        <is>
          <t>Rocio Chuquimango Valencia</t>
        </is>
      </c>
      <c r="AB685" t="inlineStr">
        <is>
          <t>26707781</t>
        </is>
      </c>
      <c r="AC685" t="inlineStr">
        <is>
          <t xml:space="preserve">AV.ATAHUALPA 337.INT 2 </t>
        </is>
      </c>
      <c r="AD685" t="n">
        <v>0</v>
      </c>
      <c r="AE685" t="inlineStr">
        <is>
          <t>976685767</t>
        </is>
      </c>
      <c r="AF685" t="inlineStr">
        <is>
          <t>rocio-0511@hotmail.com</t>
        </is>
      </c>
      <c r="AG685" t="inlineStr">
        <is>
          <t>CAJAMARCA</t>
        </is>
      </c>
      <c r="AH685" t="inlineStr">
        <is>
          <t>CAJAMARCA</t>
        </is>
      </c>
      <c r="AI685" s="75" t="n">
        <v>46507</v>
      </c>
      <c r="AJ685" s="75" t="n"/>
      <c r="AK685" t="inlineStr">
        <is>
          <t>SALDO FINANCIAR</t>
        </is>
      </c>
      <c r="AL685" t="n">
        <v>10</v>
      </c>
      <c r="AM685" t="n">
        <v>24266.67</v>
      </c>
      <c r="AN685" t="n">
        <v>0</v>
      </c>
      <c r="AO685" t="n">
        <v>0</v>
      </c>
      <c r="AP685" s="39" t="n">
        <v>24266.67</v>
      </c>
      <c r="AQ685" s="39" t="n">
        <v>0</v>
      </c>
      <c r="AR685" s="39" t="n">
        <v>24266.67</v>
      </c>
      <c r="AT685" t="inlineStr">
        <is>
          <t>Crédito Directo</t>
        </is>
      </c>
      <c r="AZ685" t="inlineStr">
        <is>
          <t>No</t>
        </is>
      </c>
      <c r="BC685" t="inlineStr">
        <is>
          <t>PENDIENTE</t>
        </is>
      </c>
      <c r="BN685" t="inlineStr">
        <is>
          <t>No</t>
        </is>
      </c>
      <c r="BO685" s="76" t="n">
        <v>45898.34652777778</v>
      </c>
      <c r="BP685" t="inlineStr">
        <is>
          <t>Magaly Guevara Perez</t>
        </is>
      </c>
      <c r="BR685" t="n">
        <v>12</v>
      </c>
      <c r="BW685" t="inlineStr">
        <is>
          <t>Cobranzas_2027.csv</t>
        </is>
      </c>
      <c r="BX685" t="n">
        <v>2027</v>
      </c>
      <c r="BY685" t="inlineStr">
        <is>
          <t>01/01/2024</t>
        </is>
      </c>
      <c r="BZ685" t="inlineStr">
        <is>
          <t>30/06/2031</t>
        </is>
      </c>
    </row>
    <row r="686">
      <c r="A686" t="inlineStr">
        <is>
          <t>RESIDENCIAL VENECIA</t>
        </is>
      </c>
      <c r="B686" t="inlineStr">
        <is>
          <t>Etapa 1</t>
        </is>
      </c>
      <c r="C686" t="inlineStr">
        <is>
          <t>Edificio</t>
        </is>
      </c>
      <c r="D686" t="inlineStr">
        <is>
          <t>A</t>
        </is>
      </c>
      <c r="E686" t="inlineStr">
        <is>
          <t>Departamento</t>
        </is>
      </c>
      <c r="F686" t="inlineStr">
        <is>
          <t>602</t>
        </is>
      </c>
      <c r="G686" s="39" t="n">
        <v>573000</v>
      </c>
      <c r="H686" s="39" t="n">
        <v>573000</v>
      </c>
      <c r="I686" t="inlineStr">
        <is>
          <t>Edificio</t>
        </is>
      </c>
      <c r="J686" t="inlineStr">
        <is>
          <t>A</t>
        </is>
      </c>
      <c r="K686" t="inlineStr">
        <is>
          <t>Estacionamiento</t>
        </is>
      </c>
      <c r="L686" t="inlineStr">
        <is>
          <t>E 24 - D 5</t>
        </is>
      </c>
      <c r="M686" s="39" t="n">
        <v>51000</v>
      </c>
      <c r="N686" s="39" t="n">
        <v>51000</v>
      </c>
      <c r="S686" s="39" t="n"/>
      <c r="T686" s="39" t="n"/>
      <c r="Y686" s="39" t="n"/>
      <c r="Z686" s="39" t="n"/>
      <c r="AA686" t="inlineStr">
        <is>
          <t>Rocio Chuquimango Valencia</t>
        </is>
      </c>
      <c r="AB686" t="inlineStr">
        <is>
          <t>26707781</t>
        </is>
      </c>
      <c r="AC686" t="inlineStr">
        <is>
          <t xml:space="preserve">AV.ATAHUALPA 337.INT 2 </t>
        </is>
      </c>
      <c r="AD686" t="n">
        <v>0</v>
      </c>
      <c r="AE686" t="inlineStr">
        <is>
          <t>976685767</t>
        </is>
      </c>
      <c r="AF686" t="inlineStr">
        <is>
          <t>rocio-0511@hotmail.com</t>
        </is>
      </c>
      <c r="AG686" t="inlineStr">
        <is>
          <t>CAJAMARCA</t>
        </is>
      </c>
      <c r="AH686" t="inlineStr">
        <is>
          <t>CAJAMARCA</t>
        </is>
      </c>
      <c r="AI686" s="75" t="n">
        <v>46538</v>
      </c>
      <c r="AJ686" s="75" t="n"/>
      <c r="AK686" t="inlineStr">
        <is>
          <t>SALDO FINANCIAR</t>
        </is>
      </c>
      <c r="AL686" t="n">
        <v>11</v>
      </c>
      <c r="AM686" t="n">
        <v>24266.67</v>
      </c>
      <c r="AN686" t="n">
        <v>0</v>
      </c>
      <c r="AO686" t="n">
        <v>0</v>
      </c>
      <c r="AP686" s="39" t="n">
        <v>24266.67</v>
      </c>
      <c r="AQ686" s="39" t="n">
        <v>0</v>
      </c>
      <c r="AR686" s="39" t="n">
        <v>24266.67</v>
      </c>
      <c r="AT686" t="inlineStr">
        <is>
          <t>Crédito Directo</t>
        </is>
      </c>
      <c r="AZ686" t="inlineStr">
        <is>
          <t>No</t>
        </is>
      </c>
      <c r="BC686" t="inlineStr">
        <is>
          <t>PENDIENTE</t>
        </is>
      </c>
      <c r="BN686" t="inlineStr">
        <is>
          <t>No</t>
        </is>
      </c>
      <c r="BO686" s="76" t="n">
        <v>45898.34652777778</v>
      </c>
      <c r="BP686" t="inlineStr">
        <is>
          <t>Magaly Guevara Perez</t>
        </is>
      </c>
      <c r="BR686" t="n">
        <v>12</v>
      </c>
      <c r="BW686" t="inlineStr">
        <is>
          <t>Cobranzas_2027.csv</t>
        </is>
      </c>
      <c r="BX686" t="n">
        <v>2027</v>
      </c>
      <c r="BY686" t="inlineStr">
        <is>
          <t>01/01/2024</t>
        </is>
      </c>
      <c r="BZ686" t="inlineStr">
        <is>
          <t>30/06/2031</t>
        </is>
      </c>
    </row>
    <row r="687">
      <c r="A687" t="inlineStr">
        <is>
          <t>RESIDENCIAL VENECIA</t>
        </is>
      </c>
      <c r="B687" t="inlineStr">
        <is>
          <t>Etapa 1</t>
        </is>
      </c>
      <c r="C687" t="inlineStr">
        <is>
          <t>Edificio</t>
        </is>
      </c>
      <c r="D687" t="inlineStr">
        <is>
          <t>A</t>
        </is>
      </c>
      <c r="E687" t="inlineStr">
        <is>
          <t>Departamento</t>
        </is>
      </c>
      <c r="F687" t="inlineStr">
        <is>
          <t>602</t>
        </is>
      </c>
      <c r="G687" s="39" t="n">
        <v>573000</v>
      </c>
      <c r="H687" s="39" t="n">
        <v>573000</v>
      </c>
      <c r="I687" t="inlineStr">
        <is>
          <t>Edificio</t>
        </is>
      </c>
      <c r="J687" t="inlineStr">
        <is>
          <t>A</t>
        </is>
      </c>
      <c r="K687" t="inlineStr">
        <is>
          <t>Estacionamiento</t>
        </is>
      </c>
      <c r="L687" t="inlineStr">
        <is>
          <t>E 24 - D 5</t>
        </is>
      </c>
      <c r="M687" s="39" t="n">
        <v>51000</v>
      </c>
      <c r="N687" s="39" t="n">
        <v>51000</v>
      </c>
      <c r="S687" s="39" t="n"/>
      <c r="T687" s="39" t="n"/>
      <c r="Y687" s="39" t="n"/>
      <c r="Z687" s="39" t="n"/>
      <c r="AA687" t="inlineStr">
        <is>
          <t>Rocio Chuquimango Valencia</t>
        </is>
      </c>
      <c r="AB687" t="inlineStr">
        <is>
          <t>26707781</t>
        </is>
      </c>
      <c r="AC687" t="inlineStr">
        <is>
          <t xml:space="preserve">AV.ATAHUALPA 337.INT 2 </t>
        </is>
      </c>
      <c r="AD687" t="n">
        <v>0</v>
      </c>
      <c r="AE687" t="inlineStr">
        <is>
          <t>976685767</t>
        </is>
      </c>
      <c r="AF687" t="inlineStr">
        <is>
          <t>rocio-0511@hotmail.com</t>
        </is>
      </c>
      <c r="AG687" t="inlineStr">
        <is>
          <t>CAJAMARCA</t>
        </is>
      </c>
      <c r="AH687" t="inlineStr">
        <is>
          <t>CAJAMARCA</t>
        </is>
      </c>
      <c r="AI687" s="75" t="n">
        <v>46568</v>
      </c>
      <c r="AJ687" s="75" t="n"/>
      <c r="AK687" t="inlineStr">
        <is>
          <t>SALDO FINANCIAR</t>
        </is>
      </c>
      <c r="AL687" t="n">
        <v>12</v>
      </c>
      <c r="AM687" t="n">
        <v>24266.67</v>
      </c>
      <c r="AN687" t="n">
        <v>0</v>
      </c>
      <c r="AO687" t="n">
        <v>0</v>
      </c>
      <c r="AP687" s="39" t="n">
        <v>24266.67</v>
      </c>
      <c r="AQ687" s="39" t="n">
        <v>0</v>
      </c>
      <c r="AR687" s="39" t="n">
        <v>24266.67</v>
      </c>
      <c r="AT687" t="inlineStr">
        <is>
          <t>Crédito Directo</t>
        </is>
      </c>
      <c r="AZ687" t="inlineStr">
        <is>
          <t>No</t>
        </is>
      </c>
      <c r="BC687" t="inlineStr">
        <is>
          <t>PENDIENTE</t>
        </is>
      </c>
      <c r="BN687" t="inlineStr">
        <is>
          <t>No</t>
        </is>
      </c>
      <c r="BO687" s="76" t="n">
        <v>45898.34652777778</v>
      </c>
      <c r="BP687" t="inlineStr">
        <is>
          <t>Magaly Guevara Perez</t>
        </is>
      </c>
      <c r="BR687" t="n">
        <v>12</v>
      </c>
      <c r="BW687" t="inlineStr">
        <is>
          <t>Cobranzas_2027.csv</t>
        </is>
      </c>
      <c r="BX687" t="n">
        <v>2027</v>
      </c>
      <c r="BY687" t="inlineStr">
        <is>
          <t>01/01/2024</t>
        </is>
      </c>
      <c r="BZ687" t="inlineStr">
        <is>
          <t>30/06/2031</t>
        </is>
      </c>
    </row>
    <row r="688">
      <c r="A688" t="inlineStr">
        <is>
          <t>RESIDENCIAL VENECIA</t>
        </is>
      </c>
      <c r="B688" t="inlineStr">
        <is>
          <t>Etapa 1</t>
        </is>
      </c>
      <c r="C688" t="inlineStr">
        <is>
          <t>Edificio</t>
        </is>
      </c>
      <c r="D688" t="inlineStr">
        <is>
          <t>A</t>
        </is>
      </c>
      <c r="E688" t="inlineStr">
        <is>
          <t>Departamento</t>
        </is>
      </c>
      <c r="F688" t="inlineStr">
        <is>
          <t>602</t>
        </is>
      </c>
      <c r="G688" s="39" t="n">
        <v>573000</v>
      </c>
      <c r="H688" s="39" t="n">
        <v>573000</v>
      </c>
      <c r="I688" t="inlineStr">
        <is>
          <t>Edificio</t>
        </is>
      </c>
      <c r="J688" t="inlineStr">
        <is>
          <t>A</t>
        </is>
      </c>
      <c r="K688" t="inlineStr">
        <is>
          <t>Estacionamiento</t>
        </is>
      </c>
      <c r="L688" t="inlineStr">
        <is>
          <t>E 24 - D 5</t>
        </is>
      </c>
      <c r="M688" s="39" t="n">
        <v>51000</v>
      </c>
      <c r="N688" s="39" t="n">
        <v>51000</v>
      </c>
      <c r="S688" s="39" t="n"/>
      <c r="T688" s="39" t="n"/>
      <c r="Y688" s="39" t="n"/>
      <c r="Z688" s="39" t="n"/>
      <c r="AA688" t="inlineStr">
        <is>
          <t>Rocio Chuquimango Valencia</t>
        </is>
      </c>
      <c r="AB688" t="inlineStr">
        <is>
          <t>26707781</t>
        </is>
      </c>
      <c r="AC688" t="inlineStr">
        <is>
          <t xml:space="preserve">AV.ATAHUALPA 337.INT 2 </t>
        </is>
      </c>
      <c r="AD688" t="n">
        <v>0</v>
      </c>
      <c r="AE688" t="inlineStr">
        <is>
          <t>976685767</t>
        </is>
      </c>
      <c r="AF688" t="inlineStr">
        <is>
          <t>rocio-0511@hotmail.com</t>
        </is>
      </c>
      <c r="AG688" t="inlineStr">
        <is>
          <t>CAJAMARCA</t>
        </is>
      </c>
      <c r="AH688" t="inlineStr">
        <is>
          <t>CAJAMARCA</t>
        </is>
      </c>
      <c r="AI688" s="75" t="n">
        <v>46599</v>
      </c>
      <c r="AJ688" s="75" t="n"/>
      <c r="AK688" t="inlineStr">
        <is>
          <t>SALDO FINANCIAR</t>
        </is>
      </c>
      <c r="AL688" t="n">
        <v>13</v>
      </c>
      <c r="AM688" t="n">
        <v>24266.67</v>
      </c>
      <c r="AN688" t="n">
        <v>0</v>
      </c>
      <c r="AO688" t="n">
        <v>0</v>
      </c>
      <c r="AP688" s="39" t="n">
        <v>24266.67</v>
      </c>
      <c r="AQ688" s="39" t="n">
        <v>0</v>
      </c>
      <c r="AR688" s="39" t="n">
        <v>24266.67</v>
      </c>
      <c r="AT688" t="inlineStr">
        <is>
          <t>Crédito Directo</t>
        </is>
      </c>
      <c r="AZ688" t="inlineStr">
        <is>
          <t>No</t>
        </is>
      </c>
      <c r="BC688" t="inlineStr">
        <is>
          <t>PENDIENTE</t>
        </is>
      </c>
      <c r="BN688" t="inlineStr">
        <is>
          <t>No</t>
        </is>
      </c>
      <c r="BO688" s="76" t="n">
        <v>45898.34652777778</v>
      </c>
      <c r="BP688" t="inlineStr">
        <is>
          <t>Magaly Guevara Perez</t>
        </is>
      </c>
      <c r="BR688" t="n">
        <v>12</v>
      </c>
      <c r="BW688" t="inlineStr">
        <is>
          <t>Cobranzas_2027.csv</t>
        </is>
      </c>
      <c r="BX688" t="n">
        <v>2027</v>
      </c>
      <c r="BY688" t="inlineStr">
        <is>
          <t>01/01/2024</t>
        </is>
      </c>
      <c r="BZ688" t="inlineStr">
        <is>
          <t>30/06/2031</t>
        </is>
      </c>
    </row>
    <row r="689">
      <c r="A689" t="inlineStr">
        <is>
          <t>RESIDENCIAL VENECIA</t>
        </is>
      </c>
      <c r="B689" t="inlineStr">
        <is>
          <t>Etapa 1</t>
        </is>
      </c>
      <c r="C689" t="inlineStr">
        <is>
          <t>Edificio</t>
        </is>
      </c>
      <c r="D689" t="inlineStr">
        <is>
          <t>A</t>
        </is>
      </c>
      <c r="E689" t="inlineStr">
        <is>
          <t>Departamento</t>
        </is>
      </c>
      <c r="F689" t="inlineStr">
        <is>
          <t>602</t>
        </is>
      </c>
      <c r="G689" s="39" t="n">
        <v>573000</v>
      </c>
      <c r="H689" s="39" t="n">
        <v>573000</v>
      </c>
      <c r="I689" t="inlineStr">
        <is>
          <t>Edificio</t>
        </is>
      </c>
      <c r="J689" t="inlineStr">
        <is>
          <t>A</t>
        </is>
      </c>
      <c r="K689" t="inlineStr">
        <is>
          <t>Estacionamiento</t>
        </is>
      </c>
      <c r="L689" t="inlineStr">
        <is>
          <t>E 24 - D 5</t>
        </is>
      </c>
      <c r="M689" s="39" t="n">
        <v>51000</v>
      </c>
      <c r="N689" s="39" t="n">
        <v>51000</v>
      </c>
      <c r="S689" s="39" t="n"/>
      <c r="T689" s="39" t="n"/>
      <c r="Y689" s="39" t="n"/>
      <c r="Z689" s="39" t="n"/>
      <c r="AA689" t="inlineStr">
        <is>
          <t>Rocio Chuquimango Valencia</t>
        </is>
      </c>
      <c r="AB689" t="inlineStr">
        <is>
          <t>26707781</t>
        </is>
      </c>
      <c r="AC689" t="inlineStr">
        <is>
          <t xml:space="preserve">AV.ATAHUALPA 337.INT 2 </t>
        </is>
      </c>
      <c r="AD689" t="n">
        <v>0</v>
      </c>
      <c r="AE689" t="inlineStr">
        <is>
          <t>976685767</t>
        </is>
      </c>
      <c r="AF689" t="inlineStr">
        <is>
          <t>rocio-0511@hotmail.com</t>
        </is>
      </c>
      <c r="AG689" t="inlineStr">
        <is>
          <t>CAJAMARCA</t>
        </is>
      </c>
      <c r="AH689" t="inlineStr">
        <is>
          <t>CAJAMARCA</t>
        </is>
      </c>
      <c r="AI689" s="75" t="n">
        <v>46630</v>
      </c>
      <c r="AJ689" s="75" t="n"/>
      <c r="AK689" t="inlineStr">
        <is>
          <t>SALDO FINANCIAR</t>
        </is>
      </c>
      <c r="AL689" t="n">
        <v>14</v>
      </c>
      <c r="AM689" t="n">
        <v>24266.67</v>
      </c>
      <c r="AN689" t="n">
        <v>0</v>
      </c>
      <c r="AO689" t="n">
        <v>0</v>
      </c>
      <c r="AP689" s="39" t="n">
        <v>24266.67</v>
      </c>
      <c r="AQ689" s="39" t="n">
        <v>0</v>
      </c>
      <c r="AR689" s="39" t="n">
        <v>24266.67</v>
      </c>
      <c r="AT689" t="inlineStr">
        <is>
          <t>Crédito Directo</t>
        </is>
      </c>
      <c r="AZ689" t="inlineStr">
        <is>
          <t>No</t>
        </is>
      </c>
      <c r="BC689" t="inlineStr">
        <is>
          <t>PENDIENTE</t>
        </is>
      </c>
      <c r="BN689" t="inlineStr">
        <is>
          <t>No</t>
        </is>
      </c>
      <c r="BO689" s="76" t="n">
        <v>45898.34652777778</v>
      </c>
      <c r="BP689" t="inlineStr">
        <is>
          <t>Magaly Guevara Perez</t>
        </is>
      </c>
      <c r="BR689" t="n">
        <v>12</v>
      </c>
      <c r="BW689" t="inlineStr">
        <is>
          <t>Cobranzas_2027.csv</t>
        </is>
      </c>
      <c r="BX689" t="n">
        <v>2027</v>
      </c>
      <c r="BY689" t="inlineStr">
        <is>
          <t>01/01/2024</t>
        </is>
      </c>
      <c r="BZ689" t="inlineStr">
        <is>
          <t>30/06/2031</t>
        </is>
      </c>
    </row>
    <row r="690">
      <c r="A690" t="inlineStr">
        <is>
          <t>RESIDENCIAL VENECIA</t>
        </is>
      </c>
      <c r="B690" t="inlineStr">
        <is>
          <t>Etapa 1</t>
        </is>
      </c>
      <c r="C690" t="inlineStr">
        <is>
          <t>Edificio</t>
        </is>
      </c>
      <c r="D690" t="inlineStr">
        <is>
          <t>A</t>
        </is>
      </c>
      <c r="E690" t="inlineStr">
        <is>
          <t>Departamento</t>
        </is>
      </c>
      <c r="F690" t="inlineStr">
        <is>
          <t>602</t>
        </is>
      </c>
      <c r="G690" s="39" t="n">
        <v>573000</v>
      </c>
      <c r="H690" s="39" t="n">
        <v>573000</v>
      </c>
      <c r="I690" t="inlineStr">
        <is>
          <t>Edificio</t>
        </is>
      </c>
      <c r="J690" t="inlineStr">
        <is>
          <t>A</t>
        </is>
      </c>
      <c r="K690" t="inlineStr">
        <is>
          <t>Estacionamiento</t>
        </is>
      </c>
      <c r="L690" t="inlineStr">
        <is>
          <t>E 24 - D 5</t>
        </is>
      </c>
      <c r="M690" s="39" t="n">
        <v>51000</v>
      </c>
      <c r="N690" s="39" t="n">
        <v>51000</v>
      </c>
      <c r="S690" s="39" t="n"/>
      <c r="T690" s="39" t="n"/>
      <c r="Y690" s="39" t="n"/>
      <c r="Z690" s="39" t="n"/>
      <c r="AA690" t="inlineStr">
        <is>
          <t>Rocio Chuquimango Valencia</t>
        </is>
      </c>
      <c r="AB690" t="inlineStr">
        <is>
          <t>26707781</t>
        </is>
      </c>
      <c r="AC690" t="inlineStr">
        <is>
          <t xml:space="preserve">AV.ATAHUALPA 337.INT 2 </t>
        </is>
      </c>
      <c r="AD690" t="n">
        <v>0</v>
      </c>
      <c r="AE690" t="inlineStr">
        <is>
          <t>976685767</t>
        </is>
      </c>
      <c r="AF690" t="inlineStr">
        <is>
          <t>rocio-0511@hotmail.com</t>
        </is>
      </c>
      <c r="AG690" t="inlineStr">
        <is>
          <t>CAJAMARCA</t>
        </is>
      </c>
      <c r="AH690" t="inlineStr">
        <is>
          <t>CAJAMARCA</t>
        </is>
      </c>
      <c r="AI690" s="75" t="n">
        <v>46660</v>
      </c>
      <c r="AJ690" s="75" t="n"/>
      <c r="AK690" t="inlineStr">
        <is>
          <t>SALDO FINANCIAR</t>
        </is>
      </c>
      <c r="AL690" t="n">
        <v>15</v>
      </c>
      <c r="AM690" t="n">
        <v>24266.67</v>
      </c>
      <c r="AN690" t="n">
        <v>0</v>
      </c>
      <c r="AO690" t="n">
        <v>0</v>
      </c>
      <c r="AP690" s="39" t="n">
        <v>24266.67</v>
      </c>
      <c r="AQ690" s="39" t="n">
        <v>0</v>
      </c>
      <c r="AR690" s="39" t="n">
        <v>24266.67</v>
      </c>
      <c r="AT690" t="inlineStr">
        <is>
          <t>Crédito Directo</t>
        </is>
      </c>
      <c r="AZ690" t="inlineStr">
        <is>
          <t>No</t>
        </is>
      </c>
      <c r="BC690" t="inlineStr">
        <is>
          <t>PENDIENTE</t>
        </is>
      </c>
      <c r="BN690" t="inlineStr">
        <is>
          <t>No</t>
        </is>
      </c>
      <c r="BO690" s="76" t="n">
        <v>45898.34652777778</v>
      </c>
      <c r="BP690" t="inlineStr">
        <is>
          <t>Magaly Guevara Perez</t>
        </is>
      </c>
      <c r="BR690" t="n">
        <v>12</v>
      </c>
      <c r="BW690" t="inlineStr">
        <is>
          <t>Cobranzas_2027.csv</t>
        </is>
      </c>
      <c r="BX690" t="n">
        <v>2027</v>
      </c>
      <c r="BY690" t="inlineStr">
        <is>
          <t>01/01/2024</t>
        </is>
      </c>
      <c r="BZ690" t="inlineStr">
        <is>
          <t>30/06/2031</t>
        </is>
      </c>
    </row>
    <row r="691">
      <c r="A691" t="inlineStr">
        <is>
          <t>RESIDENCIAL VENECIA</t>
        </is>
      </c>
      <c r="B691" t="inlineStr">
        <is>
          <t>Etapa 1</t>
        </is>
      </c>
      <c r="C691" t="inlineStr">
        <is>
          <t>Edificio</t>
        </is>
      </c>
      <c r="D691" t="inlineStr">
        <is>
          <t>A</t>
        </is>
      </c>
      <c r="E691" t="inlineStr">
        <is>
          <t>Departamento</t>
        </is>
      </c>
      <c r="F691" t="inlineStr">
        <is>
          <t>602</t>
        </is>
      </c>
      <c r="G691" s="39" t="n">
        <v>573000</v>
      </c>
      <c r="H691" s="39" t="n">
        <v>573000</v>
      </c>
      <c r="I691" t="inlineStr">
        <is>
          <t>Edificio</t>
        </is>
      </c>
      <c r="J691" t="inlineStr">
        <is>
          <t>A</t>
        </is>
      </c>
      <c r="K691" t="inlineStr">
        <is>
          <t>Estacionamiento</t>
        </is>
      </c>
      <c r="L691" t="inlineStr">
        <is>
          <t>E 24 - D 5</t>
        </is>
      </c>
      <c r="M691" s="39" t="n">
        <v>51000</v>
      </c>
      <c r="N691" s="39" t="n">
        <v>51000</v>
      </c>
      <c r="S691" s="39" t="n"/>
      <c r="T691" s="39" t="n"/>
      <c r="Y691" s="39" t="n"/>
      <c r="Z691" s="39" t="n"/>
      <c r="AA691" t="inlineStr">
        <is>
          <t>Rocio Chuquimango Valencia</t>
        </is>
      </c>
      <c r="AB691" t="inlineStr">
        <is>
          <t>26707781</t>
        </is>
      </c>
      <c r="AC691" t="inlineStr">
        <is>
          <t xml:space="preserve">AV.ATAHUALPA 337.INT 2 </t>
        </is>
      </c>
      <c r="AD691" t="n">
        <v>0</v>
      </c>
      <c r="AE691" t="inlineStr">
        <is>
          <t>976685767</t>
        </is>
      </c>
      <c r="AF691" t="inlineStr">
        <is>
          <t>rocio-0511@hotmail.com</t>
        </is>
      </c>
      <c r="AG691" t="inlineStr">
        <is>
          <t>CAJAMARCA</t>
        </is>
      </c>
      <c r="AH691" t="inlineStr">
        <is>
          <t>CAJAMARCA</t>
        </is>
      </c>
      <c r="AI691" s="75" t="n">
        <v>46691</v>
      </c>
      <c r="AJ691" s="75" t="n"/>
      <c r="AK691" t="inlineStr">
        <is>
          <t>SALDO FINANCIAR</t>
        </is>
      </c>
      <c r="AL691" t="n">
        <v>16</v>
      </c>
      <c r="AM691" t="n">
        <v>24266.67</v>
      </c>
      <c r="AN691" t="n">
        <v>0</v>
      </c>
      <c r="AO691" t="n">
        <v>0</v>
      </c>
      <c r="AP691" s="39" t="n">
        <v>24266.67</v>
      </c>
      <c r="AQ691" s="39" t="n">
        <v>0</v>
      </c>
      <c r="AR691" s="39" t="n">
        <v>24266.67</v>
      </c>
      <c r="AT691" t="inlineStr">
        <is>
          <t>Crédito Directo</t>
        </is>
      </c>
      <c r="AZ691" t="inlineStr">
        <is>
          <t>No</t>
        </is>
      </c>
      <c r="BC691" t="inlineStr">
        <is>
          <t>PENDIENTE</t>
        </is>
      </c>
      <c r="BN691" t="inlineStr">
        <is>
          <t>No</t>
        </is>
      </c>
      <c r="BO691" s="76" t="n">
        <v>45898.34652777778</v>
      </c>
      <c r="BP691" t="inlineStr">
        <is>
          <t>Magaly Guevara Perez</t>
        </is>
      </c>
      <c r="BR691" t="n">
        <v>12</v>
      </c>
      <c r="BW691" t="inlineStr">
        <is>
          <t>Cobranzas_2027.csv</t>
        </is>
      </c>
      <c r="BX691" t="n">
        <v>2027</v>
      </c>
      <c r="BY691" t="inlineStr">
        <is>
          <t>01/01/2024</t>
        </is>
      </c>
      <c r="BZ691" t="inlineStr">
        <is>
          <t>30/06/2031</t>
        </is>
      </c>
    </row>
    <row r="692">
      <c r="A692" t="inlineStr">
        <is>
          <t>RESIDENCIAL VENECIA</t>
        </is>
      </c>
      <c r="B692" t="inlineStr">
        <is>
          <t>Etapa 1</t>
        </is>
      </c>
      <c r="C692" t="inlineStr">
        <is>
          <t>Edificio</t>
        </is>
      </c>
      <c r="D692" t="inlineStr">
        <is>
          <t>A</t>
        </is>
      </c>
      <c r="E692" t="inlineStr">
        <is>
          <t>Departamento</t>
        </is>
      </c>
      <c r="F692" t="inlineStr">
        <is>
          <t>602</t>
        </is>
      </c>
      <c r="G692" s="39" t="n">
        <v>573000</v>
      </c>
      <c r="H692" s="39" t="n">
        <v>573000</v>
      </c>
      <c r="I692" t="inlineStr">
        <is>
          <t>Edificio</t>
        </is>
      </c>
      <c r="J692" t="inlineStr">
        <is>
          <t>A</t>
        </is>
      </c>
      <c r="K692" t="inlineStr">
        <is>
          <t>Estacionamiento</t>
        </is>
      </c>
      <c r="L692" t="inlineStr">
        <is>
          <t>E 24 - D 5</t>
        </is>
      </c>
      <c r="M692" s="39" t="n">
        <v>51000</v>
      </c>
      <c r="N692" s="39" t="n">
        <v>51000</v>
      </c>
      <c r="S692" s="39" t="n"/>
      <c r="T692" s="39" t="n"/>
      <c r="Y692" s="39" t="n"/>
      <c r="Z692" s="39" t="n"/>
      <c r="AA692" t="inlineStr">
        <is>
          <t>Rocio Chuquimango Valencia</t>
        </is>
      </c>
      <c r="AB692" t="inlineStr">
        <is>
          <t>26707781</t>
        </is>
      </c>
      <c r="AC692" t="inlineStr">
        <is>
          <t xml:space="preserve">AV.ATAHUALPA 337.INT 2 </t>
        </is>
      </c>
      <c r="AD692" t="n">
        <v>0</v>
      </c>
      <c r="AE692" t="inlineStr">
        <is>
          <t>976685767</t>
        </is>
      </c>
      <c r="AF692" t="inlineStr">
        <is>
          <t>rocio-0511@hotmail.com</t>
        </is>
      </c>
      <c r="AG692" t="inlineStr">
        <is>
          <t>CAJAMARCA</t>
        </is>
      </c>
      <c r="AH692" t="inlineStr">
        <is>
          <t>CAJAMARCA</t>
        </is>
      </c>
      <c r="AI692" s="75" t="n">
        <v>46721</v>
      </c>
      <c r="AJ692" s="75" t="n"/>
      <c r="AK692" t="inlineStr">
        <is>
          <t>SALDO FINANCIAR</t>
        </is>
      </c>
      <c r="AL692" t="n">
        <v>17</v>
      </c>
      <c r="AM692" t="n">
        <v>24266.67</v>
      </c>
      <c r="AN692" t="n">
        <v>0</v>
      </c>
      <c r="AO692" t="n">
        <v>0</v>
      </c>
      <c r="AP692" s="39" t="n">
        <v>24266.67</v>
      </c>
      <c r="AQ692" s="39" t="n">
        <v>0</v>
      </c>
      <c r="AR692" s="39" t="n">
        <v>24266.67</v>
      </c>
      <c r="AT692" t="inlineStr">
        <is>
          <t>Crédito Directo</t>
        </is>
      </c>
      <c r="AZ692" t="inlineStr">
        <is>
          <t>No</t>
        </is>
      </c>
      <c r="BC692" t="inlineStr">
        <is>
          <t>PENDIENTE</t>
        </is>
      </c>
      <c r="BN692" t="inlineStr">
        <is>
          <t>No</t>
        </is>
      </c>
      <c r="BO692" s="76" t="n">
        <v>45898.34652777778</v>
      </c>
      <c r="BP692" t="inlineStr">
        <is>
          <t>Magaly Guevara Perez</t>
        </is>
      </c>
      <c r="BR692" t="n">
        <v>12</v>
      </c>
      <c r="BW692" t="inlineStr">
        <is>
          <t>Cobranzas_2027.csv</t>
        </is>
      </c>
      <c r="BX692" t="n">
        <v>2027</v>
      </c>
      <c r="BY692" t="inlineStr">
        <is>
          <t>01/01/2024</t>
        </is>
      </c>
      <c r="BZ692" t="inlineStr">
        <is>
          <t>30/06/2031</t>
        </is>
      </c>
    </row>
    <row r="693">
      <c r="A693" t="inlineStr">
        <is>
          <t>RESIDENCIAL VENECIA</t>
        </is>
      </c>
      <c r="B693" t="inlineStr">
        <is>
          <t>Etapa 1</t>
        </is>
      </c>
      <c r="C693" t="inlineStr">
        <is>
          <t>Edificio</t>
        </is>
      </c>
      <c r="D693" t="inlineStr">
        <is>
          <t>A</t>
        </is>
      </c>
      <c r="E693" t="inlineStr">
        <is>
          <t>Departamento</t>
        </is>
      </c>
      <c r="F693" t="inlineStr">
        <is>
          <t>602</t>
        </is>
      </c>
      <c r="G693" s="39" t="n">
        <v>573000</v>
      </c>
      <c r="H693" s="39" t="n">
        <v>573000</v>
      </c>
      <c r="I693" t="inlineStr">
        <is>
          <t>Edificio</t>
        </is>
      </c>
      <c r="J693" t="inlineStr">
        <is>
          <t>A</t>
        </is>
      </c>
      <c r="K693" t="inlineStr">
        <is>
          <t>Estacionamiento</t>
        </is>
      </c>
      <c r="L693" t="inlineStr">
        <is>
          <t>E 24 - D 5</t>
        </is>
      </c>
      <c r="M693" s="39" t="n">
        <v>51000</v>
      </c>
      <c r="N693" s="39" t="n">
        <v>51000</v>
      </c>
      <c r="S693" s="39" t="n"/>
      <c r="T693" s="39" t="n"/>
      <c r="Y693" s="39" t="n"/>
      <c r="Z693" s="39" t="n"/>
      <c r="AA693" t="inlineStr">
        <is>
          <t>Rocio Chuquimango Valencia</t>
        </is>
      </c>
      <c r="AB693" t="inlineStr">
        <is>
          <t>26707781</t>
        </is>
      </c>
      <c r="AC693" t="inlineStr">
        <is>
          <t xml:space="preserve">AV.ATAHUALPA 337.INT 2 </t>
        </is>
      </c>
      <c r="AD693" t="n">
        <v>0</v>
      </c>
      <c r="AE693" t="inlineStr">
        <is>
          <t>976685767</t>
        </is>
      </c>
      <c r="AF693" t="inlineStr">
        <is>
          <t>rocio-0511@hotmail.com</t>
        </is>
      </c>
      <c r="AG693" t="inlineStr">
        <is>
          <t>CAJAMARCA</t>
        </is>
      </c>
      <c r="AH693" t="inlineStr">
        <is>
          <t>CAJAMARCA</t>
        </is>
      </c>
      <c r="AI693" s="75" t="n">
        <v>46752</v>
      </c>
      <c r="AJ693" s="75" t="n"/>
      <c r="AK693" t="inlineStr">
        <is>
          <t>SALDO FINANCIAR</t>
        </is>
      </c>
      <c r="AL693" t="n">
        <v>18</v>
      </c>
      <c r="AM693" t="n">
        <v>24266.61</v>
      </c>
      <c r="AN693" t="n">
        <v>0</v>
      </c>
      <c r="AO693" t="n">
        <v>0</v>
      </c>
      <c r="AP693" s="39" t="n">
        <v>24266.61</v>
      </c>
      <c r="AQ693" s="39" t="n">
        <v>0</v>
      </c>
      <c r="AR693" s="39" t="n">
        <v>24266.61</v>
      </c>
      <c r="AT693" t="inlineStr">
        <is>
          <t>Crédito Directo</t>
        </is>
      </c>
      <c r="AZ693" t="inlineStr">
        <is>
          <t>No</t>
        </is>
      </c>
      <c r="BC693" t="inlineStr">
        <is>
          <t>PENDIENTE</t>
        </is>
      </c>
      <c r="BN693" t="inlineStr">
        <is>
          <t>No</t>
        </is>
      </c>
      <c r="BO693" s="76" t="n">
        <v>45898.34652777778</v>
      </c>
      <c r="BP693" t="inlineStr">
        <is>
          <t>Magaly Guevara Perez</t>
        </is>
      </c>
      <c r="BR693" t="n">
        <v>12</v>
      </c>
      <c r="BW693" t="inlineStr">
        <is>
          <t>Cobranzas_2027.csv</t>
        </is>
      </c>
      <c r="BX693" t="n">
        <v>2027</v>
      </c>
      <c r="BY693" t="inlineStr">
        <is>
          <t>01/01/2024</t>
        </is>
      </c>
      <c r="BZ693" t="inlineStr">
        <is>
          <t>30/06/2031</t>
        </is>
      </c>
    </row>
    <row r="694">
      <c r="A694" t="inlineStr">
        <is>
          <t>RESIDENCIAL BEYOND</t>
        </is>
      </c>
      <c r="B694" t="inlineStr">
        <is>
          <t>Etapa 1</t>
        </is>
      </c>
      <c r="C694" t="inlineStr">
        <is>
          <t>Edificio</t>
        </is>
      </c>
      <c r="D694" t="inlineStr">
        <is>
          <t>A</t>
        </is>
      </c>
      <c r="E694" t="inlineStr">
        <is>
          <t>Departamento</t>
        </is>
      </c>
      <c r="F694" t="inlineStr">
        <is>
          <t>905</t>
        </is>
      </c>
      <c r="G694" s="39" t="n">
        <v>532100</v>
      </c>
      <c r="H694" s="39" t="n">
        <v>510000</v>
      </c>
      <c r="M694" s="39" t="n"/>
      <c r="N694" s="39" t="n"/>
      <c r="S694" s="39" t="n"/>
      <c r="T694" s="39" t="n"/>
      <c r="Y694" s="39" t="n"/>
      <c r="Z694" s="39" t="n"/>
      <c r="AA694" t="inlineStr">
        <is>
          <t>Rocio del Pilar Quispe Vivanco</t>
        </is>
      </c>
      <c r="AB694" t="inlineStr">
        <is>
          <t>46571077</t>
        </is>
      </c>
      <c r="AC694" t="inlineStr">
        <is>
          <t>Calle 49 MZ UU2 Lt.14 Urb. La Floresta</t>
        </is>
      </c>
      <c r="AD694" t="n">
        <v>0</v>
      </c>
      <c r="AE694" t="inlineStr">
        <is>
          <t>942198649</t>
        </is>
      </c>
      <c r="AF694" t="inlineStr">
        <is>
          <t>chio22011@hotmail.com</t>
        </is>
      </c>
      <c r="AG694" t="inlineStr">
        <is>
          <t>LIMA</t>
        </is>
      </c>
      <c r="AH694" t="inlineStr">
        <is>
          <t>LOS OLIVOS</t>
        </is>
      </c>
      <c r="AI694" s="75" t="n">
        <v>46417</v>
      </c>
      <c r="AJ694" s="75" t="n"/>
      <c r="AK694" t="inlineStr">
        <is>
          <t>SALDO FINANCIAR</t>
        </is>
      </c>
      <c r="AL694" t="n">
        <v>1</v>
      </c>
      <c r="AM694" t="n">
        <v>408000</v>
      </c>
      <c r="AN694" t="n">
        <v>0</v>
      </c>
      <c r="AO694" t="n">
        <v>0</v>
      </c>
      <c r="AP694" s="39" t="n">
        <v>408000</v>
      </c>
      <c r="AQ694" s="39" t="n">
        <v>0</v>
      </c>
      <c r="AR694" s="39" t="n">
        <v>408000</v>
      </c>
      <c r="AT694" t="inlineStr">
        <is>
          <t>Ahorro</t>
        </is>
      </c>
      <c r="AZ694" t="inlineStr">
        <is>
          <t>No</t>
        </is>
      </c>
      <c r="BC694" t="inlineStr">
        <is>
          <t>PENDIENTE</t>
        </is>
      </c>
      <c r="BN694" t="inlineStr">
        <is>
          <t>No</t>
        </is>
      </c>
      <c r="BO694" s="76" t="n">
        <v>46174.33611111111</v>
      </c>
      <c r="BP694" t="inlineStr">
        <is>
          <t>Carla Michue M</t>
        </is>
      </c>
      <c r="BR694" t="n">
        <v>43</v>
      </c>
      <c r="BW694" t="inlineStr">
        <is>
          <t>Cobranzas_2027.csv</t>
        </is>
      </c>
      <c r="BX694" t="n">
        <v>2027</v>
      </c>
      <c r="BY694" t="inlineStr">
        <is>
          <t>01/01/2024</t>
        </is>
      </c>
      <c r="BZ694" t="inlineStr">
        <is>
          <t>30/06/2031</t>
        </is>
      </c>
    </row>
    <row r="695">
      <c r="A695" t="inlineStr">
        <is>
          <t>RESIDENCIAL BEYOND</t>
        </is>
      </c>
      <c r="B695" t="inlineStr">
        <is>
          <t>Etapa 1</t>
        </is>
      </c>
      <c r="C695" t="inlineStr">
        <is>
          <t>Edificio</t>
        </is>
      </c>
      <c r="D695" t="inlineStr">
        <is>
          <t>A</t>
        </is>
      </c>
      <c r="E695" t="inlineStr">
        <is>
          <t>Departamento</t>
        </is>
      </c>
      <c r="F695" t="inlineStr">
        <is>
          <t>301</t>
        </is>
      </c>
      <c r="G695" s="39" t="n">
        <v>518500</v>
      </c>
      <c r="H695" s="39" t="n">
        <v>475000</v>
      </c>
      <c r="I695" t="inlineStr">
        <is>
          <t>Edificio</t>
        </is>
      </c>
      <c r="J695" t="inlineStr">
        <is>
          <t>A</t>
        </is>
      </c>
      <c r="K695" t="inlineStr">
        <is>
          <t>Estacionamiento</t>
        </is>
      </c>
      <c r="L695" t="inlineStr">
        <is>
          <t>E 04 - D 02</t>
        </is>
      </c>
      <c r="M695" s="39" t="n">
        <v>52500</v>
      </c>
      <c r="N695" s="39" t="n">
        <v>52500</v>
      </c>
      <c r="S695" s="39" t="n"/>
      <c r="T695" s="39" t="n"/>
      <c r="Y695" s="39" t="n"/>
      <c r="Z695" s="39" t="n"/>
      <c r="AA695" t="inlineStr">
        <is>
          <t>Victor Hugo Quispe Cupe</t>
        </is>
      </c>
      <c r="AB695" t="inlineStr">
        <is>
          <t>09848317</t>
        </is>
      </c>
      <c r="AC695" t="inlineStr">
        <is>
          <t>Jr. Jose Arnaldo Marquez 1152</t>
        </is>
      </c>
      <c r="AD695" t="n">
        <v>0</v>
      </c>
      <c r="AE695" t="inlineStr">
        <is>
          <t>998980237</t>
        </is>
      </c>
      <c r="AF695" t="inlineStr">
        <is>
          <t>vitolosc58@gmail.com</t>
        </is>
      </c>
      <c r="AG695" t="inlineStr">
        <is>
          <t>LIMA</t>
        </is>
      </c>
      <c r="AH695" t="inlineStr">
        <is>
          <t>JESUS MARIA</t>
        </is>
      </c>
      <c r="AI695" s="75" t="n">
        <v>46417</v>
      </c>
      <c r="AJ695" s="75" t="n"/>
      <c r="AK695" t="inlineStr">
        <is>
          <t>SALDO FINANCIAR</t>
        </is>
      </c>
      <c r="AL695" t="n">
        <v>2</v>
      </c>
      <c r="AM695" t="n">
        <v>52222.22</v>
      </c>
      <c r="AN695" t="n">
        <v>0</v>
      </c>
      <c r="AO695" t="n">
        <v>0</v>
      </c>
      <c r="AP695" s="39" t="n">
        <v>52222.22</v>
      </c>
      <c r="AQ695" s="39" t="n">
        <v>0</v>
      </c>
      <c r="AR695" s="39" t="n">
        <v>52222.22</v>
      </c>
      <c r="AT695" t="inlineStr">
        <is>
          <t>Crédito Directo</t>
        </is>
      </c>
      <c r="AZ695" t="inlineStr">
        <is>
          <t>No</t>
        </is>
      </c>
      <c r="BC695" t="inlineStr">
        <is>
          <t>PENDIENTE</t>
        </is>
      </c>
      <c r="BN695" t="inlineStr">
        <is>
          <t>No</t>
        </is>
      </c>
      <c r="BO695" s="76" t="n">
        <v>46136.41736111111</v>
      </c>
      <c r="BP695" t="inlineStr">
        <is>
          <t>Magaly Guevara Perez</t>
        </is>
      </c>
      <c r="BR695" t="n">
        <v>5</v>
      </c>
      <c r="BW695" t="inlineStr">
        <is>
          <t>Cobranzas_2027.csv</t>
        </is>
      </c>
      <c r="BX695" t="n">
        <v>2027</v>
      </c>
      <c r="BY695" t="inlineStr">
        <is>
          <t>01/01/2024</t>
        </is>
      </c>
      <c r="BZ695" t="inlineStr">
        <is>
          <t>30/06/2031</t>
        </is>
      </c>
    </row>
    <row r="696">
      <c r="A696" t="inlineStr">
        <is>
          <t>RESIDENCIAL BEYOND</t>
        </is>
      </c>
      <c r="B696" t="inlineStr">
        <is>
          <t>Etapa 1</t>
        </is>
      </c>
      <c r="C696" t="inlineStr">
        <is>
          <t>Edificio</t>
        </is>
      </c>
      <c r="D696" t="inlineStr">
        <is>
          <t>A</t>
        </is>
      </c>
      <c r="E696" t="inlineStr">
        <is>
          <t>Departamento</t>
        </is>
      </c>
      <c r="F696" t="inlineStr">
        <is>
          <t>301</t>
        </is>
      </c>
      <c r="G696" s="39" t="n">
        <v>518500</v>
      </c>
      <c r="H696" s="39" t="n">
        <v>475000</v>
      </c>
      <c r="I696" t="inlineStr">
        <is>
          <t>Edificio</t>
        </is>
      </c>
      <c r="J696" t="inlineStr">
        <is>
          <t>A</t>
        </is>
      </c>
      <c r="K696" t="inlineStr">
        <is>
          <t>Estacionamiento</t>
        </is>
      </c>
      <c r="L696" t="inlineStr">
        <is>
          <t>E 04 - D 02</t>
        </is>
      </c>
      <c r="M696" s="39" t="n">
        <v>52500</v>
      </c>
      <c r="N696" s="39" t="n">
        <v>52500</v>
      </c>
      <c r="S696" s="39" t="n"/>
      <c r="T696" s="39" t="n"/>
      <c r="Y696" s="39" t="n"/>
      <c r="Z696" s="39" t="n"/>
      <c r="AA696" t="inlineStr">
        <is>
          <t>Victor Hugo Quispe Cupe</t>
        </is>
      </c>
      <c r="AB696" t="inlineStr">
        <is>
          <t>09848317</t>
        </is>
      </c>
      <c r="AC696" t="inlineStr">
        <is>
          <t>Jr. Jose Arnaldo Marquez 1152</t>
        </is>
      </c>
      <c r="AD696" t="n">
        <v>0</v>
      </c>
      <c r="AE696" t="inlineStr">
        <is>
          <t>998980237</t>
        </is>
      </c>
      <c r="AF696" t="inlineStr">
        <is>
          <t>vitolosc58@gmail.com</t>
        </is>
      </c>
      <c r="AG696" t="inlineStr">
        <is>
          <t>LIMA</t>
        </is>
      </c>
      <c r="AH696" t="inlineStr">
        <is>
          <t>JESUS MARIA</t>
        </is>
      </c>
      <c r="AI696" s="75" t="n">
        <v>46446</v>
      </c>
      <c r="AJ696" s="75" t="n"/>
      <c r="AK696" t="inlineStr">
        <is>
          <t>SALDO FINANCIAR</t>
        </is>
      </c>
      <c r="AL696" t="n">
        <v>3</v>
      </c>
      <c r="AM696" t="n">
        <v>52222.22</v>
      </c>
      <c r="AN696" t="n">
        <v>0</v>
      </c>
      <c r="AO696" t="n">
        <v>0</v>
      </c>
      <c r="AP696" s="39" t="n">
        <v>52222.22</v>
      </c>
      <c r="AQ696" s="39" t="n">
        <v>0</v>
      </c>
      <c r="AR696" s="39" t="n">
        <v>52222.22</v>
      </c>
      <c r="AT696" t="inlineStr">
        <is>
          <t>Crédito Directo</t>
        </is>
      </c>
      <c r="AZ696" t="inlineStr">
        <is>
          <t>No</t>
        </is>
      </c>
      <c r="BC696" t="inlineStr">
        <is>
          <t>PENDIENTE</t>
        </is>
      </c>
      <c r="BN696" t="inlineStr">
        <is>
          <t>No</t>
        </is>
      </c>
      <c r="BO696" s="76" t="n">
        <v>46136.41736111111</v>
      </c>
      <c r="BP696" t="inlineStr">
        <is>
          <t>Magaly Guevara Perez</t>
        </is>
      </c>
      <c r="BR696" t="n">
        <v>5</v>
      </c>
      <c r="BW696" t="inlineStr">
        <is>
          <t>Cobranzas_2027.csv</t>
        </is>
      </c>
      <c r="BX696" t="n">
        <v>2027</v>
      </c>
      <c r="BY696" t="inlineStr">
        <is>
          <t>01/01/2024</t>
        </is>
      </c>
      <c r="BZ696" t="inlineStr">
        <is>
          <t>30/06/2031</t>
        </is>
      </c>
    </row>
    <row r="697">
      <c r="A697" t="inlineStr">
        <is>
          <t>RESIDENCIAL BEYOND</t>
        </is>
      </c>
      <c r="B697" t="inlineStr">
        <is>
          <t>Etapa 1</t>
        </is>
      </c>
      <c r="C697" t="inlineStr">
        <is>
          <t>Edificio</t>
        </is>
      </c>
      <c r="D697" t="inlineStr">
        <is>
          <t>A</t>
        </is>
      </c>
      <c r="E697" t="inlineStr">
        <is>
          <t>Departamento</t>
        </is>
      </c>
      <c r="F697" t="inlineStr">
        <is>
          <t>301</t>
        </is>
      </c>
      <c r="G697" s="39" t="n">
        <v>518500</v>
      </c>
      <c r="H697" s="39" t="n">
        <v>475000</v>
      </c>
      <c r="I697" t="inlineStr">
        <is>
          <t>Edificio</t>
        </is>
      </c>
      <c r="J697" t="inlineStr">
        <is>
          <t>A</t>
        </is>
      </c>
      <c r="K697" t="inlineStr">
        <is>
          <t>Estacionamiento</t>
        </is>
      </c>
      <c r="L697" t="inlineStr">
        <is>
          <t>E 04 - D 02</t>
        </is>
      </c>
      <c r="M697" s="39" t="n">
        <v>52500</v>
      </c>
      <c r="N697" s="39" t="n">
        <v>52500</v>
      </c>
      <c r="S697" s="39" t="n"/>
      <c r="T697" s="39" t="n"/>
      <c r="Y697" s="39" t="n"/>
      <c r="Z697" s="39" t="n"/>
      <c r="AA697" t="inlineStr">
        <is>
          <t>Victor Hugo Quispe Cupe</t>
        </is>
      </c>
      <c r="AB697" t="inlineStr">
        <is>
          <t>09848317</t>
        </is>
      </c>
      <c r="AC697" t="inlineStr">
        <is>
          <t>Jr. Jose Arnaldo Marquez 1152</t>
        </is>
      </c>
      <c r="AD697" t="n">
        <v>0</v>
      </c>
      <c r="AE697" t="inlineStr">
        <is>
          <t>998980237</t>
        </is>
      </c>
      <c r="AF697" t="inlineStr">
        <is>
          <t>vitolosc58@gmail.com</t>
        </is>
      </c>
      <c r="AG697" t="inlineStr">
        <is>
          <t>LIMA</t>
        </is>
      </c>
      <c r="AH697" t="inlineStr">
        <is>
          <t>JESUS MARIA</t>
        </is>
      </c>
      <c r="AI697" s="75" t="n">
        <v>46476</v>
      </c>
      <c r="AJ697" s="75" t="n"/>
      <c r="AK697" t="inlineStr">
        <is>
          <t>SALDO FINANCIAR</t>
        </is>
      </c>
      <c r="AL697" t="n">
        <v>4</v>
      </c>
      <c r="AM697" t="n">
        <v>52222.22</v>
      </c>
      <c r="AN697" t="n">
        <v>0</v>
      </c>
      <c r="AO697" t="n">
        <v>0</v>
      </c>
      <c r="AP697" s="39" t="n">
        <v>52222.22</v>
      </c>
      <c r="AQ697" s="39" t="n">
        <v>0</v>
      </c>
      <c r="AR697" s="39" t="n">
        <v>52222.22</v>
      </c>
      <c r="AT697" t="inlineStr">
        <is>
          <t>Crédito Directo</t>
        </is>
      </c>
      <c r="AZ697" t="inlineStr">
        <is>
          <t>No</t>
        </is>
      </c>
      <c r="BC697" t="inlineStr">
        <is>
          <t>PENDIENTE</t>
        </is>
      </c>
      <c r="BN697" t="inlineStr">
        <is>
          <t>No</t>
        </is>
      </c>
      <c r="BO697" s="76" t="n">
        <v>46136.41736111111</v>
      </c>
      <c r="BP697" t="inlineStr">
        <is>
          <t>Magaly Guevara Perez</t>
        </is>
      </c>
      <c r="BR697" t="n">
        <v>5</v>
      </c>
      <c r="BW697" t="inlineStr">
        <is>
          <t>Cobranzas_2027.csv</t>
        </is>
      </c>
      <c r="BX697" t="n">
        <v>2027</v>
      </c>
      <c r="BY697" t="inlineStr">
        <is>
          <t>01/01/2024</t>
        </is>
      </c>
      <c r="BZ697" t="inlineStr">
        <is>
          <t>30/06/2031</t>
        </is>
      </c>
    </row>
    <row r="698">
      <c r="A698" t="inlineStr">
        <is>
          <t>RESIDENCIAL BEYOND</t>
        </is>
      </c>
      <c r="B698" t="inlineStr">
        <is>
          <t>Etapa 1</t>
        </is>
      </c>
      <c r="C698" t="inlineStr">
        <is>
          <t>Edificio</t>
        </is>
      </c>
      <c r="D698" t="inlineStr">
        <is>
          <t>A</t>
        </is>
      </c>
      <c r="E698" t="inlineStr">
        <is>
          <t>Departamento</t>
        </is>
      </c>
      <c r="F698" t="inlineStr">
        <is>
          <t>301</t>
        </is>
      </c>
      <c r="G698" s="39" t="n">
        <v>518500</v>
      </c>
      <c r="H698" s="39" t="n">
        <v>475000</v>
      </c>
      <c r="I698" t="inlineStr">
        <is>
          <t>Edificio</t>
        </is>
      </c>
      <c r="J698" t="inlineStr">
        <is>
          <t>A</t>
        </is>
      </c>
      <c r="K698" t="inlineStr">
        <is>
          <t>Estacionamiento</t>
        </is>
      </c>
      <c r="L698" t="inlineStr">
        <is>
          <t>E 04 - D 02</t>
        </is>
      </c>
      <c r="M698" s="39" t="n">
        <v>52500</v>
      </c>
      <c r="N698" s="39" t="n">
        <v>52500</v>
      </c>
      <c r="S698" s="39" t="n"/>
      <c r="T698" s="39" t="n"/>
      <c r="Y698" s="39" t="n"/>
      <c r="Z698" s="39" t="n"/>
      <c r="AA698" t="inlineStr">
        <is>
          <t>Victor Hugo Quispe Cupe</t>
        </is>
      </c>
      <c r="AB698" t="inlineStr">
        <is>
          <t>09848317</t>
        </is>
      </c>
      <c r="AC698" t="inlineStr">
        <is>
          <t>Jr. Jose Arnaldo Marquez 1152</t>
        </is>
      </c>
      <c r="AD698" t="n">
        <v>0</v>
      </c>
      <c r="AE698" t="inlineStr">
        <is>
          <t>998980237</t>
        </is>
      </c>
      <c r="AF698" t="inlineStr">
        <is>
          <t>vitolosc58@gmail.com</t>
        </is>
      </c>
      <c r="AG698" t="inlineStr">
        <is>
          <t>LIMA</t>
        </is>
      </c>
      <c r="AH698" t="inlineStr">
        <is>
          <t>JESUS MARIA</t>
        </is>
      </c>
      <c r="AI698" s="75" t="n">
        <v>46507</v>
      </c>
      <c r="AJ698" s="75" t="n"/>
      <c r="AK698" t="inlineStr">
        <is>
          <t>SALDO FINANCIAR</t>
        </is>
      </c>
      <c r="AL698" t="n">
        <v>5</v>
      </c>
      <c r="AM698" t="n">
        <v>52222.22</v>
      </c>
      <c r="AN698" t="n">
        <v>0</v>
      </c>
      <c r="AO698" t="n">
        <v>0</v>
      </c>
      <c r="AP698" s="39" t="n">
        <v>52222.22</v>
      </c>
      <c r="AQ698" s="39" t="n">
        <v>0</v>
      </c>
      <c r="AR698" s="39" t="n">
        <v>52222.22</v>
      </c>
      <c r="AT698" t="inlineStr">
        <is>
          <t>Crédito Directo</t>
        </is>
      </c>
      <c r="AZ698" t="inlineStr">
        <is>
          <t>No</t>
        </is>
      </c>
      <c r="BC698" t="inlineStr">
        <is>
          <t>PENDIENTE</t>
        </is>
      </c>
      <c r="BN698" t="inlineStr">
        <is>
          <t>No</t>
        </is>
      </c>
      <c r="BO698" s="76" t="n">
        <v>46136.41736111111</v>
      </c>
      <c r="BP698" t="inlineStr">
        <is>
          <t>Magaly Guevara Perez</t>
        </is>
      </c>
      <c r="BR698" t="n">
        <v>5</v>
      </c>
      <c r="BW698" t="inlineStr">
        <is>
          <t>Cobranzas_2027.csv</t>
        </is>
      </c>
      <c r="BX698" t="n">
        <v>2027</v>
      </c>
      <c r="BY698" t="inlineStr">
        <is>
          <t>01/01/2024</t>
        </is>
      </c>
      <c r="BZ698" t="inlineStr">
        <is>
          <t>30/06/2031</t>
        </is>
      </c>
    </row>
    <row r="699">
      <c r="A699" t="inlineStr">
        <is>
          <t>RESIDENCIAL BEYOND</t>
        </is>
      </c>
      <c r="B699" t="inlineStr">
        <is>
          <t>Etapa 1</t>
        </is>
      </c>
      <c r="C699" t="inlineStr">
        <is>
          <t>Edificio</t>
        </is>
      </c>
      <c r="D699" t="inlineStr">
        <is>
          <t>A</t>
        </is>
      </c>
      <c r="E699" t="inlineStr">
        <is>
          <t>Departamento</t>
        </is>
      </c>
      <c r="F699" t="inlineStr">
        <is>
          <t>301</t>
        </is>
      </c>
      <c r="G699" s="39" t="n">
        <v>518500</v>
      </c>
      <c r="H699" s="39" t="n">
        <v>475000</v>
      </c>
      <c r="I699" t="inlineStr">
        <is>
          <t>Edificio</t>
        </is>
      </c>
      <c r="J699" t="inlineStr">
        <is>
          <t>A</t>
        </is>
      </c>
      <c r="K699" t="inlineStr">
        <is>
          <t>Estacionamiento</t>
        </is>
      </c>
      <c r="L699" t="inlineStr">
        <is>
          <t>E 04 - D 02</t>
        </is>
      </c>
      <c r="M699" s="39" t="n">
        <v>52500</v>
      </c>
      <c r="N699" s="39" t="n">
        <v>52500</v>
      </c>
      <c r="S699" s="39" t="n"/>
      <c r="T699" s="39" t="n"/>
      <c r="Y699" s="39" t="n"/>
      <c r="Z699" s="39" t="n"/>
      <c r="AA699" t="inlineStr">
        <is>
          <t>Victor Hugo Quispe Cupe</t>
        </is>
      </c>
      <c r="AB699" t="inlineStr">
        <is>
          <t>09848317</t>
        </is>
      </c>
      <c r="AC699" t="inlineStr">
        <is>
          <t>Jr. Jose Arnaldo Marquez 1152</t>
        </is>
      </c>
      <c r="AD699" t="n">
        <v>0</v>
      </c>
      <c r="AE699" t="inlineStr">
        <is>
          <t>998980237</t>
        </is>
      </c>
      <c r="AF699" t="inlineStr">
        <is>
          <t>vitolosc58@gmail.com</t>
        </is>
      </c>
      <c r="AG699" t="inlineStr">
        <is>
          <t>LIMA</t>
        </is>
      </c>
      <c r="AH699" t="inlineStr">
        <is>
          <t>JESUS MARIA</t>
        </is>
      </c>
      <c r="AI699" s="75" t="n">
        <v>46537</v>
      </c>
      <c r="AJ699" s="75" t="n"/>
      <c r="AK699" t="inlineStr">
        <is>
          <t>SALDO FINANCIAR</t>
        </is>
      </c>
      <c r="AL699" t="n">
        <v>6</v>
      </c>
      <c r="AM699" t="n">
        <v>52222.22</v>
      </c>
      <c r="AN699" t="n">
        <v>0</v>
      </c>
      <c r="AO699" t="n">
        <v>0</v>
      </c>
      <c r="AP699" s="39" t="n">
        <v>52222.22</v>
      </c>
      <c r="AQ699" s="39" t="n">
        <v>0</v>
      </c>
      <c r="AR699" s="39" t="n">
        <v>52222.22</v>
      </c>
      <c r="AT699" t="inlineStr">
        <is>
          <t>Crédito Directo</t>
        </is>
      </c>
      <c r="AZ699" t="inlineStr">
        <is>
          <t>No</t>
        </is>
      </c>
      <c r="BC699" t="inlineStr">
        <is>
          <t>PENDIENTE</t>
        </is>
      </c>
      <c r="BN699" t="inlineStr">
        <is>
          <t>No</t>
        </is>
      </c>
      <c r="BO699" s="76" t="n">
        <v>46136.41736111111</v>
      </c>
      <c r="BP699" t="inlineStr">
        <is>
          <t>Magaly Guevara Perez</t>
        </is>
      </c>
      <c r="BR699" t="n">
        <v>5</v>
      </c>
      <c r="BW699" t="inlineStr">
        <is>
          <t>Cobranzas_2027.csv</t>
        </is>
      </c>
      <c r="BX699" t="n">
        <v>2027</v>
      </c>
      <c r="BY699" t="inlineStr">
        <is>
          <t>01/01/2024</t>
        </is>
      </c>
      <c r="BZ699" t="inlineStr">
        <is>
          <t>30/06/2031</t>
        </is>
      </c>
    </row>
    <row r="700">
      <c r="A700" t="inlineStr">
        <is>
          <t>RESIDENCIAL BEYOND</t>
        </is>
      </c>
      <c r="B700" t="inlineStr">
        <is>
          <t>Etapa 1</t>
        </is>
      </c>
      <c r="C700" t="inlineStr">
        <is>
          <t>Edificio</t>
        </is>
      </c>
      <c r="D700" t="inlineStr">
        <is>
          <t>A</t>
        </is>
      </c>
      <c r="E700" t="inlineStr">
        <is>
          <t>Departamento</t>
        </is>
      </c>
      <c r="F700" t="inlineStr">
        <is>
          <t>301</t>
        </is>
      </c>
      <c r="G700" s="39" t="n">
        <v>518500</v>
      </c>
      <c r="H700" s="39" t="n">
        <v>475000</v>
      </c>
      <c r="I700" t="inlineStr">
        <is>
          <t>Edificio</t>
        </is>
      </c>
      <c r="J700" t="inlineStr">
        <is>
          <t>A</t>
        </is>
      </c>
      <c r="K700" t="inlineStr">
        <is>
          <t>Estacionamiento</t>
        </is>
      </c>
      <c r="L700" t="inlineStr">
        <is>
          <t>E 04 - D 02</t>
        </is>
      </c>
      <c r="M700" s="39" t="n">
        <v>52500</v>
      </c>
      <c r="N700" s="39" t="n">
        <v>52500</v>
      </c>
      <c r="S700" s="39" t="n"/>
      <c r="T700" s="39" t="n"/>
      <c r="Y700" s="39" t="n"/>
      <c r="Z700" s="39" t="n"/>
      <c r="AA700" t="inlineStr">
        <is>
          <t>Victor Hugo Quispe Cupe</t>
        </is>
      </c>
      <c r="AB700" t="inlineStr">
        <is>
          <t>09848317</t>
        </is>
      </c>
      <c r="AC700" t="inlineStr">
        <is>
          <t>Jr. Jose Arnaldo Marquez 1152</t>
        </is>
      </c>
      <c r="AD700" t="n">
        <v>0</v>
      </c>
      <c r="AE700" t="inlineStr">
        <is>
          <t>998980237</t>
        </is>
      </c>
      <c r="AF700" t="inlineStr">
        <is>
          <t>vitolosc58@gmail.com</t>
        </is>
      </c>
      <c r="AG700" t="inlineStr">
        <is>
          <t>LIMA</t>
        </is>
      </c>
      <c r="AH700" t="inlineStr">
        <is>
          <t>JESUS MARIA</t>
        </is>
      </c>
      <c r="AI700" s="75" t="n">
        <v>46568</v>
      </c>
      <c r="AJ700" s="75" t="n"/>
      <c r="AK700" t="inlineStr">
        <is>
          <t>SALDO FINANCIAR</t>
        </is>
      </c>
      <c r="AL700" t="n">
        <v>7</v>
      </c>
      <c r="AM700" t="n">
        <v>52222.22</v>
      </c>
      <c r="AN700" t="n">
        <v>0</v>
      </c>
      <c r="AO700" t="n">
        <v>0</v>
      </c>
      <c r="AP700" s="39" t="n">
        <v>52222.22</v>
      </c>
      <c r="AQ700" s="39" t="n">
        <v>0</v>
      </c>
      <c r="AR700" s="39" t="n">
        <v>52222.22</v>
      </c>
      <c r="AT700" t="inlineStr">
        <is>
          <t>Crédito Directo</t>
        </is>
      </c>
      <c r="AZ700" t="inlineStr">
        <is>
          <t>No</t>
        </is>
      </c>
      <c r="BC700" t="inlineStr">
        <is>
          <t>PENDIENTE</t>
        </is>
      </c>
      <c r="BN700" t="inlineStr">
        <is>
          <t>No</t>
        </is>
      </c>
      <c r="BO700" s="76" t="n">
        <v>46136.41736111111</v>
      </c>
      <c r="BP700" t="inlineStr">
        <is>
          <t>Magaly Guevara Perez</t>
        </is>
      </c>
      <c r="BR700" t="n">
        <v>5</v>
      </c>
      <c r="BW700" t="inlineStr">
        <is>
          <t>Cobranzas_2027.csv</t>
        </is>
      </c>
      <c r="BX700" t="n">
        <v>2027</v>
      </c>
      <c r="BY700" t="inlineStr">
        <is>
          <t>01/01/2024</t>
        </is>
      </c>
      <c r="BZ700" t="inlineStr">
        <is>
          <t>30/06/2031</t>
        </is>
      </c>
    </row>
    <row r="701">
      <c r="A701" t="inlineStr">
        <is>
          <t>RESIDENCIAL BEYOND</t>
        </is>
      </c>
      <c r="B701" t="inlineStr">
        <is>
          <t>Etapa 1</t>
        </is>
      </c>
      <c r="C701" t="inlineStr">
        <is>
          <t>Edificio</t>
        </is>
      </c>
      <c r="D701" t="inlineStr">
        <is>
          <t>A</t>
        </is>
      </c>
      <c r="E701" t="inlineStr">
        <is>
          <t>Departamento</t>
        </is>
      </c>
      <c r="F701" t="inlineStr">
        <is>
          <t>301</t>
        </is>
      </c>
      <c r="G701" s="39" t="n">
        <v>518500</v>
      </c>
      <c r="H701" s="39" t="n">
        <v>475000</v>
      </c>
      <c r="I701" t="inlineStr">
        <is>
          <t>Edificio</t>
        </is>
      </c>
      <c r="J701" t="inlineStr">
        <is>
          <t>A</t>
        </is>
      </c>
      <c r="K701" t="inlineStr">
        <is>
          <t>Estacionamiento</t>
        </is>
      </c>
      <c r="L701" t="inlineStr">
        <is>
          <t>E 04 - D 02</t>
        </is>
      </c>
      <c r="M701" s="39" t="n">
        <v>52500</v>
      </c>
      <c r="N701" s="39" t="n">
        <v>52500</v>
      </c>
      <c r="S701" s="39" t="n"/>
      <c r="T701" s="39" t="n"/>
      <c r="Y701" s="39" t="n"/>
      <c r="Z701" s="39" t="n"/>
      <c r="AA701" t="inlineStr">
        <is>
          <t>Victor Hugo Quispe Cupe</t>
        </is>
      </c>
      <c r="AB701" t="inlineStr">
        <is>
          <t>09848317</t>
        </is>
      </c>
      <c r="AC701" t="inlineStr">
        <is>
          <t>Jr. Jose Arnaldo Marquez 1152</t>
        </is>
      </c>
      <c r="AD701" t="n">
        <v>0</v>
      </c>
      <c r="AE701" t="inlineStr">
        <is>
          <t>998980237</t>
        </is>
      </c>
      <c r="AF701" t="inlineStr">
        <is>
          <t>vitolosc58@gmail.com</t>
        </is>
      </c>
      <c r="AG701" t="inlineStr">
        <is>
          <t>LIMA</t>
        </is>
      </c>
      <c r="AH701" t="inlineStr">
        <is>
          <t>JESUS MARIA</t>
        </is>
      </c>
      <c r="AI701" s="75" t="n">
        <v>46598</v>
      </c>
      <c r="AJ701" s="75" t="n"/>
      <c r="AK701" t="inlineStr">
        <is>
          <t>SALDO FINANCIAR</t>
        </is>
      </c>
      <c r="AL701" t="n">
        <v>8</v>
      </c>
      <c r="AM701" t="n">
        <v>52222.22</v>
      </c>
      <c r="AN701" t="n">
        <v>0</v>
      </c>
      <c r="AO701" t="n">
        <v>0</v>
      </c>
      <c r="AP701" s="39" t="n">
        <v>52222.22</v>
      </c>
      <c r="AQ701" s="39" t="n">
        <v>0</v>
      </c>
      <c r="AR701" s="39" t="n">
        <v>52222.22</v>
      </c>
      <c r="AT701" t="inlineStr">
        <is>
          <t>Crédito Directo</t>
        </is>
      </c>
      <c r="AZ701" t="inlineStr">
        <is>
          <t>No</t>
        </is>
      </c>
      <c r="BC701" t="inlineStr">
        <is>
          <t>PENDIENTE</t>
        </is>
      </c>
      <c r="BN701" t="inlineStr">
        <is>
          <t>No</t>
        </is>
      </c>
      <c r="BO701" s="76" t="n">
        <v>46136.41736111111</v>
      </c>
      <c r="BP701" t="inlineStr">
        <is>
          <t>Magaly Guevara Perez</t>
        </is>
      </c>
      <c r="BR701" t="n">
        <v>5</v>
      </c>
      <c r="BW701" t="inlineStr">
        <is>
          <t>Cobranzas_2027.csv</t>
        </is>
      </c>
      <c r="BX701" t="n">
        <v>2027</v>
      </c>
      <c r="BY701" t="inlineStr">
        <is>
          <t>01/01/2024</t>
        </is>
      </c>
      <c r="BZ701" t="inlineStr">
        <is>
          <t>30/06/2031</t>
        </is>
      </c>
    </row>
    <row r="702">
      <c r="A702" t="inlineStr">
        <is>
          <t>RESIDENCIAL BEYOND</t>
        </is>
      </c>
      <c r="B702" t="inlineStr">
        <is>
          <t>Etapa 1</t>
        </is>
      </c>
      <c r="C702" t="inlineStr">
        <is>
          <t>Edificio</t>
        </is>
      </c>
      <c r="D702" t="inlineStr">
        <is>
          <t>A</t>
        </is>
      </c>
      <c r="E702" t="inlineStr">
        <is>
          <t>Departamento</t>
        </is>
      </c>
      <c r="F702" t="inlineStr">
        <is>
          <t>301</t>
        </is>
      </c>
      <c r="G702" s="39" t="n">
        <v>518500</v>
      </c>
      <c r="H702" s="39" t="n">
        <v>475000</v>
      </c>
      <c r="I702" t="inlineStr">
        <is>
          <t>Edificio</t>
        </is>
      </c>
      <c r="J702" t="inlineStr">
        <is>
          <t>A</t>
        </is>
      </c>
      <c r="K702" t="inlineStr">
        <is>
          <t>Estacionamiento</t>
        </is>
      </c>
      <c r="L702" t="inlineStr">
        <is>
          <t>E 04 - D 02</t>
        </is>
      </c>
      <c r="M702" s="39" t="n">
        <v>52500</v>
      </c>
      <c r="N702" s="39" t="n">
        <v>52500</v>
      </c>
      <c r="S702" s="39" t="n"/>
      <c r="T702" s="39" t="n"/>
      <c r="Y702" s="39" t="n"/>
      <c r="Z702" s="39" t="n"/>
      <c r="AA702" t="inlineStr">
        <is>
          <t>Victor Hugo Quispe Cupe</t>
        </is>
      </c>
      <c r="AB702" t="inlineStr">
        <is>
          <t>09848317</t>
        </is>
      </c>
      <c r="AC702" t="inlineStr">
        <is>
          <t>Jr. Jose Arnaldo Marquez 1152</t>
        </is>
      </c>
      <c r="AD702" t="n">
        <v>0</v>
      </c>
      <c r="AE702" t="inlineStr">
        <is>
          <t>998980237</t>
        </is>
      </c>
      <c r="AF702" t="inlineStr">
        <is>
          <t>vitolosc58@gmail.com</t>
        </is>
      </c>
      <c r="AG702" t="inlineStr">
        <is>
          <t>LIMA</t>
        </is>
      </c>
      <c r="AH702" t="inlineStr">
        <is>
          <t>JESUS MARIA</t>
        </is>
      </c>
      <c r="AI702" s="75" t="n">
        <v>46629</v>
      </c>
      <c r="AJ702" s="75" t="n"/>
      <c r="AK702" t="inlineStr">
        <is>
          <t>SALDO FINANCIAR</t>
        </is>
      </c>
      <c r="AL702" t="n">
        <v>9</v>
      </c>
      <c r="AM702" t="n">
        <v>52222.24</v>
      </c>
      <c r="AN702" t="n">
        <v>0</v>
      </c>
      <c r="AO702" t="n">
        <v>0</v>
      </c>
      <c r="AP702" s="39" t="n">
        <v>52222.24</v>
      </c>
      <c r="AQ702" s="39" t="n">
        <v>0</v>
      </c>
      <c r="AR702" s="39" t="n">
        <v>52222.24</v>
      </c>
      <c r="AT702" t="inlineStr">
        <is>
          <t>Crédito Directo</t>
        </is>
      </c>
      <c r="AZ702" t="inlineStr">
        <is>
          <t>No</t>
        </is>
      </c>
      <c r="BC702" t="inlineStr">
        <is>
          <t>PENDIENTE</t>
        </is>
      </c>
      <c r="BN702" t="inlineStr">
        <is>
          <t>No</t>
        </is>
      </c>
      <c r="BO702" s="76" t="n">
        <v>46136.41736111111</v>
      </c>
      <c r="BP702" t="inlineStr">
        <is>
          <t>Magaly Guevara Perez</t>
        </is>
      </c>
      <c r="BR702" t="n">
        <v>5</v>
      </c>
      <c r="BW702" t="inlineStr">
        <is>
          <t>Cobranzas_2027.csv</t>
        </is>
      </c>
      <c r="BX702" t="n">
        <v>2027</v>
      </c>
      <c r="BY702" t="inlineStr">
        <is>
          <t>01/01/2024</t>
        </is>
      </c>
      <c r="BZ702" t="inlineStr">
        <is>
          <t>30/06/2031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63"/>
  <sheetViews>
    <sheetView workbookViewId="0">
      <selection activeCell="A1" sqref="A1"/>
    </sheetView>
  </sheetViews>
  <sheetFormatPr baseColWidth="10" defaultRowHeight="14.4"/>
  <cols>
    <col width="33" bestFit="1" customWidth="1" min="2" max="2"/>
    <col width="16.33203125" customWidth="1" min="3" max="3"/>
    <col width="12.77734375" customWidth="1" min="4" max="4"/>
    <col width="11.6640625" bestFit="1" customWidth="1" min="5" max="5"/>
    <col width="14.21875" customWidth="1" min="6" max="10"/>
    <col width="14.21875" customWidth="1" min="7" max="7"/>
    <col width="14.21875" customWidth="1" min="8" max="8"/>
    <col width="14.21875" customWidth="1" min="9" max="9"/>
    <col width="14.21875" customWidth="1" min="10" max="10"/>
    <col width="14.21875" customWidth="1" min="11" max="11"/>
    <col width="14.21875" customWidth="1" min="12" max="12"/>
    <col width="14.21875" bestFit="1" customWidth="1" min="13" max="13"/>
    <col width="14.21875" customWidth="1" min="14" max="14"/>
    <col width="14.21875" bestFit="1" customWidth="1" min="15" max="15"/>
  </cols>
  <sheetData>
    <row r="1">
      <c r="C1" s="42" t="n"/>
      <c r="D1" s="42" t="n"/>
      <c r="F1" s="43" t="n"/>
      <c r="G1" s="42" t="n"/>
      <c r="H1" s="42" t="n"/>
      <c r="I1" s="42" t="n"/>
      <c r="J1" s="43" t="n"/>
      <c r="K1" s="42" t="n"/>
      <c r="L1" s="42" t="n"/>
    </row>
    <row r="2">
      <c r="C2" s="42" t="n"/>
      <c r="D2" s="42" t="n"/>
      <c r="F2" s="43" t="n"/>
      <c r="G2" s="42" t="n"/>
      <c r="H2" s="42" t="n"/>
      <c r="I2" s="42" t="n"/>
      <c r="J2" s="43" t="n"/>
      <c r="K2" s="42" t="n"/>
      <c r="L2" s="42" t="n"/>
    </row>
    <row r="3">
      <c r="C3" s="42" t="n"/>
      <c r="D3" s="42" t="n"/>
      <c r="F3" s="43" t="n"/>
      <c r="G3" s="42" t="n"/>
      <c r="H3" s="42" t="n"/>
      <c r="I3" s="42" t="n"/>
      <c r="J3" s="43" t="n"/>
      <c r="K3" s="42" t="n"/>
      <c r="L3" s="42" t="n"/>
    </row>
    <row r="4" ht="13.2" customHeight="1">
      <c r="C4" s="42" t="n"/>
      <c r="D4" s="42" t="n"/>
      <c r="F4" s="43" t="n"/>
      <c r="G4" s="42" t="n"/>
      <c r="H4" s="42" t="n"/>
      <c r="I4" s="42" t="n"/>
      <c r="J4" s="43" t="n"/>
      <c r="K4" s="42" t="n"/>
      <c r="L4" s="42" t="n"/>
    </row>
    <row r="5" ht="23.4" customHeight="1">
      <c r="C5" s="44" t="inlineStr">
        <is>
          <t>REPORTE DE COBRANZAS</t>
        </is>
      </c>
      <c r="I5" s="42" t="n"/>
      <c r="J5" s="43" t="n"/>
      <c r="K5" s="42" t="n"/>
      <c r="L5" s="42" t="n"/>
    </row>
    <row r="6">
      <c r="B6" s="24" t="inlineStr">
        <is>
          <t>Prada</t>
        </is>
      </c>
      <c r="C6" s="42" t="n"/>
      <c r="D6" s="42" t="n"/>
      <c r="F6" s="43" t="n"/>
      <c r="G6" s="42" t="n"/>
      <c r="H6" s="42" t="n"/>
      <c r="I6" s="42" t="n"/>
      <c r="J6" s="43" t="n"/>
      <c r="K6" s="42" t="n"/>
      <c r="L6" s="42" t="n"/>
    </row>
    <row r="7">
      <c r="C7" s="42" t="n"/>
      <c r="D7" s="42" t="n"/>
      <c r="F7" s="43" t="n"/>
      <c r="G7" s="42" t="n"/>
      <c r="H7" s="42" t="n"/>
      <c r="I7" s="42" t="n"/>
      <c r="J7" s="43" t="n"/>
      <c r="K7" s="42" t="n"/>
      <c r="L7" s="42" t="n"/>
    </row>
    <row r="8">
      <c r="C8" s="45" t="inlineStr">
        <is>
          <t>Vendido</t>
        </is>
      </c>
      <c r="D8" s="77" t="n"/>
      <c r="F8" s="47" t="inlineStr">
        <is>
          <t>Cobranzas</t>
        </is>
      </c>
      <c r="G8" s="78" t="n"/>
      <c r="H8" s="78" t="n"/>
      <c r="I8" s="77" t="n"/>
      <c r="J8" s="43" t="n"/>
      <c r="K8" s="42" t="n"/>
      <c r="L8" s="42" t="n"/>
    </row>
    <row r="9" ht="26.4" customHeight="1">
      <c r="C9" s="45" t="inlineStr">
        <is>
          <t>Monto</t>
        </is>
      </c>
      <c r="D9" s="45" t="inlineStr">
        <is>
          <t>Unidades</t>
        </is>
      </c>
      <c r="F9" s="49" t="inlineStr">
        <is>
          <t>Avance</t>
        </is>
      </c>
      <c r="G9" s="50" t="inlineStr">
        <is>
          <t>Cobrado</t>
        </is>
      </c>
      <c r="H9" s="50" t="inlineStr">
        <is>
          <t>Por Cobrar</t>
        </is>
      </c>
      <c r="I9" s="50" t="inlineStr">
        <is>
          <t>Vencido</t>
        </is>
      </c>
      <c r="J9" s="51" t="inlineStr">
        <is>
          <t>Tasa de Morosidad</t>
        </is>
      </c>
      <c r="K9" s="52" t="inlineStr">
        <is>
          <t>Clientes Morosos (unidades)</t>
        </is>
      </c>
      <c r="L9" s="52" t="inlineStr">
        <is>
          <t>Dias de Atraso (Promedio)</t>
        </is>
      </c>
    </row>
    <row r="10" ht="6.6" customHeight="1">
      <c r="C10" s="42" t="n"/>
      <c r="D10" s="42" t="n"/>
      <c r="F10" s="43" t="n"/>
      <c r="G10" s="42" t="n"/>
      <c r="H10" s="42" t="n"/>
      <c r="I10" s="42" t="n"/>
      <c r="J10" s="43" t="n"/>
      <c r="K10" s="42" t="n"/>
      <c r="L10" s="42" t="n"/>
    </row>
    <row r="11">
      <c r="B11" s="10" t="inlineStr">
        <is>
          <t>Departamentos</t>
        </is>
      </c>
      <c r="C11" s="53" t="n">
        <v>24718600</v>
      </c>
      <c r="D11" s="53" t="n">
        <v>59</v>
      </c>
      <c r="F11" s="54">
        <f>IF(C11=0,0,G11/C11)</f>
        <v/>
      </c>
      <c r="G11" s="55">
        <f>SUM(G12:G13)</f>
        <v/>
      </c>
      <c r="H11" s="55">
        <f>SUM(H12:H13)</f>
        <v/>
      </c>
      <c r="I11" s="55">
        <f>SUM(I12:I13)</f>
        <v/>
      </c>
      <c r="J11" s="54">
        <f>IF(C11=0,0,I11/C11)</f>
        <v/>
      </c>
      <c r="K11" s="55" t="n">
        <v>7</v>
      </c>
      <c r="L11" s="55" t="n">
        <v>73</v>
      </c>
    </row>
    <row r="12">
      <c r="B12" s="4" t="inlineStr">
        <is>
          <t>Departamento</t>
        </is>
      </c>
      <c r="C12" s="56" t="n">
        <v>16901100</v>
      </c>
      <c r="D12" s="56" t="n">
        <v>32</v>
      </c>
      <c r="F12" s="57">
        <f>IF(C12=0,0,G12/C12)</f>
        <v/>
      </c>
      <c r="G12" s="58">
        <f>IFERROR(SUMPRODUCT(--ISNUMBER(SEARCH($B$6,'Base_Cobranzas'!$A$2:$A$702)),--((--ISNUMBER(SEARCH("DEPART",UPPER('Base_Cobranzas'!$E$2:$E$702)))+--ISNUMBER(SEARCH("DEPART",UPPER('Base_Cobranzas'!$K$2:$K$702)))+--ISNUMBER(SEARCH("DEPART",UPPER('Base_Cobranzas'!$Q$2:$Q$702)))+--ISNUMBER(SEARCH("DEPART",UPPER('Base_Cobranzas'!$W$2:$W$702))))&gt;0),--((--ISNUMBER(SEARCH("ESTACION",UPPER('Base_Cobranzas'!$E$2:$E$702)))+--ISNUMBER(SEARCH("ESTACION",UPPER('Base_Cobranzas'!$K$2:$K$702)))+--ISNUMBER(SEARCH("ESTACION",UPPER('Base_Cobranzas'!$Q$2:$Q$702)))+--ISNUMBER(SEARCH("ESTACION",UPPER('Base_Cobranzas'!$W$2:$W$702))))=0),--('Base_Cobranzas'!$AQ$2:$AQ$702&gt;0),'Base_Cobranzas'!$AQ$2:$AQ$702),0)</f>
        <v/>
      </c>
      <c r="H12" s="59">
        <f>IFERROR(SUMPRODUCT(--ISNUMBER(SEARCH($B$6,'Base_Cobranzas'!$A$2:$A$702)),--((--ISNUMBER(SEARCH("DEPART",UPPER('Base_Cobranzas'!$E$2:$E$702)))+--ISNUMBER(SEARCH("DEPART",UPPER('Base_Cobranzas'!$K$2:$K$702)))+--ISNUMBER(SEARCH("DEPART",UPPER('Base_Cobranzas'!$Q$2:$Q$702)))+--ISNUMBER(SEARCH("DEPART",UPPER('Base_Cobranzas'!$W$2:$W$702))))&gt;0),--((--ISNUMBER(SEARCH("ESTACION",UPPER('Base_Cobranzas'!$E$2:$E$702)))+--ISNUMBER(SEARCH("ESTACION",UPPER('Base_Cobranzas'!$K$2:$K$702)))+--ISNUMBER(SEARCH("ESTACION",UPPER('Base_Cobranzas'!$Q$2:$Q$702)))+--ISNUMBER(SEARCH("ESTACION",UPPER('Base_Cobranzas'!$W$2:$W$702))))=0),--ISNUMBER(SEARCH("PENDIENTE",UPPER(TRIM('Base_Cobranzas'!$BC$2:$BC$702)))),'Base_Cobranzas'!$AR$2:$AR$702),0)</f>
        <v/>
      </c>
      <c r="I12" s="59">
        <f>IFERROR(SUMPRODUCT(--ISNUMBER(SEARCH($B$6,'Base_Cobranzas'!$A$2:$A$702)),--((--ISNUMBER(SEARCH("DEPART",UPPER('Base_Cobranzas'!$E$2:$E$702)))+--ISNUMBER(SEARCH("DEPART",UPPER('Base_Cobranzas'!$K$2:$K$702)))+--ISNUMBER(SEARCH("DEPART",UPPER('Base_Cobranzas'!$Q$2:$Q$702)))+--ISNUMBER(SEARCH("DEPART",UPPER('Base_Cobranzas'!$W$2:$W$702))))&gt;0),--((--ISNUMBER(SEARCH("ESTACION",UPPER('Base_Cobranzas'!$E$2:$E$702)))+--ISNUMBER(SEARCH("ESTACION",UPPER('Base_Cobranzas'!$K$2:$K$702)))+--ISNUMBER(SEARCH("ESTACION",UPPER('Base_Cobranzas'!$Q$2:$Q$702)))+--ISNUMBER(SEARCH("ESTACION",UPPER('Base_Cobranzas'!$W$2:$W$702))))=0),--ISNUMBER(SEARCH("VENCIDO",UPPER(TRIM('Base_Cobranzas'!$BC$2:$BC$702)))),'Base_Cobranzas'!$AR$2:$AR$702),0)</f>
        <v/>
      </c>
      <c r="J12" s="57">
        <f>IF(C12=0,0,I12/C12)</f>
        <v/>
      </c>
      <c r="K12" s="59" t="n">
        <v>4</v>
      </c>
      <c r="L12" s="59" t="n">
        <v>50</v>
      </c>
    </row>
    <row r="13">
      <c r="B13" s="4" t="inlineStr">
        <is>
          <t>Departamento + Estacionamiento</t>
        </is>
      </c>
      <c r="C13" s="56" t="n">
        <v>7817500</v>
      </c>
      <c r="D13" s="56" t="n">
        <v>27</v>
      </c>
      <c r="F13" s="57">
        <f>IF(C13=0,0,G13/C13)</f>
        <v/>
      </c>
      <c r="G13" s="58">
        <f>IFERROR(SUMPRODUCT(--ISNUMBER(SEARCH($B$6,'Base_Cobranzas'!$A$2:$A$702)),--((--ISNUMBER(SEARCH("DEPART",UPPER('Base_Cobranzas'!$E$2:$E$702)))+--ISNUMBER(SEARCH("DEPART",UPPER('Base_Cobranzas'!$K$2:$K$702)))+--ISNUMBER(SEARCH("DEPART",UPPER('Base_Cobranzas'!$Q$2:$Q$702)))+--ISNUMBER(SEARCH("DEPART",UPPER('Base_Cobranzas'!$W$2:$W$702))))&gt;0),--((--ISNUMBER(SEARCH("ESTACION",UPPER('Base_Cobranzas'!$E$2:$E$702)))+--ISNUMBER(SEARCH("ESTACION",UPPER('Base_Cobranzas'!$K$2:$K$702)))+--ISNUMBER(SEARCH("ESTACION",UPPER('Base_Cobranzas'!$Q$2:$Q$702)))+--ISNUMBER(SEARCH("ESTACION",UPPER('Base_Cobranzas'!$W$2:$W$702))))&gt;0),--('Base_Cobranzas'!$AQ$2:$AQ$702&gt;0),'Base_Cobranzas'!$AQ$2:$AQ$702),0)</f>
        <v/>
      </c>
      <c r="H13" s="59">
        <f>IFERROR(SUMPRODUCT(--ISNUMBER(SEARCH($B$6,'Base_Cobranzas'!$A$2:$A$702)),--((--ISNUMBER(SEARCH("DEPART",UPPER('Base_Cobranzas'!$E$2:$E$702)))+--ISNUMBER(SEARCH("DEPART",UPPER('Base_Cobranzas'!$K$2:$K$702)))+--ISNUMBER(SEARCH("DEPART",UPPER('Base_Cobranzas'!$Q$2:$Q$702)))+--ISNUMBER(SEARCH("DEPART",UPPER('Base_Cobranzas'!$W$2:$W$702))))&gt;0),--((--ISNUMBER(SEARCH("ESTACION",UPPER('Base_Cobranzas'!$E$2:$E$702)))+--ISNUMBER(SEARCH("ESTACION",UPPER('Base_Cobranzas'!$K$2:$K$702)))+--ISNUMBER(SEARCH("ESTACION",UPPER('Base_Cobranzas'!$Q$2:$Q$702)))+--ISNUMBER(SEARCH("ESTACION",UPPER('Base_Cobranzas'!$W$2:$W$702))))&gt;0),--ISNUMBER(SEARCH("PENDIENTE",UPPER(TRIM('Base_Cobranzas'!$BC$2:$BC$702)))),'Base_Cobranzas'!$AR$2:$AR$702),0)</f>
        <v/>
      </c>
      <c r="I13" s="59">
        <f>IFERROR(SUMPRODUCT(--ISNUMBER(SEARCH($B$6,'Base_Cobranzas'!$A$2:$A$702)),--((--ISNUMBER(SEARCH("DEPART",UPPER('Base_Cobranzas'!$E$2:$E$702)))+--ISNUMBER(SEARCH("DEPART",UPPER('Base_Cobranzas'!$K$2:$K$702)))+--ISNUMBER(SEARCH("DEPART",UPPER('Base_Cobranzas'!$Q$2:$Q$702)))+--ISNUMBER(SEARCH("DEPART",UPPER('Base_Cobranzas'!$W$2:$W$702))))&gt;0),--((--ISNUMBER(SEARCH("ESTACION",UPPER('Base_Cobranzas'!$E$2:$E$702)))+--ISNUMBER(SEARCH("ESTACION",UPPER('Base_Cobranzas'!$K$2:$K$702)))+--ISNUMBER(SEARCH("ESTACION",UPPER('Base_Cobranzas'!$Q$2:$Q$702)))+--ISNUMBER(SEARCH("ESTACION",UPPER('Base_Cobranzas'!$W$2:$W$702))))&gt;0),--ISNUMBER(SEARCH("VENCIDO",UPPER(TRIM('Base_Cobranzas'!$BC$2:$BC$702)))),'Base_Cobranzas'!$AR$2:$AR$702),0)</f>
        <v/>
      </c>
      <c r="J13" s="57">
        <f>IF(C13=0,0,I13/C13)</f>
        <v/>
      </c>
      <c r="K13" s="59" t="n">
        <v>3</v>
      </c>
      <c r="L13" s="59" t="n">
        <v>112</v>
      </c>
    </row>
    <row r="14" ht="6.6" customHeight="1">
      <c r="C14" s="42" t="n"/>
      <c r="D14" s="42" t="n"/>
      <c r="F14" s="43" t="n"/>
      <c r="G14" s="42" t="n"/>
      <c r="H14" s="42" t="n"/>
      <c r="I14" s="42" t="n"/>
      <c r="J14" s="43" t="n"/>
      <c r="K14" s="42" t="n"/>
      <c r="L14" s="42" t="n"/>
    </row>
    <row r="15">
      <c r="B15" s="10" t="inlineStr">
        <is>
          <t>Estacionamientos</t>
        </is>
      </c>
      <c r="C15" s="53" t="n">
        <v>252500</v>
      </c>
      <c r="D15" s="53" t="n">
        <v>5</v>
      </c>
      <c r="F15" s="54">
        <f>IF(C15=0,0,G15/C15)</f>
        <v/>
      </c>
      <c r="G15" s="55">
        <f>IFERROR(SUMPRODUCT(--ISNUMBER(SEARCH($B$6,'Base_Cobranzas'!$A$2:$A$702)),--((--ISNUMBER(SEARCH("DEPART",UPPER('Base_Cobranzas'!$E$2:$E$702)))+--ISNUMBER(SEARCH("DEPART",UPPER('Base_Cobranzas'!$K$2:$K$702)))+--ISNUMBER(SEARCH("DEPART",UPPER('Base_Cobranzas'!$Q$2:$Q$702)))+--ISNUMBER(SEARCH("DEPART",UPPER('Base_Cobranzas'!$W$2:$W$702))))=0),--((--ISNUMBER(SEARCH("ESTACION",UPPER('Base_Cobranzas'!$E$2:$E$702)))+--ISNUMBER(SEARCH("ESTACION",UPPER('Base_Cobranzas'!$K$2:$K$702)))+--ISNUMBER(SEARCH("ESTACION",UPPER('Base_Cobranzas'!$Q$2:$Q$702)))+--ISNUMBER(SEARCH("ESTACION",UPPER('Base_Cobranzas'!$W$2:$W$702))))&gt;0),--('Base_Cobranzas'!$AQ$2:$AQ$702&gt;0),'Base_Cobranzas'!$AQ$2:$AQ$702),0)</f>
        <v/>
      </c>
      <c r="H15" s="55">
        <f>IFERROR(SUMPRODUCT(--ISNUMBER(SEARCH($B$6,'Base_Cobranzas'!$A$2:$A$702)),--((--ISNUMBER(SEARCH("DEPART",UPPER('Base_Cobranzas'!$E$2:$E$702)))+--ISNUMBER(SEARCH("DEPART",UPPER('Base_Cobranzas'!$K$2:$K$702)))+--ISNUMBER(SEARCH("DEPART",UPPER('Base_Cobranzas'!$Q$2:$Q$702)))+--ISNUMBER(SEARCH("DEPART",UPPER('Base_Cobranzas'!$W$2:$W$702))))=0),--((--ISNUMBER(SEARCH("ESTACION",UPPER('Base_Cobranzas'!$E$2:$E$702)))+--ISNUMBER(SEARCH("ESTACION",UPPER('Base_Cobranzas'!$K$2:$K$702)))+--ISNUMBER(SEARCH("ESTACION",UPPER('Base_Cobranzas'!$Q$2:$Q$702)))+--ISNUMBER(SEARCH("ESTACION",UPPER('Base_Cobranzas'!$W$2:$W$702))))&gt;0),--ISNUMBER(SEARCH("PENDIENTE",UPPER(TRIM('Base_Cobranzas'!$BC$2:$BC$702)))),'Base_Cobranzas'!$AR$2:$AR$702),0)</f>
        <v/>
      </c>
      <c r="I15" s="55">
        <f>IFERROR(SUMPRODUCT(--ISNUMBER(SEARCH($B$6,'Base_Cobranzas'!$A$2:$A$702)),--((--ISNUMBER(SEARCH("DEPART",UPPER('Base_Cobranzas'!$E$2:$E$702)))+--ISNUMBER(SEARCH("DEPART",UPPER('Base_Cobranzas'!$K$2:$K$702)))+--ISNUMBER(SEARCH("DEPART",UPPER('Base_Cobranzas'!$Q$2:$Q$702)))+--ISNUMBER(SEARCH("DEPART",UPPER('Base_Cobranzas'!$W$2:$W$702))))=0),--((--ISNUMBER(SEARCH("ESTACION",UPPER('Base_Cobranzas'!$E$2:$E$702)))+--ISNUMBER(SEARCH("ESTACION",UPPER('Base_Cobranzas'!$K$2:$K$702)))+--ISNUMBER(SEARCH("ESTACION",UPPER('Base_Cobranzas'!$Q$2:$Q$702)))+--ISNUMBER(SEARCH("ESTACION",UPPER('Base_Cobranzas'!$W$2:$W$702))))&gt;0),--ISNUMBER(SEARCH("VENCIDO",UPPER(TRIM('Base_Cobranzas'!$BC$2:$BC$702)))),'Base_Cobranzas'!$AR$2:$AR$702),0)</f>
        <v/>
      </c>
      <c r="J15" s="60">
        <f>IF(C15=0,0,I15/C15)</f>
        <v/>
      </c>
      <c r="K15" s="61" t="n">
        <v>1</v>
      </c>
      <c r="L15" s="61" t="n">
        <v>0</v>
      </c>
    </row>
    <row r="16" ht="6.6" customHeight="1">
      <c r="C16" s="42" t="n"/>
      <c r="D16" s="42" t="n"/>
      <c r="F16" s="43" t="n"/>
      <c r="G16" s="42" t="n"/>
      <c r="H16" s="42" t="n"/>
      <c r="I16" s="42" t="n"/>
      <c r="J16" s="43" t="n"/>
      <c r="K16" s="62" t="n"/>
      <c r="L16" s="62" t="n"/>
    </row>
    <row r="17">
      <c r="B17" s="10" t="inlineStr">
        <is>
          <t>Depositos</t>
        </is>
      </c>
      <c r="C17" s="53" t="n">
        <v>0</v>
      </c>
      <c r="D17" s="53" t="n">
        <v>0</v>
      </c>
      <c r="F17" s="54">
        <f>IF(C17=0,0,G17/C17)</f>
        <v/>
      </c>
      <c r="G17" s="55">
        <f>IFERROR(SUMPRODUCT(--ISNUMBER(SEARCH($B$6,'Base_Cobranzas'!$A$2:$A$702)),--((--ISNUMBER(SEARCH("DEPART",UPPER('Base_Cobranzas'!$E$2:$E$702)))+--ISNUMBER(SEARCH("DEPART",UPPER('Base_Cobranzas'!$K$2:$K$702)))+--ISNUMBER(SEARCH("DEPART",UPPER('Base_Cobranzas'!$Q$2:$Q$702)))+--ISNUMBER(SEARCH("DEPART",UPPER('Base_Cobranzas'!$W$2:$W$702))))=0),--((--ISNUMBER(SEARCH("ESTACION",UPPER('Base_Cobranzas'!$E$2:$E$702)))+--ISNUMBER(SEARCH("ESTACION",UPPER('Base_Cobranzas'!$K$2:$K$702)))+--ISNUMBER(SEARCH("ESTACION",UPPER('Base_Cobranzas'!$Q$2:$Q$702)))+--ISNUMBER(SEARCH("ESTACION",UPPER('Base_Cobranzas'!$W$2:$W$702))))=0),--((--ISNUMBER(SEARCH("DEPOS",UPPER('Base_Cobranzas'!$E$2:$E$702)))+--ISNUMBER(SEARCH("DEPOS",UPPER('Base_Cobranzas'!$K$2:$K$702)))+--ISNUMBER(SEARCH("DEPOS",UPPER('Base_Cobranzas'!$Q$2:$Q$702)))+--ISNUMBER(SEARCH("DEPOS",UPPER('Base_Cobranzas'!$W$2:$W$702))))&gt;0),--('Base_Cobranzas'!$AQ$2:$AQ$702&gt;0),'Base_Cobranzas'!$AQ$2:$AQ$702),0)</f>
        <v/>
      </c>
      <c r="H17" s="55">
        <f>IFERROR(SUMPRODUCT(--ISNUMBER(SEARCH($B$6,'Base_Cobranzas'!$A$2:$A$702)),--((--ISNUMBER(SEARCH("DEPART",UPPER('Base_Cobranzas'!$E$2:$E$702)))+--ISNUMBER(SEARCH("DEPART",UPPER('Base_Cobranzas'!$K$2:$K$702)))+--ISNUMBER(SEARCH("DEPART",UPPER('Base_Cobranzas'!$Q$2:$Q$702)))+--ISNUMBER(SEARCH("DEPART",UPPER('Base_Cobranzas'!$W$2:$W$702))))=0),--((--ISNUMBER(SEARCH("ESTACION",UPPER('Base_Cobranzas'!$E$2:$E$702)))+--ISNUMBER(SEARCH("ESTACION",UPPER('Base_Cobranzas'!$K$2:$K$702)))+--ISNUMBER(SEARCH("ESTACION",UPPER('Base_Cobranzas'!$Q$2:$Q$702)))+--ISNUMBER(SEARCH("ESTACION",UPPER('Base_Cobranzas'!$W$2:$W$702))))=0),--((--ISNUMBER(SEARCH("DEPOS",UPPER('Base_Cobranzas'!$E$2:$E$702)))+--ISNUMBER(SEARCH("DEPOS",UPPER('Base_Cobranzas'!$K$2:$K$702)))+--ISNUMBER(SEARCH("DEPOS",UPPER('Base_Cobranzas'!$Q$2:$Q$702)))+--ISNUMBER(SEARCH("DEPOS",UPPER('Base_Cobranzas'!$W$2:$W$702))))&gt;0),--ISNUMBER(SEARCH("PENDIENTE",UPPER(TRIM('Base_Cobranzas'!$BC$2:$BC$702)))),'Base_Cobranzas'!$AR$2:$AR$702),0)</f>
        <v/>
      </c>
      <c r="I17" s="55">
        <f>IFERROR(SUMPRODUCT(--ISNUMBER(SEARCH($B$6,'Base_Cobranzas'!$A$2:$A$702)),--((--ISNUMBER(SEARCH("DEPART",UPPER('Base_Cobranzas'!$E$2:$E$702)))+--ISNUMBER(SEARCH("DEPART",UPPER('Base_Cobranzas'!$K$2:$K$702)))+--ISNUMBER(SEARCH("DEPART",UPPER('Base_Cobranzas'!$Q$2:$Q$702)))+--ISNUMBER(SEARCH("DEPART",UPPER('Base_Cobranzas'!$W$2:$W$702))))=0),--((--ISNUMBER(SEARCH("ESTACION",UPPER('Base_Cobranzas'!$E$2:$E$702)))+--ISNUMBER(SEARCH("ESTACION",UPPER('Base_Cobranzas'!$K$2:$K$702)))+--ISNUMBER(SEARCH("ESTACION",UPPER('Base_Cobranzas'!$Q$2:$Q$702)))+--ISNUMBER(SEARCH("ESTACION",UPPER('Base_Cobranzas'!$W$2:$W$702))))=0),--((--ISNUMBER(SEARCH("DEPOS",UPPER('Base_Cobranzas'!$E$2:$E$702)))+--ISNUMBER(SEARCH("DEPOS",UPPER('Base_Cobranzas'!$K$2:$K$702)))+--ISNUMBER(SEARCH("DEPOS",UPPER('Base_Cobranzas'!$Q$2:$Q$702)))+--ISNUMBER(SEARCH("DEPOS",UPPER('Base_Cobranzas'!$W$2:$W$702))))&gt;0),--ISNUMBER(SEARCH("VENCIDO",UPPER(TRIM('Base_Cobranzas'!$BC$2:$BC$702)))),'Base_Cobranzas'!$AR$2:$AR$702),0)</f>
        <v/>
      </c>
      <c r="J17" s="60">
        <f>IF(C17=0,0,I17/C17)</f>
        <v/>
      </c>
      <c r="K17" s="61" t="n">
        <v>0</v>
      </c>
      <c r="L17" s="61" t="n">
        <v>0</v>
      </c>
    </row>
    <row r="18" ht="6.6" customHeight="1">
      <c r="C18" s="42" t="n"/>
      <c r="D18" s="42" t="n"/>
      <c r="F18" s="43" t="n"/>
      <c r="G18" s="42" t="n"/>
      <c r="H18" s="42" t="n"/>
      <c r="I18" s="42" t="n"/>
      <c r="J18" s="43" t="n"/>
      <c r="K18" s="62" t="n"/>
      <c r="L18" s="62" t="n"/>
    </row>
    <row r="19">
      <c r="B19" s="10" t="inlineStr">
        <is>
          <t>Local Comercial</t>
        </is>
      </c>
      <c r="C19" s="53" t="n">
        <v>0</v>
      </c>
      <c r="D19" s="53" t="n">
        <v>0</v>
      </c>
      <c r="F19" s="54">
        <f>IF(C19=0,0,G19/C19)</f>
        <v/>
      </c>
      <c r="G19" s="55">
        <f>IFERROR(SUMPRODUCT(--ISNUMBER(SEARCH($B$6,'Base_Cobranzas'!$A$2:$A$702)),--(((--ISNUMBER(SEARCH("LOCAL",UPPER('Base_Cobranzas'!$E$2:$E$702)))+--ISNUMBER(SEARCH("LOCAL",UPPER('Base_Cobranzas'!$K$2:$K$702)))+--ISNUMBER(SEARCH("LOCAL",UPPER('Base_Cobranzas'!$Q$2:$Q$702)))+--ISNUMBER(SEARCH("LOCAL",UPPER('Base_Cobranzas'!$W$2:$W$702))))+(--ISNUMBER(SEARCH("COMERCIAL",UPPER('Base_Cobranzas'!$E$2:$E$702)))+--ISNUMBER(SEARCH("COMERCIAL",UPPER('Base_Cobranzas'!$K$2:$K$702)))+--ISNUMBER(SEARCH("COMERCIAL",UPPER('Base_Cobranzas'!$Q$2:$Q$702)))+--ISNUMBER(SEARCH("COMERCIAL",UPPER('Base_Cobranzas'!$W$2:$W$702)))))&gt;0),--('Base_Cobranzas'!$AQ$2:$AQ$702&gt;0),'Base_Cobranzas'!$AQ$2:$AQ$702),0)</f>
        <v/>
      </c>
      <c r="H19" s="55">
        <f>IFERROR(SUMPRODUCT(--ISNUMBER(SEARCH($B$6,'Base_Cobranzas'!$A$2:$A$702)),--(((--ISNUMBER(SEARCH("LOCAL",UPPER('Base_Cobranzas'!$E$2:$E$702)))+--ISNUMBER(SEARCH("LOCAL",UPPER('Base_Cobranzas'!$K$2:$K$702)))+--ISNUMBER(SEARCH("LOCAL",UPPER('Base_Cobranzas'!$Q$2:$Q$702)))+--ISNUMBER(SEARCH("LOCAL",UPPER('Base_Cobranzas'!$W$2:$W$702))))+(--ISNUMBER(SEARCH("COMERCIAL",UPPER('Base_Cobranzas'!$E$2:$E$702)))+--ISNUMBER(SEARCH("COMERCIAL",UPPER('Base_Cobranzas'!$K$2:$K$702)))+--ISNUMBER(SEARCH("COMERCIAL",UPPER('Base_Cobranzas'!$Q$2:$Q$702)))+--ISNUMBER(SEARCH("COMERCIAL",UPPER('Base_Cobranzas'!$W$2:$W$702)))))&gt;0),--ISNUMBER(SEARCH("PENDIENTE",UPPER(TRIM('Base_Cobranzas'!$BC$2:$BC$702)))),'Base_Cobranzas'!$AR$2:$AR$702),0)</f>
        <v/>
      </c>
      <c r="I19" s="55">
        <f>IFERROR(SUMPRODUCT(--ISNUMBER(SEARCH($B$6,'Base_Cobranzas'!$A$2:$A$702)),--(((--ISNUMBER(SEARCH("LOCAL",UPPER('Base_Cobranzas'!$E$2:$E$702)))+--ISNUMBER(SEARCH("LOCAL",UPPER('Base_Cobranzas'!$K$2:$K$702)))+--ISNUMBER(SEARCH("LOCAL",UPPER('Base_Cobranzas'!$Q$2:$Q$702)))+--ISNUMBER(SEARCH("LOCAL",UPPER('Base_Cobranzas'!$W$2:$W$702))))+(--ISNUMBER(SEARCH("COMERCIAL",UPPER('Base_Cobranzas'!$E$2:$E$702)))+--ISNUMBER(SEARCH("COMERCIAL",UPPER('Base_Cobranzas'!$K$2:$K$702)))+--ISNUMBER(SEARCH("COMERCIAL",UPPER('Base_Cobranzas'!$Q$2:$Q$702)))+--ISNUMBER(SEARCH("COMERCIAL",UPPER('Base_Cobranzas'!$W$2:$W$702)))))&gt;0),--ISNUMBER(SEARCH("VENCIDO",UPPER(TRIM('Base_Cobranzas'!$BC$2:$BC$702)))),'Base_Cobranzas'!$AR$2:$AR$702),0)</f>
        <v/>
      </c>
      <c r="J19" s="60">
        <f>IF(C19=0,0,I19/C19)</f>
        <v/>
      </c>
      <c r="K19" s="61" t="n">
        <v>0</v>
      </c>
      <c r="L19" s="61" t="n">
        <v>0</v>
      </c>
    </row>
    <row r="20" ht="6.6" customHeight="1">
      <c r="C20" s="42" t="n"/>
      <c r="D20" s="42" t="n"/>
      <c r="F20" s="43" t="n"/>
      <c r="G20" s="42" t="n"/>
      <c r="H20" s="42" t="n"/>
      <c r="I20" s="42" t="n"/>
      <c r="J20" s="43" t="n"/>
      <c r="K20" s="62" t="n"/>
      <c r="L20" s="62" t="n"/>
    </row>
    <row r="21">
      <c r="A21" s="35">
        <f>+IF(ROUND(C21,0)=ROUND(G21+H21+I21,0),"OK","REVISAR")</f>
        <v/>
      </c>
      <c r="B21" s="36" t="inlineStr">
        <is>
          <t>Total</t>
        </is>
      </c>
      <c r="C21" s="63" t="n">
        <v>24971100</v>
      </c>
      <c r="D21" s="63" t="n">
        <v>64</v>
      </c>
      <c r="F21" s="64">
        <f>IF(C21=0,0,G21/C21)</f>
        <v/>
      </c>
      <c r="G21" s="65">
        <f>G11+G15+G17+G19</f>
        <v/>
      </c>
      <c r="H21" s="65">
        <f>H11+H15+H17+H19</f>
        <v/>
      </c>
      <c r="I21" s="65">
        <f>I11+I15+I17+I19</f>
        <v/>
      </c>
      <c r="J21" s="66">
        <f>IF(C21=0,0,I21/C21)</f>
        <v/>
      </c>
      <c r="K21" s="67" t="n">
        <v>8</v>
      </c>
      <c r="L21" s="67" t="n">
        <v>65</v>
      </c>
    </row>
    <row r="22">
      <c r="C22" s="42" t="n"/>
      <c r="D22" s="42" t="n"/>
      <c r="F22" s="43" t="n"/>
      <c r="G22" s="42" t="n"/>
      <c r="H22" s="42" t="n"/>
      <c r="I22" s="42" t="n"/>
      <c r="J22" s="43" t="n"/>
      <c r="K22" s="42" t="n"/>
      <c r="L22" s="42" t="n"/>
    </row>
    <row r="23">
      <c r="C23" s="42" t="n"/>
      <c r="D23" s="42" t="n"/>
      <c r="F23" s="43" t="n"/>
      <c r="G23" s="42" t="n"/>
      <c r="H23" s="42" t="n"/>
      <c r="I23" s="42" t="n"/>
      <c r="J23" s="43" t="n"/>
      <c r="K23" s="42" t="n"/>
      <c r="L23" s="42" t="n"/>
    </row>
    <row r="24">
      <c r="C24" s="42" t="n"/>
      <c r="D24" s="42" t="n"/>
      <c r="F24" s="43" t="n"/>
      <c r="G24" s="42" t="n"/>
      <c r="H24" s="42" t="n"/>
      <c r="I24" s="42" t="n"/>
      <c r="J24" s="43" t="n"/>
      <c r="K24" s="42" t="n"/>
      <c r="L24" s="42" t="n"/>
    </row>
    <row r="25">
      <c r="C25" s="42" t="n"/>
      <c r="D25" s="42" t="n"/>
      <c r="F25" s="43" t="n"/>
      <c r="G25" s="42" t="n"/>
      <c r="H25" s="42" t="n"/>
      <c r="I25" s="42" t="n"/>
      <c r="J25" s="43" t="n"/>
      <c r="K25" s="42" t="n"/>
      <c r="L25" s="42" t="n"/>
    </row>
    <row r="31" ht="21" customHeight="1">
      <c r="B31" s="1" t="inlineStr">
        <is>
          <t>COBRANZA REAL</t>
        </is>
      </c>
    </row>
    <row r="33">
      <c r="B33" s="25" t="inlineStr">
        <is>
          <t>Tipo de Credito</t>
        </is>
      </c>
      <c r="C33" s="68" t="n">
        <v>2024</v>
      </c>
      <c r="D33" s="68" t="n">
        <v>2025</v>
      </c>
      <c r="E33" s="26" t="n">
        <v>46023</v>
      </c>
      <c r="F33" s="26" t="n">
        <v>46054</v>
      </c>
      <c r="G33" s="26" t="n">
        <v>46082</v>
      </c>
      <c r="H33" s="26" t="n">
        <v>46113</v>
      </c>
      <c r="I33" s="26" t="n">
        <v>46143</v>
      </c>
      <c r="J33" s="26" t="n">
        <v>46174</v>
      </c>
      <c r="K33" s="26" t="n">
        <v>46204</v>
      </c>
      <c r="L33" s="26" t="n">
        <v>46235</v>
      </c>
      <c r="M33" s="26" t="n">
        <v>46266</v>
      </c>
      <c r="N33" s="26" t="n">
        <v>46296</v>
      </c>
      <c r="O33" s="26" t="inlineStr">
        <is>
          <t>Total</t>
        </is>
      </c>
    </row>
    <row r="34">
      <c r="B34" s="8" t="inlineStr">
        <is>
          <t>Crédito Directo</t>
        </is>
      </c>
      <c r="C34" s="69">
        <f>IFERROR(SUMPRODUCT(--ISNUMBER(SEARCH($B$6,'Base_Cobranzas'!$A$2:$A$702)),--('Base_Cobranzas'!$AJ$2:$AJ$702&gt;=IF(C$33&lt;3000,DATE(C$33,1,1),C$33)),--('Base_Cobranzas'!$AJ$2:$AJ$702&lt;IF(C$33&lt;3000,DATE(C$33+1,1,1),EDATE(C$33,1))),--ISNUMBER(SEARCH(IF(ISNUMBER(SEARCH("DIRECTO",UPPER($B34))),"DIRECTO",IF(ISNUMBER(SEARCH("HIPOT",UPPER($B34))),"HIPOT",IF(ISNUMBER(SEARCH("AHORRO",UPPER($B34))),"AHORRO",UPPER($B34)))),UPPER('Base_Cobranzas'!$AT$2:$AT$702))),--('Base_Cobranzas'!$AQ$2:$AQ$702&gt;0),'Base_Cobranzas'!$AQ$2:$AQ$702),0)</f>
        <v/>
      </c>
      <c r="D34" s="69">
        <f>IFERROR(SUMPRODUCT(--ISNUMBER(SEARCH($B$6,'Base_Cobranzas'!$A$2:$A$702)),--('Base_Cobranzas'!$AJ$2:$AJ$702&gt;=IF(D$33&lt;3000,DATE(D$33,1,1),D$33)),--('Base_Cobranzas'!$AJ$2:$AJ$702&lt;IF(D$33&lt;3000,DATE(D$33+1,1,1),EDATE(D$33,1))),--ISNUMBER(SEARCH(IF(ISNUMBER(SEARCH("DIRECTO",UPPER($B34))),"DIRECTO",IF(ISNUMBER(SEARCH("HIPOT",UPPER($B34))),"HIPOT",IF(ISNUMBER(SEARCH("AHORRO",UPPER($B34))),"AHORRO",UPPER($B34)))),UPPER('Base_Cobranzas'!$AT$2:$AT$702))),--('Base_Cobranzas'!$AQ$2:$AQ$702&gt;0),'Base_Cobranzas'!$AQ$2:$AQ$702),0)</f>
        <v/>
      </c>
      <c r="E34" s="69">
        <f>IFERROR(SUMPRODUCT(--ISNUMBER(SEARCH($B$6,'Base_Cobranzas'!$A$2:$A$702)),--('Base_Cobranzas'!$AJ$2:$AJ$702&gt;=IF(E$33&lt;3000,DATE(E$33,1,1),E$33)),--('Base_Cobranzas'!$AJ$2:$AJ$702&lt;IF(E$33&lt;3000,DATE(E$33+1,1,1),EDATE(E$33,1))),--ISNUMBER(SEARCH(IF(ISNUMBER(SEARCH("DIRECTO",UPPER($B34))),"DIRECTO",IF(ISNUMBER(SEARCH("HIPOT",UPPER($B34))),"HIPOT",IF(ISNUMBER(SEARCH("AHORRO",UPPER($B34))),"AHORRO",UPPER($B34)))),UPPER('Base_Cobranzas'!$AT$2:$AT$702))),--('Base_Cobranzas'!$AQ$2:$AQ$702&gt;0),'Base_Cobranzas'!$AQ$2:$AQ$702),0)</f>
        <v/>
      </c>
      <c r="F34" s="69">
        <f>IFERROR(SUMPRODUCT(--ISNUMBER(SEARCH($B$6,'Base_Cobranzas'!$A$2:$A$702)),--('Base_Cobranzas'!$AJ$2:$AJ$702&gt;=IF(F$33&lt;3000,DATE(F$33,1,1),F$33)),--('Base_Cobranzas'!$AJ$2:$AJ$702&lt;IF(F$33&lt;3000,DATE(F$33+1,1,1),EDATE(F$33,1))),--ISNUMBER(SEARCH(IF(ISNUMBER(SEARCH("DIRECTO",UPPER($B34))),"DIRECTO",IF(ISNUMBER(SEARCH("HIPOT",UPPER($B34))),"HIPOT",IF(ISNUMBER(SEARCH("AHORRO",UPPER($B34))),"AHORRO",UPPER($B34)))),UPPER('Base_Cobranzas'!$AT$2:$AT$702))),--('Base_Cobranzas'!$AQ$2:$AQ$702&gt;0),'Base_Cobranzas'!$AQ$2:$AQ$702),0)</f>
        <v/>
      </c>
      <c r="G34" s="69">
        <f>IFERROR(SUMPRODUCT(--ISNUMBER(SEARCH($B$6,'Base_Cobranzas'!$A$2:$A$702)),--('Base_Cobranzas'!$AJ$2:$AJ$702&gt;=IF(G$33&lt;3000,DATE(G$33,1,1),G$33)),--('Base_Cobranzas'!$AJ$2:$AJ$702&lt;IF(G$33&lt;3000,DATE(G$33+1,1,1),EDATE(G$33,1))),--ISNUMBER(SEARCH(IF(ISNUMBER(SEARCH("DIRECTO",UPPER($B34))),"DIRECTO",IF(ISNUMBER(SEARCH("HIPOT",UPPER($B34))),"HIPOT",IF(ISNUMBER(SEARCH("AHORRO",UPPER($B34))),"AHORRO",UPPER($B34)))),UPPER('Base_Cobranzas'!$AT$2:$AT$702))),--('Base_Cobranzas'!$AQ$2:$AQ$702&gt;0),'Base_Cobranzas'!$AQ$2:$AQ$702),0)</f>
        <v/>
      </c>
      <c r="H34" s="69">
        <f>IFERROR(SUMPRODUCT(--ISNUMBER(SEARCH($B$6,'Base_Cobranzas'!$A$2:$A$702)),--('Base_Cobranzas'!$AJ$2:$AJ$702&gt;=IF(H$33&lt;3000,DATE(H$33,1,1),H$33)),--('Base_Cobranzas'!$AJ$2:$AJ$702&lt;IF(H$33&lt;3000,DATE(H$33+1,1,1),EDATE(H$33,1))),--ISNUMBER(SEARCH(IF(ISNUMBER(SEARCH("DIRECTO",UPPER($B34))),"DIRECTO",IF(ISNUMBER(SEARCH("HIPOT",UPPER($B34))),"HIPOT",IF(ISNUMBER(SEARCH("AHORRO",UPPER($B34))),"AHORRO",UPPER($B34)))),UPPER('Base_Cobranzas'!$AT$2:$AT$702))),--('Base_Cobranzas'!$AQ$2:$AQ$702&gt;0),'Base_Cobranzas'!$AQ$2:$AQ$702),0)</f>
        <v/>
      </c>
      <c r="I34" s="69">
        <f>IFERROR(SUMPRODUCT(--ISNUMBER(SEARCH($B$6,'Base_Cobranzas'!$A$2:$A$702)),--('Base_Cobranzas'!$AJ$2:$AJ$702&gt;=IF(I$33&lt;3000,DATE(I$33,1,1),I$33)),--('Base_Cobranzas'!$AJ$2:$AJ$702&lt;IF(I$33&lt;3000,DATE(I$33+1,1,1),EDATE(I$33,1))),--ISNUMBER(SEARCH(IF(ISNUMBER(SEARCH("DIRECTO",UPPER($B34))),"DIRECTO",IF(ISNUMBER(SEARCH("HIPOT",UPPER($B34))),"HIPOT",IF(ISNUMBER(SEARCH("AHORRO",UPPER($B34))),"AHORRO",UPPER($B34)))),UPPER('Base_Cobranzas'!$AT$2:$AT$702))),--('Base_Cobranzas'!$AQ$2:$AQ$702&gt;0),'Base_Cobranzas'!$AQ$2:$AQ$702),0)</f>
        <v/>
      </c>
      <c r="J34" s="69">
        <f>IFERROR(SUMPRODUCT(--ISNUMBER(SEARCH($B$6,'Base_Cobranzas'!$A$2:$A$702)),--('Base_Cobranzas'!$AJ$2:$AJ$702&gt;=IF(J$33&lt;3000,DATE(J$33,1,1),J$33)),--('Base_Cobranzas'!$AJ$2:$AJ$702&lt;IF(J$33&lt;3000,DATE(J$33+1,1,1),EDATE(J$33,1))),--ISNUMBER(SEARCH(IF(ISNUMBER(SEARCH("DIRECTO",UPPER($B34))),"DIRECTO",IF(ISNUMBER(SEARCH("HIPOT",UPPER($B34))),"HIPOT",IF(ISNUMBER(SEARCH("AHORRO",UPPER($B34))),"AHORRO",UPPER($B34)))),UPPER('Base_Cobranzas'!$AT$2:$AT$702))),--('Base_Cobranzas'!$AQ$2:$AQ$702&gt;0),'Base_Cobranzas'!$AQ$2:$AQ$702),0)</f>
        <v/>
      </c>
      <c r="K34" s="69">
        <f>IFERROR(SUMPRODUCT(--ISNUMBER(SEARCH($B$6,'Base_Cobranzas'!$A$2:$A$702)),--('Base_Cobranzas'!$AJ$2:$AJ$702&gt;=IF(K$33&lt;3000,DATE(K$33,1,1),K$33)),--('Base_Cobranzas'!$AJ$2:$AJ$702&lt;IF(K$33&lt;3000,DATE(K$33+1,1,1),EDATE(K$33,1))),--ISNUMBER(SEARCH(IF(ISNUMBER(SEARCH("DIRECTO",UPPER($B34))),"DIRECTO",IF(ISNUMBER(SEARCH("HIPOT",UPPER($B34))),"HIPOT",IF(ISNUMBER(SEARCH("AHORRO",UPPER($B34))),"AHORRO",UPPER($B34)))),UPPER('Base_Cobranzas'!$AT$2:$AT$702))),--('Base_Cobranzas'!$AQ$2:$AQ$702&gt;0),'Base_Cobranzas'!$AQ$2:$AQ$702),0)</f>
        <v/>
      </c>
      <c r="L34" s="69">
        <f>IFERROR(SUMPRODUCT(--ISNUMBER(SEARCH($B$6,'Base_Cobranzas'!$A$2:$A$702)),--('Base_Cobranzas'!$AJ$2:$AJ$702&gt;=IF(L$33&lt;3000,DATE(L$33,1,1),L$33)),--('Base_Cobranzas'!$AJ$2:$AJ$702&lt;IF(L$33&lt;3000,DATE(L$33+1,1,1),EDATE(L$33,1))),--ISNUMBER(SEARCH(IF(ISNUMBER(SEARCH("DIRECTO",UPPER($B34))),"DIRECTO",IF(ISNUMBER(SEARCH("HIPOT",UPPER($B34))),"HIPOT",IF(ISNUMBER(SEARCH("AHORRO",UPPER($B34))),"AHORRO",UPPER($B34)))),UPPER('Base_Cobranzas'!$AT$2:$AT$702))),--('Base_Cobranzas'!$AQ$2:$AQ$702&gt;0),'Base_Cobranzas'!$AQ$2:$AQ$702),0)</f>
        <v/>
      </c>
      <c r="M34" s="69">
        <f>IFERROR(SUMPRODUCT(--ISNUMBER(SEARCH($B$6,'Base_Cobranzas'!$A$2:$A$702)),--('Base_Cobranzas'!$AJ$2:$AJ$702&gt;=IF(M$33&lt;3000,DATE(M$33,1,1),M$33)),--('Base_Cobranzas'!$AJ$2:$AJ$702&lt;IF(M$33&lt;3000,DATE(M$33+1,1,1),EDATE(M$33,1))),--ISNUMBER(SEARCH(IF(ISNUMBER(SEARCH("DIRECTO",UPPER($B34))),"DIRECTO",IF(ISNUMBER(SEARCH("HIPOT",UPPER($B34))),"HIPOT",IF(ISNUMBER(SEARCH("AHORRO",UPPER($B34))),"AHORRO",UPPER($B34)))),UPPER('Base_Cobranzas'!$AT$2:$AT$702))),--('Base_Cobranzas'!$AQ$2:$AQ$702&gt;0),'Base_Cobranzas'!$AQ$2:$AQ$702),0)</f>
        <v/>
      </c>
      <c r="N34" s="69">
        <f>IFERROR(SUMPRODUCT(--ISNUMBER(SEARCH($B$6,'Base_Cobranzas'!$A$2:$A$702)),--('Base_Cobranzas'!$AJ$2:$AJ$702&gt;=IF(N$33&lt;3000,DATE(N$33,1,1),N$33)),--('Base_Cobranzas'!$AJ$2:$AJ$702&lt;IF(N$33&lt;3000,DATE(N$33+1,1,1),EDATE(N$33,1))),--ISNUMBER(SEARCH(IF(ISNUMBER(SEARCH("DIRECTO",UPPER($B34))),"DIRECTO",IF(ISNUMBER(SEARCH("HIPOT",UPPER($B34))),"HIPOT",IF(ISNUMBER(SEARCH("AHORRO",UPPER($B34))),"AHORRO",UPPER($B34)))),UPPER('Base_Cobranzas'!$AT$2:$AT$702))),--('Base_Cobranzas'!$AQ$2:$AQ$702&gt;0),'Base_Cobranzas'!$AQ$2:$AQ$702),0)</f>
        <v/>
      </c>
      <c r="O34" s="70">
        <f>SUM(C34:N34)</f>
        <v/>
      </c>
    </row>
    <row r="35">
      <c r="B35" s="8" t="inlineStr">
        <is>
          <t>Crédito Hipotecario</t>
        </is>
      </c>
      <c r="C35" s="69">
        <f>IFERROR(SUMPRODUCT(--ISNUMBER(SEARCH($B$6,'Base_Cobranzas'!$A$2:$A$702)),--('Base_Cobranzas'!$AJ$2:$AJ$702&gt;=IF(C$33&lt;3000,DATE(C$33,1,1),C$33)),--('Base_Cobranzas'!$AJ$2:$AJ$702&lt;IF(C$33&lt;3000,DATE(C$33+1,1,1),EDATE(C$33,1))),--ISNUMBER(SEARCH(IF(ISNUMBER(SEARCH("DIRECTO",UPPER($B35))),"DIRECTO",IF(ISNUMBER(SEARCH("HIPOT",UPPER($B35))),"HIPOT",IF(ISNUMBER(SEARCH("AHORRO",UPPER($B35))),"AHORRO",UPPER($B35)))),UPPER('Base_Cobranzas'!$AT$2:$AT$702))),--('Base_Cobranzas'!$AQ$2:$AQ$702&gt;0),'Base_Cobranzas'!$AQ$2:$AQ$702),0)</f>
        <v/>
      </c>
      <c r="D35" s="69">
        <f>IFERROR(SUMPRODUCT(--ISNUMBER(SEARCH($B$6,'Base_Cobranzas'!$A$2:$A$702)),--('Base_Cobranzas'!$AJ$2:$AJ$702&gt;=IF(D$33&lt;3000,DATE(D$33,1,1),D$33)),--('Base_Cobranzas'!$AJ$2:$AJ$702&lt;IF(D$33&lt;3000,DATE(D$33+1,1,1),EDATE(D$33,1))),--ISNUMBER(SEARCH(IF(ISNUMBER(SEARCH("DIRECTO",UPPER($B35))),"DIRECTO",IF(ISNUMBER(SEARCH("HIPOT",UPPER($B35))),"HIPOT",IF(ISNUMBER(SEARCH("AHORRO",UPPER($B35))),"AHORRO",UPPER($B35)))),UPPER('Base_Cobranzas'!$AT$2:$AT$702))),--('Base_Cobranzas'!$AQ$2:$AQ$702&gt;0),'Base_Cobranzas'!$AQ$2:$AQ$702),0)</f>
        <v/>
      </c>
      <c r="E35" s="69">
        <f>IFERROR(SUMPRODUCT(--ISNUMBER(SEARCH($B$6,'Base_Cobranzas'!$A$2:$A$702)),--('Base_Cobranzas'!$AJ$2:$AJ$702&gt;=IF(E$33&lt;3000,DATE(E$33,1,1),E$33)),--('Base_Cobranzas'!$AJ$2:$AJ$702&lt;IF(E$33&lt;3000,DATE(E$33+1,1,1),EDATE(E$33,1))),--ISNUMBER(SEARCH(IF(ISNUMBER(SEARCH("DIRECTO",UPPER($B35))),"DIRECTO",IF(ISNUMBER(SEARCH("HIPOT",UPPER($B35))),"HIPOT",IF(ISNUMBER(SEARCH("AHORRO",UPPER($B35))),"AHORRO",UPPER($B35)))),UPPER('Base_Cobranzas'!$AT$2:$AT$702))),--('Base_Cobranzas'!$AQ$2:$AQ$702&gt;0),'Base_Cobranzas'!$AQ$2:$AQ$702),0)</f>
        <v/>
      </c>
      <c r="F35" s="69">
        <f>IFERROR(SUMPRODUCT(--ISNUMBER(SEARCH($B$6,'Base_Cobranzas'!$A$2:$A$702)),--('Base_Cobranzas'!$AJ$2:$AJ$702&gt;=IF(F$33&lt;3000,DATE(F$33,1,1),F$33)),--('Base_Cobranzas'!$AJ$2:$AJ$702&lt;IF(F$33&lt;3000,DATE(F$33+1,1,1),EDATE(F$33,1))),--ISNUMBER(SEARCH(IF(ISNUMBER(SEARCH("DIRECTO",UPPER($B35))),"DIRECTO",IF(ISNUMBER(SEARCH("HIPOT",UPPER($B35))),"HIPOT",IF(ISNUMBER(SEARCH("AHORRO",UPPER($B35))),"AHORRO",UPPER($B35)))),UPPER('Base_Cobranzas'!$AT$2:$AT$702))),--('Base_Cobranzas'!$AQ$2:$AQ$702&gt;0),'Base_Cobranzas'!$AQ$2:$AQ$702),0)</f>
        <v/>
      </c>
      <c r="G35" s="69">
        <f>IFERROR(SUMPRODUCT(--ISNUMBER(SEARCH($B$6,'Base_Cobranzas'!$A$2:$A$702)),--('Base_Cobranzas'!$AJ$2:$AJ$702&gt;=IF(G$33&lt;3000,DATE(G$33,1,1),G$33)),--('Base_Cobranzas'!$AJ$2:$AJ$702&lt;IF(G$33&lt;3000,DATE(G$33+1,1,1),EDATE(G$33,1))),--ISNUMBER(SEARCH(IF(ISNUMBER(SEARCH("DIRECTO",UPPER($B35))),"DIRECTO",IF(ISNUMBER(SEARCH("HIPOT",UPPER($B35))),"HIPOT",IF(ISNUMBER(SEARCH("AHORRO",UPPER($B35))),"AHORRO",UPPER($B35)))),UPPER('Base_Cobranzas'!$AT$2:$AT$702))),--('Base_Cobranzas'!$AQ$2:$AQ$702&gt;0),'Base_Cobranzas'!$AQ$2:$AQ$702),0)</f>
        <v/>
      </c>
      <c r="H35" s="69">
        <f>IFERROR(SUMPRODUCT(--ISNUMBER(SEARCH($B$6,'Base_Cobranzas'!$A$2:$A$702)),--('Base_Cobranzas'!$AJ$2:$AJ$702&gt;=IF(H$33&lt;3000,DATE(H$33,1,1),H$33)),--('Base_Cobranzas'!$AJ$2:$AJ$702&lt;IF(H$33&lt;3000,DATE(H$33+1,1,1),EDATE(H$33,1))),--ISNUMBER(SEARCH(IF(ISNUMBER(SEARCH("DIRECTO",UPPER($B35))),"DIRECTO",IF(ISNUMBER(SEARCH("HIPOT",UPPER($B35))),"HIPOT",IF(ISNUMBER(SEARCH("AHORRO",UPPER($B35))),"AHORRO",UPPER($B35)))),UPPER('Base_Cobranzas'!$AT$2:$AT$702))),--('Base_Cobranzas'!$AQ$2:$AQ$702&gt;0),'Base_Cobranzas'!$AQ$2:$AQ$702),0)</f>
        <v/>
      </c>
      <c r="I35" s="69">
        <f>IFERROR(SUMPRODUCT(--ISNUMBER(SEARCH($B$6,'Base_Cobranzas'!$A$2:$A$702)),--('Base_Cobranzas'!$AJ$2:$AJ$702&gt;=IF(I$33&lt;3000,DATE(I$33,1,1),I$33)),--('Base_Cobranzas'!$AJ$2:$AJ$702&lt;IF(I$33&lt;3000,DATE(I$33+1,1,1),EDATE(I$33,1))),--ISNUMBER(SEARCH(IF(ISNUMBER(SEARCH("DIRECTO",UPPER($B35))),"DIRECTO",IF(ISNUMBER(SEARCH("HIPOT",UPPER($B35))),"HIPOT",IF(ISNUMBER(SEARCH("AHORRO",UPPER($B35))),"AHORRO",UPPER($B35)))),UPPER('Base_Cobranzas'!$AT$2:$AT$702))),--('Base_Cobranzas'!$AQ$2:$AQ$702&gt;0),'Base_Cobranzas'!$AQ$2:$AQ$702),0)</f>
        <v/>
      </c>
      <c r="J35" s="69">
        <f>IFERROR(SUMPRODUCT(--ISNUMBER(SEARCH($B$6,'Base_Cobranzas'!$A$2:$A$702)),--('Base_Cobranzas'!$AJ$2:$AJ$702&gt;=IF(J$33&lt;3000,DATE(J$33,1,1),J$33)),--('Base_Cobranzas'!$AJ$2:$AJ$702&lt;IF(J$33&lt;3000,DATE(J$33+1,1,1),EDATE(J$33,1))),--ISNUMBER(SEARCH(IF(ISNUMBER(SEARCH("DIRECTO",UPPER($B35))),"DIRECTO",IF(ISNUMBER(SEARCH("HIPOT",UPPER($B35))),"HIPOT",IF(ISNUMBER(SEARCH("AHORRO",UPPER($B35))),"AHORRO",UPPER($B35)))),UPPER('Base_Cobranzas'!$AT$2:$AT$702))),--('Base_Cobranzas'!$AQ$2:$AQ$702&gt;0),'Base_Cobranzas'!$AQ$2:$AQ$702),0)</f>
        <v/>
      </c>
      <c r="K35" s="69">
        <f>IFERROR(SUMPRODUCT(--ISNUMBER(SEARCH($B$6,'Base_Cobranzas'!$A$2:$A$702)),--('Base_Cobranzas'!$AJ$2:$AJ$702&gt;=IF(K$33&lt;3000,DATE(K$33,1,1),K$33)),--('Base_Cobranzas'!$AJ$2:$AJ$702&lt;IF(K$33&lt;3000,DATE(K$33+1,1,1),EDATE(K$33,1))),--ISNUMBER(SEARCH(IF(ISNUMBER(SEARCH("DIRECTO",UPPER($B35))),"DIRECTO",IF(ISNUMBER(SEARCH("HIPOT",UPPER($B35))),"HIPOT",IF(ISNUMBER(SEARCH("AHORRO",UPPER($B35))),"AHORRO",UPPER($B35)))),UPPER('Base_Cobranzas'!$AT$2:$AT$702))),--('Base_Cobranzas'!$AQ$2:$AQ$702&gt;0),'Base_Cobranzas'!$AQ$2:$AQ$702),0)</f>
        <v/>
      </c>
      <c r="L35" s="69">
        <f>IFERROR(SUMPRODUCT(--ISNUMBER(SEARCH($B$6,'Base_Cobranzas'!$A$2:$A$702)),--('Base_Cobranzas'!$AJ$2:$AJ$702&gt;=IF(L$33&lt;3000,DATE(L$33,1,1),L$33)),--('Base_Cobranzas'!$AJ$2:$AJ$702&lt;IF(L$33&lt;3000,DATE(L$33+1,1,1),EDATE(L$33,1))),--ISNUMBER(SEARCH(IF(ISNUMBER(SEARCH("DIRECTO",UPPER($B35))),"DIRECTO",IF(ISNUMBER(SEARCH("HIPOT",UPPER($B35))),"HIPOT",IF(ISNUMBER(SEARCH("AHORRO",UPPER($B35))),"AHORRO",UPPER($B35)))),UPPER('Base_Cobranzas'!$AT$2:$AT$702))),--('Base_Cobranzas'!$AQ$2:$AQ$702&gt;0),'Base_Cobranzas'!$AQ$2:$AQ$702),0)</f>
        <v/>
      </c>
      <c r="M35" s="69">
        <f>IFERROR(SUMPRODUCT(--ISNUMBER(SEARCH($B$6,'Base_Cobranzas'!$A$2:$A$702)),--('Base_Cobranzas'!$AJ$2:$AJ$702&gt;=IF(M$33&lt;3000,DATE(M$33,1,1),M$33)),--('Base_Cobranzas'!$AJ$2:$AJ$702&lt;IF(M$33&lt;3000,DATE(M$33+1,1,1),EDATE(M$33,1))),--ISNUMBER(SEARCH(IF(ISNUMBER(SEARCH("DIRECTO",UPPER($B35))),"DIRECTO",IF(ISNUMBER(SEARCH("HIPOT",UPPER($B35))),"HIPOT",IF(ISNUMBER(SEARCH("AHORRO",UPPER($B35))),"AHORRO",UPPER($B35)))),UPPER('Base_Cobranzas'!$AT$2:$AT$702))),--('Base_Cobranzas'!$AQ$2:$AQ$702&gt;0),'Base_Cobranzas'!$AQ$2:$AQ$702),0)</f>
        <v/>
      </c>
      <c r="N35" s="69">
        <f>IFERROR(SUMPRODUCT(--ISNUMBER(SEARCH($B$6,'Base_Cobranzas'!$A$2:$A$702)),--('Base_Cobranzas'!$AJ$2:$AJ$702&gt;=IF(N$33&lt;3000,DATE(N$33,1,1),N$33)),--('Base_Cobranzas'!$AJ$2:$AJ$702&lt;IF(N$33&lt;3000,DATE(N$33+1,1,1),EDATE(N$33,1))),--ISNUMBER(SEARCH(IF(ISNUMBER(SEARCH("DIRECTO",UPPER($B35))),"DIRECTO",IF(ISNUMBER(SEARCH("HIPOT",UPPER($B35))),"HIPOT",IF(ISNUMBER(SEARCH("AHORRO",UPPER($B35))),"AHORRO",UPPER($B35)))),UPPER('Base_Cobranzas'!$AT$2:$AT$702))),--('Base_Cobranzas'!$AQ$2:$AQ$702&gt;0),'Base_Cobranzas'!$AQ$2:$AQ$702),0)</f>
        <v/>
      </c>
      <c r="O35" s="70">
        <f>SUM(C35:N35)</f>
        <v/>
      </c>
    </row>
    <row r="36">
      <c r="B36" s="8" t="inlineStr">
        <is>
          <t>Ahorro</t>
        </is>
      </c>
      <c r="C36" s="69">
        <f>IFERROR(SUMPRODUCT(--ISNUMBER(SEARCH($B$6,'Base_Cobranzas'!$A$2:$A$702)),--('Base_Cobranzas'!$AJ$2:$AJ$702&gt;=IF(C$33&lt;3000,DATE(C$33,1,1),C$33)),--('Base_Cobranzas'!$AJ$2:$AJ$702&lt;IF(C$33&lt;3000,DATE(C$33+1,1,1),EDATE(C$33,1))),--ISNUMBER(SEARCH(IF(ISNUMBER(SEARCH("DIRECTO",UPPER($B36))),"DIRECTO",IF(ISNUMBER(SEARCH("HIPOT",UPPER($B36))),"HIPOT",IF(ISNUMBER(SEARCH("AHORRO",UPPER($B36))),"AHORRO",UPPER($B36)))),UPPER('Base_Cobranzas'!$AT$2:$AT$702))),--('Base_Cobranzas'!$AQ$2:$AQ$702&gt;0),'Base_Cobranzas'!$AQ$2:$AQ$702),0)</f>
        <v/>
      </c>
      <c r="D36" s="69">
        <f>IFERROR(SUMPRODUCT(--ISNUMBER(SEARCH($B$6,'Base_Cobranzas'!$A$2:$A$702)),--('Base_Cobranzas'!$AJ$2:$AJ$702&gt;=IF(D$33&lt;3000,DATE(D$33,1,1),D$33)),--('Base_Cobranzas'!$AJ$2:$AJ$702&lt;IF(D$33&lt;3000,DATE(D$33+1,1,1),EDATE(D$33,1))),--ISNUMBER(SEARCH(IF(ISNUMBER(SEARCH("DIRECTO",UPPER($B36))),"DIRECTO",IF(ISNUMBER(SEARCH("HIPOT",UPPER($B36))),"HIPOT",IF(ISNUMBER(SEARCH("AHORRO",UPPER($B36))),"AHORRO",UPPER($B36)))),UPPER('Base_Cobranzas'!$AT$2:$AT$702))),--('Base_Cobranzas'!$AQ$2:$AQ$702&gt;0),'Base_Cobranzas'!$AQ$2:$AQ$702),0)</f>
        <v/>
      </c>
      <c r="E36" s="69">
        <f>IFERROR(SUMPRODUCT(--ISNUMBER(SEARCH($B$6,'Base_Cobranzas'!$A$2:$A$702)),--('Base_Cobranzas'!$AJ$2:$AJ$702&gt;=IF(E$33&lt;3000,DATE(E$33,1,1),E$33)),--('Base_Cobranzas'!$AJ$2:$AJ$702&lt;IF(E$33&lt;3000,DATE(E$33+1,1,1),EDATE(E$33,1))),--ISNUMBER(SEARCH(IF(ISNUMBER(SEARCH("DIRECTO",UPPER($B36))),"DIRECTO",IF(ISNUMBER(SEARCH("HIPOT",UPPER($B36))),"HIPOT",IF(ISNUMBER(SEARCH("AHORRO",UPPER($B36))),"AHORRO",UPPER($B36)))),UPPER('Base_Cobranzas'!$AT$2:$AT$702))),--('Base_Cobranzas'!$AQ$2:$AQ$702&gt;0),'Base_Cobranzas'!$AQ$2:$AQ$702),0)</f>
        <v/>
      </c>
      <c r="F36" s="69">
        <f>IFERROR(SUMPRODUCT(--ISNUMBER(SEARCH($B$6,'Base_Cobranzas'!$A$2:$A$702)),--('Base_Cobranzas'!$AJ$2:$AJ$702&gt;=IF(F$33&lt;3000,DATE(F$33,1,1),F$33)),--('Base_Cobranzas'!$AJ$2:$AJ$702&lt;IF(F$33&lt;3000,DATE(F$33+1,1,1),EDATE(F$33,1))),--ISNUMBER(SEARCH(IF(ISNUMBER(SEARCH("DIRECTO",UPPER($B36))),"DIRECTO",IF(ISNUMBER(SEARCH("HIPOT",UPPER($B36))),"HIPOT",IF(ISNUMBER(SEARCH("AHORRO",UPPER($B36))),"AHORRO",UPPER($B36)))),UPPER('Base_Cobranzas'!$AT$2:$AT$702))),--('Base_Cobranzas'!$AQ$2:$AQ$702&gt;0),'Base_Cobranzas'!$AQ$2:$AQ$702),0)</f>
        <v/>
      </c>
      <c r="G36" s="69">
        <f>IFERROR(SUMPRODUCT(--ISNUMBER(SEARCH($B$6,'Base_Cobranzas'!$A$2:$A$702)),--('Base_Cobranzas'!$AJ$2:$AJ$702&gt;=IF(G$33&lt;3000,DATE(G$33,1,1),G$33)),--('Base_Cobranzas'!$AJ$2:$AJ$702&lt;IF(G$33&lt;3000,DATE(G$33+1,1,1),EDATE(G$33,1))),--ISNUMBER(SEARCH(IF(ISNUMBER(SEARCH("DIRECTO",UPPER($B36))),"DIRECTO",IF(ISNUMBER(SEARCH("HIPOT",UPPER($B36))),"HIPOT",IF(ISNUMBER(SEARCH("AHORRO",UPPER($B36))),"AHORRO",UPPER($B36)))),UPPER('Base_Cobranzas'!$AT$2:$AT$702))),--('Base_Cobranzas'!$AQ$2:$AQ$702&gt;0),'Base_Cobranzas'!$AQ$2:$AQ$702),0)</f>
        <v/>
      </c>
      <c r="H36" s="69">
        <f>IFERROR(SUMPRODUCT(--ISNUMBER(SEARCH($B$6,'Base_Cobranzas'!$A$2:$A$702)),--('Base_Cobranzas'!$AJ$2:$AJ$702&gt;=IF(H$33&lt;3000,DATE(H$33,1,1),H$33)),--('Base_Cobranzas'!$AJ$2:$AJ$702&lt;IF(H$33&lt;3000,DATE(H$33+1,1,1),EDATE(H$33,1))),--ISNUMBER(SEARCH(IF(ISNUMBER(SEARCH("DIRECTO",UPPER($B36))),"DIRECTO",IF(ISNUMBER(SEARCH("HIPOT",UPPER($B36))),"HIPOT",IF(ISNUMBER(SEARCH("AHORRO",UPPER($B36))),"AHORRO",UPPER($B36)))),UPPER('Base_Cobranzas'!$AT$2:$AT$702))),--('Base_Cobranzas'!$AQ$2:$AQ$702&gt;0),'Base_Cobranzas'!$AQ$2:$AQ$702),0)</f>
        <v/>
      </c>
      <c r="I36" s="69">
        <f>IFERROR(SUMPRODUCT(--ISNUMBER(SEARCH($B$6,'Base_Cobranzas'!$A$2:$A$702)),--('Base_Cobranzas'!$AJ$2:$AJ$702&gt;=IF(I$33&lt;3000,DATE(I$33,1,1),I$33)),--('Base_Cobranzas'!$AJ$2:$AJ$702&lt;IF(I$33&lt;3000,DATE(I$33+1,1,1),EDATE(I$33,1))),--ISNUMBER(SEARCH(IF(ISNUMBER(SEARCH("DIRECTO",UPPER($B36))),"DIRECTO",IF(ISNUMBER(SEARCH("HIPOT",UPPER($B36))),"HIPOT",IF(ISNUMBER(SEARCH("AHORRO",UPPER($B36))),"AHORRO",UPPER($B36)))),UPPER('Base_Cobranzas'!$AT$2:$AT$702))),--('Base_Cobranzas'!$AQ$2:$AQ$702&gt;0),'Base_Cobranzas'!$AQ$2:$AQ$702),0)</f>
        <v/>
      </c>
      <c r="J36" s="69">
        <f>IFERROR(SUMPRODUCT(--ISNUMBER(SEARCH($B$6,'Base_Cobranzas'!$A$2:$A$702)),--('Base_Cobranzas'!$AJ$2:$AJ$702&gt;=IF(J$33&lt;3000,DATE(J$33,1,1),J$33)),--('Base_Cobranzas'!$AJ$2:$AJ$702&lt;IF(J$33&lt;3000,DATE(J$33+1,1,1),EDATE(J$33,1))),--ISNUMBER(SEARCH(IF(ISNUMBER(SEARCH("DIRECTO",UPPER($B36))),"DIRECTO",IF(ISNUMBER(SEARCH("HIPOT",UPPER($B36))),"HIPOT",IF(ISNUMBER(SEARCH("AHORRO",UPPER($B36))),"AHORRO",UPPER($B36)))),UPPER('Base_Cobranzas'!$AT$2:$AT$702))),--('Base_Cobranzas'!$AQ$2:$AQ$702&gt;0),'Base_Cobranzas'!$AQ$2:$AQ$702),0)</f>
        <v/>
      </c>
      <c r="K36" s="69">
        <f>IFERROR(SUMPRODUCT(--ISNUMBER(SEARCH($B$6,'Base_Cobranzas'!$A$2:$A$702)),--('Base_Cobranzas'!$AJ$2:$AJ$702&gt;=IF(K$33&lt;3000,DATE(K$33,1,1),K$33)),--('Base_Cobranzas'!$AJ$2:$AJ$702&lt;IF(K$33&lt;3000,DATE(K$33+1,1,1),EDATE(K$33,1))),--ISNUMBER(SEARCH(IF(ISNUMBER(SEARCH("DIRECTO",UPPER($B36))),"DIRECTO",IF(ISNUMBER(SEARCH("HIPOT",UPPER($B36))),"HIPOT",IF(ISNUMBER(SEARCH("AHORRO",UPPER($B36))),"AHORRO",UPPER($B36)))),UPPER('Base_Cobranzas'!$AT$2:$AT$702))),--('Base_Cobranzas'!$AQ$2:$AQ$702&gt;0),'Base_Cobranzas'!$AQ$2:$AQ$702),0)</f>
        <v/>
      </c>
      <c r="L36" s="69">
        <f>IFERROR(SUMPRODUCT(--ISNUMBER(SEARCH($B$6,'Base_Cobranzas'!$A$2:$A$702)),--('Base_Cobranzas'!$AJ$2:$AJ$702&gt;=IF(L$33&lt;3000,DATE(L$33,1,1),L$33)),--('Base_Cobranzas'!$AJ$2:$AJ$702&lt;IF(L$33&lt;3000,DATE(L$33+1,1,1),EDATE(L$33,1))),--ISNUMBER(SEARCH(IF(ISNUMBER(SEARCH("DIRECTO",UPPER($B36))),"DIRECTO",IF(ISNUMBER(SEARCH("HIPOT",UPPER($B36))),"HIPOT",IF(ISNUMBER(SEARCH("AHORRO",UPPER($B36))),"AHORRO",UPPER($B36)))),UPPER('Base_Cobranzas'!$AT$2:$AT$702))),--('Base_Cobranzas'!$AQ$2:$AQ$702&gt;0),'Base_Cobranzas'!$AQ$2:$AQ$702),0)</f>
        <v/>
      </c>
      <c r="M36" s="69">
        <f>IFERROR(SUMPRODUCT(--ISNUMBER(SEARCH($B$6,'Base_Cobranzas'!$A$2:$A$702)),--('Base_Cobranzas'!$AJ$2:$AJ$702&gt;=IF(M$33&lt;3000,DATE(M$33,1,1),M$33)),--('Base_Cobranzas'!$AJ$2:$AJ$702&lt;IF(M$33&lt;3000,DATE(M$33+1,1,1),EDATE(M$33,1))),--ISNUMBER(SEARCH(IF(ISNUMBER(SEARCH("DIRECTO",UPPER($B36))),"DIRECTO",IF(ISNUMBER(SEARCH("HIPOT",UPPER($B36))),"HIPOT",IF(ISNUMBER(SEARCH("AHORRO",UPPER($B36))),"AHORRO",UPPER($B36)))),UPPER('Base_Cobranzas'!$AT$2:$AT$702))),--('Base_Cobranzas'!$AQ$2:$AQ$702&gt;0),'Base_Cobranzas'!$AQ$2:$AQ$702),0)</f>
        <v/>
      </c>
      <c r="N36" s="69">
        <f>IFERROR(SUMPRODUCT(--ISNUMBER(SEARCH($B$6,'Base_Cobranzas'!$A$2:$A$702)),--('Base_Cobranzas'!$AJ$2:$AJ$702&gt;=IF(N$33&lt;3000,DATE(N$33,1,1),N$33)),--('Base_Cobranzas'!$AJ$2:$AJ$702&lt;IF(N$33&lt;3000,DATE(N$33+1,1,1),EDATE(N$33,1))),--ISNUMBER(SEARCH(IF(ISNUMBER(SEARCH("DIRECTO",UPPER($B36))),"DIRECTO",IF(ISNUMBER(SEARCH("HIPOT",UPPER($B36))),"HIPOT",IF(ISNUMBER(SEARCH("AHORRO",UPPER($B36))),"AHORRO",UPPER($B36)))),UPPER('Base_Cobranzas'!$AT$2:$AT$702))),--('Base_Cobranzas'!$AQ$2:$AQ$702&gt;0),'Base_Cobranzas'!$AQ$2:$AQ$702),0)</f>
        <v/>
      </c>
      <c r="O36" s="70">
        <f>SUM(C36:N36)</f>
        <v/>
      </c>
    </row>
    <row r="37">
      <c r="B37" s="7" t="inlineStr">
        <is>
          <t>Total</t>
        </is>
      </c>
      <c r="C37" s="71">
        <f>SUM(C34:C36)</f>
        <v/>
      </c>
      <c r="D37" s="71">
        <f>SUM(D34:D36)</f>
        <v/>
      </c>
      <c r="E37" s="71">
        <f>SUM(E34:E36)</f>
        <v/>
      </c>
      <c r="F37" s="71">
        <f>SUM(F34:F36)</f>
        <v/>
      </c>
      <c r="G37" s="71">
        <f>SUM(G34:G36)</f>
        <v/>
      </c>
      <c r="H37" s="71">
        <f>SUM(H34:H36)</f>
        <v/>
      </c>
      <c r="I37" s="71">
        <f>SUM(I34:I36)</f>
        <v/>
      </c>
      <c r="J37" s="71">
        <f>SUM(J34:J36)</f>
        <v/>
      </c>
      <c r="K37" s="71">
        <f>SUM(K34:K36)</f>
        <v/>
      </c>
      <c r="L37" s="71">
        <f>SUM(L34:L36)</f>
        <v/>
      </c>
      <c r="M37" s="71">
        <f>SUM(M34:M36)</f>
        <v/>
      </c>
      <c r="N37" s="71">
        <f>SUM(N34:N36)</f>
        <v/>
      </c>
      <c r="O37" s="71">
        <f>SUM(C37:N37)</f>
        <v/>
      </c>
      <c r="P37">
        <f>IF($G$21=O37,"OK","REVISAR")</f>
        <v/>
      </c>
    </row>
    <row r="39">
      <c r="B39" s="7" t="inlineStr">
        <is>
          <t>Acumulado</t>
        </is>
      </c>
      <c r="C39" s="72">
        <f>C37</f>
        <v/>
      </c>
      <c r="D39" s="72">
        <f>C39+D37</f>
        <v/>
      </c>
      <c r="E39" s="72">
        <f>D39+E37</f>
        <v/>
      </c>
      <c r="F39" s="72">
        <f>E39+F37</f>
        <v/>
      </c>
      <c r="G39" s="72">
        <f>F39+G37</f>
        <v/>
      </c>
      <c r="H39" s="72">
        <f>G39+H37</f>
        <v/>
      </c>
      <c r="I39" s="72">
        <f>H39+I37</f>
        <v/>
      </c>
      <c r="J39" s="72">
        <f>I39+J37</f>
        <v/>
      </c>
      <c r="K39" s="72">
        <f>J39+K37</f>
        <v/>
      </c>
      <c r="L39" s="72">
        <f>K39+L37</f>
        <v/>
      </c>
      <c r="M39" s="72">
        <f>L39+M37</f>
        <v/>
      </c>
      <c r="N39" s="72">
        <f>M39+N37</f>
        <v/>
      </c>
      <c r="O39" s="73" t="n"/>
    </row>
    <row r="42">
      <c r="O42" s="3" t="n"/>
    </row>
    <row r="43" ht="21" customHeight="1">
      <c r="B43" s="1" t="inlineStr">
        <is>
          <t>COBRANZA PROYECTADA</t>
        </is>
      </c>
      <c r="O43" s="3" t="n"/>
    </row>
    <row r="45">
      <c r="B45" s="25" t="inlineStr">
        <is>
          <t>Tipo de Credito</t>
        </is>
      </c>
      <c r="C45" s="26" t="n">
        <v>46204</v>
      </c>
      <c r="D45" s="26" t="n">
        <v>46235</v>
      </c>
      <c r="E45" s="26" t="n">
        <v>46266</v>
      </c>
      <c r="F45" s="26" t="n">
        <v>46296</v>
      </c>
      <c r="G45" s="26" t="n">
        <v>46327</v>
      </c>
      <c r="H45" s="26" t="n">
        <v>46357</v>
      </c>
      <c r="I45" s="26" t="inlineStr">
        <is>
          <t>Total</t>
        </is>
      </c>
    </row>
    <row r="46">
      <c r="B46" s="8" t="inlineStr">
        <is>
          <t>Crédito Directo</t>
        </is>
      </c>
      <c r="C46" s="69">
        <f>IFERROR(SUMPRODUCT(--ISNUMBER(SEARCH($B$6,'Base_Cobranzas'!$A$2:$A$702)),--('Base_Cobranzas'!$AI$2:$AI$702&gt;=IF(C$45&lt;3000,DATE(C$45,1,1),C$45)),--('Base_Cobranzas'!$AI$2:$AI$702&lt;IF(C$45&lt;3000,DATE(C$45+1,1,1),EDATE(C$45,1))),--ISNUMBER(SEARCH(IF(ISNUMBER(SEARCH("DIRECTO",UPPER($B46))),"DIRECTO",IF(ISNUMBER(SEARCH("HIPOT",UPPER($B46))),"HIPOT",IF(ISNUMBER(SEARCH("AHORRO",UPPER($B46))),"AHORRO",UPPER($B46)))),UPPER('Base_Cobranzas'!$AT$2:$AT$702))),--ISNUMBER(SEARCH("PENDIENTE",UPPER(TRIM('Base_Cobranzas'!$BC$2:$BC$702)))),'Base_Cobranzas'!$AR$2:$AR$702),0)</f>
        <v/>
      </c>
      <c r="D46" s="69">
        <f>IFERROR(SUMPRODUCT(--ISNUMBER(SEARCH($B$6,'Base_Cobranzas'!$A$2:$A$702)),--('Base_Cobranzas'!$AI$2:$AI$702&gt;=IF(D$45&lt;3000,DATE(D$45,1,1),D$45)),--('Base_Cobranzas'!$AI$2:$AI$702&lt;IF(D$45&lt;3000,DATE(D$45+1,1,1),EDATE(D$45,1))),--ISNUMBER(SEARCH(IF(ISNUMBER(SEARCH("DIRECTO",UPPER($B46))),"DIRECTO",IF(ISNUMBER(SEARCH("HIPOT",UPPER($B46))),"HIPOT",IF(ISNUMBER(SEARCH("AHORRO",UPPER($B46))),"AHORRO",UPPER($B46)))),UPPER('Base_Cobranzas'!$AT$2:$AT$702))),--ISNUMBER(SEARCH("PENDIENTE",UPPER(TRIM('Base_Cobranzas'!$BC$2:$BC$702)))),'Base_Cobranzas'!$AR$2:$AR$702),0)</f>
        <v/>
      </c>
      <c r="E46" s="69">
        <f>IFERROR(SUMPRODUCT(--ISNUMBER(SEARCH($B$6,'Base_Cobranzas'!$A$2:$A$702)),--('Base_Cobranzas'!$AI$2:$AI$702&gt;=IF(E$45&lt;3000,DATE(E$45,1,1),E$45)),--('Base_Cobranzas'!$AI$2:$AI$702&lt;IF(E$45&lt;3000,DATE(E$45+1,1,1),EDATE(E$45,1))),--ISNUMBER(SEARCH(IF(ISNUMBER(SEARCH("DIRECTO",UPPER($B46))),"DIRECTO",IF(ISNUMBER(SEARCH("HIPOT",UPPER($B46))),"HIPOT",IF(ISNUMBER(SEARCH("AHORRO",UPPER($B46))),"AHORRO",UPPER($B46)))),UPPER('Base_Cobranzas'!$AT$2:$AT$702))),--ISNUMBER(SEARCH("PENDIENTE",UPPER(TRIM('Base_Cobranzas'!$BC$2:$BC$702)))),'Base_Cobranzas'!$AR$2:$AR$702),0)</f>
        <v/>
      </c>
      <c r="F46" s="69">
        <f>IFERROR(SUMPRODUCT(--ISNUMBER(SEARCH($B$6,'Base_Cobranzas'!$A$2:$A$702)),--('Base_Cobranzas'!$AI$2:$AI$702&gt;=IF(F$45&lt;3000,DATE(F$45,1,1),F$45)),--('Base_Cobranzas'!$AI$2:$AI$702&lt;IF(F$45&lt;3000,DATE(F$45+1,1,1),EDATE(F$45,1))),--ISNUMBER(SEARCH(IF(ISNUMBER(SEARCH("DIRECTO",UPPER($B46))),"DIRECTO",IF(ISNUMBER(SEARCH("HIPOT",UPPER($B46))),"HIPOT",IF(ISNUMBER(SEARCH("AHORRO",UPPER($B46))),"AHORRO",UPPER($B46)))),UPPER('Base_Cobranzas'!$AT$2:$AT$702))),--ISNUMBER(SEARCH("PENDIENTE",UPPER(TRIM('Base_Cobranzas'!$BC$2:$BC$702)))),'Base_Cobranzas'!$AR$2:$AR$702),0)</f>
        <v/>
      </c>
      <c r="G46" s="69">
        <f>IFERROR(SUMPRODUCT(--ISNUMBER(SEARCH($B$6,'Base_Cobranzas'!$A$2:$A$702)),--('Base_Cobranzas'!$AI$2:$AI$702&gt;=IF(G$45&lt;3000,DATE(G$45,1,1),G$45)),--('Base_Cobranzas'!$AI$2:$AI$702&lt;IF(G$45&lt;3000,DATE(G$45+1,1,1),EDATE(G$45,1))),--ISNUMBER(SEARCH(IF(ISNUMBER(SEARCH("DIRECTO",UPPER($B46))),"DIRECTO",IF(ISNUMBER(SEARCH("HIPOT",UPPER($B46))),"HIPOT",IF(ISNUMBER(SEARCH("AHORRO",UPPER($B46))),"AHORRO",UPPER($B46)))),UPPER('Base_Cobranzas'!$AT$2:$AT$702))),--ISNUMBER(SEARCH("PENDIENTE",UPPER(TRIM('Base_Cobranzas'!$BC$2:$BC$702)))),'Base_Cobranzas'!$AR$2:$AR$702),0)</f>
        <v/>
      </c>
      <c r="H46" s="69">
        <f>IFERROR(SUMPRODUCT(--ISNUMBER(SEARCH($B$6,'Base_Cobranzas'!$A$2:$A$702)),--('Base_Cobranzas'!$AI$2:$AI$702&gt;=IF(H$45&lt;3000,DATE(H$45,1,1),H$45)),--('Base_Cobranzas'!$AI$2:$AI$702&lt;IF(H$45&lt;3000,DATE(H$45+1,1,1),EDATE(H$45,1))),--ISNUMBER(SEARCH(IF(ISNUMBER(SEARCH("DIRECTO",UPPER($B46))),"DIRECTO",IF(ISNUMBER(SEARCH("HIPOT",UPPER($B46))),"HIPOT",IF(ISNUMBER(SEARCH("AHORRO",UPPER($B46))),"AHORRO",UPPER($B46)))),UPPER('Base_Cobranzas'!$AT$2:$AT$702))),--ISNUMBER(SEARCH("PENDIENTE",UPPER(TRIM('Base_Cobranzas'!$BC$2:$BC$702)))),'Base_Cobranzas'!$AR$2:$AR$702),0)</f>
        <v/>
      </c>
      <c r="I46" s="70">
        <f>SUM(C46:H46)</f>
        <v/>
      </c>
    </row>
    <row r="47">
      <c r="B47" s="8" t="inlineStr">
        <is>
          <t>Crédito Hipotecario</t>
        </is>
      </c>
      <c r="C47" s="69">
        <f>IFERROR(SUMPRODUCT(--ISNUMBER(SEARCH($B$6,'Base_Cobranzas'!$A$2:$A$702)),--('Base_Cobranzas'!$AI$2:$AI$702&gt;=IF(C$45&lt;3000,DATE(C$45,1,1),C$45)),--('Base_Cobranzas'!$AI$2:$AI$702&lt;IF(C$45&lt;3000,DATE(C$45+1,1,1),EDATE(C$45,1))),--ISNUMBER(SEARCH(IF(ISNUMBER(SEARCH("DIRECTO",UPPER($B47))),"DIRECTO",IF(ISNUMBER(SEARCH("HIPOT",UPPER($B47))),"HIPOT",IF(ISNUMBER(SEARCH("AHORRO",UPPER($B47))),"AHORRO",UPPER($B47)))),UPPER('Base_Cobranzas'!$AT$2:$AT$702))),--ISNUMBER(SEARCH("PENDIENTE",UPPER(TRIM('Base_Cobranzas'!$BC$2:$BC$702)))),'Base_Cobranzas'!$AR$2:$AR$702),0)</f>
        <v/>
      </c>
      <c r="D47" s="69">
        <f>IFERROR(SUMPRODUCT(--ISNUMBER(SEARCH($B$6,'Base_Cobranzas'!$A$2:$A$702)),--('Base_Cobranzas'!$AI$2:$AI$702&gt;=IF(D$45&lt;3000,DATE(D$45,1,1),D$45)),--('Base_Cobranzas'!$AI$2:$AI$702&lt;IF(D$45&lt;3000,DATE(D$45+1,1,1),EDATE(D$45,1))),--ISNUMBER(SEARCH(IF(ISNUMBER(SEARCH("DIRECTO",UPPER($B47))),"DIRECTO",IF(ISNUMBER(SEARCH("HIPOT",UPPER($B47))),"HIPOT",IF(ISNUMBER(SEARCH("AHORRO",UPPER($B47))),"AHORRO",UPPER($B47)))),UPPER('Base_Cobranzas'!$AT$2:$AT$702))),--ISNUMBER(SEARCH("PENDIENTE",UPPER(TRIM('Base_Cobranzas'!$BC$2:$BC$702)))),'Base_Cobranzas'!$AR$2:$AR$702),0)</f>
        <v/>
      </c>
      <c r="E47" s="69">
        <f>IFERROR(SUMPRODUCT(--ISNUMBER(SEARCH($B$6,'Base_Cobranzas'!$A$2:$A$702)),--('Base_Cobranzas'!$AI$2:$AI$702&gt;=IF(E$45&lt;3000,DATE(E$45,1,1),E$45)),--('Base_Cobranzas'!$AI$2:$AI$702&lt;IF(E$45&lt;3000,DATE(E$45+1,1,1),EDATE(E$45,1))),--ISNUMBER(SEARCH(IF(ISNUMBER(SEARCH("DIRECTO",UPPER($B47))),"DIRECTO",IF(ISNUMBER(SEARCH("HIPOT",UPPER($B47))),"HIPOT",IF(ISNUMBER(SEARCH("AHORRO",UPPER($B47))),"AHORRO",UPPER($B47)))),UPPER('Base_Cobranzas'!$AT$2:$AT$702))),--ISNUMBER(SEARCH("PENDIENTE",UPPER(TRIM('Base_Cobranzas'!$BC$2:$BC$702)))),'Base_Cobranzas'!$AR$2:$AR$702),0)</f>
        <v/>
      </c>
      <c r="F47" s="69">
        <f>IFERROR(SUMPRODUCT(--ISNUMBER(SEARCH($B$6,'Base_Cobranzas'!$A$2:$A$702)),--('Base_Cobranzas'!$AI$2:$AI$702&gt;=IF(F$45&lt;3000,DATE(F$45,1,1),F$45)),--('Base_Cobranzas'!$AI$2:$AI$702&lt;IF(F$45&lt;3000,DATE(F$45+1,1,1),EDATE(F$45,1))),--ISNUMBER(SEARCH(IF(ISNUMBER(SEARCH("DIRECTO",UPPER($B47))),"DIRECTO",IF(ISNUMBER(SEARCH("HIPOT",UPPER($B47))),"HIPOT",IF(ISNUMBER(SEARCH("AHORRO",UPPER($B47))),"AHORRO",UPPER($B47)))),UPPER('Base_Cobranzas'!$AT$2:$AT$702))),--ISNUMBER(SEARCH("PENDIENTE",UPPER(TRIM('Base_Cobranzas'!$BC$2:$BC$702)))),'Base_Cobranzas'!$AR$2:$AR$702),0)</f>
        <v/>
      </c>
      <c r="G47" s="69">
        <f>IFERROR(SUMPRODUCT(--ISNUMBER(SEARCH($B$6,'Base_Cobranzas'!$A$2:$A$702)),--('Base_Cobranzas'!$AI$2:$AI$702&gt;=IF(G$45&lt;3000,DATE(G$45,1,1),G$45)),--('Base_Cobranzas'!$AI$2:$AI$702&lt;IF(G$45&lt;3000,DATE(G$45+1,1,1),EDATE(G$45,1))),--ISNUMBER(SEARCH(IF(ISNUMBER(SEARCH("DIRECTO",UPPER($B47))),"DIRECTO",IF(ISNUMBER(SEARCH("HIPOT",UPPER($B47))),"HIPOT",IF(ISNUMBER(SEARCH("AHORRO",UPPER($B47))),"AHORRO",UPPER($B47)))),UPPER('Base_Cobranzas'!$AT$2:$AT$702))),--ISNUMBER(SEARCH("PENDIENTE",UPPER(TRIM('Base_Cobranzas'!$BC$2:$BC$702)))),'Base_Cobranzas'!$AR$2:$AR$702),0)</f>
        <v/>
      </c>
      <c r="H47" s="69">
        <f>IFERROR(SUMPRODUCT(--ISNUMBER(SEARCH($B$6,'Base_Cobranzas'!$A$2:$A$702)),--('Base_Cobranzas'!$AI$2:$AI$702&gt;=IF(H$45&lt;3000,DATE(H$45,1,1),H$45)),--('Base_Cobranzas'!$AI$2:$AI$702&lt;IF(H$45&lt;3000,DATE(H$45+1,1,1),EDATE(H$45,1))),--ISNUMBER(SEARCH(IF(ISNUMBER(SEARCH("DIRECTO",UPPER($B47))),"DIRECTO",IF(ISNUMBER(SEARCH("HIPOT",UPPER($B47))),"HIPOT",IF(ISNUMBER(SEARCH("AHORRO",UPPER($B47))),"AHORRO",UPPER($B47)))),UPPER('Base_Cobranzas'!$AT$2:$AT$702))),--ISNUMBER(SEARCH("PENDIENTE",UPPER(TRIM('Base_Cobranzas'!$BC$2:$BC$702)))),'Base_Cobranzas'!$AR$2:$AR$702),0)</f>
        <v/>
      </c>
      <c r="I47" s="70">
        <f>SUM(C47:H47)</f>
        <v/>
      </c>
    </row>
    <row r="48">
      <c r="B48" s="8" t="inlineStr">
        <is>
          <t>Ahorro</t>
        </is>
      </c>
      <c r="C48" s="69">
        <f>IFERROR(SUMPRODUCT(--ISNUMBER(SEARCH($B$6,'Base_Cobranzas'!$A$2:$A$702)),--('Base_Cobranzas'!$AI$2:$AI$702&gt;=IF(C$45&lt;3000,DATE(C$45,1,1),C$45)),--('Base_Cobranzas'!$AI$2:$AI$702&lt;IF(C$45&lt;3000,DATE(C$45+1,1,1),EDATE(C$45,1))),--ISNUMBER(SEARCH(IF(ISNUMBER(SEARCH("DIRECTO",UPPER($B48))),"DIRECTO",IF(ISNUMBER(SEARCH("HIPOT",UPPER($B48))),"HIPOT",IF(ISNUMBER(SEARCH("AHORRO",UPPER($B48))),"AHORRO",UPPER($B48)))),UPPER('Base_Cobranzas'!$AT$2:$AT$702))),--ISNUMBER(SEARCH("PENDIENTE",UPPER(TRIM('Base_Cobranzas'!$BC$2:$BC$702)))),'Base_Cobranzas'!$AR$2:$AR$702),0)</f>
        <v/>
      </c>
      <c r="D48" s="69">
        <f>IFERROR(SUMPRODUCT(--ISNUMBER(SEARCH($B$6,'Base_Cobranzas'!$A$2:$A$702)),--('Base_Cobranzas'!$AI$2:$AI$702&gt;=IF(D$45&lt;3000,DATE(D$45,1,1),D$45)),--('Base_Cobranzas'!$AI$2:$AI$702&lt;IF(D$45&lt;3000,DATE(D$45+1,1,1),EDATE(D$45,1))),--ISNUMBER(SEARCH(IF(ISNUMBER(SEARCH("DIRECTO",UPPER($B48))),"DIRECTO",IF(ISNUMBER(SEARCH("HIPOT",UPPER($B48))),"HIPOT",IF(ISNUMBER(SEARCH("AHORRO",UPPER($B48))),"AHORRO",UPPER($B48)))),UPPER('Base_Cobranzas'!$AT$2:$AT$702))),--ISNUMBER(SEARCH("PENDIENTE",UPPER(TRIM('Base_Cobranzas'!$BC$2:$BC$702)))),'Base_Cobranzas'!$AR$2:$AR$702),0)</f>
        <v/>
      </c>
      <c r="E48" s="69">
        <f>IFERROR(SUMPRODUCT(--ISNUMBER(SEARCH($B$6,'Base_Cobranzas'!$A$2:$A$702)),--('Base_Cobranzas'!$AI$2:$AI$702&gt;=IF(E$45&lt;3000,DATE(E$45,1,1),E$45)),--('Base_Cobranzas'!$AI$2:$AI$702&lt;IF(E$45&lt;3000,DATE(E$45+1,1,1),EDATE(E$45,1))),--ISNUMBER(SEARCH(IF(ISNUMBER(SEARCH("DIRECTO",UPPER($B48))),"DIRECTO",IF(ISNUMBER(SEARCH("HIPOT",UPPER($B48))),"HIPOT",IF(ISNUMBER(SEARCH("AHORRO",UPPER($B48))),"AHORRO",UPPER($B48)))),UPPER('Base_Cobranzas'!$AT$2:$AT$702))),--ISNUMBER(SEARCH("PENDIENTE",UPPER(TRIM('Base_Cobranzas'!$BC$2:$BC$702)))),'Base_Cobranzas'!$AR$2:$AR$702),0)</f>
        <v/>
      </c>
      <c r="F48" s="69">
        <f>IFERROR(SUMPRODUCT(--ISNUMBER(SEARCH($B$6,'Base_Cobranzas'!$A$2:$A$702)),--('Base_Cobranzas'!$AI$2:$AI$702&gt;=IF(F$45&lt;3000,DATE(F$45,1,1),F$45)),--('Base_Cobranzas'!$AI$2:$AI$702&lt;IF(F$45&lt;3000,DATE(F$45+1,1,1),EDATE(F$45,1))),--ISNUMBER(SEARCH(IF(ISNUMBER(SEARCH("DIRECTO",UPPER($B48))),"DIRECTO",IF(ISNUMBER(SEARCH("HIPOT",UPPER($B48))),"HIPOT",IF(ISNUMBER(SEARCH("AHORRO",UPPER($B48))),"AHORRO",UPPER($B48)))),UPPER('Base_Cobranzas'!$AT$2:$AT$702))),--ISNUMBER(SEARCH("PENDIENTE",UPPER(TRIM('Base_Cobranzas'!$BC$2:$BC$702)))),'Base_Cobranzas'!$AR$2:$AR$702),0)</f>
        <v/>
      </c>
      <c r="G48" s="69">
        <f>IFERROR(SUMPRODUCT(--ISNUMBER(SEARCH($B$6,'Base_Cobranzas'!$A$2:$A$702)),--('Base_Cobranzas'!$AI$2:$AI$702&gt;=IF(G$45&lt;3000,DATE(G$45,1,1),G$45)),--('Base_Cobranzas'!$AI$2:$AI$702&lt;IF(G$45&lt;3000,DATE(G$45+1,1,1),EDATE(G$45,1))),--ISNUMBER(SEARCH(IF(ISNUMBER(SEARCH("DIRECTO",UPPER($B48))),"DIRECTO",IF(ISNUMBER(SEARCH("HIPOT",UPPER($B48))),"HIPOT",IF(ISNUMBER(SEARCH("AHORRO",UPPER($B48))),"AHORRO",UPPER($B48)))),UPPER('Base_Cobranzas'!$AT$2:$AT$702))),--ISNUMBER(SEARCH("PENDIENTE",UPPER(TRIM('Base_Cobranzas'!$BC$2:$BC$702)))),'Base_Cobranzas'!$AR$2:$AR$702),0)</f>
        <v/>
      </c>
      <c r="H48" s="69">
        <f>IFERROR(SUMPRODUCT(--ISNUMBER(SEARCH($B$6,'Base_Cobranzas'!$A$2:$A$702)),--('Base_Cobranzas'!$AI$2:$AI$702&gt;=IF(H$45&lt;3000,DATE(H$45,1,1),H$45)),--('Base_Cobranzas'!$AI$2:$AI$702&lt;IF(H$45&lt;3000,DATE(H$45+1,1,1),EDATE(H$45,1))),--ISNUMBER(SEARCH(IF(ISNUMBER(SEARCH("DIRECTO",UPPER($B48))),"DIRECTO",IF(ISNUMBER(SEARCH("HIPOT",UPPER($B48))),"HIPOT",IF(ISNUMBER(SEARCH("AHORRO",UPPER($B48))),"AHORRO",UPPER($B48)))),UPPER('Base_Cobranzas'!$AT$2:$AT$702))),--ISNUMBER(SEARCH("PENDIENTE",UPPER(TRIM('Base_Cobranzas'!$BC$2:$BC$702)))),'Base_Cobranzas'!$AR$2:$AR$702),0)</f>
        <v/>
      </c>
      <c r="I48" s="70">
        <f>SUM(C48:H48)</f>
        <v/>
      </c>
    </row>
    <row r="49">
      <c r="B49" s="7" t="inlineStr">
        <is>
          <t>Total</t>
        </is>
      </c>
      <c r="C49" s="71">
        <f>SUM(C46:C48)</f>
        <v/>
      </c>
      <c r="D49" s="71">
        <f>SUM(D46:D48)</f>
        <v/>
      </c>
      <c r="E49" s="71">
        <f>SUM(E46:E48)</f>
        <v/>
      </c>
      <c r="F49" s="71">
        <f>SUM(F46:F48)</f>
        <v/>
      </c>
      <c r="G49" s="71">
        <f>SUM(G46:G48)</f>
        <v/>
      </c>
      <c r="H49" s="71">
        <f>SUM(H46:H48)</f>
        <v/>
      </c>
      <c r="I49" s="71">
        <f>SUM(C49:H49)</f>
        <v/>
      </c>
      <c r="J49">
        <f>IF($H$21=I49,"OK","REVISAR")</f>
        <v/>
      </c>
    </row>
    <row r="51">
      <c r="B51" s="7" t="inlineStr">
        <is>
          <t>Acumulado</t>
        </is>
      </c>
      <c r="C51" s="74">
        <f>C49</f>
        <v/>
      </c>
      <c r="D51" s="72">
        <f>C51+D49</f>
        <v/>
      </c>
      <c r="E51" s="72">
        <f>D51+E49</f>
        <v/>
      </c>
      <c r="F51" s="72">
        <f>E51+F49</f>
        <v/>
      </c>
      <c r="G51" s="72">
        <f>F51+G49</f>
        <v/>
      </c>
      <c r="H51" s="72">
        <f>G51+H49</f>
        <v/>
      </c>
      <c r="I51" s="73" t="n"/>
    </row>
    <row r="55" ht="21" customHeight="1">
      <c r="B55" s="1" t="inlineStr">
        <is>
          <t>COBRANZA MOROSA</t>
        </is>
      </c>
    </row>
    <row r="57">
      <c r="B57" s="25" t="inlineStr">
        <is>
          <t>Tipo de Credito</t>
        </is>
      </c>
      <c r="C57" s="26" t="n">
        <v>45839</v>
      </c>
      <c r="D57" s="26" t="n">
        <v>45870</v>
      </c>
      <c r="E57" s="26" t="n">
        <v>45901</v>
      </c>
      <c r="F57" s="26" t="n">
        <v>45931</v>
      </c>
      <c r="G57" s="26" t="n">
        <v>45962</v>
      </c>
      <c r="H57" s="26" t="n">
        <v>45992</v>
      </c>
      <c r="I57" s="26" t="n">
        <v>46023</v>
      </c>
      <c r="J57" s="26" t="n">
        <v>46054</v>
      </c>
      <c r="K57" s="26" t="n">
        <v>46082</v>
      </c>
      <c r="L57" s="26" t="n">
        <v>46113</v>
      </c>
      <c r="M57" s="26" t="n">
        <v>46143</v>
      </c>
      <c r="N57" s="26" t="n">
        <v>46174</v>
      </c>
      <c r="O57" s="26" t="inlineStr">
        <is>
          <t>Total</t>
        </is>
      </c>
    </row>
    <row r="58">
      <c r="B58" s="8" t="inlineStr">
        <is>
          <t>Crédito Directo</t>
        </is>
      </c>
      <c r="C58" s="69">
        <f>IFERROR(SUMPRODUCT(--ISNUMBER(SEARCH($B$6,'Base_Cobranzas'!$A$2:$A$702)),--('Base_Cobranzas'!$AI$2:$AI$702&gt;=IF(C$57&lt;3000,DATE(C$57,1,1),C$57)),--('Base_Cobranzas'!$AI$2:$AI$702&lt;IF(C$57&lt;3000,DATE(C$57+1,1,1),EDATE(C$57,1))),--ISNUMBER(SEARCH(IF(ISNUMBER(SEARCH("DIRECTO",UPPER($B58))),"DIRECTO",IF(ISNUMBER(SEARCH("HIPOT",UPPER($B58))),"HIPOT",IF(ISNUMBER(SEARCH("AHORRO",UPPER($B58))),"AHORRO",UPPER($B58)))),UPPER('Base_Cobranzas'!$AT$2:$AT$702))),--ISNUMBER(SEARCH("VENCIDO",UPPER(TRIM('Base_Cobranzas'!$BC$2:$BC$702)))),'Base_Cobranzas'!$AR$2:$AR$702),0)</f>
        <v/>
      </c>
      <c r="D58" s="69">
        <f>IFERROR(SUMPRODUCT(--ISNUMBER(SEARCH($B$6,'Base_Cobranzas'!$A$2:$A$702)),--('Base_Cobranzas'!$AI$2:$AI$702&gt;=IF(D$57&lt;3000,DATE(D$57,1,1),D$57)),--('Base_Cobranzas'!$AI$2:$AI$702&lt;IF(D$57&lt;3000,DATE(D$57+1,1,1),EDATE(D$57,1))),--ISNUMBER(SEARCH(IF(ISNUMBER(SEARCH("DIRECTO",UPPER($B58))),"DIRECTO",IF(ISNUMBER(SEARCH("HIPOT",UPPER($B58))),"HIPOT",IF(ISNUMBER(SEARCH("AHORRO",UPPER($B58))),"AHORRO",UPPER($B58)))),UPPER('Base_Cobranzas'!$AT$2:$AT$702))),--ISNUMBER(SEARCH("VENCIDO",UPPER(TRIM('Base_Cobranzas'!$BC$2:$BC$702)))),'Base_Cobranzas'!$AR$2:$AR$702),0)</f>
        <v/>
      </c>
      <c r="E58" s="69">
        <f>IFERROR(SUMPRODUCT(--ISNUMBER(SEARCH($B$6,'Base_Cobranzas'!$A$2:$A$702)),--('Base_Cobranzas'!$AI$2:$AI$702&gt;=IF(E$57&lt;3000,DATE(E$57,1,1),E$57)),--('Base_Cobranzas'!$AI$2:$AI$702&lt;IF(E$57&lt;3000,DATE(E$57+1,1,1),EDATE(E$57,1))),--ISNUMBER(SEARCH(IF(ISNUMBER(SEARCH("DIRECTO",UPPER($B58))),"DIRECTO",IF(ISNUMBER(SEARCH("HIPOT",UPPER($B58))),"HIPOT",IF(ISNUMBER(SEARCH("AHORRO",UPPER($B58))),"AHORRO",UPPER($B58)))),UPPER('Base_Cobranzas'!$AT$2:$AT$702))),--ISNUMBER(SEARCH("VENCIDO",UPPER(TRIM('Base_Cobranzas'!$BC$2:$BC$702)))),'Base_Cobranzas'!$AR$2:$AR$702),0)</f>
        <v/>
      </c>
      <c r="F58" s="69">
        <f>IFERROR(SUMPRODUCT(--ISNUMBER(SEARCH($B$6,'Base_Cobranzas'!$A$2:$A$702)),--('Base_Cobranzas'!$AI$2:$AI$702&gt;=IF(F$57&lt;3000,DATE(F$57,1,1),F$57)),--('Base_Cobranzas'!$AI$2:$AI$702&lt;IF(F$57&lt;3000,DATE(F$57+1,1,1),EDATE(F$57,1))),--ISNUMBER(SEARCH(IF(ISNUMBER(SEARCH("DIRECTO",UPPER($B58))),"DIRECTO",IF(ISNUMBER(SEARCH("HIPOT",UPPER($B58))),"HIPOT",IF(ISNUMBER(SEARCH("AHORRO",UPPER($B58))),"AHORRO",UPPER($B58)))),UPPER('Base_Cobranzas'!$AT$2:$AT$702))),--ISNUMBER(SEARCH("VENCIDO",UPPER(TRIM('Base_Cobranzas'!$BC$2:$BC$702)))),'Base_Cobranzas'!$AR$2:$AR$702),0)</f>
        <v/>
      </c>
      <c r="G58" s="69">
        <f>IFERROR(SUMPRODUCT(--ISNUMBER(SEARCH($B$6,'Base_Cobranzas'!$A$2:$A$702)),--('Base_Cobranzas'!$AI$2:$AI$702&gt;=IF(G$57&lt;3000,DATE(G$57,1,1),G$57)),--('Base_Cobranzas'!$AI$2:$AI$702&lt;IF(G$57&lt;3000,DATE(G$57+1,1,1),EDATE(G$57,1))),--ISNUMBER(SEARCH(IF(ISNUMBER(SEARCH("DIRECTO",UPPER($B58))),"DIRECTO",IF(ISNUMBER(SEARCH("HIPOT",UPPER($B58))),"HIPOT",IF(ISNUMBER(SEARCH("AHORRO",UPPER($B58))),"AHORRO",UPPER($B58)))),UPPER('Base_Cobranzas'!$AT$2:$AT$702))),--ISNUMBER(SEARCH("VENCIDO",UPPER(TRIM('Base_Cobranzas'!$BC$2:$BC$702)))),'Base_Cobranzas'!$AR$2:$AR$702),0)</f>
        <v/>
      </c>
      <c r="H58" s="69">
        <f>IFERROR(SUMPRODUCT(--ISNUMBER(SEARCH($B$6,'Base_Cobranzas'!$A$2:$A$702)),--('Base_Cobranzas'!$AI$2:$AI$702&gt;=IF(H$57&lt;3000,DATE(H$57,1,1),H$57)),--('Base_Cobranzas'!$AI$2:$AI$702&lt;IF(H$57&lt;3000,DATE(H$57+1,1,1),EDATE(H$57,1))),--ISNUMBER(SEARCH(IF(ISNUMBER(SEARCH("DIRECTO",UPPER($B58))),"DIRECTO",IF(ISNUMBER(SEARCH("HIPOT",UPPER($B58))),"HIPOT",IF(ISNUMBER(SEARCH("AHORRO",UPPER($B58))),"AHORRO",UPPER($B58)))),UPPER('Base_Cobranzas'!$AT$2:$AT$702))),--ISNUMBER(SEARCH("VENCIDO",UPPER(TRIM('Base_Cobranzas'!$BC$2:$BC$702)))),'Base_Cobranzas'!$AR$2:$AR$702),0)</f>
        <v/>
      </c>
      <c r="I58" s="69">
        <f>IFERROR(SUMPRODUCT(--ISNUMBER(SEARCH($B$6,'Base_Cobranzas'!$A$2:$A$702)),--('Base_Cobranzas'!$AI$2:$AI$702&gt;=IF(I$57&lt;3000,DATE(I$57,1,1),I$57)),--('Base_Cobranzas'!$AI$2:$AI$702&lt;IF(I$57&lt;3000,DATE(I$57+1,1,1),EDATE(I$57,1))),--ISNUMBER(SEARCH(IF(ISNUMBER(SEARCH("DIRECTO",UPPER($B58))),"DIRECTO",IF(ISNUMBER(SEARCH("HIPOT",UPPER($B58))),"HIPOT",IF(ISNUMBER(SEARCH("AHORRO",UPPER($B58))),"AHORRO",UPPER($B58)))),UPPER('Base_Cobranzas'!$AT$2:$AT$702))),--ISNUMBER(SEARCH("VENCIDO",UPPER(TRIM('Base_Cobranzas'!$BC$2:$BC$702)))),'Base_Cobranzas'!$AR$2:$AR$702),0)</f>
        <v/>
      </c>
      <c r="J58" s="69">
        <f>IFERROR(SUMPRODUCT(--ISNUMBER(SEARCH($B$6,'Base_Cobranzas'!$A$2:$A$702)),--('Base_Cobranzas'!$AI$2:$AI$702&gt;=IF(J$57&lt;3000,DATE(J$57,1,1),J$57)),--('Base_Cobranzas'!$AI$2:$AI$702&lt;IF(J$57&lt;3000,DATE(J$57+1,1,1),EDATE(J$57,1))),--ISNUMBER(SEARCH(IF(ISNUMBER(SEARCH("DIRECTO",UPPER($B58))),"DIRECTO",IF(ISNUMBER(SEARCH("HIPOT",UPPER($B58))),"HIPOT",IF(ISNUMBER(SEARCH("AHORRO",UPPER($B58))),"AHORRO",UPPER($B58)))),UPPER('Base_Cobranzas'!$AT$2:$AT$702))),--ISNUMBER(SEARCH("VENCIDO",UPPER(TRIM('Base_Cobranzas'!$BC$2:$BC$702)))),'Base_Cobranzas'!$AR$2:$AR$702),0)</f>
        <v/>
      </c>
      <c r="K58" s="69">
        <f>IFERROR(SUMPRODUCT(--ISNUMBER(SEARCH($B$6,'Base_Cobranzas'!$A$2:$A$702)),--('Base_Cobranzas'!$AI$2:$AI$702&gt;=IF(K$57&lt;3000,DATE(K$57,1,1),K$57)),--('Base_Cobranzas'!$AI$2:$AI$702&lt;IF(K$57&lt;3000,DATE(K$57+1,1,1),EDATE(K$57,1))),--ISNUMBER(SEARCH(IF(ISNUMBER(SEARCH("DIRECTO",UPPER($B58))),"DIRECTO",IF(ISNUMBER(SEARCH("HIPOT",UPPER($B58))),"HIPOT",IF(ISNUMBER(SEARCH("AHORRO",UPPER($B58))),"AHORRO",UPPER($B58)))),UPPER('Base_Cobranzas'!$AT$2:$AT$702))),--ISNUMBER(SEARCH("VENCIDO",UPPER(TRIM('Base_Cobranzas'!$BC$2:$BC$702)))),'Base_Cobranzas'!$AR$2:$AR$702),0)</f>
        <v/>
      </c>
      <c r="L58" s="69">
        <f>IFERROR(SUMPRODUCT(--ISNUMBER(SEARCH($B$6,'Base_Cobranzas'!$A$2:$A$702)),--('Base_Cobranzas'!$AI$2:$AI$702&gt;=IF(L$57&lt;3000,DATE(L$57,1,1),L$57)),--('Base_Cobranzas'!$AI$2:$AI$702&lt;IF(L$57&lt;3000,DATE(L$57+1,1,1),EDATE(L$57,1))),--ISNUMBER(SEARCH(IF(ISNUMBER(SEARCH("DIRECTO",UPPER($B58))),"DIRECTO",IF(ISNUMBER(SEARCH("HIPOT",UPPER($B58))),"HIPOT",IF(ISNUMBER(SEARCH("AHORRO",UPPER($B58))),"AHORRO",UPPER($B58)))),UPPER('Base_Cobranzas'!$AT$2:$AT$702))),--ISNUMBER(SEARCH("VENCIDO",UPPER(TRIM('Base_Cobranzas'!$BC$2:$BC$702)))),'Base_Cobranzas'!$AR$2:$AR$702),0)</f>
        <v/>
      </c>
      <c r="M58" s="69">
        <f>IFERROR(SUMPRODUCT(--ISNUMBER(SEARCH($B$6,'Base_Cobranzas'!$A$2:$A$702)),--('Base_Cobranzas'!$AI$2:$AI$702&gt;=IF(M$57&lt;3000,DATE(M$57,1,1),M$57)),--('Base_Cobranzas'!$AI$2:$AI$702&lt;IF(M$57&lt;3000,DATE(M$57+1,1,1),EDATE(M$57,1))),--ISNUMBER(SEARCH(IF(ISNUMBER(SEARCH("DIRECTO",UPPER($B58))),"DIRECTO",IF(ISNUMBER(SEARCH("HIPOT",UPPER($B58))),"HIPOT",IF(ISNUMBER(SEARCH("AHORRO",UPPER($B58))),"AHORRO",UPPER($B58)))),UPPER('Base_Cobranzas'!$AT$2:$AT$702))),--ISNUMBER(SEARCH("VENCIDO",UPPER(TRIM('Base_Cobranzas'!$BC$2:$BC$702)))),'Base_Cobranzas'!$AR$2:$AR$702),0)</f>
        <v/>
      </c>
      <c r="N58" s="69">
        <f>IFERROR(SUMPRODUCT(--ISNUMBER(SEARCH($B$6,'Base_Cobranzas'!$A$2:$A$702)),--('Base_Cobranzas'!$AI$2:$AI$702&gt;=IF(N$57&lt;3000,DATE(N$57,1,1),N$57)),--('Base_Cobranzas'!$AI$2:$AI$702&lt;IF(N$57&lt;3000,DATE(N$57+1,1,1),EDATE(N$57,1))),--ISNUMBER(SEARCH(IF(ISNUMBER(SEARCH("DIRECTO",UPPER($B58))),"DIRECTO",IF(ISNUMBER(SEARCH("HIPOT",UPPER($B58))),"HIPOT",IF(ISNUMBER(SEARCH("AHORRO",UPPER($B58))),"AHORRO",UPPER($B58)))),UPPER('Base_Cobranzas'!$AT$2:$AT$702))),--ISNUMBER(SEARCH("VENCIDO",UPPER(TRIM('Base_Cobranzas'!$BC$2:$BC$702)))),'Base_Cobranzas'!$AR$2:$AR$702),0)</f>
        <v/>
      </c>
      <c r="O58" s="70">
        <f>SUM(C58:N58)</f>
        <v/>
      </c>
    </row>
    <row r="59">
      <c r="B59" s="8" t="inlineStr">
        <is>
          <t>Crédito Hipotecario</t>
        </is>
      </c>
      <c r="C59" s="69">
        <f>IFERROR(SUMPRODUCT(--ISNUMBER(SEARCH($B$6,'Base_Cobranzas'!$A$2:$A$702)),--('Base_Cobranzas'!$AI$2:$AI$702&gt;=IF(C$57&lt;3000,DATE(C$57,1,1),C$57)),--('Base_Cobranzas'!$AI$2:$AI$702&lt;IF(C$57&lt;3000,DATE(C$57+1,1,1),EDATE(C$57,1))),--ISNUMBER(SEARCH(IF(ISNUMBER(SEARCH("DIRECTO",UPPER($B59))),"DIRECTO",IF(ISNUMBER(SEARCH("HIPOT",UPPER($B59))),"HIPOT",IF(ISNUMBER(SEARCH("AHORRO",UPPER($B59))),"AHORRO",UPPER($B59)))),UPPER('Base_Cobranzas'!$AT$2:$AT$702))),--ISNUMBER(SEARCH("VENCIDO",UPPER(TRIM('Base_Cobranzas'!$BC$2:$BC$702)))),'Base_Cobranzas'!$AR$2:$AR$702),0)</f>
        <v/>
      </c>
      <c r="D59" s="69">
        <f>IFERROR(SUMPRODUCT(--ISNUMBER(SEARCH($B$6,'Base_Cobranzas'!$A$2:$A$702)),--('Base_Cobranzas'!$AI$2:$AI$702&gt;=IF(D$57&lt;3000,DATE(D$57,1,1),D$57)),--('Base_Cobranzas'!$AI$2:$AI$702&lt;IF(D$57&lt;3000,DATE(D$57+1,1,1),EDATE(D$57,1))),--ISNUMBER(SEARCH(IF(ISNUMBER(SEARCH("DIRECTO",UPPER($B59))),"DIRECTO",IF(ISNUMBER(SEARCH("HIPOT",UPPER($B59))),"HIPOT",IF(ISNUMBER(SEARCH("AHORRO",UPPER($B59))),"AHORRO",UPPER($B59)))),UPPER('Base_Cobranzas'!$AT$2:$AT$702))),--ISNUMBER(SEARCH("VENCIDO",UPPER(TRIM('Base_Cobranzas'!$BC$2:$BC$702)))),'Base_Cobranzas'!$AR$2:$AR$702),0)</f>
        <v/>
      </c>
      <c r="E59" s="69">
        <f>IFERROR(SUMPRODUCT(--ISNUMBER(SEARCH($B$6,'Base_Cobranzas'!$A$2:$A$702)),--('Base_Cobranzas'!$AI$2:$AI$702&gt;=IF(E$57&lt;3000,DATE(E$57,1,1),E$57)),--('Base_Cobranzas'!$AI$2:$AI$702&lt;IF(E$57&lt;3000,DATE(E$57+1,1,1),EDATE(E$57,1))),--ISNUMBER(SEARCH(IF(ISNUMBER(SEARCH("DIRECTO",UPPER($B59))),"DIRECTO",IF(ISNUMBER(SEARCH("HIPOT",UPPER($B59))),"HIPOT",IF(ISNUMBER(SEARCH("AHORRO",UPPER($B59))),"AHORRO",UPPER($B59)))),UPPER('Base_Cobranzas'!$AT$2:$AT$702))),--ISNUMBER(SEARCH("VENCIDO",UPPER(TRIM('Base_Cobranzas'!$BC$2:$BC$702)))),'Base_Cobranzas'!$AR$2:$AR$702),0)</f>
        <v/>
      </c>
      <c r="F59" s="69">
        <f>IFERROR(SUMPRODUCT(--ISNUMBER(SEARCH($B$6,'Base_Cobranzas'!$A$2:$A$702)),--('Base_Cobranzas'!$AI$2:$AI$702&gt;=IF(F$57&lt;3000,DATE(F$57,1,1),F$57)),--('Base_Cobranzas'!$AI$2:$AI$702&lt;IF(F$57&lt;3000,DATE(F$57+1,1,1),EDATE(F$57,1))),--ISNUMBER(SEARCH(IF(ISNUMBER(SEARCH("DIRECTO",UPPER($B59))),"DIRECTO",IF(ISNUMBER(SEARCH("HIPOT",UPPER($B59))),"HIPOT",IF(ISNUMBER(SEARCH("AHORRO",UPPER($B59))),"AHORRO",UPPER($B59)))),UPPER('Base_Cobranzas'!$AT$2:$AT$702))),--ISNUMBER(SEARCH("VENCIDO",UPPER(TRIM('Base_Cobranzas'!$BC$2:$BC$702)))),'Base_Cobranzas'!$AR$2:$AR$702),0)</f>
        <v/>
      </c>
      <c r="G59" s="69">
        <f>IFERROR(SUMPRODUCT(--ISNUMBER(SEARCH($B$6,'Base_Cobranzas'!$A$2:$A$702)),--('Base_Cobranzas'!$AI$2:$AI$702&gt;=IF(G$57&lt;3000,DATE(G$57,1,1),G$57)),--('Base_Cobranzas'!$AI$2:$AI$702&lt;IF(G$57&lt;3000,DATE(G$57+1,1,1),EDATE(G$57,1))),--ISNUMBER(SEARCH(IF(ISNUMBER(SEARCH("DIRECTO",UPPER($B59))),"DIRECTO",IF(ISNUMBER(SEARCH("HIPOT",UPPER($B59))),"HIPOT",IF(ISNUMBER(SEARCH("AHORRO",UPPER($B59))),"AHORRO",UPPER($B59)))),UPPER('Base_Cobranzas'!$AT$2:$AT$702))),--ISNUMBER(SEARCH("VENCIDO",UPPER(TRIM('Base_Cobranzas'!$BC$2:$BC$702)))),'Base_Cobranzas'!$AR$2:$AR$702),0)</f>
        <v/>
      </c>
      <c r="H59" s="69">
        <f>IFERROR(SUMPRODUCT(--ISNUMBER(SEARCH($B$6,'Base_Cobranzas'!$A$2:$A$702)),--('Base_Cobranzas'!$AI$2:$AI$702&gt;=IF(H$57&lt;3000,DATE(H$57,1,1),H$57)),--('Base_Cobranzas'!$AI$2:$AI$702&lt;IF(H$57&lt;3000,DATE(H$57+1,1,1),EDATE(H$57,1))),--ISNUMBER(SEARCH(IF(ISNUMBER(SEARCH("DIRECTO",UPPER($B59))),"DIRECTO",IF(ISNUMBER(SEARCH("HIPOT",UPPER($B59))),"HIPOT",IF(ISNUMBER(SEARCH("AHORRO",UPPER($B59))),"AHORRO",UPPER($B59)))),UPPER('Base_Cobranzas'!$AT$2:$AT$702))),--ISNUMBER(SEARCH("VENCIDO",UPPER(TRIM('Base_Cobranzas'!$BC$2:$BC$702)))),'Base_Cobranzas'!$AR$2:$AR$702),0)</f>
        <v/>
      </c>
      <c r="I59" s="69">
        <f>IFERROR(SUMPRODUCT(--ISNUMBER(SEARCH($B$6,'Base_Cobranzas'!$A$2:$A$702)),--('Base_Cobranzas'!$AI$2:$AI$702&gt;=IF(I$57&lt;3000,DATE(I$57,1,1),I$57)),--('Base_Cobranzas'!$AI$2:$AI$702&lt;IF(I$57&lt;3000,DATE(I$57+1,1,1),EDATE(I$57,1))),--ISNUMBER(SEARCH(IF(ISNUMBER(SEARCH("DIRECTO",UPPER($B59))),"DIRECTO",IF(ISNUMBER(SEARCH("HIPOT",UPPER($B59))),"HIPOT",IF(ISNUMBER(SEARCH("AHORRO",UPPER($B59))),"AHORRO",UPPER($B59)))),UPPER('Base_Cobranzas'!$AT$2:$AT$702))),--ISNUMBER(SEARCH("VENCIDO",UPPER(TRIM('Base_Cobranzas'!$BC$2:$BC$702)))),'Base_Cobranzas'!$AR$2:$AR$702),0)</f>
        <v/>
      </c>
      <c r="J59" s="69">
        <f>IFERROR(SUMPRODUCT(--ISNUMBER(SEARCH($B$6,'Base_Cobranzas'!$A$2:$A$702)),--('Base_Cobranzas'!$AI$2:$AI$702&gt;=IF(J$57&lt;3000,DATE(J$57,1,1),J$57)),--('Base_Cobranzas'!$AI$2:$AI$702&lt;IF(J$57&lt;3000,DATE(J$57+1,1,1),EDATE(J$57,1))),--ISNUMBER(SEARCH(IF(ISNUMBER(SEARCH("DIRECTO",UPPER($B59))),"DIRECTO",IF(ISNUMBER(SEARCH("HIPOT",UPPER($B59))),"HIPOT",IF(ISNUMBER(SEARCH("AHORRO",UPPER($B59))),"AHORRO",UPPER($B59)))),UPPER('Base_Cobranzas'!$AT$2:$AT$702))),--ISNUMBER(SEARCH("VENCIDO",UPPER(TRIM('Base_Cobranzas'!$BC$2:$BC$702)))),'Base_Cobranzas'!$AR$2:$AR$702),0)</f>
        <v/>
      </c>
      <c r="K59" s="69">
        <f>IFERROR(SUMPRODUCT(--ISNUMBER(SEARCH($B$6,'Base_Cobranzas'!$A$2:$A$702)),--('Base_Cobranzas'!$AI$2:$AI$702&gt;=IF(K$57&lt;3000,DATE(K$57,1,1),K$57)),--('Base_Cobranzas'!$AI$2:$AI$702&lt;IF(K$57&lt;3000,DATE(K$57+1,1,1),EDATE(K$57,1))),--ISNUMBER(SEARCH(IF(ISNUMBER(SEARCH("DIRECTO",UPPER($B59))),"DIRECTO",IF(ISNUMBER(SEARCH("HIPOT",UPPER($B59))),"HIPOT",IF(ISNUMBER(SEARCH("AHORRO",UPPER($B59))),"AHORRO",UPPER($B59)))),UPPER('Base_Cobranzas'!$AT$2:$AT$702))),--ISNUMBER(SEARCH("VENCIDO",UPPER(TRIM('Base_Cobranzas'!$BC$2:$BC$702)))),'Base_Cobranzas'!$AR$2:$AR$702),0)</f>
        <v/>
      </c>
      <c r="L59" s="69">
        <f>IFERROR(SUMPRODUCT(--ISNUMBER(SEARCH($B$6,'Base_Cobranzas'!$A$2:$A$702)),--('Base_Cobranzas'!$AI$2:$AI$702&gt;=IF(L$57&lt;3000,DATE(L$57,1,1),L$57)),--('Base_Cobranzas'!$AI$2:$AI$702&lt;IF(L$57&lt;3000,DATE(L$57+1,1,1),EDATE(L$57,1))),--ISNUMBER(SEARCH(IF(ISNUMBER(SEARCH("DIRECTO",UPPER($B59))),"DIRECTO",IF(ISNUMBER(SEARCH("HIPOT",UPPER($B59))),"HIPOT",IF(ISNUMBER(SEARCH("AHORRO",UPPER($B59))),"AHORRO",UPPER($B59)))),UPPER('Base_Cobranzas'!$AT$2:$AT$702))),--ISNUMBER(SEARCH("VENCIDO",UPPER(TRIM('Base_Cobranzas'!$BC$2:$BC$702)))),'Base_Cobranzas'!$AR$2:$AR$702),0)</f>
        <v/>
      </c>
      <c r="M59" s="69">
        <f>IFERROR(SUMPRODUCT(--ISNUMBER(SEARCH($B$6,'Base_Cobranzas'!$A$2:$A$702)),--('Base_Cobranzas'!$AI$2:$AI$702&gt;=IF(M$57&lt;3000,DATE(M$57,1,1),M$57)),--('Base_Cobranzas'!$AI$2:$AI$702&lt;IF(M$57&lt;3000,DATE(M$57+1,1,1),EDATE(M$57,1))),--ISNUMBER(SEARCH(IF(ISNUMBER(SEARCH("DIRECTO",UPPER($B59))),"DIRECTO",IF(ISNUMBER(SEARCH("HIPOT",UPPER($B59))),"HIPOT",IF(ISNUMBER(SEARCH("AHORRO",UPPER($B59))),"AHORRO",UPPER($B59)))),UPPER('Base_Cobranzas'!$AT$2:$AT$702))),--ISNUMBER(SEARCH("VENCIDO",UPPER(TRIM('Base_Cobranzas'!$BC$2:$BC$702)))),'Base_Cobranzas'!$AR$2:$AR$702),0)</f>
        <v/>
      </c>
      <c r="N59" s="69">
        <f>IFERROR(SUMPRODUCT(--ISNUMBER(SEARCH($B$6,'Base_Cobranzas'!$A$2:$A$702)),--('Base_Cobranzas'!$AI$2:$AI$702&gt;=IF(N$57&lt;3000,DATE(N$57,1,1),N$57)),--('Base_Cobranzas'!$AI$2:$AI$702&lt;IF(N$57&lt;3000,DATE(N$57+1,1,1),EDATE(N$57,1))),--ISNUMBER(SEARCH(IF(ISNUMBER(SEARCH("DIRECTO",UPPER($B59))),"DIRECTO",IF(ISNUMBER(SEARCH("HIPOT",UPPER($B59))),"HIPOT",IF(ISNUMBER(SEARCH("AHORRO",UPPER($B59))),"AHORRO",UPPER($B59)))),UPPER('Base_Cobranzas'!$AT$2:$AT$702))),--ISNUMBER(SEARCH("VENCIDO",UPPER(TRIM('Base_Cobranzas'!$BC$2:$BC$702)))),'Base_Cobranzas'!$AR$2:$AR$702),0)</f>
        <v/>
      </c>
      <c r="O59" s="70">
        <f>SUM(C59:N59)</f>
        <v/>
      </c>
    </row>
    <row r="60">
      <c r="B60" s="8" t="inlineStr">
        <is>
          <t>Ahorro</t>
        </is>
      </c>
      <c r="C60" s="69">
        <f>IFERROR(SUMPRODUCT(--ISNUMBER(SEARCH($B$6,'Base_Cobranzas'!$A$2:$A$702)),--('Base_Cobranzas'!$AI$2:$AI$702&gt;=IF(C$57&lt;3000,DATE(C$57,1,1),C$57)),--('Base_Cobranzas'!$AI$2:$AI$702&lt;IF(C$57&lt;3000,DATE(C$57+1,1,1),EDATE(C$57,1))),--ISNUMBER(SEARCH(IF(ISNUMBER(SEARCH("DIRECTO",UPPER($B60))),"DIRECTO",IF(ISNUMBER(SEARCH("HIPOT",UPPER($B60))),"HIPOT",IF(ISNUMBER(SEARCH("AHORRO",UPPER($B60))),"AHORRO",UPPER($B60)))),UPPER('Base_Cobranzas'!$AT$2:$AT$702))),--ISNUMBER(SEARCH("VENCIDO",UPPER(TRIM('Base_Cobranzas'!$BC$2:$BC$702)))),'Base_Cobranzas'!$AR$2:$AR$702),0)</f>
        <v/>
      </c>
      <c r="D60" s="69">
        <f>IFERROR(SUMPRODUCT(--ISNUMBER(SEARCH($B$6,'Base_Cobranzas'!$A$2:$A$702)),--('Base_Cobranzas'!$AI$2:$AI$702&gt;=IF(D$57&lt;3000,DATE(D$57,1,1),D$57)),--('Base_Cobranzas'!$AI$2:$AI$702&lt;IF(D$57&lt;3000,DATE(D$57+1,1,1),EDATE(D$57,1))),--ISNUMBER(SEARCH(IF(ISNUMBER(SEARCH("DIRECTO",UPPER($B60))),"DIRECTO",IF(ISNUMBER(SEARCH("HIPOT",UPPER($B60))),"HIPOT",IF(ISNUMBER(SEARCH("AHORRO",UPPER($B60))),"AHORRO",UPPER($B60)))),UPPER('Base_Cobranzas'!$AT$2:$AT$702))),--ISNUMBER(SEARCH("VENCIDO",UPPER(TRIM('Base_Cobranzas'!$BC$2:$BC$702)))),'Base_Cobranzas'!$AR$2:$AR$702),0)</f>
        <v/>
      </c>
      <c r="E60" s="69">
        <f>IFERROR(SUMPRODUCT(--ISNUMBER(SEARCH($B$6,'Base_Cobranzas'!$A$2:$A$702)),--('Base_Cobranzas'!$AI$2:$AI$702&gt;=IF(E$57&lt;3000,DATE(E$57,1,1),E$57)),--('Base_Cobranzas'!$AI$2:$AI$702&lt;IF(E$57&lt;3000,DATE(E$57+1,1,1),EDATE(E$57,1))),--ISNUMBER(SEARCH(IF(ISNUMBER(SEARCH("DIRECTO",UPPER($B60))),"DIRECTO",IF(ISNUMBER(SEARCH("HIPOT",UPPER($B60))),"HIPOT",IF(ISNUMBER(SEARCH("AHORRO",UPPER($B60))),"AHORRO",UPPER($B60)))),UPPER('Base_Cobranzas'!$AT$2:$AT$702))),--ISNUMBER(SEARCH("VENCIDO",UPPER(TRIM('Base_Cobranzas'!$BC$2:$BC$702)))),'Base_Cobranzas'!$AR$2:$AR$702),0)</f>
        <v/>
      </c>
      <c r="F60" s="69">
        <f>IFERROR(SUMPRODUCT(--ISNUMBER(SEARCH($B$6,'Base_Cobranzas'!$A$2:$A$702)),--('Base_Cobranzas'!$AI$2:$AI$702&gt;=IF(F$57&lt;3000,DATE(F$57,1,1),F$57)),--('Base_Cobranzas'!$AI$2:$AI$702&lt;IF(F$57&lt;3000,DATE(F$57+1,1,1),EDATE(F$57,1))),--ISNUMBER(SEARCH(IF(ISNUMBER(SEARCH("DIRECTO",UPPER($B60))),"DIRECTO",IF(ISNUMBER(SEARCH("HIPOT",UPPER($B60))),"HIPOT",IF(ISNUMBER(SEARCH("AHORRO",UPPER($B60))),"AHORRO",UPPER($B60)))),UPPER('Base_Cobranzas'!$AT$2:$AT$702))),--ISNUMBER(SEARCH("VENCIDO",UPPER(TRIM('Base_Cobranzas'!$BC$2:$BC$702)))),'Base_Cobranzas'!$AR$2:$AR$702),0)</f>
        <v/>
      </c>
      <c r="G60" s="69">
        <f>IFERROR(SUMPRODUCT(--ISNUMBER(SEARCH($B$6,'Base_Cobranzas'!$A$2:$A$702)),--('Base_Cobranzas'!$AI$2:$AI$702&gt;=IF(G$57&lt;3000,DATE(G$57,1,1),G$57)),--('Base_Cobranzas'!$AI$2:$AI$702&lt;IF(G$57&lt;3000,DATE(G$57+1,1,1),EDATE(G$57,1))),--ISNUMBER(SEARCH(IF(ISNUMBER(SEARCH("DIRECTO",UPPER($B60))),"DIRECTO",IF(ISNUMBER(SEARCH("HIPOT",UPPER($B60))),"HIPOT",IF(ISNUMBER(SEARCH("AHORRO",UPPER($B60))),"AHORRO",UPPER($B60)))),UPPER('Base_Cobranzas'!$AT$2:$AT$702))),--ISNUMBER(SEARCH("VENCIDO",UPPER(TRIM('Base_Cobranzas'!$BC$2:$BC$702)))),'Base_Cobranzas'!$AR$2:$AR$702),0)</f>
        <v/>
      </c>
      <c r="H60" s="69">
        <f>IFERROR(SUMPRODUCT(--ISNUMBER(SEARCH($B$6,'Base_Cobranzas'!$A$2:$A$702)),--('Base_Cobranzas'!$AI$2:$AI$702&gt;=IF(H$57&lt;3000,DATE(H$57,1,1),H$57)),--('Base_Cobranzas'!$AI$2:$AI$702&lt;IF(H$57&lt;3000,DATE(H$57+1,1,1),EDATE(H$57,1))),--ISNUMBER(SEARCH(IF(ISNUMBER(SEARCH("DIRECTO",UPPER($B60))),"DIRECTO",IF(ISNUMBER(SEARCH("HIPOT",UPPER($B60))),"HIPOT",IF(ISNUMBER(SEARCH("AHORRO",UPPER($B60))),"AHORRO",UPPER($B60)))),UPPER('Base_Cobranzas'!$AT$2:$AT$702))),--ISNUMBER(SEARCH("VENCIDO",UPPER(TRIM('Base_Cobranzas'!$BC$2:$BC$702)))),'Base_Cobranzas'!$AR$2:$AR$702),0)</f>
        <v/>
      </c>
      <c r="I60" s="69">
        <f>IFERROR(SUMPRODUCT(--ISNUMBER(SEARCH($B$6,'Base_Cobranzas'!$A$2:$A$702)),--('Base_Cobranzas'!$AI$2:$AI$702&gt;=IF(I$57&lt;3000,DATE(I$57,1,1),I$57)),--('Base_Cobranzas'!$AI$2:$AI$702&lt;IF(I$57&lt;3000,DATE(I$57+1,1,1),EDATE(I$57,1))),--ISNUMBER(SEARCH(IF(ISNUMBER(SEARCH("DIRECTO",UPPER($B60))),"DIRECTO",IF(ISNUMBER(SEARCH("HIPOT",UPPER($B60))),"HIPOT",IF(ISNUMBER(SEARCH("AHORRO",UPPER($B60))),"AHORRO",UPPER($B60)))),UPPER('Base_Cobranzas'!$AT$2:$AT$702))),--ISNUMBER(SEARCH("VENCIDO",UPPER(TRIM('Base_Cobranzas'!$BC$2:$BC$702)))),'Base_Cobranzas'!$AR$2:$AR$702),0)</f>
        <v/>
      </c>
      <c r="J60" s="69">
        <f>IFERROR(SUMPRODUCT(--ISNUMBER(SEARCH($B$6,'Base_Cobranzas'!$A$2:$A$702)),--('Base_Cobranzas'!$AI$2:$AI$702&gt;=IF(J$57&lt;3000,DATE(J$57,1,1),J$57)),--('Base_Cobranzas'!$AI$2:$AI$702&lt;IF(J$57&lt;3000,DATE(J$57+1,1,1),EDATE(J$57,1))),--ISNUMBER(SEARCH(IF(ISNUMBER(SEARCH("DIRECTO",UPPER($B60))),"DIRECTO",IF(ISNUMBER(SEARCH("HIPOT",UPPER($B60))),"HIPOT",IF(ISNUMBER(SEARCH("AHORRO",UPPER($B60))),"AHORRO",UPPER($B60)))),UPPER('Base_Cobranzas'!$AT$2:$AT$702))),--ISNUMBER(SEARCH("VENCIDO",UPPER(TRIM('Base_Cobranzas'!$BC$2:$BC$702)))),'Base_Cobranzas'!$AR$2:$AR$702),0)</f>
        <v/>
      </c>
      <c r="K60" s="69">
        <f>IFERROR(SUMPRODUCT(--ISNUMBER(SEARCH($B$6,'Base_Cobranzas'!$A$2:$A$702)),--('Base_Cobranzas'!$AI$2:$AI$702&gt;=IF(K$57&lt;3000,DATE(K$57,1,1),K$57)),--('Base_Cobranzas'!$AI$2:$AI$702&lt;IF(K$57&lt;3000,DATE(K$57+1,1,1),EDATE(K$57,1))),--ISNUMBER(SEARCH(IF(ISNUMBER(SEARCH("DIRECTO",UPPER($B60))),"DIRECTO",IF(ISNUMBER(SEARCH("HIPOT",UPPER($B60))),"HIPOT",IF(ISNUMBER(SEARCH("AHORRO",UPPER($B60))),"AHORRO",UPPER($B60)))),UPPER('Base_Cobranzas'!$AT$2:$AT$702))),--ISNUMBER(SEARCH("VENCIDO",UPPER(TRIM('Base_Cobranzas'!$BC$2:$BC$702)))),'Base_Cobranzas'!$AR$2:$AR$702),0)</f>
        <v/>
      </c>
      <c r="L60" s="69">
        <f>IFERROR(SUMPRODUCT(--ISNUMBER(SEARCH($B$6,'Base_Cobranzas'!$A$2:$A$702)),--('Base_Cobranzas'!$AI$2:$AI$702&gt;=IF(L$57&lt;3000,DATE(L$57,1,1),L$57)),--('Base_Cobranzas'!$AI$2:$AI$702&lt;IF(L$57&lt;3000,DATE(L$57+1,1,1),EDATE(L$57,1))),--ISNUMBER(SEARCH(IF(ISNUMBER(SEARCH("DIRECTO",UPPER($B60))),"DIRECTO",IF(ISNUMBER(SEARCH("HIPOT",UPPER($B60))),"HIPOT",IF(ISNUMBER(SEARCH("AHORRO",UPPER($B60))),"AHORRO",UPPER($B60)))),UPPER('Base_Cobranzas'!$AT$2:$AT$702))),--ISNUMBER(SEARCH("VENCIDO",UPPER(TRIM('Base_Cobranzas'!$BC$2:$BC$702)))),'Base_Cobranzas'!$AR$2:$AR$702),0)</f>
        <v/>
      </c>
      <c r="M60" s="69">
        <f>IFERROR(SUMPRODUCT(--ISNUMBER(SEARCH($B$6,'Base_Cobranzas'!$A$2:$A$702)),--('Base_Cobranzas'!$AI$2:$AI$702&gt;=IF(M$57&lt;3000,DATE(M$57,1,1),M$57)),--('Base_Cobranzas'!$AI$2:$AI$702&lt;IF(M$57&lt;3000,DATE(M$57+1,1,1),EDATE(M$57,1))),--ISNUMBER(SEARCH(IF(ISNUMBER(SEARCH("DIRECTO",UPPER($B60))),"DIRECTO",IF(ISNUMBER(SEARCH("HIPOT",UPPER($B60))),"HIPOT",IF(ISNUMBER(SEARCH("AHORRO",UPPER($B60))),"AHORRO",UPPER($B60)))),UPPER('Base_Cobranzas'!$AT$2:$AT$702))),--ISNUMBER(SEARCH("VENCIDO",UPPER(TRIM('Base_Cobranzas'!$BC$2:$BC$702)))),'Base_Cobranzas'!$AR$2:$AR$702),0)</f>
        <v/>
      </c>
      <c r="N60" s="69">
        <f>IFERROR(SUMPRODUCT(--ISNUMBER(SEARCH($B$6,'Base_Cobranzas'!$A$2:$A$702)),--('Base_Cobranzas'!$AI$2:$AI$702&gt;=IF(N$57&lt;3000,DATE(N$57,1,1),N$57)),--('Base_Cobranzas'!$AI$2:$AI$702&lt;IF(N$57&lt;3000,DATE(N$57+1,1,1),EDATE(N$57,1))),--ISNUMBER(SEARCH(IF(ISNUMBER(SEARCH("DIRECTO",UPPER($B60))),"DIRECTO",IF(ISNUMBER(SEARCH("HIPOT",UPPER($B60))),"HIPOT",IF(ISNUMBER(SEARCH("AHORRO",UPPER($B60))),"AHORRO",UPPER($B60)))),UPPER('Base_Cobranzas'!$AT$2:$AT$702))),--ISNUMBER(SEARCH("VENCIDO",UPPER(TRIM('Base_Cobranzas'!$BC$2:$BC$702)))),'Base_Cobranzas'!$AR$2:$AR$702),0)</f>
        <v/>
      </c>
      <c r="O60" s="70">
        <f>SUM(C60:N60)</f>
        <v/>
      </c>
    </row>
    <row r="61">
      <c r="B61" s="7" t="inlineStr">
        <is>
          <t>Total</t>
        </is>
      </c>
      <c r="C61" s="71">
        <f>SUM(C58:C60)</f>
        <v/>
      </c>
      <c r="D61" s="71">
        <f>SUM(D58:D60)</f>
        <v/>
      </c>
      <c r="E61" s="71">
        <f>SUM(E58:E60)</f>
        <v/>
      </c>
      <c r="F61" s="71">
        <f>SUM(F58:F60)</f>
        <v/>
      </c>
      <c r="G61" s="71">
        <f>SUM(G58:G60)</f>
        <v/>
      </c>
      <c r="H61" s="71">
        <f>SUM(H58:H60)</f>
        <v/>
      </c>
      <c r="I61" s="71">
        <f>SUM(I58:I60)</f>
        <v/>
      </c>
      <c r="J61" s="71">
        <f>SUM(J58:J60)</f>
        <v/>
      </c>
      <c r="K61" s="71">
        <f>SUM(K58:K60)</f>
        <v/>
      </c>
      <c r="L61" s="71">
        <f>SUM(L58:L60)</f>
        <v/>
      </c>
      <c r="M61" s="71">
        <f>SUM(M58:M60)</f>
        <v/>
      </c>
      <c r="N61" s="71">
        <f>SUM(N58:N60)</f>
        <v/>
      </c>
      <c r="O61" s="71">
        <f>SUM(C61:N61)</f>
        <v/>
      </c>
      <c r="P61">
        <f>IF($I$21=O61,"OK","REVISAR")</f>
        <v/>
      </c>
    </row>
    <row r="63">
      <c r="B63" s="7" t="inlineStr">
        <is>
          <t>Acumulado</t>
        </is>
      </c>
      <c r="C63" s="74">
        <f>C61</f>
        <v/>
      </c>
      <c r="D63" s="72">
        <f>C63+D61</f>
        <v/>
      </c>
      <c r="E63" s="72">
        <f>D63+E61</f>
        <v/>
      </c>
      <c r="F63" s="72">
        <f>E63+F61</f>
        <v/>
      </c>
      <c r="G63" s="72">
        <f>F63+G61</f>
        <v/>
      </c>
      <c r="H63" s="72">
        <f>G63+H61</f>
        <v/>
      </c>
      <c r="I63" s="72">
        <f>H63+I61</f>
        <v/>
      </c>
      <c r="J63" s="72">
        <f>I63+J61</f>
        <v/>
      </c>
      <c r="K63" s="72">
        <f>J63+K61</f>
        <v/>
      </c>
      <c r="L63" s="72">
        <f>K63+L61</f>
        <v/>
      </c>
      <c r="M63" s="72">
        <f>L63+M61</f>
        <v/>
      </c>
      <c r="N63" s="72">
        <f>M63+N61</f>
        <v/>
      </c>
      <c r="O63" s="73" t="n"/>
    </row>
  </sheetData>
  <mergeCells count="3">
    <mergeCell ref="F8:I8"/>
    <mergeCell ref="C5:H5"/>
    <mergeCell ref="C8:D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63"/>
  <sheetViews>
    <sheetView workbookViewId="0">
      <selection activeCell="A1" sqref="A1"/>
    </sheetView>
  </sheetViews>
  <sheetFormatPr baseColWidth="10" defaultRowHeight="14.4"/>
  <cols>
    <col width="33" bestFit="1" customWidth="1" min="2" max="2"/>
    <col width="16.33203125" customWidth="1" min="3" max="3"/>
    <col width="12.77734375" customWidth="1" min="4" max="4"/>
    <col width="11.6640625" bestFit="1" customWidth="1" min="5" max="5"/>
    <col width="14.21875" customWidth="1" min="6" max="10"/>
    <col width="14.21875" customWidth="1" min="7" max="7"/>
    <col width="14.21875" customWidth="1" min="8" max="8"/>
    <col width="14.21875" customWidth="1" min="9" max="9"/>
    <col width="14.21875" customWidth="1" min="10" max="10"/>
    <col width="14.21875" customWidth="1" min="11" max="11"/>
    <col width="14.21875" customWidth="1" min="12" max="12"/>
    <col width="14.21875" bestFit="1" customWidth="1" min="13" max="13"/>
    <col width="14.21875" customWidth="1" min="14" max="14"/>
    <col width="14.109375" bestFit="1" customWidth="1" min="15" max="15"/>
    <col width="14.109375" customWidth="1" min="16" max="16"/>
    <col width="14.109375" customWidth="1" min="17" max="17"/>
    <col width="14.109375" customWidth="1" min="18" max="18"/>
    <col width="14.109375" customWidth="1" min="19" max="19"/>
  </cols>
  <sheetData>
    <row r="1">
      <c r="C1" s="42" t="n"/>
      <c r="D1" s="42" t="n"/>
      <c r="F1" s="43" t="n"/>
      <c r="G1" s="42" t="n"/>
      <c r="H1" s="42" t="n"/>
      <c r="I1" s="42" t="n"/>
      <c r="J1" s="43" t="n"/>
      <c r="K1" s="42" t="n"/>
      <c r="L1" s="42" t="n"/>
    </row>
    <row r="2">
      <c r="C2" s="42" t="n"/>
      <c r="D2" s="42" t="n"/>
      <c r="F2" s="43" t="n"/>
      <c r="G2" s="42" t="n"/>
      <c r="H2" s="42" t="n"/>
      <c r="I2" s="42" t="n"/>
      <c r="J2" s="43" t="n"/>
      <c r="K2" s="42" t="n"/>
      <c r="L2" s="42" t="n"/>
    </row>
    <row r="3">
      <c r="C3" s="42" t="n"/>
      <c r="D3" s="42" t="n"/>
      <c r="F3" s="43" t="n"/>
      <c r="G3" s="42" t="n"/>
      <c r="H3" s="42" t="n"/>
      <c r="I3" s="42" t="n"/>
      <c r="J3" s="43" t="n"/>
      <c r="K3" s="42" t="n"/>
      <c r="L3" s="42" t="n"/>
    </row>
    <row r="4" ht="13.2" customHeight="1">
      <c r="C4" s="42" t="n"/>
      <c r="D4" s="42" t="n"/>
      <c r="F4" s="43" t="n"/>
      <c r="G4" s="42" t="n"/>
      <c r="H4" s="42" t="n"/>
      <c r="I4" s="42" t="n"/>
      <c r="J4" s="43" t="n"/>
      <c r="K4" s="42" t="n"/>
      <c r="L4" s="42" t="n"/>
    </row>
    <row r="5" ht="23.4" customHeight="1">
      <c r="C5" s="44" t="inlineStr">
        <is>
          <t>REPORTE DE COBRANZAS</t>
        </is>
      </c>
      <c r="I5" s="42" t="n"/>
      <c r="J5" s="43" t="n"/>
      <c r="K5" s="42" t="n"/>
      <c r="L5" s="42" t="n"/>
    </row>
    <row r="6">
      <c r="B6" s="24" t="inlineStr">
        <is>
          <t>Beyond</t>
        </is>
      </c>
      <c r="C6" s="42" t="n"/>
      <c r="D6" s="42" t="n"/>
      <c r="F6" s="43" t="n"/>
      <c r="G6" s="42" t="n"/>
      <c r="H6" s="42" t="n"/>
      <c r="I6" s="42" t="n"/>
      <c r="J6" s="43" t="n"/>
      <c r="K6" s="42" t="n"/>
      <c r="L6" s="42" t="n"/>
    </row>
    <row r="7">
      <c r="C7" s="42" t="n"/>
      <c r="D7" s="42" t="n"/>
      <c r="F7" s="43" t="n"/>
      <c r="G7" s="42" t="n"/>
      <c r="H7" s="42" t="n"/>
      <c r="I7" s="42" t="n"/>
      <c r="J7" s="43" t="n"/>
      <c r="K7" s="42" t="n"/>
      <c r="L7" s="42" t="n"/>
    </row>
    <row r="8">
      <c r="C8" s="45" t="inlineStr">
        <is>
          <t>Vendido</t>
        </is>
      </c>
      <c r="D8" s="77" t="n"/>
      <c r="F8" s="47" t="inlineStr">
        <is>
          <t>Cobranzas</t>
        </is>
      </c>
      <c r="G8" s="78" t="n"/>
      <c r="H8" s="78" t="n"/>
      <c r="I8" s="77" t="n"/>
      <c r="J8" s="43" t="n"/>
      <c r="K8" s="42" t="n"/>
      <c r="L8" s="42" t="n"/>
    </row>
    <row r="9" ht="26.4" customHeight="1">
      <c r="C9" s="45" t="inlineStr">
        <is>
          <t>Monto</t>
        </is>
      </c>
      <c r="D9" s="45" t="inlineStr">
        <is>
          <t>Unidades</t>
        </is>
      </c>
      <c r="F9" s="49" t="inlineStr">
        <is>
          <t>Avance</t>
        </is>
      </c>
      <c r="G9" s="50" t="inlineStr">
        <is>
          <t>Cobrado</t>
        </is>
      </c>
      <c r="H9" s="50" t="inlineStr">
        <is>
          <t>Por Cobrar</t>
        </is>
      </c>
      <c r="I9" s="50" t="inlineStr">
        <is>
          <t>Vencido</t>
        </is>
      </c>
      <c r="J9" s="51" t="inlineStr">
        <is>
          <t>Tasa de Morosidad</t>
        </is>
      </c>
      <c r="K9" s="52" t="inlineStr">
        <is>
          <t>Clientes Morosos (unidades)</t>
        </is>
      </c>
      <c r="L9" s="52" t="inlineStr">
        <is>
          <t>Dias de Atraso (Promedio)</t>
        </is>
      </c>
    </row>
    <row r="10" ht="6.6" customHeight="1">
      <c r="C10" s="42" t="n"/>
      <c r="D10" s="42" t="n"/>
      <c r="F10" s="43" t="n"/>
      <c r="G10" s="42" t="n"/>
      <c r="H10" s="42" t="n"/>
      <c r="I10" s="42" t="n"/>
      <c r="J10" s="43" t="n"/>
      <c r="K10" s="42" t="n"/>
      <c r="L10" s="42" t="n"/>
    </row>
    <row r="11">
      <c r="B11" s="10" t="inlineStr">
        <is>
          <t>Departamentos</t>
        </is>
      </c>
      <c r="C11" s="53" t="n">
        <v>20869900</v>
      </c>
      <c r="D11" s="53" t="n">
        <v>63</v>
      </c>
      <c r="F11" s="54">
        <f>IF(C11=0,0,G11/C11)</f>
        <v/>
      </c>
      <c r="G11" s="55">
        <f>SUM(G12:G13)</f>
        <v/>
      </c>
      <c r="H11" s="55">
        <f>SUM(H12:H13)</f>
        <v/>
      </c>
      <c r="I11" s="55">
        <f>SUM(I12:I13)</f>
        <v/>
      </c>
      <c r="J11" s="54">
        <f>IF(C11=0,0,I11/C11)</f>
        <v/>
      </c>
      <c r="K11" s="55" t="n">
        <v>25</v>
      </c>
      <c r="L11" s="55" t="n">
        <v>98</v>
      </c>
    </row>
    <row r="12">
      <c r="B12" s="4" t="inlineStr">
        <is>
          <t>Departamento</t>
        </is>
      </c>
      <c r="C12" s="56" t="n">
        <v>12305000</v>
      </c>
      <c r="D12" s="56" t="n">
        <v>27</v>
      </c>
      <c r="F12" s="57">
        <f>IF(C12=0,0,G12/C12)</f>
        <v/>
      </c>
      <c r="G12" s="58">
        <f>IFERROR(SUMPRODUCT(--ISNUMBER(SEARCH($B$6,'Base_Cobranzas'!$A$2:$A$702)),--((--ISNUMBER(SEARCH("DEPART",UPPER('Base_Cobranzas'!$E$2:$E$702)))+--ISNUMBER(SEARCH("DEPART",UPPER('Base_Cobranzas'!$K$2:$K$702)))+--ISNUMBER(SEARCH("DEPART",UPPER('Base_Cobranzas'!$Q$2:$Q$702)))+--ISNUMBER(SEARCH("DEPART",UPPER('Base_Cobranzas'!$W$2:$W$702))))&gt;0),--((--ISNUMBER(SEARCH("ESTACION",UPPER('Base_Cobranzas'!$E$2:$E$702)))+--ISNUMBER(SEARCH("ESTACION",UPPER('Base_Cobranzas'!$K$2:$K$702)))+--ISNUMBER(SEARCH("ESTACION",UPPER('Base_Cobranzas'!$Q$2:$Q$702)))+--ISNUMBER(SEARCH("ESTACION",UPPER('Base_Cobranzas'!$W$2:$W$702))))=0),--('Base_Cobranzas'!$AQ$2:$AQ$702&gt;0),'Base_Cobranzas'!$AQ$2:$AQ$702),0)</f>
        <v/>
      </c>
      <c r="H12" s="59">
        <f>IFERROR(SUMPRODUCT(--ISNUMBER(SEARCH($B$6,'Base_Cobranzas'!$A$2:$A$702)),--((--ISNUMBER(SEARCH("DEPART",UPPER('Base_Cobranzas'!$E$2:$E$702)))+--ISNUMBER(SEARCH("DEPART",UPPER('Base_Cobranzas'!$K$2:$K$702)))+--ISNUMBER(SEARCH("DEPART",UPPER('Base_Cobranzas'!$Q$2:$Q$702)))+--ISNUMBER(SEARCH("DEPART",UPPER('Base_Cobranzas'!$W$2:$W$702))))&gt;0),--((--ISNUMBER(SEARCH("ESTACION",UPPER('Base_Cobranzas'!$E$2:$E$702)))+--ISNUMBER(SEARCH("ESTACION",UPPER('Base_Cobranzas'!$K$2:$K$702)))+--ISNUMBER(SEARCH("ESTACION",UPPER('Base_Cobranzas'!$Q$2:$Q$702)))+--ISNUMBER(SEARCH("ESTACION",UPPER('Base_Cobranzas'!$W$2:$W$702))))=0),--ISNUMBER(SEARCH("PENDIENTE",UPPER(TRIM('Base_Cobranzas'!$BC$2:$BC$702)))),'Base_Cobranzas'!$AR$2:$AR$702),0)</f>
        <v/>
      </c>
      <c r="I12" s="59">
        <f>IFERROR(SUMPRODUCT(--ISNUMBER(SEARCH($B$6,'Base_Cobranzas'!$A$2:$A$702)),--((--ISNUMBER(SEARCH("DEPART",UPPER('Base_Cobranzas'!$E$2:$E$702)))+--ISNUMBER(SEARCH("DEPART",UPPER('Base_Cobranzas'!$K$2:$K$702)))+--ISNUMBER(SEARCH("DEPART",UPPER('Base_Cobranzas'!$Q$2:$Q$702)))+--ISNUMBER(SEARCH("DEPART",UPPER('Base_Cobranzas'!$W$2:$W$702))))&gt;0),--((--ISNUMBER(SEARCH("ESTACION",UPPER('Base_Cobranzas'!$E$2:$E$702)))+--ISNUMBER(SEARCH("ESTACION",UPPER('Base_Cobranzas'!$K$2:$K$702)))+--ISNUMBER(SEARCH("ESTACION",UPPER('Base_Cobranzas'!$Q$2:$Q$702)))+--ISNUMBER(SEARCH("ESTACION",UPPER('Base_Cobranzas'!$W$2:$W$702))))=0),--ISNUMBER(SEARCH("VENCIDO",UPPER(TRIM('Base_Cobranzas'!$BC$2:$BC$702)))),'Base_Cobranzas'!$AR$2:$AR$702),0)</f>
        <v/>
      </c>
      <c r="J12" s="57">
        <f>IF(C12=0,0,I12/C12)</f>
        <v/>
      </c>
      <c r="K12" s="59" t="n">
        <v>16</v>
      </c>
      <c r="L12" s="59" t="n">
        <v>94</v>
      </c>
    </row>
    <row r="13">
      <c r="B13" s="4" t="inlineStr">
        <is>
          <t>Departamento + Estacionamiento</t>
        </is>
      </c>
      <c r="C13" s="56" t="n">
        <v>8564900</v>
      </c>
      <c r="D13" s="56" t="n">
        <v>36</v>
      </c>
      <c r="F13" s="57">
        <f>IF(C13=0,0,G13/C13)</f>
        <v/>
      </c>
      <c r="G13" s="58">
        <f>IFERROR(SUMPRODUCT(--ISNUMBER(SEARCH($B$6,'Base_Cobranzas'!$A$2:$A$702)),--((--ISNUMBER(SEARCH("DEPART",UPPER('Base_Cobranzas'!$E$2:$E$702)))+--ISNUMBER(SEARCH("DEPART",UPPER('Base_Cobranzas'!$K$2:$K$702)))+--ISNUMBER(SEARCH("DEPART",UPPER('Base_Cobranzas'!$Q$2:$Q$702)))+--ISNUMBER(SEARCH("DEPART",UPPER('Base_Cobranzas'!$W$2:$W$702))))&gt;0),--((--ISNUMBER(SEARCH("ESTACION",UPPER('Base_Cobranzas'!$E$2:$E$702)))+--ISNUMBER(SEARCH("ESTACION",UPPER('Base_Cobranzas'!$K$2:$K$702)))+--ISNUMBER(SEARCH("ESTACION",UPPER('Base_Cobranzas'!$Q$2:$Q$702)))+--ISNUMBER(SEARCH("ESTACION",UPPER('Base_Cobranzas'!$W$2:$W$702))))&gt;0),--('Base_Cobranzas'!$AQ$2:$AQ$702&gt;0),'Base_Cobranzas'!$AQ$2:$AQ$702),0)</f>
        <v/>
      </c>
      <c r="H13" s="59">
        <f>IFERROR(SUMPRODUCT(--ISNUMBER(SEARCH($B$6,'Base_Cobranzas'!$A$2:$A$702)),--((--ISNUMBER(SEARCH("DEPART",UPPER('Base_Cobranzas'!$E$2:$E$702)))+--ISNUMBER(SEARCH("DEPART",UPPER('Base_Cobranzas'!$K$2:$K$702)))+--ISNUMBER(SEARCH("DEPART",UPPER('Base_Cobranzas'!$Q$2:$Q$702)))+--ISNUMBER(SEARCH("DEPART",UPPER('Base_Cobranzas'!$W$2:$W$702))))&gt;0),--((--ISNUMBER(SEARCH("ESTACION",UPPER('Base_Cobranzas'!$E$2:$E$702)))+--ISNUMBER(SEARCH("ESTACION",UPPER('Base_Cobranzas'!$K$2:$K$702)))+--ISNUMBER(SEARCH("ESTACION",UPPER('Base_Cobranzas'!$Q$2:$Q$702)))+--ISNUMBER(SEARCH("ESTACION",UPPER('Base_Cobranzas'!$W$2:$W$702))))&gt;0),--ISNUMBER(SEARCH("PENDIENTE",UPPER(TRIM('Base_Cobranzas'!$BC$2:$BC$702)))),'Base_Cobranzas'!$AR$2:$AR$702),0)</f>
        <v/>
      </c>
      <c r="I13" s="59">
        <f>IFERROR(SUMPRODUCT(--ISNUMBER(SEARCH($B$6,'Base_Cobranzas'!$A$2:$A$702)),--((--ISNUMBER(SEARCH("DEPART",UPPER('Base_Cobranzas'!$E$2:$E$702)))+--ISNUMBER(SEARCH("DEPART",UPPER('Base_Cobranzas'!$K$2:$K$702)))+--ISNUMBER(SEARCH("DEPART",UPPER('Base_Cobranzas'!$Q$2:$Q$702)))+--ISNUMBER(SEARCH("DEPART",UPPER('Base_Cobranzas'!$W$2:$W$702))))&gt;0),--((--ISNUMBER(SEARCH("ESTACION",UPPER('Base_Cobranzas'!$E$2:$E$702)))+--ISNUMBER(SEARCH("ESTACION",UPPER('Base_Cobranzas'!$K$2:$K$702)))+--ISNUMBER(SEARCH("ESTACION",UPPER('Base_Cobranzas'!$Q$2:$Q$702)))+--ISNUMBER(SEARCH("ESTACION",UPPER('Base_Cobranzas'!$W$2:$W$702))))&gt;0),--ISNUMBER(SEARCH("VENCIDO",UPPER(TRIM('Base_Cobranzas'!$BC$2:$BC$702)))),'Base_Cobranzas'!$AR$2:$AR$702),0)</f>
        <v/>
      </c>
      <c r="J13" s="57">
        <f>IF(C13=0,0,I13/C13)</f>
        <v/>
      </c>
      <c r="K13" s="59" t="n">
        <v>9</v>
      </c>
      <c r="L13" s="59" t="n">
        <v>104</v>
      </c>
    </row>
    <row r="14" ht="6.6" customHeight="1">
      <c r="C14" s="42" t="n"/>
      <c r="D14" s="42" t="n"/>
      <c r="F14" s="43" t="n"/>
      <c r="G14" s="42" t="n"/>
      <c r="H14" s="42" t="n"/>
      <c r="I14" s="42" t="n"/>
      <c r="J14" s="43" t="n"/>
      <c r="K14" s="42" t="n"/>
      <c r="L14" s="42" t="n"/>
    </row>
    <row r="15">
      <c r="B15" s="10" t="inlineStr">
        <is>
          <t>Estacionamientos</t>
        </is>
      </c>
      <c r="C15" s="53" t="n">
        <v>50500</v>
      </c>
      <c r="D15" s="53" t="n">
        <v>1</v>
      </c>
      <c r="F15" s="54">
        <f>IF(C15=0,0,G15/C15)</f>
        <v/>
      </c>
      <c r="G15" s="55">
        <f>IFERROR(SUMPRODUCT(--ISNUMBER(SEARCH($B$6,'Base_Cobranzas'!$A$2:$A$702)),--((--ISNUMBER(SEARCH("DEPART",UPPER('Base_Cobranzas'!$E$2:$E$702)))+--ISNUMBER(SEARCH("DEPART",UPPER('Base_Cobranzas'!$K$2:$K$702)))+--ISNUMBER(SEARCH("DEPART",UPPER('Base_Cobranzas'!$Q$2:$Q$702)))+--ISNUMBER(SEARCH("DEPART",UPPER('Base_Cobranzas'!$W$2:$W$702))))=0),--((--ISNUMBER(SEARCH("ESTACION",UPPER('Base_Cobranzas'!$E$2:$E$702)))+--ISNUMBER(SEARCH("ESTACION",UPPER('Base_Cobranzas'!$K$2:$K$702)))+--ISNUMBER(SEARCH("ESTACION",UPPER('Base_Cobranzas'!$Q$2:$Q$702)))+--ISNUMBER(SEARCH("ESTACION",UPPER('Base_Cobranzas'!$W$2:$W$702))))&gt;0),--('Base_Cobranzas'!$AQ$2:$AQ$702&gt;0),'Base_Cobranzas'!$AQ$2:$AQ$702),0)</f>
        <v/>
      </c>
      <c r="H15" s="55">
        <f>IFERROR(SUMPRODUCT(--ISNUMBER(SEARCH($B$6,'Base_Cobranzas'!$A$2:$A$702)),--((--ISNUMBER(SEARCH("DEPART",UPPER('Base_Cobranzas'!$E$2:$E$702)))+--ISNUMBER(SEARCH("DEPART",UPPER('Base_Cobranzas'!$K$2:$K$702)))+--ISNUMBER(SEARCH("DEPART",UPPER('Base_Cobranzas'!$Q$2:$Q$702)))+--ISNUMBER(SEARCH("DEPART",UPPER('Base_Cobranzas'!$W$2:$W$702))))=0),--((--ISNUMBER(SEARCH("ESTACION",UPPER('Base_Cobranzas'!$E$2:$E$702)))+--ISNUMBER(SEARCH("ESTACION",UPPER('Base_Cobranzas'!$K$2:$K$702)))+--ISNUMBER(SEARCH("ESTACION",UPPER('Base_Cobranzas'!$Q$2:$Q$702)))+--ISNUMBER(SEARCH("ESTACION",UPPER('Base_Cobranzas'!$W$2:$W$702))))&gt;0),--ISNUMBER(SEARCH("PENDIENTE",UPPER(TRIM('Base_Cobranzas'!$BC$2:$BC$702)))),'Base_Cobranzas'!$AR$2:$AR$702),0)</f>
        <v/>
      </c>
      <c r="I15" s="55">
        <f>IFERROR(SUMPRODUCT(--ISNUMBER(SEARCH($B$6,'Base_Cobranzas'!$A$2:$A$702)),--((--ISNUMBER(SEARCH("DEPART",UPPER('Base_Cobranzas'!$E$2:$E$702)))+--ISNUMBER(SEARCH("DEPART",UPPER('Base_Cobranzas'!$K$2:$K$702)))+--ISNUMBER(SEARCH("DEPART",UPPER('Base_Cobranzas'!$Q$2:$Q$702)))+--ISNUMBER(SEARCH("DEPART",UPPER('Base_Cobranzas'!$W$2:$W$702))))=0),--((--ISNUMBER(SEARCH("ESTACION",UPPER('Base_Cobranzas'!$E$2:$E$702)))+--ISNUMBER(SEARCH("ESTACION",UPPER('Base_Cobranzas'!$K$2:$K$702)))+--ISNUMBER(SEARCH("ESTACION",UPPER('Base_Cobranzas'!$Q$2:$Q$702)))+--ISNUMBER(SEARCH("ESTACION",UPPER('Base_Cobranzas'!$W$2:$W$702))))&gt;0),--ISNUMBER(SEARCH("VENCIDO",UPPER(TRIM('Base_Cobranzas'!$BC$2:$BC$702)))),'Base_Cobranzas'!$AR$2:$AR$702),0)</f>
        <v/>
      </c>
      <c r="J15" s="60">
        <f>IF(C15=0,0,I15/C15)</f>
        <v/>
      </c>
      <c r="K15" s="61" t="n">
        <v>1</v>
      </c>
      <c r="L15" s="61" t="n">
        <v>16</v>
      </c>
    </row>
    <row r="16" ht="6.6" customHeight="1">
      <c r="C16" s="42" t="n"/>
      <c r="D16" s="42" t="n"/>
      <c r="F16" s="43" t="n"/>
      <c r="G16" s="42" t="n"/>
      <c r="H16" s="42" t="n"/>
      <c r="I16" s="42" t="n"/>
      <c r="J16" s="43" t="n"/>
      <c r="K16" s="62" t="n"/>
      <c r="L16" s="62" t="n"/>
    </row>
    <row r="17">
      <c r="B17" s="10" t="inlineStr">
        <is>
          <t>Depositos</t>
        </is>
      </c>
      <c r="C17" s="53" t="n">
        <v>0</v>
      </c>
      <c r="D17" s="53" t="n">
        <v>0</v>
      </c>
      <c r="F17" s="54">
        <f>IF(C17=0,0,G17/C17)</f>
        <v/>
      </c>
      <c r="G17" s="55">
        <f>IFERROR(SUMPRODUCT(--ISNUMBER(SEARCH($B$6,'Base_Cobranzas'!$A$2:$A$702)),--((--ISNUMBER(SEARCH("DEPART",UPPER('Base_Cobranzas'!$E$2:$E$702)))+--ISNUMBER(SEARCH("DEPART",UPPER('Base_Cobranzas'!$K$2:$K$702)))+--ISNUMBER(SEARCH("DEPART",UPPER('Base_Cobranzas'!$Q$2:$Q$702)))+--ISNUMBER(SEARCH("DEPART",UPPER('Base_Cobranzas'!$W$2:$W$702))))=0),--((--ISNUMBER(SEARCH("ESTACION",UPPER('Base_Cobranzas'!$E$2:$E$702)))+--ISNUMBER(SEARCH("ESTACION",UPPER('Base_Cobranzas'!$K$2:$K$702)))+--ISNUMBER(SEARCH("ESTACION",UPPER('Base_Cobranzas'!$Q$2:$Q$702)))+--ISNUMBER(SEARCH("ESTACION",UPPER('Base_Cobranzas'!$W$2:$W$702))))=0),--((--ISNUMBER(SEARCH("DEPOS",UPPER('Base_Cobranzas'!$E$2:$E$702)))+--ISNUMBER(SEARCH("DEPOS",UPPER('Base_Cobranzas'!$K$2:$K$702)))+--ISNUMBER(SEARCH("DEPOS",UPPER('Base_Cobranzas'!$Q$2:$Q$702)))+--ISNUMBER(SEARCH("DEPOS",UPPER('Base_Cobranzas'!$W$2:$W$702))))&gt;0),--('Base_Cobranzas'!$AQ$2:$AQ$702&gt;0),'Base_Cobranzas'!$AQ$2:$AQ$702),0)</f>
        <v/>
      </c>
      <c r="H17" s="55">
        <f>IFERROR(SUMPRODUCT(--ISNUMBER(SEARCH($B$6,'Base_Cobranzas'!$A$2:$A$702)),--((--ISNUMBER(SEARCH("DEPART",UPPER('Base_Cobranzas'!$E$2:$E$702)))+--ISNUMBER(SEARCH("DEPART",UPPER('Base_Cobranzas'!$K$2:$K$702)))+--ISNUMBER(SEARCH("DEPART",UPPER('Base_Cobranzas'!$Q$2:$Q$702)))+--ISNUMBER(SEARCH("DEPART",UPPER('Base_Cobranzas'!$W$2:$W$702))))=0),--((--ISNUMBER(SEARCH("ESTACION",UPPER('Base_Cobranzas'!$E$2:$E$702)))+--ISNUMBER(SEARCH("ESTACION",UPPER('Base_Cobranzas'!$K$2:$K$702)))+--ISNUMBER(SEARCH("ESTACION",UPPER('Base_Cobranzas'!$Q$2:$Q$702)))+--ISNUMBER(SEARCH("ESTACION",UPPER('Base_Cobranzas'!$W$2:$W$702))))=0),--((--ISNUMBER(SEARCH("DEPOS",UPPER('Base_Cobranzas'!$E$2:$E$702)))+--ISNUMBER(SEARCH("DEPOS",UPPER('Base_Cobranzas'!$K$2:$K$702)))+--ISNUMBER(SEARCH("DEPOS",UPPER('Base_Cobranzas'!$Q$2:$Q$702)))+--ISNUMBER(SEARCH("DEPOS",UPPER('Base_Cobranzas'!$W$2:$W$702))))&gt;0),--ISNUMBER(SEARCH("PENDIENTE",UPPER(TRIM('Base_Cobranzas'!$BC$2:$BC$702)))),'Base_Cobranzas'!$AR$2:$AR$702),0)</f>
        <v/>
      </c>
      <c r="I17" s="55">
        <f>IFERROR(SUMPRODUCT(--ISNUMBER(SEARCH($B$6,'Base_Cobranzas'!$A$2:$A$702)),--((--ISNUMBER(SEARCH("DEPART",UPPER('Base_Cobranzas'!$E$2:$E$702)))+--ISNUMBER(SEARCH("DEPART",UPPER('Base_Cobranzas'!$K$2:$K$702)))+--ISNUMBER(SEARCH("DEPART",UPPER('Base_Cobranzas'!$Q$2:$Q$702)))+--ISNUMBER(SEARCH("DEPART",UPPER('Base_Cobranzas'!$W$2:$W$702))))=0),--((--ISNUMBER(SEARCH("ESTACION",UPPER('Base_Cobranzas'!$E$2:$E$702)))+--ISNUMBER(SEARCH("ESTACION",UPPER('Base_Cobranzas'!$K$2:$K$702)))+--ISNUMBER(SEARCH("ESTACION",UPPER('Base_Cobranzas'!$Q$2:$Q$702)))+--ISNUMBER(SEARCH("ESTACION",UPPER('Base_Cobranzas'!$W$2:$W$702))))=0),--((--ISNUMBER(SEARCH("DEPOS",UPPER('Base_Cobranzas'!$E$2:$E$702)))+--ISNUMBER(SEARCH("DEPOS",UPPER('Base_Cobranzas'!$K$2:$K$702)))+--ISNUMBER(SEARCH("DEPOS",UPPER('Base_Cobranzas'!$Q$2:$Q$702)))+--ISNUMBER(SEARCH("DEPOS",UPPER('Base_Cobranzas'!$W$2:$W$702))))&gt;0),--ISNUMBER(SEARCH("VENCIDO",UPPER(TRIM('Base_Cobranzas'!$BC$2:$BC$702)))),'Base_Cobranzas'!$AR$2:$AR$702),0)</f>
        <v/>
      </c>
      <c r="J17" s="60">
        <f>IF(C17=0,0,I17/C17)</f>
        <v/>
      </c>
      <c r="K17" s="61" t="n">
        <v>0</v>
      </c>
      <c r="L17" s="61" t="n">
        <v>0</v>
      </c>
    </row>
    <row r="18" ht="6.6" customHeight="1">
      <c r="C18" s="42" t="n"/>
      <c r="D18" s="42" t="n"/>
      <c r="F18" s="43" t="n"/>
      <c r="G18" s="42" t="n"/>
      <c r="H18" s="42" t="n"/>
      <c r="I18" s="42" t="n"/>
      <c r="J18" s="43" t="n"/>
      <c r="K18" s="62" t="n"/>
      <c r="L18" s="62" t="n"/>
    </row>
    <row r="19">
      <c r="B19" s="10" t="inlineStr">
        <is>
          <t>Local Comercial</t>
        </is>
      </c>
      <c r="C19" s="53" t="n">
        <v>0</v>
      </c>
      <c r="D19" s="53" t="n">
        <v>0</v>
      </c>
      <c r="F19" s="54">
        <f>IF(C19=0,0,G19/C19)</f>
        <v/>
      </c>
      <c r="G19" s="55">
        <f>IFERROR(SUMPRODUCT(--ISNUMBER(SEARCH($B$6,'Base_Cobranzas'!$A$2:$A$702)),--(((--ISNUMBER(SEARCH("LOCAL",UPPER('Base_Cobranzas'!$E$2:$E$702)))+--ISNUMBER(SEARCH("LOCAL",UPPER('Base_Cobranzas'!$K$2:$K$702)))+--ISNUMBER(SEARCH("LOCAL",UPPER('Base_Cobranzas'!$Q$2:$Q$702)))+--ISNUMBER(SEARCH("LOCAL",UPPER('Base_Cobranzas'!$W$2:$W$702))))+(--ISNUMBER(SEARCH("COMERCIAL",UPPER('Base_Cobranzas'!$E$2:$E$702)))+--ISNUMBER(SEARCH("COMERCIAL",UPPER('Base_Cobranzas'!$K$2:$K$702)))+--ISNUMBER(SEARCH("COMERCIAL",UPPER('Base_Cobranzas'!$Q$2:$Q$702)))+--ISNUMBER(SEARCH("COMERCIAL",UPPER('Base_Cobranzas'!$W$2:$W$702)))))&gt;0),--('Base_Cobranzas'!$AQ$2:$AQ$702&gt;0),'Base_Cobranzas'!$AQ$2:$AQ$702),0)</f>
        <v/>
      </c>
      <c r="H19" s="55">
        <f>IFERROR(SUMPRODUCT(--ISNUMBER(SEARCH($B$6,'Base_Cobranzas'!$A$2:$A$702)),--(((--ISNUMBER(SEARCH("LOCAL",UPPER('Base_Cobranzas'!$E$2:$E$702)))+--ISNUMBER(SEARCH("LOCAL",UPPER('Base_Cobranzas'!$K$2:$K$702)))+--ISNUMBER(SEARCH("LOCAL",UPPER('Base_Cobranzas'!$Q$2:$Q$702)))+--ISNUMBER(SEARCH("LOCAL",UPPER('Base_Cobranzas'!$W$2:$W$702))))+(--ISNUMBER(SEARCH("COMERCIAL",UPPER('Base_Cobranzas'!$E$2:$E$702)))+--ISNUMBER(SEARCH("COMERCIAL",UPPER('Base_Cobranzas'!$K$2:$K$702)))+--ISNUMBER(SEARCH("COMERCIAL",UPPER('Base_Cobranzas'!$Q$2:$Q$702)))+--ISNUMBER(SEARCH("COMERCIAL",UPPER('Base_Cobranzas'!$W$2:$W$702)))))&gt;0),--ISNUMBER(SEARCH("PENDIENTE",UPPER(TRIM('Base_Cobranzas'!$BC$2:$BC$702)))),'Base_Cobranzas'!$AR$2:$AR$702),0)</f>
        <v/>
      </c>
      <c r="I19" s="55">
        <f>IFERROR(SUMPRODUCT(--ISNUMBER(SEARCH($B$6,'Base_Cobranzas'!$A$2:$A$702)),--(((--ISNUMBER(SEARCH("LOCAL",UPPER('Base_Cobranzas'!$E$2:$E$702)))+--ISNUMBER(SEARCH("LOCAL",UPPER('Base_Cobranzas'!$K$2:$K$702)))+--ISNUMBER(SEARCH("LOCAL",UPPER('Base_Cobranzas'!$Q$2:$Q$702)))+--ISNUMBER(SEARCH("LOCAL",UPPER('Base_Cobranzas'!$W$2:$W$702))))+(--ISNUMBER(SEARCH("COMERCIAL",UPPER('Base_Cobranzas'!$E$2:$E$702)))+--ISNUMBER(SEARCH("COMERCIAL",UPPER('Base_Cobranzas'!$K$2:$K$702)))+--ISNUMBER(SEARCH("COMERCIAL",UPPER('Base_Cobranzas'!$Q$2:$Q$702)))+--ISNUMBER(SEARCH("COMERCIAL",UPPER('Base_Cobranzas'!$W$2:$W$702)))))&gt;0),--ISNUMBER(SEARCH("VENCIDO",UPPER(TRIM('Base_Cobranzas'!$BC$2:$BC$702)))),'Base_Cobranzas'!$AR$2:$AR$702),0)</f>
        <v/>
      </c>
      <c r="J19" s="60">
        <f>IF(C19=0,0,I19/C19)</f>
        <v/>
      </c>
      <c r="K19" s="61" t="n">
        <v>0</v>
      </c>
      <c r="L19" s="61" t="n">
        <v>0</v>
      </c>
    </row>
    <row r="20" ht="6.6" customHeight="1">
      <c r="C20" s="42" t="n"/>
      <c r="D20" s="42" t="n"/>
      <c r="F20" s="43" t="n"/>
      <c r="G20" s="42" t="n"/>
      <c r="H20" s="42" t="n"/>
      <c r="I20" s="42" t="n"/>
      <c r="J20" s="43" t="n"/>
      <c r="K20" s="62" t="n"/>
      <c r="L20" s="62" t="n"/>
    </row>
    <row r="21">
      <c r="A21" s="35">
        <f>+IF(ROUND(C21,0)=ROUND(G21+H21+I21,0),"OK","REVISAR")</f>
        <v/>
      </c>
      <c r="B21" s="36" t="inlineStr">
        <is>
          <t>Total</t>
        </is>
      </c>
      <c r="C21" s="63" t="n">
        <v>20920400</v>
      </c>
      <c r="D21" s="63" t="n">
        <v>64</v>
      </c>
      <c r="F21" s="64">
        <f>IF(C21=0,0,G21/C21)</f>
        <v/>
      </c>
      <c r="G21" s="65">
        <f>G11+G15+G17+G19</f>
        <v/>
      </c>
      <c r="H21" s="65">
        <f>H11+H15+H17+H19</f>
        <v/>
      </c>
      <c r="I21" s="65">
        <f>I11+I15+I17+I19</f>
        <v/>
      </c>
      <c r="J21" s="66">
        <f>IF(C21=0,0,I21/C21)</f>
        <v/>
      </c>
      <c r="K21" s="67" t="n">
        <v>26</v>
      </c>
      <c r="L21" s="67" t="n">
        <v>94</v>
      </c>
    </row>
    <row r="22">
      <c r="C22" s="42" t="n"/>
      <c r="D22" s="42" t="n"/>
      <c r="F22" s="43" t="n"/>
      <c r="G22" s="42" t="n"/>
      <c r="H22" s="42" t="n"/>
      <c r="I22" s="42" t="n"/>
      <c r="J22" s="43" t="n"/>
      <c r="K22" s="42" t="n"/>
      <c r="L22" s="42" t="n"/>
    </row>
    <row r="23">
      <c r="C23" s="42" t="n"/>
      <c r="D23" s="42" t="n"/>
      <c r="F23" s="43" t="n"/>
      <c r="G23" s="42" t="n"/>
      <c r="H23" s="42" t="n"/>
      <c r="I23" s="42" t="n"/>
      <c r="J23" s="43" t="n"/>
      <c r="K23" s="42" t="n"/>
      <c r="L23" s="42" t="n"/>
    </row>
    <row r="24">
      <c r="C24" s="42" t="n"/>
      <c r="D24" s="42" t="n"/>
      <c r="F24" s="43" t="n"/>
      <c r="G24" s="42" t="n"/>
      <c r="H24" s="42" t="n"/>
      <c r="I24" s="42" t="n"/>
      <c r="J24" s="43" t="n"/>
      <c r="K24" s="42" t="n"/>
      <c r="L24" s="42" t="n"/>
    </row>
    <row r="25">
      <c r="C25" s="42" t="n"/>
      <c r="D25" s="42" t="n"/>
      <c r="F25" s="43" t="n"/>
      <c r="G25" s="42" t="n"/>
      <c r="H25" s="42" t="n"/>
      <c r="I25" s="42" t="n"/>
      <c r="J25" s="43" t="n"/>
      <c r="K25" s="42" t="n"/>
      <c r="L25" s="42" t="n"/>
    </row>
    <row r="31" ht="21" customHeight="1">
      <c r="B31" s="1" t="inlineStr">
        <is>
          <t>COBRANZA REAL</t>
        </is>
      </c>
    </row>
    <row r="33">
      <c r="B33" s="25" t="inlineStr">
        <is>
          <t>Tipo de Credito</t>
        </is>
      </c>
      <c r="C33" s="68" t="n">
        <v>2024</v>
      </c>
      <c r="D33" s="68" t="n">
        <v>2025</v>
      </c>
      <c r="E33" s="26" t="n">
        <v>46023</v>
      </c>
      <c r="F33" s="26" t="n">
        <v>46054</v>
      </c>
      <c r="G33" s="26" t="n">
        <v>46082</v>
      </c>
      <c r="H33" s="26" t="n">
        <v>46113</v>
      </c>
      <c r="I33" s="26" t="n">
        <v>46143</v>
      </c>
      <c r="J33" s="26" t="n">
        <v>46174</v>
      </c>
      <c r="K33" s="26" t="inlineStr">
        <is>
          <t>Total</t>
        </is>
      </c>
    </row>
    <row r="34">
      <c r="B34" s="8" t="inlineStr">
        <is>
          <t>Crédito Directo</t>
        </is>
      </c>
      <c r="C34" s="69">
        <f>IFERROR(SUMPRODUCT(--ISNUMBER(SEARCH($B$6,'Base_Cobranzas'!$A$2:$A$702)),--('Base_Cobranzas'!$AJ$2:$AJ$702&gt;=IF(C$33&lt;3000,DATE(C$33,1,1),C$33)),--('Base_Cobranzas'!$AJ$2:$AJ$702&lt;IF(C$33&lt;3000,DATE(C$33+1,1,1),EDATE(C$33,1))),--ISNUMBER(SEARCH(IF(ISNUMBER(SEARCH("DIRECTO",UPPER($B34))),"DIRECTO",IF(ISNUMBER(SEARCH("HIPOT",UPPER($B34))),"HIPOT",IF(ISNUMBER(SEARCH("AHORRO",UPPER($B34))),"AHORRO",UPPER($B34)))),UPPER('Base_Cobranzas'!$AT$2:$AT$702))),--('Base_Cobranzas'!$AQ$2:$AQ$702&gt;0),'Base_Cobranzas'!$AQ$2:$AQ$702),0)</f>
        <v/>
      </c>
      <c r="D34" s="69">
        <f>IFERROR(SUMPRODUCT(--ISNUMBER(SEARCH($B$6,'Base_Cobranzas'!$A$2:$A$702)),--('Base_Cobranzas'!$AJ$2:$AJ$702&gt;=IF(D$33&lt;3000,DATE(D$33,1,1),D$33)),--('Base_Cobranzas'!$AJ$2:$AJ$702&lt;IF(D$33&lt;3000,DATE(D$33+1,1,1),EDATE(D$33,1))),--ISNUMBER(SEARCH(IF(ISNUMBER(SEARCH("DIRECTO",UPPER($B34))),"DIRECTO",IF(ISNUMBER(SEARCH("HIPOT",UPPER($B34))),"HIPOT",IF(ISNUMBER(SEARCH("AHORRO",UPPER($B34))),"AHORRO",UPPER($B34)))),UPPER('Base_Cobranzas'!$AT$2:$AT$702))),--('Base_Cobranzas'!$AQ$2:$AQ$702&gt;0),'Base_Cobranzas'!$AQ$2:$AQ$702),0)</f>
        <v/>
      </c>
      <c r="E34" s="69">
        <f>IFERROR(SUMPRODUCT(--ISNUMBER(SEARCH($B$6,'Base_Cobranzas'!$A$2:$A$702)),--('Base_Cobranzas'!$AJ$2:$AJ$702&gt;=IF(E$33&lt;3000,DATE(E$33,1,1),E$33)),--('Base_Cobranzas'!$AJ$2:$AJ$702&lt;IF(E$33&lt;3000,DATE(E$33+1,1,1),EDATE(E$33,1))),--ISNUMBER(SEARCH(IF(ISNUMBER(SEARCH("DIRECTO",UPPER($B34))),"DIRECTO",IF(ISNUMBER(SEARCH("HIPOT",UPPER($B34))),"HIPOT",IF(ISNUMBER(SEARCH("AHORRO",UPPER($B34))),"AHORRO",UPPER($B34)))),UPPER('Base_Cobranzas'!$AT$2:$AT$702))),--('Base_Cobranzas'!$AQ$2:$AQ$702&gt;0),'Base_Cobranzas'!$AQ$2:$AQ$702),0)</f>
        <v/>
      </c>
      <c r="F34" s="69">
        <f>IFERROR(SUMPRODUCT(--ISNUMBER(SEARCH($B$6,'Base_Cobranzas'!$A$2:$A$702)),--('Base_Cobranzas'!$AJ$2:$AJ$702&gt;=IF(F$33&lt;3000,DATE(F$33,1,1),F$33)),--('Base_Cobranzas'!$AJ$2:$AJ$702&lt;IF(F$33&lt;3000,DATE(F$33+1,1,1),EDATE(F$33,1))),--ISNUMBER(SEARCH(IF(ISNUMBER(SEARCH("DIRECTO",UPPER($B34))),"DIRECTO",IF(ISNUMBER(SEARCH("HIPOT",UPPER($B34))),"HIPOT",IF(ISNUMBER(SEARCH("AHORRO",UPPER($B34))),"AHORRO",UPPER($B34)))),UPPER('Base_Cobranzas'!$AT$2:$AT$702))),--('Base_Cobranzas'!$AQ$2:$AQ$702&gt;0),'Base_Cobranzas'!$AQ$2:$AQ$702),0)</f>
        <v/>
      </c>
      <c r="G34" s="69">
        <f>IFERROR(SUMPRODUCT(--ISNUMBER(SEARCH($B$6,'Base_Cobranzas'!$A$2:$A$702)),--('Base_Cobranzas'!$AJ$2:$AJ$702&gt;=IF(G$33&lt;3000,DATE(G$33,1,1),G$33)),--('Base_Cobranzas'!$AJ$2:$AJ$702&lt;IF(G$33&lt;3000,DATE(G$33+1,1,1),EDATE(G$33,1))),--ISNUMBER(SEARCH(IF(ISNUMBER(SEARCH("DIRECTO",UPPER($B34))),"DIRECTO",IF(ISNUMBER(SEARCH("HIPOT",UPPER($B34))),"HIPOT",IF(ISNUMBER(SEARCH("AHORRO",UPPER($B34))),"AHORRO",UPPER($B34)))),UPPER('Base_Cobranzas'!$AT$2:$AT$702))),--('Base_Cobranzas'!$AQ$2:$AQ$702&gt;0),'Base_Cobranzas'!$AQ$2:$AQ$702),0)</f>
        <v/>
      </c>
      <c r="H34" s="69">
        <f>IFERROR(SUMPRODUCT(--ISNUMBER(SEARCH($B$6,'Base_Cobranzas'!$A$2:$A$702)),--('Base_Cobranzas'!$AJ$2:$AJ$702&gt;=IF(H$33&lt;3000,DATE(H$33,1,1),H$33)),--('Base_Cobranzas'!$AJ$2:$AJ$702&lt;IF(H$33&lt;3000,DATE(H$33+1,1,1),EDATE(H$33,1))),--ISNUMBER(SEARCH(IF(ISNUMBER(SEARCH("DIRECTO",UPPER($B34))),"DIRECTO",IF(ISNUMBER(SEARCH("HIPOT",UPPER($B34))),"HIPOT",IF(ISNUMBER(SEARCH("AHORRO",UPPER($B34))),"AHORRO",UPPER($B34)))),UPPER('Base_Cobranzas'!$AT$2:$AT$702))),--('Base_Cobranzas'!$AQ$2:$AQ$702&gt;0),'Base_Cobranzas'!$AQ$2:$AQ$702),0)</f>
        <v/>
      </c>
      <c r="I34" s="69">
        <f>IFERROR(SUMPRODUCT(--ISNUMBER(SEARCH($B$6,'Base_Cobranzas'!$A$2:$A$702)),--('Base_Cobranzas'!$AJ$2:$AJ$702&gt;=IF(I$33&lt;3000,DATE(I$33,1,1),I$33)),--('Base_Cobranzas'!$AJ$2:$AJ$702&lt;IF(I$33&lt;3000,DATE(I$33+1,1,1),EDATE(I$33,1))),--ISNUMBER(SEARCH(IF(ISNUMBER(SEARCH("DIRECTO",UPPER($B34))),"DIRECTO",IF(ISNUMBER(SEARCH("HIPOT",UPPER($B34))),"HIPOT",IF(ISNUMBER(SEARCH("AHORRO",UPPER($B34))),"AHORRO",UPPER($B34)))),UPPER('Base_Cobranzas'!$AT$2:$AT$702))),--('Base_Cobranzas'!$AQ$2:$AQ$702&gt;0),'Base_Cobranzas'!$AQ$2:$AQ$702),0)</f>
        <v/>
      </c>
      <c r="J34" s="69">
        <f>IFERROR(SUMPRODUCT(--ISNUMBER(SEARCH($B$6,'Base_Cobranzas'!$A$2:$A$702)),--('Base_Cobranzas'!$AJ$2:$AJ$702&gt;=IF(J$33&lt;3000,DATE(J$33,1,1),J$33)),--('Base_Cobranzas'!$AJ$2:$AJ$702&lt;IF(J$33&lt;3000,DATE(J$33+1,1,1),EDATE(J$33,1))),--ISNUMBER(SEARCH(IF(ISNUMBER(SEARCH("DIRECTO",UPPER($B34))),"DIRECTO",IF(ISNUMBER(SEARCH("HIPOT",UPPER($B34))),"HIPOT",IF(ISNUMBER(SEARCH("AHORRO",UPPER($B34))),"AHORRO",UPPER($B34)))),UPPER('Base_Cobranzas'!$AT$2:$AT$702))),--('Base_Cobranzas'!$AQ$2:$AQ$702&gt;0),'Base_Cobranzas'!$AQ$2:$AQ$702),0)</f>
        <v/>
      </c>
      <c r="K34" s="70">
        <f>SUM(C34:J34)</f>
        <v/>
      </c>
    </row>
    <row r="35">
      <c r="B35" s="8" t="inlineStr">
        <is>
          <t>Crédito Hipotecario</t>
        </is>
      </c>
      <c r="C35" s="69">
        <f>IFERROR(SUMPRODUCT(--ISNUMBER(SEARCH($B$6,'Base_Cobranzas'!$A$2:$A$702)),--('Base_Cobranzas'!$AJ$2:$AJ$702&gt;=IF(C$33&lt;3000,DATE(C$33,1,1),C$33)),--('Base_Cobranzas'!$AJ$2:$AJ$702&lt;IF(C$33&lt;3000,DATE(C$33+1,1,1),EDATE(C$33,1))),--ISNUMBER(SEARCH(IF(ISNUMBER(SEARCH("DIRECTO",UPPER($B35))),"DIRECTO",IF(ISNUMBER(SEARCH("HIPOT",UPPER($B35))),"HIPOT",IF(ISNUMBER(SEARCH("AHORRO",UPPER($B35))),"AHORRO",UPPER($B35)))),UPPER('Base_Cobranzas'!$AT$2:$AT$702))),--('Base_Cobranzas'!$AQ$2:$AQ$702&gt;0),'Base_Cobranzas'!$AQ$2:$AQ$702),0)</f>
        <v/>
      </c>
      <c r="D35" s="69">
        <f>IFERROR(SUMPRODUCT(--ISNUMBER(SEARCH($B$6,'Base_Cobranzas'!$A$2:$A$702)),--('Base_Cobranzas'!$AJ$2:$AJ$702&gt;=IF(D$33&lt;3000,DATE(D$33,1,1),D$33)),--('Base_Cobranzas'!$AJ$2:$AJ$702&lt;IF(D$33&lt;3000,DATE(D$33+1,1,1),EDATE(D$33,1))),--ISNUMBER(SEARCH(IF(ISNUMBER(SEARCH("DIRECTO",UPPER($B35))),"DIRECTO",IF(ISNUMBER(SEARCH("HIPOT",UPPER($B35))),"HIPOT",IF(ISNUMBER(SEARCH("AHORRO",UPPER($B35))),"AHORRO",UPPER($B35)))),UPPER('Base_Cobranzas'!$AT$2:$AT$702))),--('Base_Cobranzas'!$AQ$2:$AQ$702&gt;0),'Base_Cobranzas'!$AQ$2:$AQ$702),0)</f>
        <v/>
      </c>
      <c r="E35" s="69">
        <f>IFERROR(SUMPRODUCT(--ISNUMBER(SEARCH($B$6,'Base_Cobranzas'!$A$2:$A$702)),--('Base_Cobranzas'!$AJ$2:$AJ$702&gt;=IF(E$33&lt;3000,DATE(E$33,1,1),E$33)),--('Base_Cobranzas'!$AJ$2:$AJ$702&lt;IF(E$33&lt;3000,DATE(E$33+1,1,1),EDATE(E$33,1))),--ISNUMBER(SEARCH(IF(ISNUMBER(SEARCH("DIRECTO",UPPER($B35))),"DIRECTO",IF(ISNUMBER(SEARCH("HIPOT",UPPER($B35))),"HIPOT",IF(ISNUMBER(SEARCH("AHORRO",UPPER($B35))),"AHORRO",UPPER($B35)))),UPPER('Base_Cobranzas'!$AT$2:$AT$702))),--('Base_Cobranzas'!$AQ$2:$AQ$702&gt;0),'Base_Cobranzas'!$AQ$2:$AQ$702),0)</f>
        <v/>
      </c>
      <c r="F35" s="69">
        <f>IFERROR(SUMPRODUCT(--ISNUMBER(SEARCH($B$6,'Base_Cobranzas'!$A$2:$A$702)),--('Base_Cobranzas'!$AJ$2:$AJ$702&gt;=IF(F$33&lt;3000,DATE(F$33,1,1),F$33)),--('Base_Cobranzas'!$AJ$2:$AJ$702&lt;IF(F$33&lt;3000,DATE(F$33+1,1,1),EDATE(F$33,1))),--ISNUMBER(SEARCH(IF(ISNUMBER(SEARCH("DIRECTO",UPPER($B35))),"DIRECTO",IF(ISNUMBER(SEARCH("HIPOT",UPPER($B35))),"HIPOT",IF(ISNUMBER(SEARCH("AHORRO",UPPER($B35))),"AHORRO",UPPER($B35)))),UPPER('Base_Cobranzas'!$AT$2:$AT$702))),--('Base_Cobranzas'!$AQ$2:$AQ$702&gt;0),'Base_Cobranzas'!$AQ$2:$AQ$702),0)</f>
        <v/>
      </c>
      <c r="G35" s="69">
        <f>IFERROR(SUMPRODUCT(--ISNUMBER(SEARCH($B$6,'Base_Cobranzas'!$A$2:$A$702)),--('Base_Cobranzas'!$AJ$2:$AJ$702&gt;=IF(G$33&lt;3000,DATE(G$33,1,1),G$33)),--('Base_Cobranzas'!$AJ$2:$AJ$702&lt;IF(G$33&lt;3000,DATE(G$33+1,1,1),EDATE(G$33,1))),--ISNUMBER(SEARCH(IF(ISNUMBER(SEARCH("DIRECTO",UPPER($B35))),"DIRECTO",IF(ISNUMBER(SEARCH("HIPOT",UPPER($B35))),"HIPOT",IF(ISNUMBER(SEARCH("AHORRO",UPPER($B35))),"AHORRO",UPPER($B35)))),UPPER('Base_Cobranzas'!$AT$2:$AT$702))),--('Base_Cobranzas'!$AQ$2:$AQ$702&gt;0),'Base_Cobranzas'!$AQ$2:$AQ$702),0)</f>
        <v/>
      </c>
      <c r="H35" s="69">
        <f>IFERROR(SUMPRODUCT(--ISNUMBER(SEARCH($B$6,'Base_Cobranzas'!$A$2:$A$702)),--('Base_Cobranzas'!$AJ$2:$AJ$702&gt;=IF(H$33&lt;3000,DATE(H$33,1,1),H$33)),--('Base_Cobranzas'!$AJ$2:$AJ$702&lt;IF(H$33&lt;3000,DATE(H$33+1,1,1),EDATE(H$33,1))),--ISNUMBER(SEARCH(IF(ISNUMBER(SEARCH("DIRECTO",UPPER($B35))),"DIRECTO",IF(ISNUMBER(SEARCH("HIPOT",UPPER($B35))),"HIPOT",IF(ISNUMBER(SEARCH("AHORRO",UPPER($B35))),"AHORRO",UPPER($B35)))),UPPER('Base_Cobranzas'!$AT$2:$AT$702))),--('Base_Cobranzas'!$AQ$2:$AQ$702&gt;0),'Base_Cobranzas'!$AQ$2:$AQ$702),0)</f>
        <v/>
      </c>
      <c r="I35" s="69">
        <f>IFERROR(SUMPRODUCT(--ISNUMBER(SEARCH($B$6,'Base_Cobranzas'!$A$2:$A$702)),--('Base_Cobranzas'!$AJ$2:$AJ$702&gt;=IF(I$33&lt;3000,DATE(I$33,1,1),I$33)),--('Base_Cobranzas'!$AJ$2:$AJ$702&lt;IF(I$33&lt;3000,DATE(I$33+1,1,1),EDATE(I$33,1))),--ISNUMBER(SEARCH(IF(ISNUMBER(SEARCH("DIRECTO",UPPER($B35))),"DIRECTO",IF(ISNUMBER(SEARCH("HIPOT",UPPER($B35))),"HIPOT",IF(ISNUMBER(SEARCH("AHORRO",UPPER($B35))),"AHORRO",UPPER($B35)))),UPPER('Base_Cobranzas'!$AT$2:$AT$702))),--('Base_Cobranzas'!$AQ$2:$AQ$702&gt;0),'Base_Cobranzas'!$AQ$2:$AQ$702),0)</f>
        <v/>
      </c>
      <c r="J35" s="69">
        <f>IFERROR(SUMPRODUCT(--ISNUMBER(SEARCH($B$6,'Base_Cobranzas'!$A$2:$A$702)),--('Base_Cobranzas'!$AJ$2:$AJ$702&gt;=IF(J$33&lt;3000,DATE(J$33,1,1),J$33)),--('Base_Cobranzas'!$AJ$2:$AJ$702&lt;IF(J$33&lt;3000,DATE(J$33+1,1,1),EDATE(J$33,1))),--ISNUMBER(SEARCH(IF(ISNUMBER(SEARCH("DIRECTO",UPPER($B35))),"DIRECTO",IF(ISNUMBER(SEARCH("HIPOT",UPPER($B35))),"HIPOT",IF(ISNUMBER(SEARCH("AHORRO",UPPER($B35))),"AHORRO",UPPER($B35)))),UPPER('Base_Cobranzas'!$AT$2:$AT$702))),--('Base_Cobranzas'!$AQ$2:$AQ$702&gt;0),'Base_Cobranzas'!$AQ$2:$AQ$702),0)</f>
        <v/>
      </c>
      <c r="K35" s="70">
        <f>SUM(C35:J35)</f>
        <v/>
      </c>
    </row>
    <row r="36">
      <c r="B36" s="8" t="inlineStr">
        <is>
          <t>Ahorro</t>
        </is>
      </c>
      <c r="C36" s="69">
        <f>IFERROR(SUMPRODUCT(--ISNUMBER(SEARCH($B$6,'Base_Cobranzas'!$A$2:$A$702)),--('Base_Cobranzas'!$AJ$2:$AJ$702&gt;=IF(C$33&lt;3000,DATE(C$33,1,1),C$33)),--('Base_Cobranzas'!$AJ$2:$AJ$702&lt;IF(C$33&lt;3000,DATE(C$33+1,1,1),EDATE(C$33,1))),--ISNUMBER(SEARCH(IF(ISNUMBER(SEARCH("DIRECTO",UPPER($B36))),"DIRECTO",IF(ISNUMBER(SEARCH("HIPOT",UPPER($B36))),"HIPOT",IF(ISNUMBER(SEARCH("AHORRO",UPPER($B36))),"AHORRO",UPPER($B36)))),UPPER('Base_Cobranzas'!$AT$2:$AT$702))),--('Base_Cobranzas'!$AQ$2:$AQ$702&gt;0),'Base_Cobranzas'!$AQ$2:$AQ$702),0)</f>
        <v/>
      </c>
      <c r="D36" s="69">
        <f>IFERROR(SUMPRODUCT(--ISNUMBER(SEARCH($B$6,'Base_Cobranzas'!$A$2:$A$702)),--('Base_Cobranzas'!$AJ$2:$AJ$702&gt;=IF(D$33&lt;3000,DATE(D$33,1,1),D$33)),--('Base_Cobranzas'!$AJ$2:$AJ$702&lt;IF(D$33&lt;3000,DATE(D$33+1,1,1),EDATE(D$33,1))),--ISNUMBER(SEARCH(IF(ISNUMBER(SEARCH("DIRECTO",UPPER($B36))),"DIRECTO",IF(ISNUMBER(SEARCH("HIPOT",UPPER($B36))),"HIPOT",IF(ISNUMBER(SEARCH("AHORRO",UPPER($B36))),"AHORRO",UPPER($B36)))),UPPER('Base_Cobranzas'!$AT$2:$AT$702))),--('Base_Cobranzas'!$AQ$2:$AQ$702&gt;0),'Base_Cobranzas'!$AQ$2:$AQ$702),0)</f>
        <v/>
      </c>
      <c r="E36" s="69">
        <f>IFERROR(SUMPRODUCT(--ISNUMBER(SEARCH($B$6,'Base_Cobranzas'!$A$2:$A$702)),--('Base_Cobranzas'!$AJ$2:$AJ$702&gt;=IF(E$33&lt;3000,DATE(E$33,1,1),E$33)),--('Base_Cobranzas'!$AJ$2:$AJ$702&lt;IF(E$33&lt;3000,DATE(E$33+1,1,1),EDATE(E$33,1))),--ISNUMBER(SEARCH(IF(ISNUMBER(SEARCH("DIRECTO",UPPER($B36))),"DIRECTO",IF(ISNUMBER(SEARCH("HIPOT",UPPER($B36))),"HIPOT",IF(ISNUMBER(SEARCH("AHORRO",UPPER($B36))),"AHORRO",UPPER($B36)))),UPPER('Base_Cobranzas'!$AT$2:$AT$702))),--('Base_Cobranzas'!$AQ$2:$AQ$702&gt;0),'Base_Cobranzas'!$AQ$2:$AQ$702),0)</f>
        <v/>
      </c>
      <c r="F36" s="69">
        <f>IFERROR(SUMPRODUCT(--ISNUMBER(SEARCH($B$6,'Base_Cobranzas'!$A$2:$A$702)),--('Base_Cobranzas'!$AJ$2:$AJ$702&gt;=IF(F$33&lt;3000,DATE(F$33,1,1),F$33)),--('Base_Cobranzas'!$AJ$2:$AJ$702&lt;IF(F$33&lt;3000,DATE(F$33+1,1,1),EDATE(F$33,1))),--ISNUMBER(SEARCH(IF(ISNUMBER(SEARCH("DIRECTO",UPPER($B36))),"DIRECTO",IF(ISNUMBER(SEARCH("HIPOT",UPPER($B36))),"HIPOT",IF(ISNUMBER(SEARCH("AHORRO",UPPER($B36))),"AHORRO",UPPER($B36)))),UPPER('Base_Cobranzas'!$AT$2:$AT$702))),--('Base_Cobranzas'!$AQ$2:$AQ$702&gt;0),'Base_Cobranzas'!$AQ$2:$AQ$702),0)</f>
        <v/>
      </c>
      <c r="G36" s="69">
        <f>IFERROR(SUMPRODUCT(--ISNUMBER(SEARCH($B$6,'Base_Cobranzas'!$A$2:$A$702)),--('Base_Cobranzas'!$AJ$2:$AJ$702&gt;=IF(G$33&lt;3000,DATE(G$33,1,1),G$33)),--('Base_Cobranzas'!$AJ$2:$AJ$702&lt;IF(G$33&lt;3000,DATE(G$33+1,1,1),EDATE(G$33,1))),--ISNUMBER(SEARCH(IF(ISNUMBER(SEARCH("DIRECTO",UPPER($B36))),"DIRECTO",IF(ISNUMBER(SEARCH("HIPOT",UPPER($B36))),"HIPOT",IF(ISNUMBER(SEARCH("AHORRO",UPPER($B36))),"AHORRO",UPPER($B36)))),UPPER('Base_Cobranzas'!$AT$2:$AT$702))),--('Base_Cobranzas'!$AQ$2:$AQ$702&gt;0),'Base_Cobranzas'!$AQ$2:$AQ$702),0)</f>
        <v/>
      </c>
      <c r="H36" s="69">
        <f>IFERROR(SUMPRODUCT(--ISNUMBER(SEARCH($B$6,'Base_Cobranzas'!$A$2:$A$702)),--('Base_Cobranzas'!$AJ$2:$AJ$702&gt;=IF(H$33&lt;3000,DATE(H$33,1,1),H$33)),--('Base_Cobranzas'!$AJ$2:$AJ$702&lt;IF(H$33&lt;3000,DATE(H$33+1,1,1),EDATE(H$33,1))),--ISNUMBER(SEARCH(IF(ISNUMBER(SEARCH("DIRECTO",UPPER($B36))),"DIRECTO",IF(ISNUMBER(SEARCH("HIPOT",UPPER($B36))),"HIPOT",IF(ISNUMBER(SEARCH("AHORRO",UPPER($B36))),"AHORRO",UPPER($B36)))),UPPER('Base_Cobranzas'!$AT$2:$AT$702))),--('Base_Cobranzas'!$AQ$2:$AQ$702&gt;0),'Base_Cobranzas'!$AQ$2:$AQ$702),0)</f>
        <v/>
      </c>
      <c r="I36" s="69">
        <f>IFERROR(SUMPRODUCT(--ISNUMBER(SEARCH($B$6,'Base_Cobranzas'!$A$2:$A$702)),--('Base_Cobranzas'!$AJ$2:$AJ$702&gt;=IF(I$33&lt;3000,DATE(I$33,1,1),I$33)),--('Base_Cobranzas'!$AJ$2:$AJ$702&lt;IF(I$33&lt;3000,DATE(I$33+1,1,1),EDATE(I$33,1))),--ISNUMBER(SEARCH(IF(ISNUMBER(SEARCH("DIRECTO",UPPER($B36))),"DIRECTO",IF(ISNUMBER(SEARCH("HIPOT",UPPER($B36))),"HIPOT",IF(ISNUMBER(SEARCH("AHORRO",UPPER($B36))),"AHORRO",UPPER($B36)))),UPPER('Base_Cobranzas'!$AT$2:$AT$702))),--('Base_Cobranzas'!$AQ$2:$AQ$702&gt;0),'Base_Cobranzas'!$AQ$2:$AQ$702),0)</f>
        <v/>
      </c>
      <c r="J36" s="69">
        <f>IFERROR(SUMPRODUCT(--ISNUMBER(SEARCH($B$6,'Base_Cobranzas'!$A$2:$A$702)),--('Base_Cobranzas'!$AJ$2:$AJ$702&gt;=IF(J$33&lt;3000,DATE(J$33,1,1),J$33)),--('Base_Cobranzas'!$AJ$2:$AJ$702&lt;IF(J$33&lt;3000,DATE(J$33+1,1,1),EDATE(J$33,1))),--ISNUMBER(SEARCH(IF(ISNUMBER(SEARCH("DIRECTO",UPPER($B36))),"DIRECTO",IF(ISNUMBER(SEARCH("HIPOT",UPPER($B36))),"HIPOT",IF(ISNUMBER(SEARCH("AHORRO",UPPER($B36))),"AHORRO",UPPER($B36)))),UPPER('Base_Cobranzas'!$AT$2:$AT$702))),--('Base_Cobranzas'!$AQ$2:$AQ$702&gt;0),'Base_Cobranzas'!$AQ$2:$AQ$702),0)</f>
        <v/>
      </c>
      <c r="K36" s="70">
        <f>SUM(C36:J36)</f>
        <v/>
      </c>
    </row>
    <row r="37">
      <c r="B37" s="7" t="inlineStr">
        <is>
          <t>Total</t>
        </is>
      </c>
      <c r="C37" s="71">
        <f>SUM(C34:C36)</f>
        <v/>
      </c>
      <c r="D37" s="71">
        <f>SUM(D34:D36)</f>
        <v/>
      </c>
      <c r="E37" s="71">
        <f>SUM(E34:E36)</f>
        <v/>
      </c>
      <c r="F37" s="71">
        <f>SUM(F34:F36)</f>
        <v/>
      </c>
      <c r="G37" s="71">
        <f>SUM(G34:G36)</f>
        <v/>
      </c>
      <c r="H37" s="71">
        <f>SUM(H34:H36)</f>
        <v/>
      </c>
      <c r="I37" s="71">
        <f>SUM(I34:I36)</f>
        <v/>
      </c>
      <c r="J37" s="71">
        <f>SUM(J34:J36)</f>
        <v/>
      </c>
      <c r="K37" s="71">
        <f>SUM(C37:J37)</f>
        <v/>
      </c>
      <c r="L37">
        <f>IF($G$21=K37,"OK","REVISAR")</f>
        <v/>
      </c>
    </row>
    <row r="39">
      <c r="B39" s="7" t="inlineStr">
        <is>
          <t>Acumulado</t>
        </is>
      </c>
      <c r="C39" s="72">
        <f>C37</f>
        <v/>
      </c>
      <c r="D39" s="72">
        <f>C39+D37</f>
        <v/>
      </c>
      <c r="E39" s="72">
        <f>D39+E37</f>
        <v/>
      </c>
      <c r="F39" s="72">
        <f>E39+F37</f>
        <v/>
      </c>
      <c r="G39" s="72">
        <f>F39+G37</f>
        <v/>
      </c>
      <c r="H39" s="72">
        <f>G39+H37</f>
        <v/>
      </c>
      <c r="I39" s="72">
        <f>H39+I37</f>
        <v/>
      </c>
      <c r="J39" s="72">
        <f>I39+J37</f>
        <v/>
      </c>
      <c r="K39" s="73" t="n"/>
    </row>
    <row r="42">
      <c r="O42" s="3" t="n"/>
    </row>
    <row r="43" ht="21" customHeight="1">
      <c r="B43" s="1" t="inlineStr">
        <is>
          <t>COBRANZA PROYECTADA</t>
        </is>
      </c>
      <c r="O43" s="3" t="n"/>
    </row>
    <row r="45">
      <c r="B45" s="25" t="inlineStr">
        <is>
          <t>Tipo de Credito</t>
        </is>
      </c>
      <c r="C45" s="26" t="n">
        <v>46204</v>
      </c>
      <c r="D45" s="26" t="n">
        <v>46235</v>
      </c>
      <c r="E45" s="26" t="n">
        <v>46266</v>
      </c>
      <c r="F45" s="26" t="n">
        <v>46296</v>
      </c>
      <c r="G45" s="26" t="n">
        <v>46327</v>
      </c>
      <c r="H45" s="26" t="n">
        <v>46357</v>
      </c>
      <c r="I45" s="26" t="n">
        <v>46388</v>
      </c>
      <c r="J45" s="26" t="n">
        <v>46419</v>
      </c>
      <c r="K45" s="26" t="n">
        <v>46447</v>
      </c>
      <c r="L45" s="26" t="n">
        <v>46478</v>
      </c>
      <c r="M45" s="26" t="n">
        <v>46508</v>
      </c>
      <c r="N45" s="26" t="n">
        <v>46539</v>
      </c>
      <c r="O45" s="26" t="n">
        <v>46569</v>
      </c>
      <c r="P45" s="26" t="n">
        <v>46600</v>
      </c>
      <c r="Q45" s="26" t="n">
        <v>46631</v>
      </c>
      <c r="R45" s="26" t="n">
        <v>46661</v>
      </c>
      <c r="S45" s="26" t="inlineStr">
        <is>
          <t>Total</t>
        </is>
      </c>
    </row>
    <row r="46">
      <c r="B46" s="8" t="inlineStr">
        <is>
          <t>Crédito Directo</t>
        </is>
      </c>
      <c r="C46" s="69">
        <f>IFERROR(SUMPRODUCT(--ISNUMBER(SEARCH($B$6,'Base_Cobranzas'!$A$2:$A$702)),--('Base_Cobranzas'!$AI$2:$AI$702&gt;=IF(C$45&lt;3000,DATE(C$45,1,1),C$45)),--('Base_Cobranzas'!$AI$2:$AI$702&lt;IF(C$45&lt;3000,DATE(C$45+1,1,1),EDATE(C$45,1))),--ISNUMBER(SEARCH(IF(ISNUMBER(SEARCH("DIRECTO",UPPER($B46))),"DIRECTO",IF(ISNUMBER(SEARCH("HIPOT",UPPER($B46))),"HIPOT",IF(ISNUMBER(SEARCH("AHORRO",UPPER($B46))),"AHORRO",UPPER($B46)))),UPPER('Base_Cobranzas'!$AT$2:$AT$702))),--ISNUMBER(SEARCH("PENDIENTE",UPPER(TRIM('Base_Cobranzas'!$BC$2:$BC$702)))),'Base_Cobranzas'!$AR$2:$AR$702),0)</f>
        <v/>
      </c>
      <c r="D46" s="69">
        <f>IFERROR(SUMPRODUCT(--ISNUMBER(SEARCH($B$6,'Base_Cobranzas'!$A$2:$A$702)),--('Base_Cobranzas'!$AI$2:$AI$702&gt;=IF(D$45&lt;3000,DATE(D$45,1,1),D$45)),--('Base_Cobranzas'!$AI$2:$AI$702&lt;IF(D$45&lt;3000,DATE(D$45+1,1,1),EDATE(D$45,1))),--ISNUMBER(SEARCH(IF(ISNUMBER(SEARCH("DIRECTO",UPPER($B46))),"DIRECTO",IF(ISNUMBER(SEARCH("HIPOT",UPPER($B46))),"HIPOT",IF(ISNUMBER(SEARCH("AHORRO",UPPER($B46))),"AHORRO",UPPER($B46)))),UPPER('Base_Cobranzas'!$AT$2:$AT$702))),--ISNUMBER(SEARCH("PENDIENTE",UPPER(TRIM('Base_Cobranzas'!$BC$2:$BC$702)))),'Base_Cobranzas'!$AR$2:$AR$702),0)</f>
        <v/>
      </c>
      <c r="E46" s="69">
        <f>IFERROR(SUMPRODUCT(--ISNUMBER(SEARCH($B$6,'Base_Cobranzas'!$A$2:$A$702)),--('Base_Cobranzas'!$AI$2:$AI$702&gt;=IF(E$45&lt;3000,DATE(E$45,1,1),E$45)),--('Base_Cobranzas'!$AI$2:$AI$702&lt;IF(E$45&lt;3000,DATE(E$45+1,1,1),EDATE(E$45,1))),--ISNUMBER(SEARCH(IF(ISNUMBER(SEARCH("DIRECTO",UPPER($B46))),"DIRECTO",IF(ISNUMBER(SEARCH("HIPOT",UPPER($B46))),"HIPOT",IF(ISNUMBER(SEARCH("AHORRO",UPPER($B46))),"AHORRO",UPPER($B46)))),UPPER('Base_Cobranzas'!$AT$2:$AT$702))),--ISNUMBER(SEARCH("PENDIENTE",UPPER(TRIM('Base_Cobranzas'!$BC$2:$BC$702)))),'Base_Cobranzas'!$AR$2:$AR$702),0)</f>
        <v/>
      </c>
      <c r="F46" s="69">
        <f>IFERROR(SUMPRODUCT(--ISNUMBER(SEARCH($B$6,'Base_Cobranzas'!$A$2:$A$702)),--('Base_Cobranzas'!$AI$2:$AI$702&gt;=IF(F$45&lt;3000,DATE(F$45,1,1),F$45)),--('Base_Cobranzas'!$AI$2:$AI$702&lt;IF(F$45&lt;3000,DATE(F$45+1,1,1),EDATE(F$45,1))),--ISNUMBER(SEARCH(IF(ISNUMBER(SEARCH("DIRECTO",UPPER($B46))),"DIRECTO",IF(ISNUMBER(SEARCH("HIPOT",UPPER($B46))),"HIPOT",IF(ISNUMBER(SEARCH("AHORRO",UPPER($B46))),"AHORRO",UPPER($B46)))),UPPER('Base_Cobranzas'!$AT$2:$AT$702))),--ISNUMBER(SEARCH("PENDIENTE",UPPER(TRIM('Base_Cobranzas'!$BC$2:$BC$702)))),'Base_Cobranzas'!$AR$2:$AR$702),0)</f>
        <v/>
      </c>
      <c r="G46" s="69">
        <f>IFERROR(SUMPRODUCT(--ISNUMBER(SEARCH($B$6,'Base_Cobranzas'!$A$2:$A$702)),--('Base_Cobranzas'!$AI$2:$AI$702&gt;=IF(G$45&lt;3000,DATE(G$45,1,1),G$45)),--('Base_Cobranzas'!$AI$2:$AI$702&lt;IF(G$45&lt;3000,DATE(G$45+1,1,1),EDATE(G$45,1))),--ISNUMBER(SEARCH(IF(ISNUMBER(SEARCH("DIRECTO",UPPER($B46))),"DIRECTO",IF(ISNUMBER(SEARCH("HIPOT",UPPER($B46))),"HIPOT",IF(ISNUMBER(SEARCH("AHORRO",UPPER($B46))),"AHORRO",UPPER($B46)))),UPPER('Base_Cobranzas'!$AT$2:$AT$702))),--ISNUMBER(SEARCH("PENDIENTE",UPPER(TRIM('Base_Cobranzas'!$BC$2:$BC$702)))),'Base_Cobranzas'!$AR$2:$AR$702),0)</f>
        <v/>
      </c>
      <c r="H46" s="69">
        <f>IFERROR(SUMPRODUCT(--ISNUMBER(SEARCH($B$6,'Base_Cobranzas'!$A$2:$A$702)),--('Base_Cobranzas'!$AI$2:$AI$702&gt;=IF(H$45&lt;3000,DATE(H$45,1,1),H$45)),--('Base_Cobranzas'!$AI$2:$AI$702&lt;IF(H$45&lt;3000,DATE(H$45+1,1,1),EDATE(H$45,1))),--ISNUMBER(SEARCH(IF(ISNUMBER(SEARCH("DIRECTO",UPPER($B46))),"DIRECTO",IF(ISNUMBER(SEARCH("HIPOT",UPPER($B46))),"HIPOT",IF(ISNUMBER(SEARCH("AHORRO",UPPER($B46))),"AHORRO",UPPER($B46)))),UPPER('Base_Cobranzas'!$AT$2:$AT$702))),--ISNUMBER(SEARCH("PENDIENTE",UPPER(TRIM('Base_Cobranzas'!$BC$2:$BC$702)))),'Base_Cobranzas'!$AR$2:$AR$702),0)</f>
        <v/>
      </c>
      <c r="I46" s="69">
        <f>IFERROR(SUMPRODUCT(--ISNUMBER(SEARCH($B$6,'Base_Cobranzas'!$A$2:$A$702)),--('Base_Cobranzas'!$AI$2:$AI$702&gt;=IF(I$45&lt;3000,DATE(I$45,1,1),I$45)),--('Base_Cobranzas'!$AI$2:$AI$702&lt;IF(I$45&lt;3000,DATE(I$45+1,1,1),EDATE(I$45,1))),--ISNUMBER(SEARCH(IF(ISNUMBER(SEARCH("DIRECTO",UPPER($B46))),"DIRECTO",IF(ISNUMBER(SEARCH("HIPOT",UPPER($B46))),"HIPOT",IF(ISNUMBER(SEARCH("AHORRO",UPPER($B46))),"AHORRO",UPPER($B46)))),UPPER('Base_Cobranzas'!$AT$2:$AT$702))),--ISNUMBER(SEARCH("PENDIENTE",UPPER(TRIM('Base_Cobranzas'!$BC$2:$BC$702)))),'Base_Cobranzas'!$AR$2:$AR$702),0)</f>
        <v/>
      </c>
      <c r="J46" s="69">
        <f>IFERROR(SUMPRODUCT(--ISNUMBER(SEARCH($B$6,'Base_Cobranzas'!$A$2:$A$702)),--('Base_Cobranzas'!$AI$2:$AI$702&gt;=IF(J$45&lt;3000,DATE(J$45,1,1),J$45)),--('Base_Cobranzas'!$AI$2:$AI$702&lt;IF(J$45&lt;3000,DATE(J$45+1,1,1),EDATE(J$45,1))),--ISNUMBER(SEARCH(IF(ISNUMBER(SEARCH("DIRECTO",UPPER($B46))),"DIRECTO",IF(ISNUMBER(SEARCH("HIPOT",UPPER($B46))),"HIPOT",IF(ISNUMBER(SEARCH("AHORRO",UPPER($B46))),"AHORRO",UPPER($B46)))),UPPER('Base_Cobranzas'!$AT$2:$AT$702))),--ISNUMBER(SEARCH("PENDIENTE",UPPER(TRIM('Base_Cobranzas'!$BC$2:$BC$702)))),'Base_Cobranzas'!$AR$2:$AR$702),0)</f>
        <v/>
      </c>
      <c r="K46" s="69">
        <f>IFERROR(SUMPRODUCT(--ISNUMBER(SEARCH($B$6,'Base_Cobranzas'!$A$2:$A$702)),--('Base_Cobranzas'!$AI$2:$AI$702&gt;=IF(K$45&lt;3000,DATE(K$45,1,1),K$45)),--('Base_Cobranzas'!$AI$2:$AI$702&lt;IF(K$45&lt;3000,DATE(K$45+1,1,1),EDATE(K$45,1))),--ISNUMBER(SEARCH(IF(ISNUMBER(SEARCH("DIRECTO",UPPER($B46))),"DIRECTO",IF(ISNUMBER(SEARCH("HIPOT",UPPER($B46))),"HIPOT",IF(ISNUMBER(SEARCH("AHORRO",UPPER($B46))),"AHORRO",UPPER($B46)))),UPPER('Base_Cobranzas'!$AT$2:$AT$702))),--ISNUMBER(SEARCH("PENDIENTE",UPPER(TRIM('Base_Cobranzas'!$BC$2:$BC$702)))),'Base_Cobranzas'!$AR$2:$AR$702),0)</f>
        <v/>
      </c>
      <c r="L46" s="69">
        <f>IFERROR(SUMPRODUCT(--ISNUMBER(SEARCH($B$6,'Base_Cobranzas'!$A$2:$A$702)),--('Base_Cobranzas'!$AI$2:$AI$702&gt;=IF(L$45&lt;3000,DATE(L$45,1,1),L$45)),--('Base_Cobranzas'!$AI$2:$AI$702&lt;IF(L$45&lt;3000,DATE(L$45+1,1,1),EDATE(L$45,1))),--ISNUMBER(SEARCH(IF(ISNUMBER(SEARCH("DIRECTO",UPPER($B46))),"DIRECTO",IF(ISNUMBER(SEARCH("HIPOT",UPPER($B46))),"HIPOT",IF(ISNUMBER(SEARCH("AHORRO",UPPER($B46))),"AHORRO",UPPER($B46)))),UPPER('Base_Cobranzas'!$AT$2:$AT$702))),--ISNUMBER(SEARCH("PENDIENTE",UPPER(TRIM('Base_Cobranzas'!$BC$2:$BC$702)))),'Base_Cobranzas'!$AR$2:$AR$702),0)</f>
        <v/>
      </c>
      <c r="M46" s="69">
        <f>IFERROR(SUMPRODUCT(--ISNUMBER(SEARCH($B$6,'Base_Cobranzas'!$A$2:$A$702)),--('Base_Cobranzas'!$AI$2:$AI$702&gt;=IF(M$45&lt;3000,DATE(M$45,1,1),M$45)),--('Base_Cobranzas'!$AI$2:$AI$702&lt;IF(M$45&lt;3000,DATE(M$45+1,1,1),EDATE(M$45,1))),--ISNUMBER(SEARCH(IF(ISNUMBER(SEARCH("DIRECTO",UPPER($B46))),"DIRECTO",IF(ISNUMBER(SEARCH("HIPOT",UPPER($B46))),"HIPOT",IF(ISNUMBER(SEARCH("AHORRO",UPPER($B46))),"AHORRO",UPPER($B46)))),UPPER('Base_Cobranzas'!$AT$2:$AT$702))),--ISNUMBER(SEARCH("PENDIENTE",UPPER(TRIM('Base_Cobranzas'!$BC$2:$BC$702)))),'Base_Cobranzas'!$AR$2:$AR$702),0)</f>
        <v/>
      </c>
      <c r="N46" s="69">
        <f>IFERROR(SUMPRODUCT(--ISNUMBER(SEARCH($B$6,'Base_Cobranzas'!$A$2:$A$702)),--('Base_Cobranzas'!$AI$2:$AI$702&gt;=IF(N$45&lt;3000,DATE(N$45,1,1),N$45)),--('Base_Cobranzas'!$AI$2:$AI$702&lt;IF(N$45&lt;3000,DATE(N$45+1,1,1),EDATE(N$45,1))),--ISNUMBER(SEARCH(IF(ISNUMBER(SEARCH("DIRECTO",UPPER($B46))),"DIRECTO",IF(ISNUMBER(SEARCH("HIPOT",UPPER($B46))),"HIPOT",IF(ISNUMBER(SEARCH("AHORRO",UPPER($B46))),"AHORRO",UPPER($B46)))),UPPER('Base_Cobranzas'!$AT$2:$AT$702))),--ISNUMBER(SEARCH("PENDIENTE",UPPER(TRIM('Base_Cobranzas'!$BC$2:$BC$702)))),'Base_Cobranzas'!$AR$2:$AR$702),0)</f>
        <v/>
      </c>
      <c r="O46" s="69">
        <f>IFERROR(SUMPRODUCT(--ISNUMBER(SEARCH($B$6,'Base_Cobranzas'!$A$2:$A$702)),--('Base_Cobranzas'!$AI$2:$AI$702&gt;=IF(O$45&lt;3000,DATE(O$45,1,1),O$45)),--('Base_Cobranzas'!$AI$2:$AI$702&lt;IF(O$45&lt;3000,DATE(O$45+1,1,1),EDATE(O$45,1))),--ISNUMBER(SEARCH(IF(ISNUMBER(SEARCH("DIRECTO",UPPER($B46))),"DIRECTO",IF(ISNUMBER(SEARCH("HIPOT",UPPER($B46))),"HIPOT",IF(ISNUMBER(SEARCH("AHORRO",UPPER($B46))),"AHORRO",UPPER($B46)))),UPPER('Base_Cobranzas'!$AT$2:$AT$702))),--ISNUMBER(SEARCH("PENDIENTE",UPPER(TRIM('Base_Cobranzas'!$BC$2:$BC$702)))),'Base_Cobranzas'!$AR$2:$AR$702),0)</f>
        <v/>
      </c>
      <c r="P46" s="69">
        <f>IFERROR(SUMPRODUCT(--ISNUMBER(SEARCH($B$6,'Base_Cobranzas'!$A$2:$A$702)),--('Base_Cobranzas'!$AI$2:$AI$702&gt;=IF(P$45&lt;3000,DATE(P$45,1,1),P$45)),--('Base_Cobranzas'!$AI$2:$AI$702&lt;IF(P$45&lt;3000,DATE(P$45+1,1,1),EDATE(P$45,1))),--ISNUMBER(SEARCH(IF(ISNUMBER(SEARCH("DIRECTO",UPPER($B46))),"DIRECTO",IF(ISNUMBER(SEARCH("HIPOT",UPPER($B46))),"HIPOT",IF(ISNUMBER(SEARCH("AHORRO",UPPER($B46))),"AHORRO",UPPER($B46)))),UPPER('Base_Cobranzas'!$AT$2:$AT$702))),--ISNUMBER(SEARCH("PENDIENTE",UPPER(TRIM('Base_Cobranzas'!$BC$2:$BC$702)))),'Base_Cobranzas'!$AR$2:$AR$702),0)</f>
        <v/>
      </c>
      <c r="Q46" s="69">
        <f>IFERROR(SUMPRODUCT(--ISNUMBER(SEARCH($B$6,'Base_Cobranzas'!$A$2:$A$702)),--('Base_Cobranzas'!$AI$2:$AI$702&gt;=IF(Q$45&lt;3000,DATE(Q$45,1,1),Q$45)),--('Base_Cobranzas'!$AI$2:$AI$702&lt;IF(Q$45&lt;3000,DATE(Q$45+1,1,1),EDATE(Q$45,1))),--ISNUMBER(SEARCH(IF(ISNUMBER(SEARCH("DIRECTO",UPPER($B46))),"DIRECTO",IF(ISNUMBER(SEARCH("HIPOT",UPPER($B46))),"HIPOT",IF(ISNUMBER(SEARCH("AHORRO",UPPER($B46))),"AHORRO",UPPER($B46)))),UPPER('Base_Cobranzas'!$AT$2:$AT$702))),--ISNUMBER(SEARCH("PENDIENTE",UPPER(TRIM('Base_Cobranzas'!$BC$2:$BC$702)))),'Base_Cobranzas'!$AR$2:$AR$702),0)</f>
        <v/>
      </c>
      <c r="R46" s="69">
        <f>IFERROR(SUMPRODUCT(--ISNUMBER(SEARCH($B$6,'Base_Cobranzas'!$A$2:$A$702)),--('Base_Cobranzas'!$AI$2:$AI$702&gt;=IF(R$45&lt;3000,DATE(R$45,1,1),R$45)),--('Base_Cobranzas'!$AI$2:$AI$702&lt;IF(R$45&lt;3000,DATE(R$45+1,1,1),EDATE(R$45,1))),--ISNUMBER(SEARCH(IF(ISNUMBER(SEARCH("DIRECTO",UPPER($B46))),"DIRECTO",IF(ISNUMBER(SEARCH("HIPOT",UPPER($B46))),"HIPOT",IF(ISNUMBER(SEARCH("AHORRO",UPPER($B46))),"AHORRO",UPPER($B46)))),UPPER('Base_Cobranzas'!$AT$2:$AT$702))),--ISNUMBER(SEARCH("PENDIENTE",UPPER(TRIM('Base_Cobranzas'!$BC$2:$BC$702)))),'Base_Cobranzas'!$AR$2:$AR$702),0)</f>
        <v/>
      </c>
      <c r="S46" s="70">
        <f>SUM(C46:R46)</f>
        <v/>
      </c>
    </row>
    <row r="47">
      <c r="B47" s="8" t="inlineStr">
        <is>
          <t>Crédito Hipotecario</t>
        </is>
      </c>
      <c r="C47" s="69">
        <f>IFERROR(SUMPRODUCT(--ISNUMBER(SEARCH($B$6,'Base_Cobranzas'!$A$2:$A$702)),--('Base_Cobranzas'!$AI$2:$AI$702&gt;=IF(C$45&lt;3000,DATE(C$45,1,1),C$45)),--('Base_Cobranzas'!$AI$2:$AI$702&lt;IF(C$45&lt;3000,DATE(C$45+1,1,1),EDATE(C$45,1))),--ISNUMBER(SEARCH(IF(ISNUMBER(SEARCH("DIRECTO",UPPER($B47))),"DIRECTO",IF(ISNUMBER(SEARCH("HIPOT",UPPER($B47))),"HIPOT",IF(ISNUMBER(SEARCH("AHORRO",UPPER($B47))),"AHORRO",UPPER($B47)))),UPPER('Base_Cobranzas'!$AT$2:$AT$702))),--ISNUMBER(SEARCH("PENDIENTE",UPPER(TRIM('Base_Cobranzas'!$BC$2:$BC$702)))),'Base_Cobranzas'!$AR$2:$AR$702),0)</f>
        <v/>
      </c>
      <c r="D47" s="69">
        <f>IFERROR(SUMPRODUCT(--ISNUMBER(SEARCH($B$6,'Base_Cobranzas'!$A$2:$A$702)),--('Base_Cobranzas'!$AI$2:$AI$702&gt;=IF(D$45&lt;3000,DATE(D$45,1,1),D$45)),--('Base_Cobranzas'!$AI$2:$AI$702&lt;IF(D$45&lt;3000,DATE(D$45+1,1,1),EDATE(D$45,1))),--ISNUMBER(SEARCH(IF(ISNUMBER(SEARCH("DIRECTO",UPPER($B47))),"DIRECTO",IF(ISNUMBER(SEARCH("HIPOT",UPPER($B47))),"HIPOT",IF(ISNUMBER(SEARCH("AHORRO",UPPER($B47))),"AHORRO",UPPER($B47)))),UPPER('Base_Cobranzas'!$AT$2:$AT$702))),--ISNUMBER(SEARCH("PENDIENTE",UPPER(TRIM('Base_Cobranzas'!$BC$2:$BC$702)))),'Base_Cobranzas'!$AR$2:$AR$702),0)</f>
        <v/>
      </c>
      <c r="E47" s="69">
        <f>IFERROR(SUMPRODUCT(--ISNUMBER(SEARCH($B$6,'Base_Cobranzas'!$A$2:$A$702)),--('Base_Cobranzas'!$AI$2:$AI$702&gt;=IF(E$45&lt;3000,DATE(E$45,1,1),E$45)),--('Base_Cobranzas'!$AI$2:$AI$702&lt;IF(E$45&lt;3000,DATE(E$45+1,1,1),EDATE(E$45,1))),--ISNUMBER(SEARCH(IF(ISNUMBER(SEARCH("DIRECTO",UPPER($B47))),"DIRECTO",IF(ISNUMBER(SEARCH("HIPOT",UPPER($B47))),"HIPOT",IF(ISNUMBER(SEARCH("AHORRO",UPPER($B47))),"AHORRO",UPPER($B47)))),UPPER('Base_Cobranzas'!$AT$2:$AT$702))),--ISNUMBER(SEARCH("PENDIENTE",UPPER(TRIM('Base_Cobranzas'!$BC$2:$BC$702)))),'Base_Cobranzas'!$AR$2:$AR$702),0)</f>
        <v/>
      </c>
      <c r="F47" s="69">
        <f>IFERROR(SUMPRODUCT(--ISNUMBER(SEARCH($B$6,'Base_Cobranzas'!$A$2:$A$702)),--('Base_Cobranzas'!$AI$2:$AI$702&gt;=IF(F$45&lt;3000,DATE(F$45,1,1),F$45)),--('Base_Cobranzas'!$AI$2:$AI$702&lt;IF(F$45&lt;3000,DATE(F$45+1,1,1),EDATE(F$45,1))),--ISNUMBER(SEARCH(IF(ISNUMBER(SEARCH("DIRECTO",UPPER($B47))),"DIRECTO",IF(ISNUMBER(SEARCH("HIPOT",UPPER($B47))),"HIPOT",IF(ISNUMBER(SEARCH("AHORRO",UPPER($B47))),"AHORRO",UPPER($B47)))),UPPER('Base_Cobranzas'!$AT$2:$AT$702))),--ISNUMBER(SEARCH("PENDIENTE",UPPER(TRIM('Base_Cobranzas'!$BC$2:$BC$702)))),'Base_Cobranzas'!$AR$2:$AR$702),0)</f>
        <v/>
      </c>
      <c r="G47" s="69">
        <f>IFERROR(SUMPRODUCT(--ISNUMBER(SEARCH($B$6,'Base_Cobranzas'!$A$2:$A$702)),--('Base_Cobranzas'!$AI$2:$AI$702&gt;=IF(G$45&lt;3000,DATE(G$45,1,1),G$45)),--('Base_Cobranzas'!$AI$2:$AI$702&lt;IF(G$45&lt;3000,DATE(G$45+1,1,1),EDATE(G$45,1))),--ISNUMBER(SEARCH(IF(ISNUMBER(SEARCH("DIRECTO",UPPER($B47))),"DIRECTO",IF(ISNUMBER(SEARCH("HIPOT",UPPER($B47))),"HIPOT",IF(ISNUMBER(SEARCH("AHORRO",UPPER($B47))),"AHORRO",UPPER($B47)))),UPPER('Base_Cobranzas'!$AT$2:$AT$702))),--ISNUMBER(SEARCH("PENDIENTE",UPPER(TRIM('Base_Cobranzas'!$BC$2:$BC$702)))),'Base_Cobranzas'!$AR$2:$AR$702),0)</f>
        <v/>
      </c>
      <c r="H47" s="69">
        <f>IFERROR(SUMPRODUCT(--ISNUMBER(SEARCH($B$6,'Base_Cobranzas'!$A$2:$A$702)),--('Base_Cobranzas'!$AI$2:$AI$702&gt;=IF(H$45&lt;3000,DATE(H$45,1,1),H$45)),--('Base_Cobranzas'!$AI$2:$AI$702&lt;IF(H$45&lt;3000,DATE(H$45+1,1,1),EDATE(H$45,1))),--ISNUMBER(SEARCH(IF(ISNUMBER(SEARCH("DIRECTO",UPPER($B47))),"DIRECTO",IF(ISNUMBER(SEARCH("HIPOT",UPPER($B47))),"HIPOT",IF(ISNUMBER(SEARCH("AHORRO",UPPER($B47))),"AHORRO",UPPER($B47)))),UPPER('Base_Cobranzas'!$AT$2:$AT$702))),--ISNUMBER(SEARCH("PENDIENTE",UPPER(TRIM('Base_Cobranzas'!$BC$2:$BC$702)))),'Base_Cobranzas'!$AR$2:$AR$702),0)</f>
        <v/>
      </c>
      <c r="I47" s="69">
        <f>IFERROR(SUMPRODUCT(--ISNUMBER(SEARCH($B$6,'Base_Cobranzas'!$A$2:$A$702)),--('Base_Cobranzas'!$AI$2:$AI$702&gt;=IF(I$45&lt;3000,DATE(I$45,1,1),I$45)),--('Base_Cobranzas'!$AI$2:$AI$702&lt;IF(I$45&lt;3000,DATE(I$45+1,1,1),EDATE(I$45,1))),--ISNUMBER(SEARCH(IF(ISNUMBER(SEARCH("DIRECTO",UPPER($B47))),"DIRECTO",IF(ISNUMBER(SEARCH("HIPOT",UPPER($B47))),"HIPOT",IF(ISNUMBER(SEARCH("AHORRO",UPPER($B47))),"AHORRO",UPPER($B47)))),UPPER('Base_Cobranzas'!$AT$2:$AT$702))),--ISNUMBER(SEARCH("PENDIENTE",UPPER(TRIM('Base_Cobranzas'!$BC$2:$BC$702)))),'Base_Cobranzas'!$AR$2:$AR$702),0)</f>
        <v/>
      </c>
      <c r="J47" s="69">
        <f>IFERROR(SUMPRODUCT(--ISNUMBER(SEARCH($B$6,'Base_Cobranzas'!$A$2:$A$702)),--('Base_Cobranzas'!$AI$2:$AI$702&gt;=IF(J$45&lt;3000,DATE(J$45,1,1),J$45)),--('Base_Cobranzas'!$AI$2:$AI$702&lt;IF(J$45&lt;3000,DATE(J$45+1,1,1),EDATE(J$45,1))),--ISNUMBER(SEARCH(IF(ISNUMBER(SEARCH("DIRECTO",UPPER($B47))),"DIRECTO",IF(ISNUMBER(SEARCH("HIPOT",UPPER($B47))),"HIPOT",IF(ISNUMBER(SEARCH("AHORRO",UPPER($B47))),"AHORRO",UPPER($B47)))),UPPER('Base_Cobranzas'!$AT$2:$AT$702))),--ISNUMBER(SEARCH("PENDIENTE",UPPER(TRIM('Base_Cobranzas'!$BC$2:$BC$702)))),'Base_Cobranzas'!$AR$2:$AR$702),0)</f>
        <v/>
      </c>
      <c r="K47" s="69">
        <f>IFERROR(SUMPRODUCT(--ISNUMBER(SEARCH($B$6,'Base_Cobranzas'!$A$2:$A$702)),--('Base_Cobranzas'!$AI$2:$AI$702&gt;=IF(K$45&lt;3000,DATE(K$45,1,1),K$45)),--('Base_Cobranzas'!$AI$2:$AI$702&lt;IF(K$45&lt;3000,DATE(K$45+1,1,1),EDATE(K$45,1))),--ISNUMBER(SEARCH(IF(ISNUMBER(SEARCH("DIRECTO",UPPER($B47))),"DIRECTO",IF(ISNUMBER(SEARCH("HIPOT",UPPER($B47))),"HIPOT",IF(ISNUMBER(SEARCH("AHORRO",UPPER($B47))),"AHORRO",UPPER($B47)))),UPPER('Base_Cobranzas'!$AT$2:$AT$702))),--ISNUMBER(SEARCH("PENDIENTE",UPPER(TRIM('Base_Cobranzas'!$BC$2:$BC$702)))),'Base_Cobranzas'!$AR$2:$AR$702),0)</f>
        <v/>
      </c>
      <c r="L47" s="69">
        <f>IFERROR(SUMPRODUCT(--ISNUMBER(SEARCH($B$6,'Base_Cobranzas'!$A$2:$A$702)),--('Base_Cobranzas'!$AI$2:$AI$702&gt;=IF(L$45&lt;3000,DATE(L$45,1,1),L$45)),--('Base_Cobranzas'!$AI$2:$AI$702&lt;IF(L$45&lt;3000,DATE(L$45+1,1,1),EDATE(L$45,1))),--ISNUMBER(SEARCH(IF(ISNUMBER(SEARCH("DIRECTO",UPPER($B47))),"DIRECTO",IF(ISNUMBER(SEARCH("HIPOT",UPPER($B47))),"HIPOT",IF(ISNUMBER(SEARCH("AHORRO",UPPER($B47))),"AHORRO",UPPER($B47)))),UPPER('Base_Cobranzas'!$AT$2:$AT$702))),--ISNUMBER(SEARCH("PENDIENTE",UPPER(TRIM('Base_Cobranzas'!$BC$2:$BC$702)))),'Base_Cobranzas'!$AR$2:$AR$702),0)</f>
        <v/>
      </c>
      <c r="M47" s="69">
        <f>IFERROR(SUMPRODUCT(--ISNUMBER(SEARCH($B$6,'Base_Cobranzas'!$A$2:$A$702)),--('Base_Cobranzas'!$AI$2:$AI$702&gt;=IF(M$45&lt;3000,DATE(M$45,1,1),M$45)),--('Base_Cobranzas'!$AI$2:$AI$702&lt;IF(M$45&lt;3000,DATE(M$45+1,1,1),EDATE(M$45,1))),--ISNUMBER(SEARCH(IF(ISNUMBER(SEARCH("DIRECTO",UPPER($B47))),"DIRECTO",IF(ISNUMBER(SEARCH("HIPOT",UPPER($B47))),"HIPOT",IF(ISNUMBER(SEARCH("AHORRO",UPPER($B47))),"AHORRO",UPPER($B47)))),UPPER('Base_Cobranzas'!$AT$2:$AT$702))),--ISNUMBER(SEARCH("PENDIENTE",UPPER(TRIM('Base_Cobranzas'!$BC$2:$BC$702)))),'Base_Cobranzas'!$AR$2:$AR$702),0)</f>
        <v/>
      </c>
      <c r="N47" s="69">
        <f>IFERROR(SUMPRODUCT(--ISNUMBER(SEARCH($B$6,'Base_Cobranzas'!$A$2:$A$702)),--('Base_Cobranzas'!$AI$2:$AI$702&gt;=IF(N$45&lt;3000,DATE(N$45,1,1),N$45)),--('Base_Cobranzas'!$AI$2:$AI$702&lt;IF(N$45&lt;3000,DATE(N$45+1,1,1),EDATE(N$45,1))),--ISNUMBER(SEARCH(IF(ISNUMBER(SEARCH("DIRECTO",UPPER($B47))),"DIRECTO",IF(ISNUMBER(SEARCH("HIPOT",UPPER($B47))),"HIPOT",IF(ISNUMBER(SEARCH("AHORRO",UPPER($B47))),"AHORRO",UPPER($B47)))),UPPER('Base_Cobranzas'!$AT$2:$AT$702))),--ISNUMBER(SEARCH("PENDIENTE",UPPER(TRIM('Base_Cobranzas'!$BC$2:$BC$702)))),'Base_Cobranzas'!$AR$2:$AR$702),0)</f>
        <v/>
      </c>
      <c r="O47" s="69">
        <f>IFERROR(SUMPRODUCT(--ISNUMBER(SEARCH($B$6,'Base_Cobranzas'!$A$2:$A$702)),--('Base_Cobranzas'!$AI$2:$AI$702&gt;=IF(O$45&lt;3000,DATE(O$45,1,1),O$45)),--('Base_Cobranzas'!$AI$2:$AI$702&lt;IF(O$45&lt;3000,DATE(O$45+1,1,1),EDATE(O$45,1))),--ISNUMBER(SEARCH(IF(ISNUMBER(SEARCH("DIRECTO",UPPER($B47))),"DIRECTO",IF(ISNUMBER(SEARCH("HIPOT",UPPER($B47))),"HIPOT",IF(ISNUMBER(SEARCH("AHORRO",UPPER($B47))),"AHORRO",UPPER($B47)))),UPPER('Base_Cobranzas'!$AT$2:$AT$702))),--ISNUMBER(SEARCH("PENDIENTE",UPPER(TRIM('Base_Cobranzas'!$BC$2:$BC$702)))),'Base_Cobranzas'!$AR$2:$AR$702),0)</f>
        <v/>
      </c>
      <c r="P47" s="69">
        <f>IFERROR(SUMPRODUCT(--ISNUMBER(SEARCH($B$6,'Base_Cobranzas'!$A$2:$A$702)),--('Base_Cobranzas'!$AI$2:$AI$702&gt;=IF(P$45&lt;3000,DATE(P$45,1,1),P$45)),--('Base_Cobranzas'!$AI$2:$AI$702&lt;IF(P$45&lt;3000,DATE(P$45+1,1,1),EDATE(P$45,1))),--ISNUMBER(SEARCH(IF(ISNUMBER(SEARCH("DIRECTO",UPPER($B47))),"DIRECTO",IF(ISNUMBER(SEARCH("HIPOT",UPPER($B47))),"HIPOT",IF(ISNUMBER(SEARCH("AHORRO",UPPER($B47))),"AHORRO",UPPER($B47)))),UPPER('Base_Cobranzas'!$AT$2:$AT$702))),--ISNUMBER(SEARCH("PENDIENTE",UPPER(TRIM('Base_Cobranzas'!$BC$2:$BC$702)))),'Base_Cobranzas'!$AR$2:$AR$702),0)</f>
        <v/>
      </c>
      <c r="Q47" s="69">
        <f>IFERROR(SUMPRODUCT(--ISNUMBER(SEARCH($B$6,'Base_Cobranzas'!$A$2:$A$702)),--('Base_Cobranzas'!$AI$2:$AI$702&gt;=IF(Q$45&lt;3000,DATE(Q$45,1,1),Q$45)),--('Base_Cobranzas'!$AI$2:$AI$702&lt;IF(Q$45&lt;3000,DATE(Q$45+1,1,1),EDATE(Q$45,1))),--ISNUMBER(SEARCH(IF(ISNUMBER(SEARCH("DIRECTO",UPPER($B47))),"DIRECTO",IF(ISNUMBER(SEARCH("HIPOT",UPPER($B47))),"HIPOT",IF(ISNUMBER(SEARCH("AHORRO",UPPER($B47))),"AHORRO",UPPER($B47)))),UPPER('Base_Cobranzas'!$AT$2:$AT$702))),--ISNUMBER(SEARCH("PENDIENTE",UPPER(TRIM('Base_Cobranzas'!$BC$2:$BC$702)))),'Base_Cobranzas'!$AR$2:$AR$702),0)</f>
        <v/>
      </c>
      <c r="R47" s="69">
        <f>IFERROR(SUMPRODUCT(--ISNUMBER(SEARCH($B$6,'Base_Cobranzas'!$A$2:$A$702)),--('Base_Cobranzas'!$AI$2:$AI$702&gt;=IF(R$45&lt;3000,DATE(R$45,1,1),R$45)),--('Base_Cobranzas'!$AI$2:$AI$702&lt;IF(R$45&lt;3000,DATE(R$45+1,1,1),EDATE(R$45,1))),--ISNUMBER(SEARCH(IF(ISNUMBER(SEARCH("DIRECTO",UPPER($B47))),"DIRECTO",IF(ISNUMBER(SEARCH("HIPOT",UPPER($B47))),"HIPOT",IF(ISNUMBER(SEARCH("AHORRO",UPPER($B47))),"AHORRO",UPPER($B47)))),UPPER('Base_Cobranzas'!$AT$2:$AT$702))),--ISNUMBER(SEARCH("PENDIENTE",UPPER(TRIM('Base_Cobranzas'!$BC$2:$BC$702)))),'Base_Cobranzas'!$AR$2:$AR$702),0)</f>
        <v/>
      </c>
      <c r="S47" s="70">
        <f>SUM(C47:R47)</f>
        <v/>
      </c>
    </row>
    <row r="48">
      <c r="B48" s="8" t="inlineStr">
        <is>
          <t>Ahorro</t>
        </is>
      </c>
      <c r="C48" s="69">
        <f>IFERROR(SUMPRODUCT(--ISNUMBER(SEARCH($B$6,'Base_Cobranzas'!$A$2:$A$702)),--('Base_Cobranzas'!$AI$2:$AI$702&gt;=IF(C$45&lt;3000,DATE(C$45,1,1),C$45)),--('Base_Cobranzas'!$AI$2:$AI$702&lt;IF(C$45&lt;3000,DATE(C$45+1,1,1),EDATE(C$45,1))),--ISNUMBER(SEARCH(IF(ISNUMBER(SEARCH("DIRECTO",UPPER($B48))),"DIRECTO",IF(ISNUMBER(SEARCH("HIPOT",UPPER($B48))),"HIPOT",IF(ISNUMBER(SEARCH("AHORRO",UPPER($B48))),"AHORRO",UPPER($B48)))),UPPER('Base_Cobranzas'!$AT$2:$AT$702))),--ISNUMBER(SEARCH("PENDIENTE",UPPER(TRIM('Base_Cobranzas'!$BC$2:$BC$702)))),'Base_Cobranzas'!$AR$2:$AR$702),0)</f>
        <v/>
      </c>
      <c r="D48" s="69">
        <f>IFERROR(SUMPRODUCT(--ISNUMBER(SEARCH($B$6,'Base_Cobranzas'!$A$2:$A$702)),--('Base_Cobranzas'!$AI$2:$AI$702&gt;=IF(D$45&lt;3000,DATE(D$45,1,1),D$45)),--('Base_Cobranzas'!$AI$2:$AI$702&lt;IF(D$45&lt;3000,DATE(D$45+1,1,1),EDATE(D$45,1))),--ISNUMBER(SEARCH(IF(ISNUMBER(SEARCH("DIRECTO",UPPER($B48))),"DIRECTO",IF(ISNUMBER(SEARCH("HIPOT",UPPER($B48))),"HIPOT",IF(ISNUMBER(SEARCH("AHORRO",UPPER($B48))),"AHORRO",UPPER($B48)))),UPPER('Base_Cobranzas'!$AT$2:$AT$702))),--ISNUMBER(SEARCH("PENDIENTE",UPPER(TRIM('Base_Cobranzas'!$BC$2:$BC$702)))),'Base_Cobranzas'!$AR$2:$AR$702),0)</f>
        <v/>
      </c>
      <c r="E48" s="69">
        <f>IFERROR(SUMPRODUCT(--ISNUMBER(SEARCH($B$6,'Base_Cobranzas'!$A$2:$A$702)),--('Base_Cobranzas'!$AI$2:$AI$702&gt;=IF(E$45&lt;3000,DATE(E$45,1,1),E$45)),--('Base_Cobranzas'!$AI$2:$AI$702&lt;IF(E$45&lt;3000,DATE(E$45+1,1,1),EDATE(E$45,1))),--ISNUMBER(SEARCH(IF(ISNUMBER(SEARCH("DIRECTO",UPPER($B48))),"DIRECTO",IF(ISNUMBER(SEARCH("HIPOT",UPPER($B48))),"HIPOT",IF(ISNUMBER(SEARCH("AHORRO",UPPER($B48))),"AHORRO",UPPER($B48)))),UPPER('Base_Cobranzas'!$AT$2:$AT$702))),--ISNUMBER(SEARCH("PENDIENTE",UPPER(TRIM('Base_Cobranzas'!$BC$2:$BC$702)))),'Base_Cobranzas'!$AR$2:$AR$702),0)</f>
        <v/>
      </c>
      <c r="F48" s="69">
        <f>IFERROR(SUMPRODUCT(--ISNUMBER(SEARCH($B$6,'Base_Cobranzas'!$A$2:$A$702)),--('Base_Cobranzas'!$AI$2:$AI$702&gt;=IF(F$45&lt;3000,DATE(F$45,1,1),F$45)),--('Base_Cobranzas'!$AI$2:$AI$702&lt;IF(F$45&lt;3000,DATE(F$45+1,1,1),EDATE(F$45,1))),--ISNUMBER(SEARCH(IF(ISNUMBER(SEARCH("DIRECTO",UPPER($B48))),"DIRECTO",IF(ISNUMBER(SEARCH("HIPOT",UPPER($B48))),"HIPOT",IF(ISNUMBER(SEARCH("AHORRO",UPPER($B48))),"AHORRO",UPPER($B48)))),UPPER('Base_Cobranzas'!$AT$2:$AT$702))),--ISNUMBER(SEARCH("PENDIENTE",UPPER(TRIM('Base_Cobranzas'!$BC$2:$BC$702)))),'Base_Cobranzas'!$AR$2:$AR$702),0)</f>
        <v/>
      </c>
      <c r="G48" s="69">
        <f>IFERROR(SUMPRODUCT(--ISNUMBER(SEARCH($B$6,'Base_Cobranzas'!$A$2:$A$702)),--('Base_Cobranzas'!$AI$2:$AI$702&gt;=IF(G$45&lt;3000,DATE(G$45,1,1),G$45)),--('Base_Cobranzas'!$AI$2:$AI$702&lt;IF(G$45&lt;3000,DATE(G$45+1,1,1),EDATE(G$45,1))),--ISNUMBER(SEARCH(IF(ISNUMBER(SEARCH("DIRECTO",UPPER($B48))),"DIRECTO",IF(ISNUMBER(SEARCH("HIPOT",UPPER($B48))),"HIPOT",IF(ISNUMBER(SEARCH("AHORRO",UPPER($B48))),"AHORRO",UPPER($B48)))),UPPER('Base_Cobranzas'!$AT$2:$AT$702))),--ISNUMBER(SEARCH("PENDIENTE",UPPER(TRIM('Base_Cobranzas'!$BC$2:$BC$702)))),'Base_Cobranzas'!$AR$2:$AR$702),0)</f>
        <v/>
      </c>
      <c r="H48" s="69">
        <f>IFERROR(SUMPRODUCT(--ISNUMBER(SEARCH($B$6,'Base_Cobranzas'!$A$2:$A$702)),--('Base_Cobranzas'!$AI$2:$AI$702&gt;=IF(H$45&lt;3000,DATE(H$45,1,1),H$45)),--('Base_Cobranzas'!$AI$2:$AI$702&lt;IF(H$45&lt;3000,DATE(H$45+1,1,1),EDATE(H$45,1))),--ISNUMBER(SEARCH(IF(ISNUMBER(SEARCH("DIRECTO",UPPER($B48))),"DIRECTO",IF(ISNUMBER(SEARCH("HIPOT",UPPER($B48))),"HIPOT",IF(ISNUMBER(SEARCH("AHORRO",UPPER($B48))),"AHORRO",UPPER($B48)))),UPPER('Base_Cobranzas'!$AT$2:$AT$702))),--ISNUMBER(SEARCH("PENDIENTE",UPPER(TRIM('Base_Cobranzas'!$BC$2:$BC$702)))),'Base_Cobranzas'!$AR$2:$AR$702),0)</f>
        <v/>
      </c>
      <c r="I48" s="69">
        <f>IFERROR(SUMPRODUCT(--ISNUMBER(SEARCH($B$6,'Base_Cobranzas'!$A$2:$A$702)),--('Base_Cobranzas'!$AI$2:$AI$702&gt;=IF(I$45&lt;3000,DATE(I$45,1,1),I$45)),--('Base_Cobranzas'!$AI$2:$AI$702&lt;IF(I$45&lt;3000,DATE(I$45+1,1,1),EDATE(I$45,1))),--ISNUMBER(SEARCH(IF(ISNUMBER(SEARCH("DIRECTO",UPPER($B48))),"DIRECTO",IF(ISNUMBER(SEARCH("HIPOT",UPPER($B48))),"HIPOT",IF(ISNUMBER(SEARCH("AHORRO",UPPER($B48))),"AHORRO",UPPER($B48)))),UPPER('Base_Cobranzas'!$AT$2:$AT$702))),--ISNUMBER(SEARCH("PENDIENTE",UPPER(TRIM('Base_Cobranzas'!$BC$2:$BC$702)))),'Base_Cobranzas'!$AR$2:$AR$702),0)</f>
        <v/>
      </c>
      <c r="J48" s="69">
        <f>IFERROR(SUMPRODUCT(--ISNUMBER(SEARCH($B$6,'Base_Cobranzas'!$A$2:$A$702)),--('Base_Cobranzas'!$AI$2:$AI$702&gt;=IF(J$45&lt;3000,DATE(J$45,1,1),J$45)),--('Base_Cobranzas'!$AI$2:$AI$702&lt;IF(J$45&lt;3000,DATE(J$45+1,1,1),EDATE(J$45,1))),--ISNUMBER(SEARCH(IF(ISNUMBER(SEARCH("DIRECTO",UPPER($B48))),"DIRECTO",IF(ISNUMBER(SEARCH("HIPOT",UPPER($B48))),"HIPOT",IF(ISNUMBER(SEARCH("AHORRO",UPPER($B48))),"AHORRO",UPPER($B48)))),UPPER('Base_Cobranzas'!$AT$2:$AT$702))),--ISNUMBER(SEARCH("PENDIENTE",UPPER(TRIM('Base_Cobranzas'!$BC$2:$BC$702)))),'Base_Cobranzas'!$AR$2:$AR$702),0)</f>
        <v/>
      </c>
      <c r="K48" s="69">
        <f>IFERROR(SUMPRODUCT(--ISNUMBER(SEARCH($B$6,'Base_Cobranzas'!$A$2:$A$702)),--('Base_Cobranzas'!$AI$2:$AI$702&gt;=IF(K$45&lt;3000,DATE(K$45,1,1),K$45)),--('Base_Cobranzas'!$AI$2:$AI$702&lt;IF(K$45&lt;3000,DATE(K$45+1,1,1),EDATE(K$45,1))),--ISNUMBER(SEARCH(IF(ISNUMBER(SEARCH("DIRECTO",UPPER($B48))),"DIRECTO",IF(ISNUMBER(SEARCH("HIPOT",UPPER($B48))),"HIPOT",IF(ISNUMBER(SEARCH("AHORRO",UPPER($B48))),"AHORRO",UPPER($B48)))),UPPER('Base_Cobranzas'!$AT$2:$AT$702))),--ISNUMBER(SEARCH("PENDIENTE",UPPER(TRIM('Base_Cobranzas'!$BC$2:$BC$702)))),'Base_Cobranzas'!$AR$2:$AR$702),0)</f>
        <v/>
      </c>
      <c r="L48" s="69">
        <f>IFERROR(SUMPRODUCT(--ISNUMBER(SEARCH($B$6,'Base_Cobranzas'!$A$2:$A$702)),--('Base_Cobranzas'!$AI$2:$AI$702&gt;=IF(L$45&lt;3000,DATE(L$45,1,1),L$45)),--('Base_Cobranzas'!$AI$2:$AI$702&lt;IF(L$45&lt;3000,DATE(L$45+1,1,1),EDATE(L$45,1))),--ISNUMBER(SEARCH(IF(ISNUMBER(SEARCH("DIRECTO",UPPER($B48))),"DIRECTO",IF(ISNUMBER(SEARCH("HIPOT",UPPER($B48))),"HIPOT",IF(ISNUMBER(SEARCH("AHORRO",UPPER($B48))),"AHORRO",UPPER($B48)))),UPPER('Base_Cobranzas'!$AT$2:$AT$702))),--ISNUMBER(SEARCH("PENDIENTE",UPPER(TRIM('Base_Cobranzas'!$BC$2:$BC$702)))),'Base_Cobranzas'!$AR$2:$AR$702),0)</f>
        <v/>
      </c>
      <c r="M48" s="69">
        <f>IFERROR(SUMPRODUCT(--ISNUMBER(SEARCH($B$6,'Base_Cobranzas'!$A$2:$A$702)),--('Base_Cobranzas'!$AI$2:$AI$702&gt;=IF(M$45&lt;3000,DATE(M$45,1,1),M$45)),--('Base_Cobranzas'!$AI$2:$AI$702&lt;IF(M$45&lt;3000,DATE(M$45+1,1,1),EDATE(M$45,1))),--ISNUMBER(SEARCH(IF(ISNUMBER(SEARCH("DIRECTO",UPPER($B48))),"DIRECTO",IF(ISNUMBER(SEARCH("HIPOT",UPPER($B48))),"HIPOT",IF(ISNUMBER(SEARCH("AHORRO",UPPER($B48))),"AHORRO",UPPER($B48)))),UPPER('Base_Cobranzas'!$AT$2:$AT$702))),--ISNUMBER(SEARCH("PENDIENTE",UPPER(TRIM('Base_Cobranzas'!$BC$2:$BC$702)))),'Base_Cobranzas'!$AR$2:$AR$702),0)</f>
        <v/>
      </c>
      <c r="N48" s="69">
        <f>IFERROR(SUMPRODUCT(--ISNUMBER(SEARCH($B$6,'Base_Cobranzas'!$A$2:$A$702)),--('Base_Cobranzas'!$AI$2:$AI$702&gt;=IF(N$45&lt;3000,DATE(N$45,1,1),N$45)),--('Base_Cobranzas'!$AI$2:$AI$702&lt;IF(N$45&lt;3000,DATE(N$45+1,1,1),EDATE(N$45,1))),--ISNUMBER(SEARCH(IF(ISNUMBER(SEARCH("DIRECTO",UPPER($B48))),"DIRECTO",IF(ISNUMBER(SEARCH("HIPOT",UPPER($B48))),"HIPOT",IF(ISNUMBER(SEARCH("AHORRO",UPPER($B48))),"AHORRO",UPPER($B48)))),UPPER('Base_Cobranzas'!$AT$2:$AT$702))),--ISNUMBER(SEARCH("PENDIENTE",UPPER(TRIM('Base_Cobranzas'!$BC$2:$BC$702)))),'Base_Cobranzas'!$AR$2:$AR$702),0)</f>
        <v/>
      </c>
      <c r="O48" s="69">
        <f>IFERROR(SUMPRODUCT(--ISNUMBER(SEARCH($B$6,'Base_Cobranzas'!$A$2:$A$702)),--('Base_Cobranzas'!$AI$2:$AI$702&gt;=IF(O$45&lt;3000,DATE(O$45,1,1),O$45)),--('Base_Cobranzas'!$AI$2:$AI$702&lt;IF(O$45&lt;3000,DATE(O$45+1,1,1),EDATE(O$45,1))),--ISNUMBER(SEARCH(IF(ISNUMBER(SEARCH("DIRECTO",UPPER($B48))),"DIRECTO",IF(ISNUMBER(SEARCH("HIPOT",UPPER($B48))),"HIPOT",IF(ISNUMBER(SEARCH("AHORRO",UPPER($B48))),"AHORRO",UPPER($B48)))),UPPER('Base_Cobranzas'!$AT$2:$AT$702))),--ISNUMBER(SEARCH("PENDIENTE",UPPER(TRIM('Base_Cobranzas'!$BC$2:$BC$702)))),'Base_Cobranzas'!$AR$2:$AR$702),0)</f>
        <v/>
      </c>
      <c r="P48" s="69">
        <f>IFERROR(SUMPRODUCT(--ISNUMBER(SEARCH($B$6,'Base_Cobranzas'!$A$2:$A$702)),--('Base_Cobranzas'!$AI$2:$AI$702&gt;=IF(P$45&lt;3000,DATE(P$45,1,1),P$45)),--('Base_Cobranzas'!$AI$2:$AI$702&lt;IF(P$45&lt;3000,DATE(P$45+1,1,1),EDATE(P$45,1))),--ISNUMBER(SEARCH(IF(ISNUMBER(SEARCH("DIRECTO",UPPER($B48))),"DIRECTO",IF(ISNUMBER(SEARCH("HIPOT",UPPER($B48))),"HIPOT",IF(ISNUMBER(SEARCH("AHORRO",UPPER($B48))),"AHORRO",UPPER($B48)))),UPPER('Base_Cobranzas'!$AT$2:$AT$702))),--ISNUMBER(SEARCH("PENDIENTE",UPPER(TRIM('Base_Cobranzas'!$BC$2:$BC$702)))),'Base_Cobranzas'!$AR$2:$AR$702),0)</f>
        <v/>
      </c>
      <c r="Q48" s="69">
        <f>IFERROR(SUMPRODUCT(--ISNUMBER(SEARCH($B$6,'Base_Cobranzas'!$A$2:$A$702)),--('Base_Cobranzas'!$AI$2:$AI$702&gt;=IF(Q$45&lt;3000,DATE(Q$45,1,1),Q$45)),--('Base_Cobranzas'!$AI$2:$AI$702&lt;IF(Q$45&lt;3000,DATE(Q$45+1,1,1),EDATE(Q$45,1))),--ISNUMBER(SEARCH(IF(ISNUMBER(SEARCH("DIRECTO",UPPER($B48))),"DIRECTO",IF(ISNUMBER(SEARCH("HIPOT",UPPER($B48))),"HIPOT",IF(ISNUMBER(SEARCH("AHORRO",UPPER($B48))),"AHORRO",UPPER($B48)))),UPPER('Base_Cobranzas'!$AT$2:$AT$702))),--ISNUMBER(SEARCH("PENDIENTE",UPPER(TRIM('Base_Cobranzas'!$BC$2:$BC$702)))),'Base_Cobranzas'!$AR$2:$AR$702),0)</f>
        <v/>
      </c>
      <c r="R48" s="69">
        <f>IFERROR(SUMPRODUCT(--ISNUMBER(SEARCH($B$6,'Base_Cobranzas'!$A$2:$A$702)),--('Base_Cobranzas'!$AI$2:$AI$702&gt;=IF(R$45&lt;3000,DATE(R$45,1,1),R$45)),--('Base_Cobranzas'!$AI$2:$AI$702&lt;IF(R$45&lt;3000,DATE(R$45+1,1,1),EDATE(R$45,1))),--ISNUMBER(SEARCH(IF(ISNUMBER(SEARCH("DIRECTO",UPPER($B48))),"DIRECTO",IF(ISNUMBER(SEARCH("HIPOT",UPPER($B48))),"HIPOT",IF(ISNUMBER(SEARCH("AHORRO",UPPER($B48))),"AHORRO",UPPER($B48)))),UPPER('Base_Cobranzas'!$AT$2:$AT$702))),--ISNUMBER(SEARCH("PENDIENTE",UPPER(TRIM('Base_Cobranzas'!$BC$2:$BC$702)))),'Base_Cobranzas'!$AR$2:$AR$702),0)</f>
        <v/>
      </c>
      <c r="S48" s="70">
        <f>SUM(C48:R48)</f>
        <v/>
      </c>
    </row>
    <row r="49">
      <c r="B49" s="7" t="inlineStr">
        <is>
          <t>Total</t>
        </is>
      </c>
      <c r="C49" s="71">
        <f>SUM(C46:C48)</f>
        <v/>
      </c>
      <c r="D49" s="71">
        <f>SUM(D46:D48)</f>
        <v/>
      </c>
      <c r="E49" s="71">
        <f>SUM(E46:E48)</f>
        <v/>
      </c>
      <c r="F49" s="71">
        <f>SUM(F46:F48)</f>
        <v/>
      </c>
      <c r="G49" s="71">
        <f>SUM(G46:G48)</f>
        <v/>
      </c>
      <c r="H49" s="71">
        <f>SUM(H46:H48)</f>
        <v/>
      </c>
      <c r="I49" s="71">
        <f>SUM(I46:I48)</f>
        <v/>
      </c>
      <c r="J49" s="71">
        <f>SUM(J46:J48)</f>
        <v/>
      </c>
      <c r="K49" s="71">
        <f>SUM(K46:K48)</f>
        <v/>
      </c>
      <c r="L49" s="71">
        <f>SUM(L46:L48)</f>
        <v/>
      </c>
      <c r="M49" s="71">
        <f>SUM(M46:M48)</f>
        <v/>
      </c>
      <c r="N49" s="71">
        <f>SUM(N46:N48)</f>
        <v/>
      </c>
      <c r="O49" s="71">
        <f>SUM(O46:O48)</f>
        <v/>
      </c>
      <c r="P49" s="71">
        <f>SUM(P46:P48)</f>
        <v/>
      </c>
      <c r="Q49" s="71">
        <f>SUM(Q46:Q48)</f>
        <v/>
      </c>
      <c r="R49" s="71">
        <f>SUM(R46:R48)</f>
        <v/>
      </c>
      <c r="S49" s="71">
        <f>SUM(C49:R49)</f>
        <v/>
      </c>
      <c r="T49">
        <f>IF($H$21=S49,"OK","REVISAR")</f>
        <v/>
      </c>
    </row>
    <row r="51">
      <c r="B51" s="7" t="inlineStr">
        <is>
          <t>Acumulado</t>
        </is>
      </c>
      <c r="C51" s="74">
        <f>C49</f>
        <v/>
      </c>
      <c r="D51" s="72">
        <f>C51+D49</f>
        <v/>
      </c>
      <c r="E51" s="72">
        <f>D51+E49</f>
        <v/>
      </c>
      <c r="F51" s="72">
        <f>E51+F49</f>
        <v/>
      </c>
      <c r="G51" s="72">
        <f>F51+G49</f>
        <v/>
      </c>
      <c r="H51" s="72">
        <f>G51+H49</f>
        <v/>
      </c>
      <c r="I51" s="72">
        <f>H51+I49</f>
        <v/>
      </c>
      <c r="J51" s="72">
        <f>I51+J49</f>
        <v/>
      </c>
      <c r="K51" s="72">
        <f>J51+K49</f>
        <v/>
      </c>
      <c r="L51" s="72">
        <f>K51+L49</f>
        <v/>
      </c>
      <c r="M51" s="72">
        <f>L51+M49</f>
        <v/>
      </c>
      <c r="N51" s="72">
        <f>M51+N49</f>
        <v/>
      </c>
      <c r="O51" s="72">
        <f>N51+O49</f>
        <v/>
      </c>
      <c r="P51" s="72">
        <f>O51+P49</f>
        <v/>
      </c>
      <c r="Q51" s="72">
        <f>P51+Q49</f>
        <v/>
      </c>
      <c r="R51" s="72">
        <f>Q51+R49</f>
        <v/>
      </c>
      <c r="S51" s="73" t="n"/>
    </row>
    <row r="55" ht="21" customHeight="1">
      <c r="B55" s="1" t="inlineStr">
        <is>
          <t>COBRANZA MOROSA</t>
        </is>
      </c>
    </row>
    <row r="57">
      <c r="B57" s="25" t="inlineStr">
        <is>
          <t>Tipo de Credito</t>
        </is>
      </c>
      <c r="C57" s="26" t="n">
        <v>45870</v>
      </c>
      <c r="D57" s="26" t="n">
        <v>45901</v>
      </c>
      <c r="E57" s="26" t="n">
        <v>45931</v>
      </c>
      <c r="F57" s="26" t="n">
        <v>45962</v>
      </c>
      <c r="G57" s="26" t="n">
        <v>45992</v>
      </c>
      <c r="H57" s="26" t="n">
        <v>46023</v>
      </c>
      <c r="I57" s="26" t="n">
        <v>46054</v>
      </c>
      <c r="J57" s="26" t="n">
        <v>46082</v>
      </c>
      <c r="K57" s="26" t="n">
        <v>46113</v>
      </c>
      <c r="L57" s="26" t="n">
        <v>46143</v>
      </c>
      <c r="M57" s="26" t="n">
        <v>46174</v>
      </c>
      <c r="N57" s="26" t="inlineStr">
        <is>
          <t>Total</t>
        </is>
      </c>
    </row>
    <row r="58">
      <c r="B58" s="8" t="inlineStr">
        <is>
          <t>Crédito Directo</t>
        </is>
      </c>
      <c r="C58" s="69">
        <f>IFERROR(SUMPRODUCT(--ISNUMBER(SEARCH($B$6,'Base_Cobranzas'!$A$2:$A$702)),--('Base_Cobranzas'!$AI$2:$AI$702&gt;=IF(C$57&lt;3000,DATE(C$57,1,1),C$57)),--('Base_Cobranzas'!$AI$2:$AI$702&lt;IF(C$57&lt;3000,DATE(C$57+1,1,1),EDATE(C$57,1))),--ISNUMBER(SEARCH(IF(ISNUMBER(SEARCH("DIRECTO",UPPER($B58))),"DIRECTO",IF(ISNUMBER(SEARCH("HIPOT",UPPER($B58))),"HIPOT",IF(ISNUMBER(SEARCH("AHORRO",UPPER($B58))),"AHORRO",UPPER($B58)))),UPPER('Base_Cobranzas'!$AT$2:$AT$702))),--ISNUMBER(SEARCH("VENCIDO",UPPER(TRIM('Base_Cobranzas'!$BC$2:$BC$702)))),'Base_Cobranzas'!$AR$2:$AR$702),0)</f>
        <v/>
      </c>
      <c r="D58" s="69">
        <f>IFERROR(SUMPRODUCT(--ISNUMBER(SEARCH($B$6,'Base_Cobranzas'!$A$2:$A$702)),--('Base_Cobranzas'!$AI$2:$AI$702&gt;=IF(D$57&lt;3000,DATE(D$57,1,1),D$57)),--('Base_Cobranzas'!$AI$2:$AI$702&lt;IF(D$57&lt;3000,DATE(D$57+1,1,1),EDATE(D$57,1))),--ISNUMBER(SEARCH(IF(ISNUMBER(SEARCH("DIRECTO",UPPER($B58))),"DIRECTO",IF(ISNUMBER(SEARCH("HIPOT",UPPER($B58))),"HIPOT",IF(ISNUMBER(SEARCH("AHORRO",UPPER($B58))),"AHORRO",UPPER($B58)))),UPPER('Base_Cobranzas'!$AT$2:$AT$702))),--ISNUMBER(SEARCH("VENCIDO",UPPER(TRIM('Base_Cobranzas'!$BC$2:$BC$702)))),'Base_Cobranzas'!$AR$2:$AR$702),0)</f>
        <v/>
      </c>
      <c r="E58" s="69">
        <f>IFERROR(SUMPRODUCT(--ISNUMBER(SEARCH($B$6,'Base_Cobranzas'!$A$2:$A$702)),--('Base_Cobranzas'!$AI$2:$AI$702&gt;=IF(E$57&lt;3000,DATE(E$57,1,1),E$57)),--('Base_Cobranzas'!$AI$2:$AI$702&lt;IF(E$57&lt;3000,DATE(E$57+1,1,1),EDATE(E$57,1))),--ISNUMBER(SEARCH(IF(ISNUMBER(SEARCH("DIRECTO",UPPER($B58))),"DIRECTO",IF(ISNUMBER(SEARCH("HIPOT",UPPER($B58))),"HIPOT",IF(ISNUMBER(SEARCH("AHORRO",UPPER($B58))),"AHORRO",UPPER($B58)))),UPPER('Base_Cobranzas'!$AT$2:$AT$702))),--ISNUMBER(SEARCH("VENCIDO",UPPER(TRIM('Base_Cobranzas'!$BC$2:$BC$702)))),'Base_Cobranzas'!$AR$2:$AR$702),0)</f>
        <v/>
      </c>
      <c r="F58" s="69">
        <f>IFERROR(SUMPRODUCT(--ISNUMBER(SEARCH($B$6,'Base_Cobranzas'!$A$2:$A$702)),--('Base_Cobranzas'!$AI$2:$AI$702&gt;=IF(F$57&lt;3000,DATE(F$57,1,1),F$57)),--('Base_Cobranzas'!$AI$2:$AI$702&lt;IF(F$57&lt;3000,DATE(F$57+1,1,1),EDATE(F$57,1))),--ISNUMBER(SEARCH(IF(ISNUMBER(SEARCH("DIRECTO",UPPER($B58))),"DIRECTO",IF(ISNUMBER(SEARCH("HIPOT",UPPER($B58))),"HIPOT",IF(ISNUMBER(SEARCH("AHORRO",UPPER($B58))),"AHORRO",UPPER($B58)))),UPPER('Base_Cobranzas'!$AT$2:$AT$702))),--ISNUMBER(SEARCH("VENCIDO",UPPER(TRIM('Base_Cobranzas'!$BC$2:$BC$702)))),'Base_Cobranzas'!$AR$2:$AR$702),0)</f>
        <v/>
      </c>
      <c r="G58" s="69">
        <f>IFERROR(SUMPRODUCT(--ISNUMBER(SEARCH($B$6,'Base_Cobranzas'!$A$2:$A$702)),--('Base_Cobranzas'!$AI$2:$AI$702&gt;=IF(G$57&lt;3000,DATE(G$57,1,1),G$57)),--('Base_Cobranzas'!$AI$2:$AI$702&lt;IF(G$57&lt;3000,DATE(G$57+1,1,1),EDATE(G$57,1))),--ISNUMBER(SEARCH(IF(ISNUMBER(SEARCH("DIRECTO",UPPER($B58))),"DIRECTO",IF(ISNUMBER(SEARCH("HIPOT",UPPER($B58))),"HIPOT",IF(ISNUMBER(SEARCH("AHORRO",UPPER($B58))),"AHORRO",UPPER($B58)))),UPPER('Base_Cobranzas'!$AT$2:$AT$702))),--ISNUMBER(SEARCH("VENCIDO",UPPER(TRIM('Base_Cobranzas'!$BC$2:$BC$702)))),'Base_Cobranzas'!$AR$2:$AR$702),0)</f>
        <v/>
      </c>
      <c r="H58" s="69">
        <f>IFERROR(SUMPRODUCT(--ISNUMBER(SEARCH($B$6,'Base_Cobranzas'!$A$2:$A$702)),--('Base_Cobranzas'!$AI$2:$AI$702&gt;=IF(H$57&lt;3000,DATE(H$57,1,1),H$57)),--('Base_Cobranzas'!$AI$2:$AI$702&lt;IF(H$57&lt;3000,DATE(H$57+1,1,1),EDATE(H$57,1))),--ISNUMBER(SEARCH(IF(ISNUMBER(SEARCH("DIRECTO",UPPER($B58))),"DIRECTO",IF(ISNUMBER(SEARCH("HIPOT",UPPER($B58))),"HIPOT",IF(ISNUMBER(SEARCH("AHORRO",UPPER($B58))),"AHORRO",UPPER($B58)))),UPPER('Base_Cobranzas'!$AT$2:$AT$702))),--ISNUMBER(SEARCH("VENCIDO",UPPER(TRIM('Base_Cobranzas'!$BC$2:$BC$702)))),'Base_Cobranzas'!$AR$2:$AR$702),0)</f>
        <v/>
      </c>
      <c r="I58" s="69">
        <f>IFERROR(SUMPRODUCT(--ISNUMBER(SEARCH($B$6,'Base_Cobranzas'!$A$2:$A$702)),--('Base_Cobranzas'!$AI$2:$AI$702&gt;=IF(I$57&lt;3000,DATE(I$57,1,1),I$57)),--('Base_Cobranzas'!$AI$2:$AI$702&lt;IF(I$57&lt;3000,DATE(I$57+1,1,1),EDATE(I$57,1))),--ISNUMBER(SEARCH(IF(ISNUMBER(SEARCH("DIRECTO",UPPER($B58))),"DIRECTO",IF(ISNUMBER(SEARCH("HIPOT",UPPER($B58))),"HIPOT",IF(ISNUMBER(SEARCH("AHORRO",UPPER($B58))),"AHORRO",UPPER($B58)))),UPPER('Base_Cobranzas'!$AT$2:$AT$702))),--ISNUMBER(SEARCH("VENCIDO",UPPER(TRIM('Base_Cobranzas'!$BC$2:$BC$702)))),'Base_Cobranzas'!$AR$2:$AR$702),0)</f>
        <v/>
      </c>
      <c r="J58" s="69">
        <f>IFERROR(SUMPRODUCT(--ISNUMBER(SEARCH($B$6,'Base_Cobranzas'!$A$2:$A$702)),--('Base_Cobranzas'!$AI$2:$AI$702&gt;=IF(J$57&lt;3000,DATE(J$57,1,1),J$57)),--('Base_Cobranzas'!$AI$2:$AI$702&lt;IF(J$57&lt;3000,DATE(J$57+1,1,1),EDATE(J$57,1))),--ISNUMBER(SEARCH(IF(ISNUMBER(SEARCH("DIRECTO",UPPER($B58))),"DIRECTO",IF(ISNUMBER(SEARCH("HIPOT",UPPER($B58))),"HIPOT",IF(ISNUMBER(SEARCH("AHORRO",UPPER($B58))),"AHORRO",UPPER($B58)))),UPPER('Base_Cobranzas'!$AT$2:$AT$702))),--ISNUMBER(SEARCH("VENCIDO",UPPER(TRIM('Base_Cobranzas'!$BC$2:$BC$702)))),'Base_Cobranzas'!$AR$2:$AR$702),0)</f>
        <v/>
      </c>
      <c r="K58" s="69">
        <f>IFERROR(SUMPRODUCT(--ISNUMBER(SEARCH($B$6,'Base_Cobranzas'!$A$2:$A$702)),--('Base_Cobranzas'!$AI$2:$AI$702&gt;=IF(K$57&lt;3000,DATE(K$57,1,1),K$57)),--('Base_Cobranzas'!$AI$2:$AI$702&lt;IF(K$57&lt;3000,DATE(K$57+1,1,1),EDATE(K$57,1))),--ISNUMBER(SEARCH(IF(ISNUMBER(SEARCH("DIRECTO",UPPER($B58))),"DIRECTO",IF(ISNUMBER(SEARCH("HIPOT",UPPER($B58))),"HIPOT",IF(ISNUMBER(SEARCH("AHORRO",UPPER($B58))),"AHORRO",UPPER($B58)))),UPPER('Base_Cobranzas'!$AT$2:$AT$702))),--ISNUMBER(SEARCH("VENCIDO",UPPER(TRIM('Base_Cobranzas'!$BC$2:$BC$702)))),'Base_Cobranzas'!$AR$2:$AR$702),0)</f>
        <v/>
      </c>
      <c r="L58" s="69">
        <f>IFERROR(SUMPRODUCT(--ISNUMBER(SEARCH($B$6,'Base_Cobranzas'!$A$2:$A$702)),--('Base_Cobranzas'!$AI$2:$AI$702&gt;=IF(L$57&lt;3000,DATE(L$57,1,1),L$57)),--('Base_Cobranzas'!$AI$2:$AI$702&lt;IF(L$57&lt;3000,DATE(L$57+1,1,1),EDATE(L$57,1))),--ISNUMBER(SEARCH(IF(ISNUMBER(SEARCH("DIRECTO",UPPER($B58))),"DIRECTO",IF(ISNUMBER(SEARCH("HIPOT",UPPER($B58))),"HIPOT",IF(ISNUMBER(SEARCH("AHORRO",UPPER($B58))),"AHORRO",UPPER($B58)))),UPPER('Base_Cobranzas'!$AT$2:$AT$702))),--ISNUMBER(SEARCH("VENCIDO",UPPER(TRIM('Base_Cobranzas'!$BC$2:$BC$702)))),'Base_Cobranzas'!$AR$2:$AR$702),0)</f>
        <v/>
      </c>
      <c r="M58" s="69">
        <f>IFERROR(SUMPRODUCT(--ISNUMBER(SEARCH($B$6,'Base_Cobranzas'!$A$2:$A$702)),--('Base_Cobranzas'!$AI$2:$AI$702&gt;=IF(M$57&lt;3000,DATE(M$57,1,1),M$57)),--('Base_Cobranzas'!$AI$2:$AI$702&lt;IF(M$57&lt;3000,DATE(M$57+1,1,1),EDATE(M$57,1))),--ISNUMBER(SEARCH(IF(ISNUMBER(SEARCH("DIRECTO",UPPER($B58))),"DIRECTO",IF(ISNUMBER(SEARCH("HIPOT",UPPER($B58))),"HIPOT",IF(ISNUMBER(SEARCH("AHORRO",UPPER($B58))),"AHORRO",UPPER($B58)))),UPPER('Base_Cobranzas'!$AT$2:$AT$702))),--ISNUMBER(SEARCH("VENCIDO",UPPER(TRIM('Base_Cobranzas'!$BC$2:$BC$702)))),'Base_Cobranzas'!$AR$2:$AR$702),0)</f>
        <v/>
      </c>
      <c r="N58" s="70">
        <f>SUM(C58:M58)</f>
        <v/>
      </c>
    </row>
    <row r="59">
      <c r="B59" s="8" t="inlineStr">
        <is>
          <t>Crédito Hipotecario</t>
        </is>
      </c>
      <c r="C59" s="69">
        <f>IFERROR(SUMPRODUCT(--ISNUMBER(SEARCH($B$6,'Base_Cobranzas'!$A$2:$A$702)),--('Base_Cobranzas'!$AI$2:$AI$702&gt;=IF(C$57&lt;3000,DATE(C$57,1,1),C$57)),--('Base_Cobranzas'!$AI$2:$AI$702&lt;IF(C$57&lt;3000,DATE(C$57+1,1,1),EDATE(C$57,1))),--ISNUMBER(SEARCH(IF(ISNUMBER(SEARCH("DIRECTO",UPPER($B59))),"DIRECTO",IF(ISNUMBER(SEARCH("HIPOT",UPPER($B59))),"HIPOT",IF(ISNUMBER(SEARCH("AHORRO",UPPER($B59))),"AHORRO",UPPER($B59)))),UPPER('Base_Cobranzas'!$AT$2:$AT$702))),--ISNUMBER(SEARCH("VENCIDO",UPPER(TRIM('Base_Cobranzas'!$BC$2:$BC$702)))),'Base_Cobranzas'!$AR$2:$AR$702),0)</f>
        <v/>
      </c>
      <c r="D59" s="69">
        <f>IFERROR(SUMPRODUCT(--ISNUMBER(SEARCH($B$6,'Base_Cobranzas'!$A$2:$A$702)),--('Base_Cobranzas'!$AI$2:$AI$702&gt;=IF(D$57&lt;3000,DATE(D$57,1,1),D$57)),--('Base_Cobranzas'!$AI$2:$AI$702&lt;IF(D$57&lt;3000,DATE(D$57+1,1,1),EDATE(D$57,1))),--ISNUMBER(SEARCH(IF(ISNUMBER(SEARCH("DIRECTO",UPPER($B59))),"DIRECTO",IF(ISNUMBER(SEARCH("HIPOT",UPPER($B59))),"HIPOT",IF(ISNUMBER(SEARCH("AHORRO",UPPER($B59))),"AHORRO",UPPER($B59)))),UPPER('Base_Cobranzas'!$AT$2:$AT$702))),--ISNUMBER(SEARCH("VENCIDO",UPPER(TRIM('Base_Cobranzas'!$BC$2:$BC$702)))),'Base_Cobranzas'!$AR$2:$AR$702),0)</f>
        <v/>
      </c>
      <c r="E59" s="69">
        <f>IFERROR(SUMPRODUCT(--ISNUMBER(SEARCH($B$6,'Base_Cobranzas'!$A$2:$A$702)),--('Base_Cobranzas'!$AI$2:$AI$702&gt;=IF(E$57&lt;3000,DATE(E$57,1,1),E$57)),--('Base_Cobranzas'!$AI$2:$AI$702&lt;IF(E$57&lt;3000,DATE(E$57+1,1,1),EDATE(E$57,1))),--ISNUMBER(SEARCH(IF(ISNUMBER(SEARCH("DIRECTO",UPPER($B59))),"DIRECTO",IF(ISNUMBER(SEARCH("HIPOT",UPPER($B59))),"HIPOT",IF(ISNUMBER(SEARCH("AHORRO",UPPER($B59))),"AHORRO",UPPER($B59)))),UPPER('Base_Cobranzas'!$AT$2:$AT$702))),--ISNUMBER(SEARCH("VENCIDO",UPPER(TRIM('Base_Cobranzas'!$BC$2:$BC$702)))),'Base_Cobranzas'!$AR$2:$AR$702),0)</f>
        <v/>
      </c>
      <c r="F59" s="69">
        <f>IFERROR(SUMPRODUCT(--ISNUMBER(SEARCH($B$6,'Base_Cobranzas'!$A$2:$A$702)),--('Base_Cobranzas'!$AI$2:$AI$702&gt;=IF(F$57&lt;3000,DATE(F$57,1,1),F$57)),--('Base_Cobranzas'!$AI$2:$AI$702&lt;IF(F$57&lt;3000,DATE(F$57+1,1,1),EDATE(F$57,1))),--ISNUMBER(SEARCH(IF(ISNUMBER(SEARCH("DIRECTO",UPPER($B59))),"DIRECTO",IF(ISNUMBER(SEARCH("HIPOT",UPPER($B59))),"HIPOT",IF(ISNUMBER(SEARCH("AHORRO",UPPER($B59))),"AHORRO",UPPER($B59)))),UPPER('Base_Cobranzas'!$AT$2:$AT$702))),--ISNUMBER(SEARCH("VENCIDO",UPPER(TRIM('Base_Cobranzas'!$BC$2:$BC$702)))),'Base_Cobranzas'!$AR$2:$AR$702),0)</f>
        <v/>
      </c>
      <c r="G59" s="69">
        <f>IFERROR(SUMPRODUCT(--ISNUMBER(SEARCH($B$6,'Base_Cobranzas'!$A$2:$A$702)),--('Base_Cobranzas'!$AI$2:$AI$702&gt;=IF(G$57&lt;3000,DATE(G$57,1,1),G$57)),--('Base_Cobranzas'!$AI$2:$AI$702&lt;IF(G$57&lt;3000,DATE(G$57+1,1,1),EDATE(G$57,1))),--ISNUMBER(SEARCH(IF(ISNUMBER(SEARCH("DIRECTO",UPPER($B59))),"DIRECTO",IF(ISNUMBER(SEARCH("HIPOT",UPPER($B59))),"HIPOT",IF(ISNUMBER(SEARCH("AHORRO",UPPER($B59))),"AHORRO",UPPER($B59)))),UPPER('Base_Cobranzas'!$AT$2:$AT$702))),--ISNUMBER(SEARCH("VENCIDO",UPPER(TRIM('Base_Cobranzas'!$BC$2:$BC$702)))),'Base_Cobranzas'!$AR$2:$AR$702),0)</f>
        <v/>
      </c>
      <c r="H59" s="69">
        <f>IFERROR(SUMPRODUCT(--ISNUMBER(SEARCH($B$6,'Base_Cobranzas'!$A$2:$A$702)),--('Base_Cobranzas'!$AI$2:$AI$702&gt;=IF(H$57&lt;3000,DATE(H$57,1,1),H$57)),--('Base_Cobranzas'!$AI$2:$AI$702&lt;IF(H$57&lt;3000,DATE(H$57+1,1,1),EDATE(H$57,1))),--ISNUMBER(SEARCH(IF(ISNUMBER(SEARCH("DIRECTO",UPPER($B59))),"DIRECTO",IF(ISNUMBER(SEARCH("HIPOT",UPPER($B59))),"HIPOT",IF(ISNUMBER(SEARCH("AHORRO",UPPER($B59))),"AHORRO",UPPER($B59)))),UPPER('Base_Cobranzas'!$AT$2:$AT$702))),--ISNUMBER(SEARCH("VENCIDO",UPPER(TRIM('Base_Cobranzas'!$BC$2:$BC$702)))),'Base_Cobranzas'!$AR$2:$AR$702),0)</f>
        <v/>
      </c>
      <c r="I59" s="69">
        <f>IFERROR(SUMPRODUCT(--ISNUMBER(SEARCH($B$6,'Base_Cobranzas'!$A$2:$A$702)),--('Base_Cobranzas'!$AI$2:$AI$702&gt;=IF(I$57&lt;3000,DATE(I$57,1,1),I$57)),--('Base_Cobranzas'!$AI$2:$AI$702&lt;IF(I$57&lt;3000,DATE(I$57+1,1,1),EDATE(I$57,1))),--ISNUMBER(SEARCH(IF(ISNUMBER(SEARCH("DIRECTO",UPPER($B59))),"DIRECTO",IF(ISNUMBER(SEARCH("HIPOT",UPPER($B59))),"HIPOT",IF(ISNUMBER(SEARCH("AHORRO",UPPER($B59))),"AHORRO",UPPER($B59)))),UPPER('Base_Cobranzas'!$AT$2:$AT$702))),--ISNUMBER(SEARCH("VENCIDO",UPPER(TRIM('Base_Cobranzas'!$BC$2:$BC$702)))),'Base_Cobranzas'!$AR$2:$AR$702),0)</f>
        <v/>
      </c>
      <c r="J59" s="69">
        <f>IFERROR(SUMPRODUCT(--ISNUMBER(SEARCH($B$6,'Base_Cobranzas'!$A$2:$A$702)),--('Base_Cobranzas'!$AI$2:$AI$702&gt;=IF(J$57&lt;3000,DATE(J$57,1,1),J$57)),--('Base_Cobranzas'!$AI$2:$AI$702&lt;IF(J$57&lt;3000,DATE(J$57+1,1,1),EDATE(J$57,1))),--ISNUMBER(SEARCH(IF(ISNUMBER(SEARCH("DIRECTO",UPPER($B59))),"DIRECTO",IF(ISNUMBER(SEARCH("HIPOT",UPPER($B59))),"HIPOT",IF(ISNUMBER(SEARCH("AHORRO",UPPER($B59))),"AHORRO",UPPER($B59)))),UPPER('Base_Cobranzas'!$AT$2:$AT$702))),--ISNUMBER(SEARCH("VENCIDO",UPPER(TRIM('Base_Cobranzas'!$BC$2:$BC$702)))),'Base_Cobranzas'!$AR$2:$AR$702),0)</f>
        <v/>
      </c>
      <c r="K59" s="69">
        <f>IFERROR(SUMPRODUCT(--ISNUMBER(SEARCH($B$6,'Base_Cobranzas'!$A$2:$A$702)),--('Base_Cobranzas'!$AI$2:$AI$702&gt;=IF(K$57&lt;3000,DATE(K$57,1,1),K$57)),--('Base_Cobranzas'!$AI$2:$AI$702&lt;IF(K$57&lt;3000,DATE(K$57+1,1,1),EDATE(K$57,1))),--ISNUMBER(SEARCH(IF(ISNUMBER(SEARCH("DIRECTO",UPPER($B59))),"DIRECTO",IF(ISNUMBER(SEARCH("HIPOT",UPPER($B59))),"HIPOT",IF(ISNUMBER(SEARCH("AHORRO",UPPER($B59))),"AHORRO",UPPER($B59)))),UPPER('Base_Cobranzas'!$AT$2:$AT$702))),--ISNUMBER(SEARCH("VENCIDO",UPPER(TRIM('Base_Cobranzas'!$BC$2:$BC$702)))),'Base_Cobranzas'!$AR$2:$AR$702),0)</f>
        <v/>
      </c>
      <c r="L59" s="69">
        <f>IFERROR(SUMPRODUCT(--ISNUMBER(SEARCH($B$6,'Base_Cobranzas'!$A$2:$A$702)),--('Base_Cobranzas'!$AI$2:$AI$702&gt;=IF(L$57&lt;3000,DATE(L$57,1,1),L$57)),--('Base_Cobranzas'!$AI$2:$AI$702&lt;IF(L$57&lt;3000,DATE(L$57+1,1,1),EDATE(L$57,1))),--ISNUMBER(SEARCH(IF(ISNUMBER(SEARCH("DIRECTO",UPPER($B59))),"DIRECTO",IF(ISNUMBER(SEARCH("HIPOT",UPPER($B59))),"HIPOT",IF(ISNUMBER(SEARCH("AHORRO",UPPER($B59))),"AHORRO",UPPER($B59)))),UPPER('Base_Cobranzas'!$AT$2:$AT$702))),--ISNUMBER(SEARCH("VENCIDO",UPPER(TRIM('Base_Cobranzas'!$BC$2:$BC$702)))),'Base_Cobranzas'!$AR$2:$AR$702),0)</f>
        <v/>
      </c>
      <c r="M59" s="69">
        <f>IFERROR(SUMPRODUCT(--ISNUMBER(SEARCH($B$6,'Base_Cobranzas'!$A$2:$A$702)),--('Base_Cobranzas'!$AI$2:$AI$702&gt;=IF(M$57&lt;3000,DATE(M$57,1,1),M$57)),--('Base_Cobranzas'!$AI$2:$AI$702&lt;IF(M$57&lt;3000,DATE(M$57+1,1,1),EDATE(M$57,1))),--ISNUMBER(SEARCH(IF(ISNUMBER(SEARCH("DIRECTO",UPPER($B59))),"DIRECTO",IF(ISNUMBER(SEARCH("HIPOT",UPPER($B59))),"HIPOT",IF(ISNUMBER(SEARCH("AHORRO",UPPER($B59))),"AHORRO",UPPER($B59)))),UPPER('Base_Cobranzas'!$AT$2:$AT$702))),--ISNUMBER(SEARCH("VENCIDO",UPPER(TRIM('Base_Cobranzas'!$BC$2:$BC$702)))),'Base_Cobranzas'!$AR$2:$AR$702),0)</f>
        <v/>
      </c>
      <c r="N59" s="70">
        <f>SUM(C59:M59)</f>
        <v/>
      </c>
    </row>
    <row r="60">
      <c r="B60" s="8" t="inlineStr">
        <is>
          <t>Ahorro</t>
        </is>
      </c>
      <c r="C60" s="69">
        <f>IFERROR(SUMPRODUCT(--ISNUMBER(SEARCH($B$6,'Base_Cobranzas'!$A$2:$A$702)),--('Base_Cobranzas'!$AI$2:$AI$702&gt;=IF(C$57&lt;3000,DATE(C$57,1,1),C$57)),--('Base_Cobranzas'!$AI$2:$AI$702&lt;IF(C$57&lt;3000,DATE(C$57+1,1,1),EDATE(C$57,1))),--ISNUMBER(SEARCH(IF(ISNUMBER(SEARCH("DIRECTO",UPPER($B60))),"DIRECTO",IF(ISNUMBER(SEARCH("HIPOT",UPPER($B60))),"HIPOT",IF(ISNUMBER(SEARCH("AHORRO",UPPER($B60))),"AHORRO",UPPER($B60)))),UPPER('Base_Cobranzas'!$AT$2:$AT$702))),--ISNUMBER(SEARCH("VENCIDO",UPPER(TRIM('Base_Cobranzas'!$BC$2:$BC$702)))),'Base_Cobranzas'!$AR$2:$AR$702),0)</f>
        <v/>
      </c>
      <c r="D60" s="69">
        <f>IFERROR(SUMPRODUCT(--ISNUMBER(SEARCH($B$6,'Base_Cobranzas'!$A$2:$A$702)),--('Base_Cobranzas'!$AI$2:$AI$702&gt;=IF(D$57&lt;3000,DATE(D$57,1,1),D$57)),--('Base_Cobranzas'!$AI$2:$AI$702&lt;IF(D$57&lt;3000,DATE(D$57+1,1,1),EDATE(D$57,1))),--ISNUMBER(SEARCH(IF(ISNUMBER(SEARCH("DIRECTO",UPPER($B60))),"DIRECTO",IF(ISNUMBER(SEARCH("HIPOT",UPPER($B60))),"HIPOT",IF(ISNUMBER(SEARCH("AHORRO",UPPER($B60))),"AHORRO",UPPER($B60)))),UPPER('Base_Cobranzas'!$AT$2:$AT$702))),--ISNUMBER(SEARCH("VENCIDO",UPPER(TRIM('Base_Cobranzas'!$BC$2:$BC$702)))),'Base_Cobranzas'!$AR$2:$AR$702),0)</f>
        <v/>
      </c>
      <c r="E60" s="69">
        <f>IFERROR(SUMPRODUCT(--ISNUMBER(SEARCH($B$6,'Base_Cobranzas'!$A$2:$A$702)),--('Base_Cobranzas'!$AI$2:$AI$702&gt;=IF(E$57&lt;3000,DATE(E$57,1,1),E$57)),--('Base_Cobranzas'!$AI$2:$AI$702&lt;IF(E$57&lt;3000,DATE(E$57+1,1,1),EDATE(E$57,1))),--ISNUMBER(SEARCH(IF(ISNUMBER(SEARCH("DIRECTO",UPPER($B60))),"DIRECTO",IF(ISNUMBER(SEARCH("HIPOT",UPPER($B60))),"HIPOT",IF(ISNUMBER(SEARCH("AHORRO",UPPER($B60))),"AHORRO",UPPER($B60)))),UPPER('Base_Cobranzas'!$AT$2:$AT$702))),--ISNUMBER(SEARCH("VENCIDO",UPPER(TRIM('Base_Cobranzas'!$BC$2:$BC$702)))),'Base_Cobranzas'!$AR$2:$AR$702),0)</f>
        <v/>
      </c>
      <c r="F60" s="69">
        <f>IFERROR(SUMPRODUCT(--ISNUMBER(SEARCH($B$6,'Base_Cobranzas'!$A$2:$A$702)),--('Base_Cobranzas'!$AI$2:$AI$702&gt;=IF(F$57&lt;3000,DATE(F$57,1,1),F$57)),--('Base_Cobranzas'!$AI$2:$AI$702&lt;IF(F$57&lt;3000,DATE(F$57+1,1,1),EDATE(F$57,1))),--ISNUMBER(SEARCH(IF(ISNUMBER(SEARCH("DIRECTO",UPPER($B60))),"DIRECTO",IF(ISNUMBER(SEARCH("HIPOT",UPPER($B60))),"HIPOT",IF(ISNUMBER(SEARCH("AHORRO",UPPER($B60))),"AHORRO",UPPER($B60)))),UPPER('Base_Cobranzas'!$AT$2:$AT$702))),--ISNUMBER(SEARCH("VENCIDO",UPPER(TRIM('Base_Cobranzas'!$BC$2:$BC$702)))),'Base_Cobranzas'!$AR$2:$AR$702),0)</f>
        <v/>
      </c>
      <c r="G60" s="69">
        <f>IFERROR(SUMPRODUCT(--ISNUMBER(SEARCH($B$6,'Base_Cobranzas'!$A$2:$A$702)),--('Base_Cobranzas'!$AI$2:$AI$702&gt;=IF(G$57&lt;3000,DATE(G$57,1,1),G$57)),--('Base_Cobranzas'!$AI$2:$AI$702&lt;IF(G$57&lt;3000,DATE(G$57+1,1,1),EDATE(G$57,1))),--ISNUMBER(SEARCH(IF(ISNUMBER(SEARCH("DIRECTO",UPPER($B60))),"DIRECTO",IF(ISNUMBER(SEARCH("HIPOT",UPPER($B60))),"HIPOT",IF(ISNUMBER(SEARCH("AHORRO",UPPER($B60))),"AHORRO",UPPER($B60)))),UPPER('Base_Cobranzas'!$AT$2:$AT$702))),--ISNUMBER(SEARCH("VENCIDO",UPPER(TRIM('Base_Cobranzas'!$BC$2:$BC$702)))),'Base_Cobranzas'!$AR$2:$AR$702),0)</f>
        <v/>
      </c>
      <c r="H60" s="69">
        <f>IFERROR(SUMPRODUCT(--ISNUMBER(SEARCH($B$6,'Base_Cobranzas'!$A$2:$A$702)),--('Base_Cobranzas'!$AI$2:$AI$702&gt;=IF(H$57&lt;3000,DATE(H$57,1,1),H$57)),--('Base_Cobranzas'!$AI$2:$AI$702&lt;IF(H$57&lt;3000,DATE(H$57+1,1,1),EDATE(H$57,1))),--ISNUMBER(SEARCH(IF(ISNUMBER(SEARCH("DIRECTO",UPPER($B60))),"DIRECTO",IF(ISNUMBER(SEARCH("HIPOT",UPPER($B60))),"HIPOT",IF(ISNUMBER(SEARCH("AHORRO",UPPER($B60))),"AHORRO",UPPER($B60)))),UPPER('Base_Cobranzas'!$AT$2:$AT$702))),--ISNUMBER(SEARCH("VENCIDO",UPPER(TRIM('Base_Cobranzas'!$BC$2:$BC$702)))),'Base_Cobranzas'!$AR$2:$AR$702),0)</f>
        <v/>
      </c>
      <c r="I60" s="69">
        <f>IFERROR(SUMPRODUCT(--ISNUMBER(SEARCH($B$6,'Base_Cobranzas'!$A$2:$A$702)),--('Base_Cobranzas'!$AI$2:$AI$702&gt;=IF(I$57&lt;3000,DATE(I$57,1,1),I$57)),--('Base_Cobranzas'!$AI$2:$AI$702&lt;IF(I$57&lt;3000,DATE(I$57+1,1,1),EDATE(I$57,1))),--ISNUMBER(SEARCH(IF(ISNUMBER(SEARCH("DIRECTO",UPPER($B60))),"DIRECTO",IF(ISNUMBER(SEARCH("HIPOT",UPPER($B60))),"HIPOT",IF(ISNUMBER(SEARCH("AHORRO",UPPER($B60))),"AHORRO",UPPER($B60)))),UPPER('Base_Cobranzas'!$AT$2:$AT$702))),--ISNUMBER(SEARCH("VENCIDO",UPPER(TRIM('Base_Cobranzas'!$BC$2:$BC$702)))),'Base_Cobranzas'!$AR$2:$AR$702),0)</f>
        <v/>
      </c>
      <c r="J60" s="69">
        <f>IFERROR(SUMPRODUCT(--ISNUMBER(SEARCH($B$6,'Base_Cobranzas'!$A$2:$A$702)),--('Base_Cobranzas'!$AI$2:$AI$702&gt;=IF(J$57&lt;3000,DATE(J$57,1,1),J$57)),--('Base_Cobranzas'!$AI$2:$AI$702&lt;IF(J$57&lt;3000,DATE(J$57+1,1,1),EDATE(J$57,1))),--ISNUMBER(SEARCH(IF(ISNUMBER(SEARCH("DIRECTO",UPPER($B60))),"DIRECTO",IF(ISNUMBER(SEARCH("HIPOT",UPPER($B60))),"HIPOT",IF(ISNUMBER(SEARCH("AHORRO",UPPER($B60))),"AHORRO",UPPER($B60)))),UPPER('Base_Cobranzas'!$AT$2:$AT$702))),--ISNUMBER(SEARCH("VENCIDO",UPPER(TRIM('Base_Cobranzas'!$BC$2:$BC$702)))),'Base_Cobranzas'!$AR$2:$AR$702),0)</f>
        <v/>
      </c>
      <c r="K60" s="69">
        <f>IFERROR(SUMPRODUCT(--ISNUMBER(SEARCH($B$6,'Base_Cobranzas'!$A$2:$A$702)),--('Base_Cobranzas'!$AI$2:$AI$702&gt;=IF(K$57&lt;3000,DATE(K$57,1,1),K$57)),--('Base_Cobranzas'!$AI$2:$AI$702&lt;IF(K$57&lt;3000,DATE(K$57+1,1,1),EDATE(K$57,1))),--ISNUMBER(SEARCH(IF(ISNUMBER(SEARCH("DIRECTO",UPPER($B60))),"DIRECTO",IF(ISNUMBER(SEARCH("HIPOT",UPPER($B60))),"HIPOT",IF(ISNUMBER(SEARCH("AHORRO",UPPER($B60))),"AHORRO",UPPER($B60)))),UPPER('Base_Cobranzas'!$AT$2:$AT$702))),--ISNUMBER(SEARCH("VENCIDO",UPPER(TRIM('Base_Cobranzas'!$BC$2:$BC$702)))),'Base_Cobranzas'!$AR$2:$AR$702),0)</f>
        <v/>
      </c>
      <c r="L60" s="69">
        <f>IFERROR(SUMPRODUCT(--ISNUMBER(SEARCH($B$6,'Base_Cobranzas'!$A$2:$A$702)),--('Base_Cobranzas'!$AI$2:$AI$702&gt;=IF(L$57&lt;3000,DATE(L$57,1,1),L$57)),--('Base_Cobranzas'!$AI$2:$AI$702&lt;IF(L$57&lt;3000,DATE(L$57+1,1,1),EDATE(L$57,1))),--ISNUMBER(SEARCH(IF(ISNUMBER(SEARCH("DIRECTO",UPPER($B60))),"DIRECTO",IF(ISNUMBER(SEARCH("HIPOT",UPPER($B60))),"HIPOT",IF(ISNUMBER(SEARCH("AHORRO",UPPER($B60))),"AHORRO",UPPER($B60)))),UPPER('Base_Cobranzas'!$AT$2:$AT$702))),--ISNUMBER(SEARCH("VENCIDO",UPPER(TRIM('Base_Cobranzas'!$BC$2:$BC$702)))),'Base_Cobranzas'!$AR$2:$AR$702),0)</f>
        <v/>
      </c>
      <c r="M60" s="69">
        <f>IFERROR(SUMPRODUCT(--ISNUMBER(SEARCH($B$6,'Base_Cobranzas'!$A$2:$A$702)),--('Base_Cobranzas'!$AI$2:$AI$702&gt;=IF(M$57&lt;3000,DATE(M$57,1,1),M$57)),--('Base_Cobranzas'!$AI$2:$AI$702&lt;IF(M$57&lt;3000,DATE(M$57+1,1,1),EDATE(M$57,1))),--ISNUMBER(SEARCH(IF(ISNUMBER(SEARCH("DIRECTO",UPPER($B60))),"DIRECTO",IF(ISNUMBER(SEARCH("HIPOT",UPPER($B60))),"HIPOT",IF(ISNUMBER(SEARCH("AHORRO",UPPER($B60))),"AHORRO",UPPER($B60)))),UPPER('Base_Cobranzas'!$AT$2:$AT$702))),--ISNUMBER(SEARCH("VENCIDO",UPPER(TRIM('Base_Cobranzas'!$BC$2:$BC$702)))),'Base_Cobranzas'!$AR$2:$AR$702),0)</f>
        <v/>
      </c>
      <c r="N60" s="70">
        <f>SUM(C60:M60)</f>
        <v/>
      </c>
    </row>
    <row r="61">
      <c r="B61" s="7" t="inlineStr">
        <is>
          <t>Total</t>
        </is>
      </c>
      <c r="C61" s="71">
        <f>SUM(C58:C60)</f>
        <v/>
      </c>
      <c r="D61" s="71">
        <f>SUM(D58:D60)</f>
        <v/>
      </c>
      <c r="E61" s="71">
        <f>SUM(E58:E60)</f>
        <v/>
      </c>
      <c r="F61" s="71">
        <f>SUM(F58:F60)</f>
        <v/>
      </c>
      <c r="G61" s="71">
        <f>SUM(G58:G60)</f>
        <v/>
      </c>
      <c r="H61" s="71">
        <f>SUM(H58:H60)</f>
        <v/>
      </c>
      <c r="I61" s="71">
        <f>SUM(I58:I60)</f>
        <v/>
      </c>
      <c r="J61" s="71">
        <f>SUM(J58:J60)</f>
        <v/>
      </c>
      <c r="K61" s="71">
        <f>SUM(K58:K60)</f>
        <v/>
      </c>
      <c r="L61" s="71">
        <f>SUM(L58:L60)</f>
        <v/>
      </c>
      <c r="M61" s="71">
        <f>SUM(M58:M60)</f>
        <v/>
      </c>
      <c r="N61" s="71">
        <f>SUM(C61:M61)</f>
        <v/>
      </c>
      <c r="O61">
        <f>IF($I$21=N61,"OK","REVISAR")</f>
        <v/>
      </c>
    </row>
    <row r="63">
      <c r="B63" s="7" t="inlineStr">
        <is>
          <t>Acumulado</t>
        </is>
      </c>
      <c r="C63" s="74">
        <f>C61</f>
        <v/>
      </c>
      <c r="D63" s="72">
        <f>C63+D61</f>
        <v/>
      </c>
      <c r="E63" s="72">
        <f>D63+E61</f>
        <v/>
      </c>
      <c r="F63" s="72">
        <f>E63+F61</f>
        <v/>
      </c>
      <c r="G63" s="72">
        <f>F63+G61</f>
        <v/>
      </c>
      <c r="H63" s="72">
        <f>G63+H61</f>
        <v/>
      </c>
      <c r="I63" s="72">
        <f>H63+I61</f>
        <v/>
      </c>
      <c r="J63" s="72">
        <f>I63+J61</f>
        <v/>
      </c>
      <c r="K63" s="72">
        <f>J63+K61</f>
        <v/>
      </c>
      <c r="L63" s="72">
        <f>K63+L61</f>
        <v/>
      </c>
      <c r="M63" s="72">
        <f>L63+M61</f>
        <v/>
      </c>
      <c r="N63" s="73" t="n"/>
    </row>
  </sheetData>
  <mergeCells count="3">
    <mergeCell ref="F8:I8"/>
    <mergeCell ref="C5:H5"/>
    <mergeCell ref="C8:D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63"/>
  <sheetViews>
    <sheetView workbookViewId="0">
      <selection activeCell="A1" sqref="A1"/>
    </sheetView>
  </sheetViews>
  <sheetFormatPr baseColWidth="10" defaultRowHeight="14.4"/>
  <cols>
    <col width="33" bestFit="1" customWidth="1" min="2" max="2"/>
    <col width="16.33203125" customWidth="1" min="3" max="3"/>
    <col width="12.77734375" customWidth="1" min="4" max="4"/>
    <col width="11.6640625" bestFit="1" customWidth="1" min="5" max="5"/>
    <col width="14.21875" customWidth="1" min="6" max="10"/>
    <col width="13" customWidth="1" min="7" max="7"/>
    <col width="13" customWidth="1" min="8" max="8"/>
    <col width="13" customWidth="1" min="9" max="9"/>
    <col width="12.21875" customWidth="1" min="10" max="10"/>
    <col width="17.5546875" customWidth="1" min="11" max="11"/>
    <col width="14.109375" customWidth="1" min="12" max="12"/>
    <col width="14.109375" bestFit="1" customWidth="1" min="13" max="13"/>
    <col width="14.109375" customWidth="1" min="14" max="14"/>
    <col width="14.109375" bestFit="1" customWidth="1" min="15" max="15"/>
    <col width="14.109375" customWidth="1" min="16" max="16"/>
    <col width="14.109375" customWidth="1" min="17" max="17"/>
    <col width="14.109375" customWidth="1" min="18" max="18"/>
    <col width="14.109375" customWidth="1" min="19" max="19"/>
    <col width="14.109375" customWidth="1" min="20" max="20"/>
    <col width="14.109375" customWidth="1" min="21" max="21"/>
  </cols>
  <sheetData>
    <row r="1">
      <c r="C1" s="42" t="n"/>
      <c r="D1" s="42" t="n"/>
      <c r="F1" s="43" t="n"/>
      <c r="G1" s="42" t="n"/>
      <c r="H1" s="42" t="n"/>
      <c r="I1" s="42" t="n"/>
      <c r="J1" s="43" t="n"/>
      <c r="K1" s="42" t="n"/>
      <c r="L1" s="42" t="n"/>
    </row>
    <row r="2">
      <c r="C2" s="42" t="n"/>
      <c r="D2" s="42" t="n"/>
      <c r="F2" s="43" t="n"/>
      <c r="G2" s="42" t="n"/>
      <c r="H2" s="42" t="n"/>
      <c r="I2" s="42" t="n"/>
      <c r="J2" s="43" t="n"/>
      <c r="K2" s="42" t="n"/>
      <c r="L2" s="42" t="n"/>
    </row>
    <row r="3">
      <c r="C3" s="42" t="n"/>
      <c r="D3" s="42" t="n"/>
      <c r="F3" s="43" t="n"/>
      <c r="G3" s="42" t="n"/>
      <c r="H3" s="42" t="n"/>
      <c r="I3" s="42" t="n"/>
      <c r="J3" s="43" t="n"/>
      <c r="K3" s="42" t="n"/>
      <c r="L3" s="42" t="n"/>
    </row>
    <row r="4" ht="13.2" customHeight="1">
      <c r="C4" s="42" t="n"/>
      <c r="D4" s="42" t="n"/>
      <c r="F4" s="43" t="n"/>
      <c r="G4" s="42" t="n"/>
      <c r="H4" s="42" t="n"/>
      <c r="I4" s="42" t="n"/>
      <c r="J4" s="43" t="n"/>
      <c r="K4" s="42" t="n"/>
      <c r="L4" s="42" t="n"/>
    </row>
    <row r="5" ht="23.4" customHeight="1">
      <c r="C5" s="44" t="inlineStr">
        <is>
          <t>REPORTE DE COBRANZAS</t>
        </is>
      </c>
      <c r="I5" s="42" t="n"/>
      <c r="J5" s="43" t="n"/>
      <c r="K5" s="42" t="n"/>
      <c r="L5" s="42" t="n"/>
    </row>
    <row r="6">
      <c r="B6" s="24" t="inlineStr">
        <is>
          <t>Venecia</t>
        </is>
      </c>
      <c r="C6" s="42" t="n"/>
      <c r="D6" s="42" t="n"/>
      <c r="F6" s="43" t="n"/>
      <c r="G6" s="42" t="n"/>
      <c r="H6" s="42" t="n"/>
      <c r="I6" s="42" t="n"/>
      <c r="J6" s="43" t="n"/>
      <c r="K6" s="42" t="n"/>
      <c r="L6" s="42" t="n"/>
    </row>
    <row r="7">
      <c r="C7" s="42" t="n"/>
      <c r="D7" s="42" t="n"/>
      <c r="F7" s="43" t="n"/>
      <c r="G7" s="42" t="n"/>
      <c r="H7" s="42" t="n"/>
      <c r="I7" s="42" t="n"/>
      <c r="J7" s="43" t="n"/>
      <c r="K7" s="42" t="n"/>
      <c r="L7" s="42" t="n"/>
    </row>
    <row r="8">
      <c r="C8" s="45" t="inlineStr">
        <is>
          <t>Vendido</t>
        </is>
      </c>
      <c r="D8" s="77" t="n"/>
      <c r="F8" s="47" t="inlineStr">
        <is>
          <t>Cobranzas</t>
        </is>
      </c>
      <c r="G8" s="78" t="n"/>
      <c r="H8" s="78" t="n"/>
      <c r="I8" s="77" t="n"/>
      <c r="J8" s="43" t="n"/>
      <c r="K8" s="42" t="n"/>
      <c r="L8" s="42" t="n"/>
    </row>
    <row r="9" ht="26.4" customHeight="1">
      <c r="C9" s="45" t="inlineStr">
        <is>
          <t>Monto</t>
        </is>
      </c>
      <c r="D9" s="45" t="inlineStr">
        <is>
          <t>Unidades</t>
        </is>
      </c>
      <c r="F9" s="49" t="inlineStr">
        <is>
          <t>Avance</t>
        </is>
      </c>
      <c r="G9" s="50" t="inlineStr">
        <is>
          <t>Cobrado</t>
        </is>
      </c>
      <c r="H9" s="50" t="inlineStr">
        <is>
          <t>Por Cobrar</t>
        </is>
      </c>
      <c r="I9" s="50" t="inlineStr">
        <is>
          <t>Vencido</t>
        </is>
      </c>
      <c r="J9" s="51" t="inlineStr">
        <is>
          <t>Tasa de Morosidad</t>
        </is>
      </c>
      <c r="K9" s="52" t="inlineStr">
        <is>
          <t>Clientes Morosos (unidades)</t>
        </is>
      </c>
      <c r="L9" s="52" t="inlineStr">
        <is>
          <t>Dias de Atraso (Promedio)</t>
        </is>
      </c>
    </row>
    <row r="10" ht="6.6" customHeight="1">
      <c r="C10" s="42" t="n"/>
      <c r="D10" s="42" t="n"/>
      <c r="F10" s="43" t="n"/>
      <c r="G10" s="42" t="n"/>
      <c r="H10" s="42" t="n"/>
      <c r="I10" s="42" t="n"/>
      <c r="J10" s="43" t="n"/>
      <c r="K10" s="42" t="n"/>
      <c r="L10" s="42" t="n"/>
    </row>
    <row r="11">
      <c r="B11" s="10" t="inlineStr">
        <is>
          <t>Departamentos</t>
        </is>
      </c>
      <c r="C11" s="53" t="n">
        <v>8411400</v>
      </c>
      <c r="D11" s="53" t="n">
        <v>24</v>
      </c>
      <c r="F11" s="54">
        <f>IF(C11=0,0,G11/C11)</f>
        <v/>
      </c>
      <c r="G11" s="55">
        <f>SUM(G12:G13)</f>
        <v/>
      </c>
      <c r="H11" s="55">
        <f>SUM(H12:H13)</f>
        <v/>
      </c>
      <c r="I11" s="55">
        <f>SUM(I12:I13)</f>
        <v/>
      </c>
      <c r="J11" s="54">
        <f>IF(C11=0,0,I11/C11)</f>
        <v/>
      </c>
      <c r="K11" s="55" t="n">
        <v>10</v>
      </c>
      <c r="L11" s="55" t="n">
        <v>17</v>
      </c>
    </row>
    <row r="12">
      <c r="B12" s="4" t="inlineStr">
        <is>
          <t>Departamento</t>
        </is>
      </c>
      <c r="C12" s="56" t="n">
        <v>4780000</v>
      </c>
      <c r="D12" s="56" t="n">
        <v>10</v>
      </c>
      <c r="F12" s="57">
        <f>IF(C12=0,0,G12/C12)</f>
        <v/>
      </c>
      <c r="G12" s="58">
        <f>IFERROR(SUMPRODUCT(--ISNUMBER(SEARCH($B$6,'Base_Cobranzas'!$A$2:$A$702)),--((--ISNUMBER(SEARCH("DEPART",UPPER('Base_Cobranzas'!$E$2:$E$702)))+--ISNUMBER(SEARCH("DEPART",UPPER('Base_Cobranzas'!$K$2:$K$702)))+--ISNUMBER(SEARCH("DEPART",UPPER('Base_Cobranzas'!$Q$2:$Q$702)))+--ISNUMBER(SEARCH("DEPART",UPPER('Base_Cobranzas'!$W$2:$W$702))))&gt;0),--((--ISNUMBER(SEARCH("ESTACION",UPPER('Base_Cobranzas'!$E$2:$E$702)))+--ISNUMBER(SEARCH("ESTACION",UPPER('Base_Cobranzas'!$K$2:$K$702)))+--ISNUMBER(SEARCH("ESTACION",UPPER('Base_Cobranzas'!$Q$2:$Q$702)))+--ISNUMBER(SEARCH("ESTACION",UPPER('Base_Cobranzas'!$W$2:$W$702))))=0),--('Base_Cobranzas'!$AQ$2:$AQ$702&gt;0),'Base_Cobranzas'!$AQ$2:$AQ$702),0)</f>
        <v/>
      </c>
      <c r="H12" s="59">
        <f>IFERROR(SUMPRODUCT(--ISNUMBER(SEARCH($B$6,'Base_Cobranzas'!$A$2:$A$702)),--((--ISNUMBER(SEARCH("DEPART",UPPER('Base_Cobranzas'!$E$2:$E$702)))+--ISNUMBER(SEARCH("DEPART",UPPER('Base_Cobranzas'!$K$2:$K$702)))+--ISNUMBER(SEARCH("DEPART",UPPER('Base_Cobranzas'!$Q$2:$Q$702)))+--ISNUMBER(SEARCH("DEPART",UPPER('Base_Cobranzas'!$W$2:$W$702))))&gt;0),--((--ISNUMBER(SEARCH("ESTACION",UPPER('Base_Cobranzas'!$E$2:$E$702)))+--ISNUMBER(SEARCH("ESTACION",UPPER('Base_Cobranzas'!$K$2:$K$702)))+--ISNUMBER(SEARCH("ESTACION",UPPER('Base_Cobranzas'!$Q$2:$Q$702)))+--ISNUMBER(SEARCH("ESTACION",UPPER('Base_Cobranzas'!$W$2:$W$702))))=0),--ISNUMBER(SEARCH("PENDIENTE",UPPER(TRIM('Base_Cobranzas'!$BC$2:$BC$702)))),'Base_Cobranzas'!$AR$2:$AR$702),0)</f>
        <v/>
      </c>
      <c r="I12" s="59">
        <f>IFERROR(SUMPRODUCT(--ISNUMBER(SEARCH($B$6,'Base_Cobranzas'!$A$2:$A$702)),--((--ISNUMBER(SEARCH("DEPART",UPPER('Base_Cobranzas'!$E$2:$E$702)))+--ISNUMBER(SEARCH("DEPART",UPPER('Base_Cobranzas'!$K$2:$K$702)))+--ISNUMBER(SEARCH("DEPART",UPPER('Base_Cobranzas'!$Q$2:$Q$702)))+--ISNUMBER(SEARCH("DEPART",UPPER('Base_Cobranzas'!$W$2:$W$702))))&gt;0),--((--ISNUMBER(SEARCH("ESTACION",UPPER('Base_Cobranzas'!$E$2:$E$702)))+--ISNUMBER(SEARCH("ESTACION",UPPER('Base_Cobranzas'!$K$2:$K$702)))+--ISNUMBER(SEARCH("ESTACION",UPPER('Base_Cobranzas'!$Q$2:$Q$702)))+--ISNUMBER(SEARCH("ESTACION",UPPER('Base_Cobranzas'!$W$2:$W$702))))=0),--ISNUMBER(SEARCH("VENCIDO",UPPER(TRIM('Base_Cobranzas'!$BC$2:$BC$702)))),'Base_Cobranzas'!$AR$2:$AR$702),0)</f>
        <v/>
      </c>
      <c r="J12" s="57">
        <f>IF(C12=0,0,I12/C12)</f>
        <v/>
      </c>
      <c r="K12" s="59" t="n">
        <v>5</v>
      </c>
      <c r="L12" s="59" t="n">
        <v>0</v>
      </c>
    </row>
    <row r="13">
      <c r="B13" s="4" t="inlineStr">
        <is>
          <t>Departamento + Estacionamiento</t>
        </is>
      </c>
      <c r="C13" s="56" t="n">
        <v>3631400</v>
      </c>
      <c r="D13" s="56" t="n">
        <v>14</v>
      </c>
      <c r="F13" s="57">
        <f>IF(C13=0,0,G13/C13)</f>
        <v/>
      </c>
      <c r="G13" s="58">
        <f>IFERROR(SUMPRODUCT(--ISNUMBER(SEARCH($B$6,'Base_Cobranzas'!$A$2:$A$702)),--((--ISNUMBER(SEARCH("DEPART",UPPER('Base_Cobranzas'!$E$2:$E$702)))+--ISNUMBER(SEARCH("DEPART",UPPER('Base_Cobranzas'!$K$2:$K$702)))+--ISNUMBER(SEARCH("DEPART",UPPER('Base_Cobranzas'!$Q$2:$Q$702)))+--ISNUMBER(SEARCH("DEPART",UPPER('Base_Cobranzas'!$W$2:$W$702))))&gt;0),--((--ISNUMBER(SEARCH("ESTACION",UPPER('Base_Cobranzas'!$E$2:$E$702)))+--ISNUMBER(SEARCH("ESTACION",UPPER('Base_Cobranzas'!$K$2:$K$702)))+--ISNUMBER(SEARCH("ESTACION",UPPER('Base_Cobranzas'!$Q$2:$Q$702)))+--ISNUMBER(SEARCH("ESTACION",UPPER('Base_Cobranzas'!$W$2:$W$702))))&gt;0),--('Base_Cobranzas'!$AQ$2:$AQ$702&gt;0),'Base_Cobranzas'!$AQ$2:$AQ$702),0)</f>
        <v/>
      </c>
      <c r="H13" s="59">
        <f>IFERROR(SUMPRODUCT(--ISNUMBER(SEARCH($B$6,'Base_Cobranzas'!$A$2:$A$702)),--((--ISNUMBER(SEARCH("DEPART",UPPER('Base_Cobranzas'!$E$2:$E$702)))+--ISNUMBER(SEARCH("DEPART",UPPER('Base_Cobranzas'!$K$2:$K$702)))+--ISNUMBER(SEARCH("DEPART",UPPER('Base_Cobranzas'!$Q$2:$Q$702)))+--ISNUMBER(SEARCH("DEPART",UPPER('Base_Cobranzas'!$W$2:$W$702))))&gt;0),--((--ISNUMBER(SEARCH("ESTACION",UPPER('Base_Cobranzas'!$E$2:$E$702)))+--ISNUMBER(SEARCH("ESTACION",UPPER('Base_Cobranzas'!$K$2:$K$702)))+--ISNUMBER(SEARCH("ESTACION",UPPER('Base_Cobranzas'!$Q$2:$Q$702)))+--ISNUMBER(SEARCH("ESTACION",UPPER('Base_Cobranzas'!$W$2:$W$702))))&gt;0),--ISNUMBER(SEARCH("PENDIENTE",UPPER(TRIM('Base_Cobranzas'!$BC$2:$BC$702)))),'Base_Cobranzas'!$AR$2:$AR$702),0)</f>
        <v/>
      </c>
      <c r="I13" s="59">
        <f>IFERROR(SUMPRODUCT(--ISNUMBER(SEARCH($B$6,'Base_Cobranzas'!$A$2:$A$702)),--((--ISNUMBER(SEARCH("DEPART",UPPER('Base_Cobranzas'!$E$2:$E$702)))+--ISNUMBER(SEARCH("DEPART",UPPER('Base_Cobranzas'!$K$2:$K$702)))+--ISNUMBER(SEARCH("DEPART",UPPER('Base_Cobranzas'!$Q$2:$Q$702)))+--ISNUMBER(SEARCH("DEPART",UPPER('Base_Cobranzas'!$W$2:$W$702))))&gt;0),--((--ISNUMBER(SEARCH("ESTACION",UPPER('Base_Cobranzas'!$E$2:$E$702)))+--ISNUMBER(SEARCH("ESTACION",UPPER('Base_Cobranzas'!$K$2:$K$702)))+--ISNUMBER(SEARCH("ESTACION",UPPER('Base_Cobranzas'!$Q$2:$Q$702)))+--ISNUMBER(SEARCH("ESTACION",UPPER('Base_Cobranzas'!$W$2:$W$702))))&gt;0),--ISNUMBER(SEARCH("VENCIDO",UPPER(TRIM('Base_Cobranzas'!$BC$2:$BC$702)))),'Base_Cobranzas'!$AR$2:$AR$702),0)</f>
        <v/>
      </c>
      <c r="J13" s="57">
        <f>IF(C13=0,0,I13/C13)</f>
        <v/>
      </c>
      <c r="K13" s="59" t="n">
        <v>5</v>
      </c>
      <c r="L13" s="59" t="n">
        <v>27</v>
      </c>
    </row>
    <row r="14" ht="6.6" customHeight="1">
      <c r="C14" s="42" t="n"/>
      <c r="D14" s="42" t="n"/>
      <c r="F14" s="43" t="n"/>
      <c r="G14" s="42" t="n"/>
      <c r="H14" s="42" t="n"/>
      <c r="I14" s="42" t="n"/>
      <c r="J14" s="43" t="n"/>
      <c r="K14" s="42" t="n"/>
      <c r="L14" s="42" t="n"/>
    </row>
    <row r="15">
      <c r="B15" s="10" t="inlineStr">
        <is>
          <t>Estacionamientos</t>
        </is>
      </c>
      <c r="C15" s="53" t="n">
        <v>102500</v>
      </c>
      <c r="D15" s="53" t="n">
        <v>2</v>
      </c>
      <c r="F15" s="54">
        <f>IF(C15=0,0,G15/C15)</f>
        <v/>
      </c>
      <c r="G15" s="55">
        <f>IFERROR(SUMPRODUCT(--ISNUMBER(SEARCH($B$6,'Base_Cobranzas'!$A$2:$A$702)),--((--ISNUMBER(SEARCH("DEPART",UPPER('Base_Cobranzas'!$E$2:$E$702)))+--ISNUMBER(SEARCH("DEPART",UPPER('Base_Cobranzas'!$K$2:$K$702)))+--ISNUMBER(SEARCH("DEPART",UPPER('Base_Cobranzas'!$Q$2:$Q$702)))+--ISNUMBER(SEARCH("DEPART",UPPER('Base_Cobranzas'!$W$2:$W$702))))=0),--((--ISNUMBER(SEARCH("ESTACION",UPPER('Base_Cobranzas'!$E$2:$E$702)))+--ISNUMBER(SEARCH("ESTACION",UPPER('Base_Cobranzas'!$K$2:$K$702)))+--ISNUMBER(SEARCH("ESTACION",UPPER('Base_Cobranzas'!$Q$2:$Q$702)))+--ISNUMBER(SEARCH("ESTACION",UPPER('Base_Cobranzas'!$W$2:$W$702))))&gt;0),--('Base_Cobranzas'!$AQ$2:$AQ$702&gt;0),'Base_Cobranzas'!$AQ$2:$AQ$702),0)</f>
        <v/>
      </c>
      <c r="H15" s="55">
        <f>IFERROR(SUMPRODUCT(--ISNUMBER(SEARCH($B$6,'Base_Cobranzas'!$A$2:$A$702)),--((--ISNUMBER(SEARCH("DEPART",UPPER('Base_Cobranzas'!$E$2:$E$702)))+--ISNUMBER(SEARCH("DEPART",UPPER('Base_Cobranzas'!$K$2:$K$702)))+--ISNUMBER(SEARCH("DEPART",UPPER('Base_Cobranzas'!$Q$2:$Q$702)))+--ISNUMBER(SEARCH("DEPART",UPPER('Base_Cobranzas'!$W$2:$W$702))))=0),--((--ISNUMBER(SEARCH("ESTACION",UPPER('Base_Cobranzas'!$E$2:$E$702)))+--ISNUMBER(SEARCH("ESTACION",UPPER('Base_Cobranzas'!$K$2:$K$702)))+--ISNUMBER(SEARCH("ESTACION",UPPER('Base_Cobranzas'!$Q$2:$Q$702)))+--ISNUMBER(SEARCH("ESTACION",UPPER('Base_Cobranzas'!$W$2:$W$702))))&gt;0),--ISNUMBER(SEARCH("PENDIENTE",UPPER(TRIM('Base_Cobranzas'!$BC$2:$BC$702)))),'Base_Cobranzas'!$AR$2:$AR$702),0)</f>
        <v/>
      </c>
      <c r="I15" s="55">
        <f>IFERROR(SUMPRODUCT(--ISNUMBER(SEARCH($B$6,'Base_Cobranzas'!$A$2:$A$702)),--((--ISNUMBER(SEARCH("DEPART",UPPER('Base_Cobranzas'!$E$2:$E$702)))+--ISNUMBER(SEARCH("DEPART",UPPER('Base_Cobranzas'!$K$2:$K$702)))+--ISNUMBER(SEARCH("DEPART",UPPER('Base_Cobranzas'!$Q$2:$Q$702)))+--ISNUMBER(SEARCH("DEPART",UPPER('Base_Cobranzas'!$W$2:$W$702))))=0),--((--ISNUMBER(SEARCH("ESTACION",UPPER('Base_Cobranzas'!$E$2:$E$702)))+--ISNUMBER(SEARCH("ESTACION",UPPER('Base_Cobranzas'!$K$2:$K$702)))+--ISNUMBER(SEARCH("ESTACION",UPPER('Base_Cobranzas'!$Q$2:$Q$702)))+--ISNUMBER(SEARCH("ESTACION",UPPER('Base_Cobranzas'!$W$2:$W$702))))&gt;0),--ISNUMBER(SEARCH("VENCIDO",UPPER(TRIM('Base_Cobranzas'!$BC$2:$BC$702)))),'Base_Cobranzas'!$AR$2:$AR$702),0)</f>
        <v/>
      </c>
      <c r="J15" s="60">
        <f>IF(C15=0,0,I15/C15)</f>
        <v/>
      </c>
      <c r="K15" s="61" t="n">
        <v>0</v>
      </c>
      <c r="L15" s="61" t="n">
        <v>0</v>
      </c>
    </row>
    <row r="16" ht="6.6" customHeight="1">
      <c r="C16" s="42" t="n"/>
      <c r="D16" s="42" t="n"/>
      <c r="F16" s="43" t="n"/>
      <c r="G16" s="42" t="n"/>
      <c r="H16" s="42" t="n"/>
      <c r="I16" s="42" t="n"/>
      <c r="J16" s="43" t="n"/>
      <c r="K16" s="62" t="n"/>
      <c r="L16" s="62" t="n"/>
    </row>
    <row r="17">
      <c r="B17" s="10" t="inlineStr">
        <is>
          <t>Depositos</t>
        </is>
      </c>
      <c r="C17" s="53" t="n">
        <v>0</v>
      </c>
      <c r="D17" s="53" t="n">
        <v>0</v>
      </c>
      <c r="F17" s="54">
        <f>IF(C17=0,0,G17/C17)</f>
        <v/>
      </c>
      <c r="G17" s="55">
        <f>IFERROR(SUMPRODUCT(--ISNUMBER(SEARCH($B$6,'Base_Cobranzas'!$A$2:$A$702)),--((--ISNUMBER(SEARCH("DEPART",UPPER('Base_Cobranzas'!$E$2:$E$702)))+--ISNUMBER(SEARCH("DEPART",UPPER('Base_Cobranzas'!$K$2:$K$702)))+--ISNUMBER(SEARCH("DEPART",UPPER('Base_Cobranzas'!$Q$2:$Q$702)))+--ISNUMBER(SEARCH("DEPART",UPPER('Base_Cobranzas'!$W$2:$W$702))))=0),--((--ISNUMBER(SEARCH("ESTACION",UPPER('Base_Cobranzas'!$E$2:$E$702)))+--ISNUMBER(SEARCH("ESTACION",UPPER('Base_Cobranzas'!$K$2:$K$702)))+--ISNUMBER(SEARCH("ESTACION",UPPER('Base_Cobranzas'!$Q$2:$Q$702)))+--ISNUMBER(SEARCH("ESTACION",UPPER('Base_Cobranzas'!$W$2:$W$702))))=0),--((--ISNUMBER(SEARCH("DEPOS",UPPER('Base_Cobranzas'!$E$2:$E$702)))+--ISNUMBER(SEARCH("DEPOS",UPPER('Base_Cobranzas'!$K$2:$K$702)))+--ISNUMBER(SEARCH("DEPOS",UPPER('Base_Cobranzas'!$Q$2:$Q$702)))+--ISNUMBER(SEARCH("DEPOS",UPPER('Base_Cobranzas'!$W$2:$W$702))))&gt;0),--('Base_Cobranzas'!$AQ$2:$AQ$702&gt;0),'Base_Cobranzas'!$AQ$2:$AQ$702),0)</f>
        <v/>
      </c>
      <c r="H17" s="55">
        <f>IFERROR(SUMPRODUCT(--ISNUMBER(SEARCH($B$6,'Base_Cobranzas'!$A$2:$A$702)),--((--ISNUMBER(SEARCH("DEPART",UPPER('Base_Cobranzas'!$E$2:$E$702)))+--ISNUMBER(SEARCH("DEPART",UPPER('Base_Cobranzas'!$K$2:$K$702)))+--ISNUMBER(SEARCH("DEPART",UPPER('Base_Cobranzas'!$Q$2:$Q$702)))+--ISNUMBER(SEARCH("DEPART",UPPER('Base_Cobranzas'!$W$2:$W$702))))=0),--((--ISNUMBER(SEARCH("ESTACION",UPPER('Base_Cobranzas'!$E$2:$E$702)))+--ISNUMBER(SEARCH("ESTACION",UPPER('Base_Cobranzas'!$K$2:$K$702)))+--ISNUMBER(SEARCH("ESTACION",UPPER('Base_Cobranzas'!$Q$2:$Q$702)))+--ISNUMBER(SEARCH("ESTACION",UPPER('Base_Cobranzas'!$W$2:$W$702))))=0),--((--ISNUMBER(SEARCH("DEPOS",UPPER('Base_Cobranzas'!$E$2:$E$702)))+--ISNUMBER(SEARCH("DEPOS",UPPER('Base_Cobranzas'!$K$2:$K$702)))+--ISNUMBER(SEARCH("DEPOS",UPPER('Base_Cobranzas'!$Q$2:$Q$702)))+--ISNUMBER(SEARCH("DEPOS",UPPER('Base_Cobranzas'!$W$2:$W$702))))&gt;0),--ISNUMBER(SEARCH("PENDIENTE",UPPER(TRIM('Base_Cobranzas'!$BC$2:$BC$702)))),'Base_Cobranzas'!$AR$2:$AR$702),0)</f>
        <v/>
      </c>
      <c r="I17" s="55">
        <f>IFERROR(SUMPRODUCT(--ISNUMBER(SEARCH($B$6,'Base_Cobranzas'!$A$2:$A$702)),--((--ISNUMBER(SEARCH("DEPART",UPPER('Base_Cobranzas'!$E$2:$E$702)))+--ISNUMBER(SEARCH("DEPART",UPPER('Base_Cobranzas'!$K$2:$K$702)))+--ISNUMBER(SEARCH("DEPART",UPPER('Base_Cobranzas'!$Q$2:$Q$702)))+--ISNUMBER(SEARCH("DEPART",UPPER('Base_Cobranzas'!$W$2:$W$702))))=0),--((--ISNUMBER(SEARCH("ESTACION",UPPER('Base_Cobranzas'!$E$2:$E$702)))+--ISNUMBER(SEARCH("ESTACION",UPPER('Base_Cobranzas'!$K$2:$K$702)))+--ISNUMBER(SEARCH("ESTACION",UPPER('Base_Cobranzas'!$Q$2:$Q$702)))+--ISNUMBER(SEARCH("ESTACION",UPPER('Base_Cobranzas'!$W$2:$W$702))))=0),--((--ISNUMBER(SEARCH("DEPOS",UPPER('Base_Cobranzas'!$E$2:$E$702)))+--ISNUMBER(SEARCH("DEPOS",UPPER('Base_Cobranzas'!$K$2:$K$702)))+--ISNUMBER(SEARCH("DEPOS",UPPER('Base_Cobranzas'!$Q$2:$Q$702)))+--ISNUMBER(SEARCH("DEPOS",UPPER('Base_Cobranzas'!$W$2:$W$702))))&gt;0),--ISNUMBER(SEARCH("VENCIDO",UPPER(TRIM('Base_Cobranzas'!$BC$2:$BC$702)))),'Base_Cobranzas'!$AR$2:$AR$702),0)</f>
        <v/>
      </c>
      <c r="J17" s="60">
        <f>IF(C17=0,0,I17/C17)</f>
        <v/>
      </c>
      <c r="K17" s="61" t="n">
        <v>0</v>
      </c>
      <c r="L17" s="61" t="n">
        <v>0</v>
      </c>
    </row>
    <row r="18" ht="6.6" customHeight="1">
      <c r="C18" s="42" t="n"/>
      <c r="D18" s="42" t="n"/>
      <c r="F18" s="43" t="n"/>
      <c r="G18" s="42" t="n"/>
      <c r="H18" s="42" t="n"/>
      <c r="I18" s="42" t="n"/>
      <c r="J18" s="43" t="n"/>
      <c r="K18" s="62" t="n"/>
      <c r="L18" s="62" t="n"/>
    </row>
    <row r="19">
      <c r="B19" s="10" t="inlineStr">
        <is>
          <t>Local Comercial</t>
        </is>
      </c>
      <c r="C19" s="53" t="n">
        <v>0</v>
      </c>
      <c r="D19" s="53" t="n">
        <v>0</v>
      </c>
      <c r="F19" s="54">
        <f>IF(C19=0,0,G19/C19)</f>
        <v/>
      </c>
      <c r="G19" s="55">
        <f>IFERROR(SUMPRODUCT(--ISNUMBER(SEARCH($B$6,'Base_Cobranzas'!$A$2:$A$702)),--(((--ISNUMBER(SEARCH("LOCAL",UPPER('Base_Cobranzas'!$E$2:$E$702)))+--ISNUMBER(SEARCH("LOCAL",UPPER('Base_Cobranzas'!$K$2:$K$702)))+--ISNUMBER(SEARCH("LOCAL",UPPER('Base_Cobranzas'!$Q$2:$Q$702)))+--ISNUMBER(SEARCH("LOCAL",UPPER('Base_Cobranzas'!$W$2:$W$702))))+(--ISNUMBER(SEARCH("COMERCIAL",UPPER('Base_Cobranzas'!$E$2:$E$702)))+--ISNUMBER(SEARCH("COMERCIAL",UPPER('Base_Cobranzas'!$K$2:$K$702)))+--ISNUMBER(SEARCH("COMERCIAL",UPPER('Base_Cobranzas'!$Q$2:$Q$702)))+--ISNUMBER(SEARCH("COMERCIAL",UPPER('Base_Cobranzas'!$W$2:$W$702)))))&gt;0),--('Base_Cobranzas'!$AQ$2:$AQ$702&gt;0),'Base_Cobranzas'!$AQ$2:$AQ$702),0)</f>
        <v/>
      </c>
      <c r="H19" s="55">
        <f>IFERROR(SUMPRODUCT(--ISNUMBER(SEARCH($B$6,'Base_Cobranzas'!$A$2:$A$702)),--(((--ISNUMBER(SEARCH("LOCAL",UPPER('Base_Cobranzas'!$E$2:$E$702)))+--ISNUMBER(SEARCH("LOCAL",UPPER('Base_Cobranzas'!$K$2:$K$702)))+--ISNUMBER(SEARCH("LOCAL",UPPER('Base_Cobranzas'!$Q$2:$Q$702)))+--ISNUMBER(SEARCH("LOCAL",UPPER('Base_Cobranzas'!$W$2:$W$702))))+(--ISNUMBER(SEARCH("COMERCIAL",UPPER('Base_Cobranzas'!$E$2:$E$702)))+--ISNUMBER(SEARCH("COMERCIAL",UPPER('Base_Cobranzas'!$K$2:$K$702)))+--ISNUMBER(SEARCH("COMERCIAL",UPPER('Base_Cobranzas'!$Q$2:$Q$702)))+--ISNUMBER(SEARCH("COMERCIAL",UPPER('Base_Cobranzas'!$W$2:$W$702)))))&gt;0),--ISNUMBER(SEARCH("PENDIENTE",UPPER(TRIM('Base_Cobranzas'!$BC$2:$BC$702)))),'Base_Cobranzas'!$AR$2:$AR$702),0)</f>
        <v/>
      </c>
      <c r="I19" s="55">
        <f>IFERROR(SUMPRODUCT(--ISNUMBER(SEARCH($B$6,'Base_Cobranzas'!$A$2:$A$702)),--(((--ISNUMBER(SEARCH("LOCAL",UPPER('Base_Cobranzas'!$E$2:$E$702)))+--ISNUMBER(SEARCH("LOCAL",UPPER('Base_Cobranzas'!$K$2:$K$702)))+--ISNUMBER(SEARCH("LOCAL",UPPER('Base_Cobranzas'!$Q$2:$Q$702)))+--ISNUMBER(SEARCH("LOCAL",UPPER('Base_Cobranzas'!$W$2:$W$702))))+(--ISNUMBER(SEARCH("COMERCIAL",UPPER('Base_Cobranzas'!$E$2:$E$702)))+--ISNUMBER(SEARCH("COMERCIAL",UPPER('Base_Cobranzas'!$K$2:$K$702)))+--ISNUMBER(SEARCH("COMERCIAL",UPPER('Base_Cobranzas'!$Q$2:$Q$702)))+--ISNUMBER(SEARCH("COMERCIAL",UPPER('Base_Cobranzas'!$W$2:$W$702)))))&gt;0),--ISNUMBER(SEARCH("VENCIDO",UPPER(TRIM('Base_Cobranzas'!$BC$2:$BC$702)))),'Base_Cobranzas'!$AR$2:$AR$702),0)</f>
        <v/>
      </c>
      <c r="J19" s="60">
        <f>IF(C19=0,0,I19/C19)</f>
        <v/>
      </c>
      <c r="K19" s="61" t="n">
        <v>0</v>
      </c>
      <c r="L19" s="61" t="n">
        <v>0</v>
      </c>
    </row>
    <row r="20" ht="6.6" customHeight="1">
      <c r="C20" s="42" t="n"/>
      <c r="D20" s="42" t="n"/>
      <c r="F20" s="43" t="n"/>
      <c r="G20" s="42" t="n"/>
      <c r="H20" s="42" t="n"/>
      <c r="I20" s="42" t="n"/>
      <c r="J20" s="43" t="n"/>
      <c r="K20" s="62" t="n"/>
      <c r="L20" s="62" t="n"/>
    </row>
    <row r="21">
      <c r="A21" s="35">
        <f>+IF(ROUND(C21,0)=ROUND(G21+H21+I21,0),"OK","REVISAR")</f>
        <v/>
      </c>
      <c r="B21" s="36" t="inlineStr">
        <is>
          <t>Total</t>
        </is>
      </c>
      <c r="C21" s="63" t="n">
        <v>8513900</v>
      </c>
      <c r="D21" s="63" t="n">
        <v>26</v>
      </c>
      <c r="F21" s="64">
        <f>IF(C21=0,0,G21/C21)</f>
        <v/>
      </c>
      <c r="G21" s="65">
        <f>G11+G15+G17+G19</f>
        <v/>
      </c>
      <c r="H21" s="65">
        <f>H11+H15+H17+H19</f>
        <v/>
      </c>
      <c r="I21" s="65">
        <f>I11+I15+I17+I19</f>
        <v/>
      </c>
      <c r="J21" s="66">
        <f>IF(C21=0,0,I21/C21)</f>
        <v/>
      </c>
      <c r="K21" s="67" t="n">
        <v>10</v>
      </c>
      <c r="L21" s="67" t="n">
        <v>17</v>
      </c>
    </row>
    <row r="22">
      <c r="C22" s="42" t="n"/>
      <c r="D22" s="42" t="n"/>
      <c r="F22" s="43" t="n"/>
      <c r="G22" s="42" t="n"/>
      <c r="H22" s="42" t="n"/>
      <c r="I22" s="42" t="n"/>
      <c r="J22" s="43" t="n"/>
      <c r="K22" s="42" t="n"/>
      <c r="L22" s="42" t="n"/>
    </row>
    <row r="23">
      <c r="C23" s="42" t="n"/>
      <c r="D23" s="42" t="n"/>
      <c r="F23" s="43" t="n"/>
      <c r="G23" s="42" t="n"/>
      <c r="H23" s="42" t="n"/>
      <c r="I23" s="42" t="n"/>
      <c r="J23" s="43" t="n"/>
      <c r="K23" s="42" t="n"/>
      <c r="L23" s="42" t="n"/>
    </row>
    <row r="24">
      <c r="C24" s="42" t="n"/>
      <c r="D24" s="42" t="n"/>
      <c r="F24" s="43" t="n"/>
      <c r="G24" s="42" t="n"/>
      <c r="H24" s="42" t="n"/>
      <c r="I24" s="42" t="n"/>
      <c r="J24" s="43" t="n"/>
      <c r="K24" s="42" t="n"/>
      <c r="L24" s="42" t="n"/>
    </row>
    <row r="25">
      <c r="C25" s="42" t="n"/>
      <c r="D25" s="42" t="n"/>
      <c r="F25" s="43" t="n"/>
      <c r="G25" s="42" t="n"/>
      <c r="H25" s="42" t="n"/>
      <c r="I25" s="42" t="n"/>
      <c r="J25" s="43" t="n"/>
      <c r="K25" s="42" t="n"/>
      <c r="L25" s="42" t="n"/>
    </row>
    <row r="31" ht="21" customHeight="1">
      <c r="B31" s="1" t="inlineStr">
        <is>
          <t>COBRANZA REAL</t>
        </is>
      </c>
    </row>
    <row r="33">
      <c r="B33" s="25" t="inlineStr">
        <is>
          <t>Tipo de Credito</t>
        </is>
      </c>
      <c r="C33" s="68" t="n">
        <v>2025</v>
      </c>
      <c r="D33" s="26" t="n">
        <v>46023</v>
      </c>
      <c r="E33" s="26" t="n">
        <v>46054</v>
      </c>
      <c r="F33" s="26" t="n">
        <v>46082</v>
      </c>
      <c r="G33" s="26" t="n">
        <v>46113</v>
      </c>
      <c r="H33" s="26" t="n">
        <v>46143</v>
      </c>
      <c r="I33" s="26" t="n">
        <v>46174</v>
      </c>
      <c r="J33" s="26" t="inlineStr">
        <is>
          <t>Total</t>
        </is>
      </c>
    </row>
    <row r="34">
      <c r="B34" s="8" t="inlineStr">
        <is>
          <t>Crédito Directo</t>
        </is>
      </c>
      <c r="C34" s="69">
        <f>IFERROR(SUMPRODUCT(--ISNUMBER(SEARCH($B$6,'Base_Cobranzas'!$A$2:$A$702)),--('Base_Cobranzas'!$AJ$2:$AJ$702&gt;=IF(C$33&lt;3000,DATE(C$33,1,1),C$33)),--('Base_Cobranzas'!$AJ$2:$AJ$702&lt;IF(C$33&lt;3000,DATE(C$33+1,1,1),EDATE(C$33,1))),--ISNUMBER(SEARCH(IF(ISNUMBER(SEARCH("DIRECTO",UPPER($B34))),"DIRECTO",IF(ISNUMBER(SEARCH("HIPOT",UPPER($B34))),"HIPOT",IF(ISNUMBER(SEARCH("AHORRO",UPPER($B34))),"AHORRO",UPPER($B34)))),UPPER('Base_Cobranzas'!$AT$2:$AT$702))),--('Base_Cobranzas'!$AQ$2:$AQ$702&gt;0),'Base_Cobranzas'!$AQ$2:$AQ$702),0)</f>
        <v/>
      </c>
      <c r="D34" s="69">
        <f>IFERROR(SUMPRODUCT(--ISNUMBER(SEARCH($B$6,'Base_Cobranzas'!$A$2:$A$702)),--('Base_Cobranzas'!$AJ$2:$AJ$702&gt;=IF(D$33&lt;3000,DATE(D$33,1,1),D$33)),--('Base_Cobranzas'!$AJ$2:$AJ$702&lt;IF(D$33&lt;3000,DATE(D$33+1,1,1),EDATE(D$33,1))),--ISNUMBER(SEARCH(IF(ISNUMBER(SEARCH("DIRECTO",UPPER($B34))),"DIRECTO",IF(ISNUMBER(SEARCH("HIPOT",UPPER($B34))),"HIPOT",IF(ISNUMBER(SEARCH("AHORRO",UPPER($B34))),"AHORRO",UPPER($B34)))),UPPER('Base_Cobranzas'!$AT$2:$AT$702))),--('Base_Cobranzas'!$AQ$2:$AQ$702&gt;0),'Base_Cobranzas'!$AQ$2:$AQ$702),0)</f>
        <v/>
      </c>
      <c r="E34" s="69">
        <f>IFERROR(SUMPRODUCT(--ISNUMBER(SEARCH($B$6,'Base_Cobranzas'!$A$2:$A$702)),--('Base_Cobranzas'!$AJ$2:$AJ$702&gt;=IF(E$33&lt;3000,DATE(E$33,1,1),E$33)),--('Base_Cobranzas'!$AJ$2:$AJ$702&lt;IF(E$33&lt;3000,DATE(E$33+1,1,1),EDATE(E$33,1))),--ISNUMBER(SEARCH(IF(ISNUMBER(SEARCH("DIRECTO",UPPER($B34))),"DIRECTO",IF(ISNUMBER(SEARCH("HIPOT",UPPER($B34))),"HIPOT",IF(ISNUMBER(SEARCH("AHORRO",UPPER($B34))),"AHORRO",UPPER($B34)))),UPPER('Base_Cobranzas'!$AT$2:$AT$702))),--('Base_Cobranzas'!$AQ$2:$AQ$702&gt;0),'Base_Cobranzas'!$AQ$2:$AQ$702),0)</f>
        <v/>
      </c>
      <c r="F34" s="69">
        <f>IFERROR(SUMPRODUCT(--ISNUMBER(SEARCH($B$6,'Base_Cobranzas'!$A$2:$A$702)),--('Base_Cobranzas'!$AJ$2:$AJ$702&gt;=IF(F$33&lt;3000,DATE(F$33,1,1),F$33)),--('Base_Cobranzas'!$AJ$2:$AJ$702&lt;IF(F$33&lt;3000,DATE(F$33+1,1,1),EDATE(F$33,1))),--ISNUMBER(SEARCH(IF(ISNUMBER(SEARCH("DIRECTO",UPPER($B34))),"DIRECTO",IF(ISNUMBER(SEARCH("HIPOT",UPPER($B34))),"HIPOT",IF(ISNUMBER(SEARCH("AHORRO",UPPER($B34))),"AHORRO",UPPER($B34)))),UPPER('Base_Cobranzas'!$AT$2:$AT$702))),--('Base_Cobranzas'!$AQ$2:$AQ$702&gt;0),'Base_Cobranzas'!$AQ$2:$AQ$702),0)</f>
        <v/>
      </c>
      <c r="G34" s="69">
        <f>IFERROR(SUMPRODUCT(--ISNUMBER(SEARCH($B$6,'Base_Cobranzas'!$A$2:$A$702)),--('Base_Cobranzas'!$AJ$2:$AJ$702&gt;=IF(G$33&lt;3000,DATE(G$33,1,1),G$33)),--('Base_Cobranzas'!$AJ$2:$AJ$702&lt;IF(G$33&lt;3000,DATE(G$33+1,1,1),EDATE(G$33,1))),--ISNUMBER(SEARCH(IF(ISNUMBER(SEARCH("DIRECTO",UPPER($B34))),"DIRECTO",IF(ISNUMBER(SEARCH("HIPOT",UPPER($B34))),"HIPOT",IF(ISNUMBER(SEARCH("AHORRO",UPPER($B34))),"AHORRO",UPPER($B34)))),UPPER('Base_Cobranzas'!$AT$2:$AT$702))),--('Base_Cobranzas'!$AQ$2:$AQ$702&gt;0),'Base_Cobranzas'!$AQ$2:$AQ$702),0)</f>
        <v/>
      </c>
      <c r="H34" s="69">
        <f>IFERROR(SUMPRODUCT(--ISNUMBER(SEARCH($B$6,'Base_Cobranzas'!$A$2:$A$702)),--('Base_Cobranzas'!$AJ$2:$AJ$702&gt;=IF(H$33&lt;3000,DATE(H$33,1,1),H$33)),--('Base_Cobranzas'!$AJ$2:$AJ$702&lt;IF(H$33&lt;3000,DATE(H$33+1,1,1),EDATE(H$33,1))),--ISNUMBER(SEARCH(IF(ISNUMBER(SEARCH("DIRECTO",UPPER($B34))),"DIRECTO",IF(ISNUMBER(SEARCH("HIPOT",UPPER($B34))),"HIPOT",IF(ISNUMBER(SEARCH("AHORRO",UPPER($B34))),"AHORRO",UPPER($B34)))),UPPER('Base_Cobranzas'!$AT$2:$AT$702))),--('Base_Cobranzas'!$AQ$2:$AQ$702&gt;0),'Base_Cobranzas'!$AQ$2:$AQ$702),0)</f>
        <v/>
      </c>
      <c r="I34" s="69">
        <f>IFERROR(SUMPRODUCT(--ISNUMBER(SEARCH($B$6,'Base_Cobranzas'!$A$2:$A$702)),--('Base_Cobranzas'!$AJ$2:$AJ$702&gt;=IF(I$33&lt;3000,DATE(I$33,1,1),I$33)),--('Base_Cobranzas'!$AJ$2:$AJ$702&lt;IF(I$33&lt;3000,DATE(I$33+1,1,1),EDATE(I$33,1))),--ISNUMBER(SEARCH(IF(ISNUMBER(SEARCH("DIRECTO",UPPER($B34))),"DIRECTO",IF(ISNUMBER(SEARCH("HIPOT",UPPER($B34))),"HIPOT",IF(ISNUMBER(SEARCH("AHORRO",UPPER($B34))),"AHORRO",UPPER($B34)))),UPPER('Base_Cobranzas'!$AT$2:$AT$702))),--('Base_Cobranzas'!$AQ$2:$AQ$702&gt;0),'Base_Cobranzas'!$AQ$2:$AQ$702),0)</f>
        <v/>
      </c>
      <c r="J34" s="70">
        <f>SUM(C34:I34)</f>
        <v/>
      </c>
    </row>
    <row r="35">
      <c r="B35" s="8" t="inlineStr">
        <is>
          <t>Crédito Hipotecario</t>
        </is>
      </c>
      <c r="C35" s="69">
        <f>IFERROR(SUMPRODUCT(--ISNUMBER(SEARCH($B$6,'Base_Cobranzas'!$A$2:$A$702)),--('Base_Cobranzas'!$AJ$2:$AJ$702&gt;=IF(C$33&lt;3000,DATE(C$33,1,1),C$33)),--('Base_Cobranzas'!$AJ$2:$AJ$702&lt;IF(C$33&lt;3000,DATE(C$33+1,1,1),EDATE(C$33,1))),--ISNUMBER(SEARCH(IF(ISNUMBER(SEARCH("DIRECTO",UPPER($B35))),"DIRECTO",IF(ISNUMBER(SEARCH("HIPOT",UPPER($B35))),"HIPOT",IF(ISNUMBER(SEARCH("AHORRO",UPPER($B35))),"AHORRO",UPPER($B35)))),UPPER('Base_Cobranzas'!$AT$2:$AT$702))),--('Base_Cobranzas'!$AQ$2:$AQ$702&gt;0),'Base_Cobranzas'!$AQ$2:$AQ$702),0)</f>
        <v/>
      </c>
      <c r="D35" s="69">
        <f>IFERROR(SUMPRODUCT(--ISNUMBER(SEARCH($B$6,'Base_Cobranzas'!$A$2:$A$702)),--('Base_Cobranzas'!$AJ$2:$AJ$702&gt;=IF(D$33&lt;3000,DATE(D$33,1,1),D$33)),--('Base_Cobranzas'!$AJ$2:$AJ$702&lt;IF(D$33&lt;3000,DATE(D$33+1,1,1),EDATE(D$33,1))),--ISNUMBER(SEARCH(IF(ISNUMBER(SEARCH("DIRECTO",UPPER($B35))),"DIRECTO",IF(ISNUMBER(SEARCH("HIPOT",UPPER($B35))),"HIPOT",IF(ISNUMBER(SEARCH("AHORRO",UPPER($B35))),"AHORRO",UPPER($B35)))),UPPER('Base_Cobranzas'!$AT$2:$AT$702))),--('Base_Cobranzas'!$AQ$2:$AQ$702&gt;0),'Base_Cobranzas'!$AQ$2:$AQ$702),0)</f>
        <v/>
      </c>
      <c r="E35" s="69">
        <f>IFERROR(SUMPRODUCT(--ISNUMBER(SEARCH($B$6,'Base_Cobranzas'!$A$2:$A$702)),--('Base_Cobranzas'!$AJ$2:$AJ$702&gt;=IF(E$33&lt;3000,DATE(E$33,1,1),E$33)),--('Base_Cobranzas'!$AJ$2:$AJ$702&lt;IF(E$33&lt;3000,DATE(E$33+1,1,1),EDATE(E$33,1))),--ISNUMBER(SEARCH(IF(ISNUMBER(SEARCH("DIRECTO",UPPER($B35))),"DIRECTO",IF(ISNUMBER(SEARCH("HIPOT",UPPER($B35))),"HIPOT",IF(ISNUMBER(SEARCH("AHORRO",UPPER($B35))),"AHORRO",UPPER($B35)))),UPPER('Base_Cobranzas'!$AT$2:$AT$702))),--('Base_Cobranzas'!$AQ$2:$AQ$702&gt;0),'Base_Cobranzas'!$AQ$2:$AQ$702),0)</f>
        <v/>
      </c>
      <c r="F35" s="69">
        <f>IFERROR(SUMPRODUCT(--ISNUMBER(SEARCH($B$6,'Base_Cobranzas'!$A$2:$A$702)),--('Base_Cobranzas'!$AJ$2:$AJ$702&gt;=IF(F$33&lt;3000,DATE(F$33,1,1),F$33)),--('Base_Cobranzas'!$AJ$2:$AJ$702&lt;IF(F$33&lt;3000,DATE(F$33+1,1,1),EDATE(F$33,1))),--ISNUMBER(SEARCH(IF(ISNUMBER(SEARCH("DIRECTO",UPPER($B35))),"DIRECTO",IF(ISNUMBER(SEARCH("HIPOT",UPPER($B35))),"HIPOT",IF(ISNUMBER(SEARCH("AHORRO",UPPER($B35))),"AHORRO",UPPER($B35)))),UPPER('Base_Cobranzas'!$AT$2:$AT$702))),--('Base_Cobranzas'!$AQ$2:$AQ$702&gt;0),'Base_Cobranzas'!$AQ$2:$AQ$702),0)</f>
        <v/>
      </c>
      <c r="G35" s="69">
        <f>IFERROR(SUMPRODUCT(--ISNUMBER(SEARCH($B$6,'Base_Cobranzas'!$A$2:$A$702)),--('Base_Cobranzas'!$AJ$2:$AJ$702&gt;=IF(G$33&lt;3000,DATE(G$33,1,1),G$33)),--('Base_Cobranzas'!$AJ$2:$AJ$702&lt;IF(G$33&lt;3000,DATE(G$33+1,1,1),EDATE(G$33,1))),--ISNUMBER(SEARCH(IF(ISNUMBER(SEARCH("DIRECTO",UPPER($B35))),"DIRECTO",IF(ISNUMBER(SEARCH("HIPOT",UPPER($B35))),"HIPOT",IF(ISNUMBER(SEARCH("AHORRO",UPPER($B35))),"AHORRO",UPPER($B35)))),UPPER('Base_Cobranzas'!$AT$2:$AT$702))),--('Base_Cobranzas'!$AQ$2:$AQ$702&gt;0),'Base_Cobranzas'!$AQ$2:$AQ$702),0)</f>
        <v/>
      </c>
      <c r="H35" s="69">
        <f>IFERROR(SUMPRODUCT(--ISNUMBER(SEARCH($B$6,'Base_Cobranzas'!$A$2:$A$702)),--('Base_Cobranzas'!$AJ$2:$AJ$702&gt;=IF(H$33&lt;3000,DATE(H$33,1,1),H$33)),--('Base_Cobranzas'!$AJ$2:$AJ$702&lt;IF(H$33&lt;3000,DATE(H$33+1,1,1),EDATE(H$33,1))),--ISNUMBER(SEARCH(IF(ISNUMBER(SEARCH("DIRECTO",UPPER($B35))),"DIRECTO",IF(ISNUMBER(SEARCH("HIPOT",UPPER($B35))),"HIPOT",IF(ISNUMBER(SEARCH("AHORRO",UPPER($B35))),"AHORRO",UPPER($B35)))),UPPER('Base_Cobranzas'!$AT$2:$AT$702))),--('Base_Cobranzas'!$AQ$2:$AQ$702&gt;0),'Base_Cobranzas'!$AQ$2:$AQ$702),0)</f>
        <v/>
      </c>
      <c r="I35" s="69">
        <f>IFERROR(SUMPRODUCT(--ISNUMBER(SEARCH($B$6,'Base_Cobranzas'!$A$2:$A$702)),--('Base_Cobranzas'!$AJ$2:$AJ$702&gt;=IF(I$33&lt;3000,DATE(I$33,1,1),I$33)),--('Base_Cobranzas'!$AJ$2:$AJ$702&lt;IF(I$33&lt;3000,DATE(I$33+1,1,1),EDATE(I$33,1))),--ISNUMBER(SEARCH(IF(ISNUMBER(SEARCH("DIRECTO",UPPER($B35))),"DIRECTO",IF(ISNUMBER(SEARCH("HIPOT",UPPER($B35))),"HIPOT",IF(ISNUMBER(SEARCH("AHORRO",UPPER($B35))),"AHORRO",UPPER($B35)))),UPPER('Base_Cobranzas'!$AT$2:$AT$702))),--('Base_Cobranzas'!$AQ$2:$AQ$702&gt;0),'Base_Cobranzas'!$AQ$2:$AQ$702),0)</f>
        <v/>
      </c>
      <c r="J35" s="70">
        <f>SUM(C35:I35)</f>
        <v/>
      </c>
    </row>
    <row r="36">
      <c r="B36" s="8" t="inlineStr">
        <is>
          <t>Ahorro</t>
        </is>
      </c>
      <c r="C36" s="69">
        <f>IFERROR(SUMPRODUCT(--ISNUMBER(SEARCH($B$6,'Base_Cobranzas'!$A$2:$A$702)),--('Base_Cobranzas'!$AJ$2:$AJ$702&gt;=IF(C$33&lt;3000,DATE(C$33,1,1),C$33)),--('Base_Cobranzas'!$AJ$2:$AJ$702&lt;IF(C$33&lt;3000,DATE(C$33+1,1,1),EDATE(C$33,1))),--ISNUMBER(SEARCH(IF(ISNUMBER(SEARCH("DIRECTO",UPPER($B36))),"DIRECTO",IF(ISNUMBER(SEARCH("HIPOT",UPPER($B36))),"HIPOT",IF(ISNUMBER(SEARCH("AHORRO",UPPER($B36))),"AHORRO",UPPER($B36)))),UPPER('Base_Cobranzas'!$AT$2:$AT$702))),--('Base_Cobranzas'!$AQ$2:$AQ$702&gt;0),'Base_Cobranzas'!$AQ$2:$AQ$702),0)</f>
        <v/>
      </c>
      <c r="D36" s="69">
        <f>IFERROR(SUMPRODUCT(--ISNUMBER(SEARCH($B$6,'Base_Cobranzas'!$A$2:$A$702)),--('Base_Cobranzas'!$AJ$2:$AJ$702&gt;=IF(D$33&lt;3000,DATE(D$33,1,1),D$33)),--('Base_Cobranzas'!$AJ$2:$AJ$702&lt;IF(D$33&lt;3000,DATE(D$33+1,1,1),EDATE(D$33,1))),--ISNUMBER(SEARCH(IF(ISNUMBER(SEARCH("DIRECTO",UPPER($B36))),"DIRECTO",IF(ISNUMBER(SEARCH("HIPOT",UPPER($B36))),"HIPOT",IF(ISNUMBER(SEARCH("AHORRO",UPPER($B36))),"AHORRO",UPPER($B36)))),UPPER('Base_Cobranzas'!$AT$2:$AT$702))),--('Base_Cobranzas'!$AQ$2:$AQ$702&gt;0),'Base_Cobranzas'!$AQ$2:$AQ$702),0)</f>
        <v/>
      </c>
      <c r="E36" s="69">
        <f>IFERROR(SUMPRODUCT(--ISNUMBER(SEARCH($B$6,'Base_Cobranzas'!$A$2:$A$702)),--('Base_Cobranzas'!$AJ$2:$AJ$702&gt;=IF(E$33&lt;3000,DATE(E$33,1,1),E$33)),--('Base_Cobranzas'!$AJ$2:$AJ$702&lt;IF(E$33&lt;3000,DATE(E$33+1,1,1),EDATE(E$33,1))),--ISNUMBER(SEARCH(IF(ISNUMBER(SEARCH("DIRECTO",UPPER($B36))),"DIRECTO",IF(ISNUMBER(SEARCH("HIPOT",UPPER($B36))),"HIPOT",IF(ISNUMBER(SEARCH("AHORRO",UPPER($B36))),"AHORRO",UPPER($B36)))),UPPER('Base_Cobranzas'!$AT$2:$AT$702))),--('Base_Cobranzas'!$AQ$2:$AQ$702&gt;0),'Base_Cobranzas'!$AQ$2:$AQ$702),0)</f>
        <v/>
      </c>
      <c r="F36" s="69">
        <f>IFERROR(SUMPRODUCT(--ISNUMBER(SEARCH($B$6,'Base_Cobranzas'!$A$2:$A$702)),--('Base_Cobranzas'!$AJ$2:$AJ$702&gt;=IF(F$33&lt;3000,DATE(F$33,1,1),F$33)),--('Base_Cobranzas'!$AJ$2:$AJ$702&lt;IF(F$33&lt;3000,DATE(F$33+1,1,1),EDATE(F$33,1))),--ISNUMBER(SEARCH(IF(ISNUMBER(SEARCH("DIRECTO",UPPER($B36))),"DIRECTO",IF(ISNUMBER(SEARCH("HIPOT",UPPER($B36))),"HIPOT",IF(ISNUMBER(SEARCH("AHORRO",UPPER($B36))),"AHORRO",UPPER($B36)))),UPPER('Base_Cobranzas'!$AT$2:$AT$702))),--('Base_Cobranzas'!$AQ$2:$AQ$702&gt;0),'Base_Cobranzas'!$AQ$2:$AQ$702),0)</f>
        <v/>
      </c>
      <c r="G36" s="69">
        <f>IFERROR(SUMPRODUCT(--ISNUMBER(SEARCH($B$6,'Base_Cobranzas'!$A$2:$A$702)),--('Base_Cobranzas'!$AJ$2:$AJ$702&gt;=IF(G$33&lt;3000,DATE(G$33,1,1),G$33)),--('Base_Cobranzas'!$AJ$2:$AJ$702&lt;IF(G$33&lt;3000,DATE(G$33+1,1,1),EDATE(G$33,1))),--ISNUMBER(SEARCH(IF(ISNUMBER(SEARCH("DIRECTO",UPPER($B36))),"DIRECTO",IF(ISNUMBER(SEARCH("HIPOT",UPPER($B36))),"HIPOT",IF(ISNUMBER(SEARCH("AHORRO",UPPER($B36))),"AHORRO",UPPER($B36)))),UPPER('Base_Cobranzas'!$AT$2:$AT$702))),--('Base_Cobranzas'!$AQ$2:$AQ$702&gt;0),'Base_Cobranzas'!$AQ$2:$AQ$702),0)</f>
        <v/>
      </c>
      <c r="H36" s="69">
        <f>IFERROR(SUMPRODUCT(--ISNUMBER(SEARCH($B$6,'Base_Cobranzas'!$A$2:$A$702)),--('Base_Cobranzas'!$AJ$2:$AJ$702&gt;=IF(H$33&lt;3000,DATE(H$33,1,1),H$33)),--('Base_Cobranzas'!$AJ$2:$AJ$702&lt;IF(H$33&lt;3000,DATE(H$33+1,1,1),EDATE(H$33,1))),--ISNUMBER(SEARCH(IF(ISNUMBER(SEARCH("DIRECTO",UPPER($B36))),"DIRECTO",IF(ISNUMBER(SEARCH("HIPOT",UPPER($B36))),"HIPOT",IF(ISNUMBER(SEARCH("AHORRO",UPPER($B36))),"AHORRO",UPPER($B36)))),UPPER('Base_Cobranzas'!$AT$2:$AT$702))),--('Base_Cobranzas'!$AQ$2:$AQ$702&gt;0),'Base_Cobranzas'!$AQ$2:$AQ$702),0)</f>
        <v/>
      </c>
      <c r="I36" s="69">
        <f>IFERROR(SUMPRODUCT(--ISNUMBER(SEARCH($B$6,'Base_Cobranzas'!$A$2:$A$702)),--('Base_Cobranzas'!$AJ$2:$AJ$702&gt;=IF(I$33&lt;3000,DATE(I$33,1,1),I$33)),--('Base_Cobranzas'!$AJ$2:$AJ$702&lt;IF(I$33&lt;3000,DATE(I$33+1,1,1),EDATE(I$33,1))),--ISNUMBER(SEARCH(IF(ISNUMBER(SEARCH("DIRECTO",UPPER($B36))),"DIRECTO",IF(ISNUMBER(SEARCH("HIPOT",UPPER($B36))),"HIPOT",IF(ISNUMBER(SEARCH("AHORRO",UPPER($B36))),"AHORRO",UPPER($B36)))),UPPER('Base_Cobranzas'!$AT$2:$AT$702))),--('Base_Cobranzas'!$AQ$2:$AQ$702&gt;0),'Base_Cobranzas'!$AQ$2:$AQ$702),0)</f>
        <v/>
      </c>
      <c r="J36" s="70">
        <f>SUM(C36:I36)</f>
        <v/>
      </c>
    </row>
    <row r="37">
      <c r="B37" s="7" t="inlineStr">
        <is>
          <t>Total</t>
        </is>
      </c>
      <c r="C37" s="71">
        <f>SUM(C34:C36)</f>
        <v/>
      </c>
      <c r="D37" s="71">
        <f>SUM(D34:D36)</f>
        <v/>
      </c>
      <c r="E37" s="71">
        <f>SUM(E34:E36)</f>
        <v/>
      </c>
      <c r="F37" s="71">
        <f>SUM(F34:F36)</f>
        <v/>
      </c>
      <c r="G37" s="71">
        <f>SUM(G34:G36)</f>
        <v/>
      </c>
      <c r="H37" s="71">
        <f>SUM(H34:H36)</f>
        <v/>
      </c>
      <c r="I37" s="71">
        <f>SUM(I34:I36)</f>
        <v/>
      </c>
      <c r="J37" s="71">
        <f>SUM(C37:I37)</f>
        <v/>
      </c>
      <c r="K37">
        <f>IF($G$21=J37,"OK","REVISAR")</f>
        <v/>
      </c>
    </row>
    <row r="39">
      <c r="B39" s="7" t="inlineStr">
        <is>
          <t>Acumulado</t>
        </is>
      </c>
      <c r="C39" s="72">
        <f>C37</f>
        <v/>
      </c>
      <c r="D39" s="72">
        <f>C39+D37</f>
        <v/>
      </c>
      <c r="E39" s="72">
        <f>D39+E37</f>
        <v/>
      </c>
      <c r="F39" s="72">
        <f>E39+F37</f>
        <v/>
      </c>
      <c r="G39" s="72">
        <f>F39+G37</f>
        <v/>
      </c>
      <c r="H39" s="72">
        <f>G39+H37</f>
        <v/>
      </c>
      <c r="I39" s="72">
        <f>H39+I37</f>
        <v/>
      </c>
      <c r="J39" s="73" t="n"/>
    </row>
    <row r="42">
      <c r="O42" s="3" t="n"/>
    </row>
    <row r="43" ht="21" customHeight="1">
      <c r="B43" s="1" t="inlineStr">
        <is>
          <t>COBRANZA PROYECTADA</t>
        </is>
      </c>
      <c r="O43" s="3" t="n"/>
    </row>
    <row r="45">
      <c r="B45" s="25" t="inlineStr">
        <is>
          <t>Tipo de Credito</t>
        </is>
      </c>
      <c r="C45" s="26" t="n">
        <v>46204</v>
      </c>
      <c r="D45" s="26" t="n">
        <v>46235</v>
      </c>
      <c r="E45" s="26" t="n">
        <v>46266</v>
      </c>
      <c r="F45" s="26" t="n">
        <v>46296</v>
      </c>
      <c r="G45" s="26" t="n">
        <v>46327</v>
      </c>
      <c r="H45" s="26" t="n">
        <v>46357</v>
      </c>
      <c r="I45" s="26" t="n">
        <v>46388</v>
      </c>
      <c r="J45" s="26" t="n">
        <v>46419</v>
      </c>
      <c r="K45" s="26" t="n">
        <v>46447</v>
      </c>
      <c r="L45" s="26" t="n">
        <v>46478</v>
      </c>
      <c r="M45" s="26" t="n">
        <v>46508</v>
      </c>
      <c r="N45" s="26" t="n">
        <v>46539</v>
      </c>
      <c r="O45" s="26" t="n">
        <v>46569</v>
      </c>
      <c r="P45" s="26" t="n">
        <v>46600</v>
      </c>
      <c r="Q45" s="26" t="n">
        <v>46631</v>
      </c>
      <c r="R45" s="26" t="n">
        <v>46661</v>
      </c>
      <c r="S45" s="26" t="n">
        <v>46692</v>
      </c>
      <c r="T45" s="26" t="n">
        <v>46722</v>
      </c>
      <c r="U45" s="26" t="inlineStr">
        <is>
          <t>Total</t>
        </is>
      </c>
    </row>
    <row r="46">
      <c r="B46" s="8" t="inlineStr">
        <is>
          <t>Crédito Directo</t>
        </is>
      </c>
      <c r="C46" s="69">
        <f>IFERROR(SUMPRODUCT(--ISNUMBER(SEARCH($B$6,'Base_Cobranzas'!$A$2:$A$702)),--('Base_Cobranzas'!$AI$2:$AI$702&gt;=IF(C$45&lt;3000,DATE(C$45,1,1),C$45)),--('Base_Cobranzas'!$AI$2:$AI$702&lt;IF(C$45&lt;3000,DATE(C$45+1,1,1),EDATE(C$45,1))),--ISNUMBER(SEARCH(IF(ISNUMBER(SEARCH("DIRECTO",UPPER($B46))),"DIRECTO",IF(ISNUMBER(SEARCH("HIPOT",UPPER($B46))),"HIPOT",IF(ISNUMBER(SEARCH("AHORRO",UPPER($B46))),"AHORRO",UPPER($B46)))),UPPER('Base_Cobranzas'!$AT$2:$AT$702))),--ISNUMBER(SEARCH("PENDIENTE",UPPER(TRIM('Base_Cobranzas'!$BC$2:$BC$702)))),'Base_Cobranzas'!$AR$2:$AR$702),0)</f>
        <v/>
      </c>
      <c r="D46" s="69">
        <f>IFERROR(SUMPRODUCT(--ISNUMBER(SEARCH($B$6,'Base_Cobranzas'!$A$2:$A$702)),--('Base_Cobranzas'!$AI$2:$AI$702&gt;=IF(D$45&lt;3000,DATE(D$45,1,1),D$45)),--('Base_Cobranzas'!$AI$2:$AI$702&lt;IF(D$45&lt;3000,DATE(D$45+1,1,1),EDATE(D$45,1))),--ISNUMBER(SEARCH(IF(ISNUMBER(SEARCH("DIRECTO",UPPER($B46))),"DIRECTO",IF(ISNUMBER(SEARCH("HIPOT",UPPER($B46))),"HIPOT",IF(ISNUMBER(SEARCH("AHORRO",UPPER($B46))),"AHORRO",UPPER($B46)))),UPPER('Base_Cobranzas'!$AT$2:$AT$702))),--ISNUMBER(SEARCH("PENDIENTE",UPPER(TRIM('Base_Cobranzas'!$BC$2:$BC$702)))),'Base_Cobranzas'!$AR$2:$AR$702),0)</f>
        <v/>
      </c>
      <c r="E46" s="69">
        <f>IFERROR(SUMPRODUCT(--ISNUMBER(SEARCH($B$6,'Base_Cobranzas'!$A$2:$A$702)),--('Base_Cobranzas'!$AI$2:$AI$702&gt;=IF(E$45&lt;3000,DATE(E$45,1,1),E$45)),--('Base_Cobranzas'!$AI$2:$AI$702&lt;IF(E$45&lt;3000,DATE(E$45+1,1,1),EDATE(E$45,1))),--ISNUMBER(SEARCH(IF(ISNUMBER(SEARCH("DIRECTO",UPPER($B46))),"DIRECTO",IF(ISNUMBER(SEARCH("HIPOT",UPPER($B46))),"HIPOT",IF(ISNUMBER(SEARCH("AHORRO",UPPER($B46))),"AHORRO",UPPER($B46)))),UPPER('Base_Cobranzas'!$AT$2:$AT$702))),--ISNUMBER(SEARCH("PENDIENTE",UPPER(TRIM('Base_Cobranzas'!$BC$2:$BC$702)))),'Base_Cobranzas'!$AR$2:$AR$702),0)</f>
        <v/>
      </c>
      <c r="F46" s="69">
        <f>IFERROR(SUMPRODUCT(--ISNUMBER(SEARCH($B$6,'Base_Cobranzas'!$A$2:$A$702)),--('Base_Cobranzas'!$AI$2:$AI$702&gt;=IF(F$45&lt;3000,DATE(F$45,1,1),F$45)),--('Base_Cobranzas'!$AI$2:$AI$702&lt;IF(F$45&lt;3000,DATE(F$45+1,1,1),EDATE(F$45,1))),--ISNUMBER(SEARCH(IF(ISNUMBER(SEARCH("DIRECTO",UPPER($B46))),"DIRECTO",IF(ISNUMBER(SEARCH("HIPOT",UPPER($B46))),"HIPOT",IF(ISNUMBER(SEARCH("AHORRO",UPPER($B46))),"AHORRO",UPPER($B46)))),UPPER('Base_Cobranzas'!$AT$2:$AT$702))),--ISNUMBER(SEARCH("PENDIENTE",UPPER(TRIM('Base_Cobranzas'!$BC$2:$BC$702)))),'Base_Cobranzas'!$AR$2:$AR$702),0)</f>
        <v/>
      </c>
      <c r="G46" s="69">
        <f>IFERROR(SUMPRODUCT(--ISNUMBER(SEARCH($B$6,'Base_Cobranzas'!$A$2:$A$702)),--('Base_Cobranzas'!$AI$2:$AI$702&gt;=IF(G$45&lt;3000,DATE(G$45,1,1),G$45)),--('Base_Cobranzas'!$AI$2:$AI$702&lt;IF(G$45&lt;3000,DATE(G$45+1,1,1),EDATE(G$45,1))),--ISNUMBER(SEARCH(IF(ISNUMBER(SEARCH("DIRECTO",UPPER($B46))),"DIRECTO",IF(ISNUMBER(SEARCH("HIPOT",UPPER($B46))),"HIPOT",IF(ISNUMBER(SEARCH("AHORRO",UPPER($B46))),"AHORRO",UPPER($B46)))),UPPER('Base_Cobranzas'!$AT$2:$AT$702))),--ISNUMBER(SEARCH("PENDIENTE",UPPER(TRIM('Base_Cobranzas'!$BC$2:$BC$702)))),'Base_Cobranzas'!$AR$2:$AR$702),0)</f>
        <v/>
      </c>
      <c r="H46" s="69">
        <f>IFERROR(SUMPRODUCT(--ISNUMBER(SEARCH($B$6,'Base_Cobranzas'!$A$2:$A$702)),--('Base_Cobranzas'!$AI$2:$AI$702&gt;=IF(H$45&lt;3000,DATE(H$45,1,1),H$45)),--('Base_Cobranzas'!$AI$2:$AI$702&lt;IF(H$45&lt;3000,DATE(H$45+1,1,1),EDATE(H$45,1))),--ISNUMBER(SEARCH(IF(ISNUMBER(SEARCH("DIRECTO",UPPER($B46))),"DIRECTO",IF(ISNUMBER(SEARCH("HIPOT",UPPER($B46))),"HIPOT",IF(ISNUMBER(SEARCH("AHORRO",UPPER($B46))),"AHORRO",UPPER($B46)))),UPPER('Base_Cobranzas'!$AT$2:$AT$702))),--ISNUMBER(SEARCH("PENDIENTE",UPPER(TRIM('Base_Cobranzas'!$BC$2:$BC$702)))),'Base_Cobranzas'!$AR$2:$AR$702),0)</f>
        <v/>
      </c>
      <c r="I46" s="69">
        <f>IFERROR(SUMPRODUCT(--ISNUMBER(SEARCH($B$6,'Base_Cobranzas'!$A$2:$A$702)),--('Base_Cobranzas'!$AI$2:$AI$702&gt;=IF(I$45&lt;3000,DATE(I$45,1,1),I$45)),--('Base_Cobranzas'!$AI$2:$AI$702&lt;IF(I$45&lt;3000,DATE(I$45+1,1,1),EDATE(I$45,1))),--ISNUMBER(SEARCH(IF(ISNUMBER(SEARCH("DIRECTO",UPPER($B46))),"DIRECTO",IF(ISNUMBER(SEARCH("HIPOT",UPPER($B46))),"HIPOT",IF(ISNUMBER(SEARCH("AHORRO",UPPER($B46))),"AHORRO",UPPER($B46)))),UPPER('Base_Cobranzas'!$AT$2:$AT$702))),--ISNUMBER(SEARCH("PENDIENTE",UPPER(TRIM('Base_Cobranzas'!$BC$2:$BC$702)))),'Base_Cobranzas'!$AR$2:$AR$702),0)</f>
        <v/>
      </c>
      <c r="J46" s="69">
        <f>IFERROR(SUMPRODUCT(--ISNUMBER(SEARCH($B$6,'Base_Cobranzas'!$A$2:$A$702)),--('Base_Cobranzas'!$AI$2:$AI$702&gt;=IF(J$45&lt;3000,DATE(J$45,1,1),J$45)),--('Base_Cobranzas'!$AI$2:$AI$702&lt;IF(J$45&lt;3000,DATE(J$45+1,1,1),EDATE(J$45,1))),--ISNUMBER(SEARCH(IF(ISNUMBER(SEARCH("DIRECTO",UPPER($B46))),"DIRECTO",IF(ISNUMBER(SEARCH("HIPOT",UPPER($B46))),"HIPOT",IF(ISNUMBER(SEARCH("AHORRO",UPPER($B46))),"AHORRO",UPPER($B46)))),UPPER('Base_Cobranzas'!$AT$2:$AT$702))),--ISNUMBER(SEARCH("PENDIENTE",UPPER(TRIM('Base_Cobranzas'!$BC$2:$BC$702)))),'Base_Cobranzas'!$AR$2:$AR$702),0)</f>
        <v/>
      </c>
      <c r="K46" s="69">
        <f>IFERROR(SUMPRODUCT(--ISNUMBER(SEARCH($B$6,'Base_Cobranzas'!$A$2:$A$702)),--('Base_Cobranzas'!$AI$2:$AI$702&gt;=IF(K$45&lt;3000,DATE(K$45,1,1),K$45)),--('Base_Cobranzas'!$AI$2:$AI$702&lt;IF(K$45&lt;3000,DATE(K$45+1,1,1),EDATE(K$45,1))),--ISNUMBER(SEARCH(IF(ISNUMBER(SEARCH("DIRECTO",UPPER($B46))),"DIRECTO",IF(ISNUMBER(SEARCH("HIPOT",UPPER($B46))),"HIPOT",IF(ISNUMBER(SEARCH("AHORRO",UPPER($B46))),"AHORRO",UPPER($B46)))),UPPER('Base_Cobranzas'!$AT$2:$AT$702))),--ISNUMBER(SEARCH("PENDIENTE",UPPER(TRIM('Base_Cobranzas'!$BC$2:$BC$702)))),'Base_Cobranzas'!$AR$2:$AR$702),0)</f>
        <v/>
      </c>
      <c r="L46" s="69">
        <f>IFERROR(SUMPRODUCT(--ISNUMBER(SEARCH($B$6,'Base_Cobranzas'!$A$2:$A$702)),--('Base_Cobranzas'!$AI$2:$AI$702&gt;=IF(L$45&lt;3000,DATE(L$45,1,1),L$45)),--('Base_Cobranzas'!$AI$2:$AI$702&lt;IF(L$45&lt;3000,DATE(L$45+1,1,1),EDATE(L$45,1))),--ISNUMBER(SEARCH(IF(ISNUMBER(SEARCH("DIRECTO",UPPER($B46))),"DIRECTO",IF(ISNUMBER(SEARCH("HIPOT",UPPER($B46))),"HIPOT",IF(ISNUMBER(SEARCH("AHORRO",UPPER($B46))),"AHORRO",UPPER($B46)))),UPPER('Base_Cobranzas'!$AT$2:$AT$702))),--ISNUMBER(SEARCH("PENDIENTE",UPPER(TRIM('Base_Cobranzas'!$BC$2:$BC$702)))),'Base_Cobranzas'!$AR$2:$AR$702),0)</f>
        <v/>
      </c>
      <c r="M46" s="69">
        <f>IFERROR(SUMPRODUCT(--ISNUMBER(SEARCH($B$6,'Base_Cobranzas'!$A$2:$A$702)),--('Base_Cobranzas'!$AI$2:$AI$702&gt;=IF(M$45&lt;3000,DATE(M$45,1,1),M$45)),--('Base_Cobranzas'!$AI$2:$AI$702&lt;IF(M$45&lt;3000,DATE(M$45+1,1,1),EDATE(M$45,1))),--ISNUMBER(SEARCH(IF(ISNUMBER(SEARCH("DIRECTO",UPPER($B46))),"DIRECTO",IF(ISNUMBER(SEARCH("HIPOT",UPPER($B46))),"HIPOT",IF(ISNUMBER(SEARCH("AHORRO",UPPER($B46))),"AHORRO",UPPER($B46)))),UPPER('Base_Cobranzas'!$AT$2:$AT$702))),--ISNUMBER(SEARCH("PENDIENTE",UPPER(TRIM('Base_Cobranzas'!$BC$2:$BC$702)))),'Base_Cobranzas'!$AR$2:$AR$702),0)</f>
        <v/>
      </c>
      <c r="N46" s="69">
        <f>IFERROR(SUMPRODUCT(--ISNUMBER(SEARCH($B$6,'Base_Cobranzas'!$A$2:$A$702)),--('Base_Cobranzas'!$AI$2:$AI$702&gt;=IF(N$45&lt;3000,DATE(N$45,1,1),N$45)),--('Base_Cobranzas'!$AI$2:$AI$702&lt;IF(N$45&lt;3000,DATE(N$45+1,1,1),EDATE(N$45,1))),--ISNUMBER(SEARCH(IF(ISNUMBER(SEARCH("DIRECTO",UPPER($B46))),"DIRECTO",IF(ISNUMBER(SEARCH("HIPOT",UPPER($B46))),"HIPOT",IF(ISNUMBER(SEARCH("AHORRO",UPPER($B46))),"AHORRO",UPPER($B46)))),UPPER('Base_Cobranzas'!$AT$2:$AT$702))),--ISNUMBER(SEARCH("PENDIENTE",UPPER(TRIM('Base_Cobranzas'!$BC$2:$BC$702)))),'Base_Cobranzas'!$AR$2:$AR$702),0)</f>
        <v/>
      </c>
      <c r="O46" s="69">
        <f>IFERROR(SUMPRODUCT(--ISNUMBER(SEARCH($B$6,'Base_Cobranzas'!$A$2:$A$702)),--('Base_Cobranzas'!$AI$2:$AI$702&gt;=IF(O$45&lt;3000,DATE(O$45,1,1),O$45)),--('Base_Cobranzas'!$AI$2:$AI$702&lt;IF(O$45&lt;3000,DATE(O$45+1,1,1),EDATE(O$45,1))),--ISNUMBER(SEARCH(IF(ISNUMBER(SEARCH("DIRECTO",UPPER($B46))),"DIRECTO",IF(ISNUMBER(SEARCH("HIPOT",UPPER($B46))),"HIPOT",IF(ISNUMBER(SEARCH("AHORRO",UPPER($B46))),"AHORRO",UPPER($B46)))),UPPER('Base_Cobranzas'!$AT$2:$AT$702))),--ISNUMBER(SEARCH("PENDIENTE",UPPER(TRIM('Base_Cobranzas'!$BC$2:$BC$702)))),'Base_Cobranzas'!$AR$2:$AR$702),0)</f>
        <v/>
      </c>
      <c r="P46" s="69">
        <f>IFERROR(SUMPRODUCT(--ISNUMBER(SEARCH($B$6,'Base_Cobranzas'!$A$2:$A$702)),--('Base_Cobranzas'!$AI$2:$AI$702&gt;=IF(P$45&lt;3000,DATE(P$45,1,1),P$45)),--('Base_Cobranzas'!$AI$2:$AI$702&lt;IF(P$45&lt;3000,DATE(P$45+1,1,1),EDATE(P$45,1))),--ISNUMBER(SEARCH(IF(ISNUMBER(SEARCH("DIRECTO",UPPER($B46))),"DIRECTO",IF(ISNUMBER(SEARCH("HIPOT",UPPER($B46))),"HIPOT",IF(ISNUMBER(SEARCH("AHORRO",UPPER($B46))),"AHORRO",UPPER($B46)))),UPPER('Base_Cobranzas'!$AT$2:$AT$702))),--ISNUMBER(SEARCH("PENDIENTE",UPPER(TRIM('Base_Cobranzas'!$BC$2:$BC$702)))),'Base_Cobranzas'!$AR$2:$AR$702),0)</f>
        <v/>
      </c>
      <c r="Q46" s="69">
        <f>IFERROR(SUMPRODUCT(--ISNUMBER(SEARCH($B$6,'Base_Cobranzas'!$A$2:$A$702)),--('Base_Cobranzas'!$AI$2:$AI$702&gt;=IF(Q$45&lt;3000,DATE(Q$45,1,1),Q$45)),--('Base_Cobranzas'!$AI$2:$AI$702&lt;IF(Q$45&lt;3000,DATE(Q$45+1,1,1),EDATE(Q$45,1))),--ISNUMBER(SEARCH(IF(ISNUMBER(SEARCH("DIRECTO",UPPER($B46))),"DIRECTO",IF(ISNUMBER(SEARCH("HIPOT",UPPER($B46))),"HIPOT",IF(ISNUMBER(SEARCH("AHORRO",UPPER($B46))),"AHORRO",UPPER($B46)))),UPPER('Base_Cobranzas'!$AT$2:$AT$702))),--ISNUMBER(SEARCH("PENDIENTE",UPPER(TRIM('Base_Cobranzas'!$BC$2:$BC$702)))),'Base_Cobranzas'!$AR$2:$AR$702),0)</f>
        <v/>
      </c>
      <c r="R46" s="69">
        <f>IFERROR(SUMPRODUCT(--ISNUMBER(SEARCH($B$6,'Base_Cobranzas'!$A$2:$A$702)),--('Base_Cobranzas'!$AI$2:$AI$702&gt;=IF(R$45&lt;3000,DATE(R$45,1,1),R$45)),--('Base_Cobranzas'!$AI$2:$AI$702&lt;IF(R$45&lt;3000,DATE(R$45+1,1,1),EDATE(R$45,1))),--ISNUMBER(SEARCH(IF(ISNUMBER(SEARCH("DIRECTO",UPPER($B46))),"DIRECTO",IF(ISNUMBER(SEARCH("HIPOT",UPPER($B46))),"HIPOT",IF(ISNUMBER(SEARCH("AHORRO",UPPER($B46))),"AHORRO",UPPER($B46)))),UPPER('Base_Cobranzas'!$AT$2:$AT$702))),--ISNUMBER(SEARCH("PENDIENTE",UPPER(TRIM('Base_Cobranzas'!$BC$2:$BC$702)))),'Base_Cobranzas'!$AR$2:$AR$702),0)</f>
        <v/>
      </c>
      <c r="S46" s="69">
        <f>IFERROR(SUMPRODUCT(--ISNUMBER(SEARCH($B$6,'Base_Cobranzas'!$A$2:$A$702)),--('Base_Cobranzas'!$AI$2:$AI$702&gt;=IF(S$45&lt;3000,DATE(S$45,1,1),S$45)),--('Base_Cobranzas'!$AI$2:$AI$702&lt;IF(S$45&lt;3000,DATE(S$45+1,1,1),EDATE(S$45,1))),--ISNUMBER(SEARCH(IF(ISNUMBER(SEARCH("DIRECTO",UPPER($B46))),"DIRECTO",IF(ISNUMBER(SEARCH("HIPOT",UPPER($B46))),"HIPOT",IF(ISNUMBER(SEARCH("AHORRO",UPPER($B46))),"AHORRO",UPPER($B46)))),UPPER('Base_Cobranzas'!$AT$2:$AT$702))),--ISNUMBER(SEARCH("PENDIENTE",UPPER(TRIM('Base_Cobranzas'!$BC$2:$BC$702)))),'Base_Cobranzas'!$AR$2:$AR$702),0)</f>
        <v/>
      </c>
      <c r="T46" s="69">
        <f>IFERROR(SUMPRODUCT(--ISNUMBER(SEARCH($B$6,'Base_Cobranzas'!$A$2:$A$702)),--('Base_Cobranzas'!$AI$2:$AI$702&gt;=IF(T$45&lt;3000,DATE(T$45,1,1),T$45)),--('Base_Cobranzas'!$AI$2:$AI$702&lt;IF(T$45&lt;3000,DATE(T$45+1,1,1),EDATE(T$45,1))),--ISNUMBER(SEARCH(IF(ISNUMBER(SEARCH("DIRECTO",UPPER($B46))),"DIRECTO",IF(ISNUMBER(SEARCH("HIPOT",UPPER($B46))),"HIPOT",IF(ISNUMBER(SEARCH("AHORRO",UPPER($B46))),"AHORRO",UPPER($B46)))),UPPER('Base_Cobranzas'!$AT$2:$AT$702))),--ISNUMBER(SEARCH("PENDIENTE",UPPER(TRIM('Base_Cobranzas'!$BC$2:$BC$702)))),'Base_Cobranzas'!$AR$2:$AR$702),0)</f>
        <v/>
      </c>
      <c r="U46" s="70">
        <f>SUM(C46:T46)</f>
        <v/>
      </c>
    </row>
    <row r="47">
      <c r="B47" s="8" t="inlineStr">
        <is>
          <t>Crédito Hipotecario</t>
        </is>
      </c>
      <c r="C47" s="69">
        <f>IFERROR(SUMPRODUCT(--ISNUMBER(SEARCH($B$6,'Base_Cobranzas'!$A$2:$A$702)),--('Base_Cobranzas'!$AI$2:$AI$702&gt;=IF(C$45&lt;3000,DATE(C$45,1,1),C$45)),--('Base_Cobranzas'!$AI$2:$AI$702&lt;IF(C$45&lt;3000,DATE(C$45+1,1,1),EDATE(C$45,1))),--ISNUMBER(SEARCH(IF(ISNUMBER(SEARCH("DIRECTO",UPPER($B47))),"DIRECTO",IF(ISNUMBER(SEARCH("HIPOT",UPPER($B47))),"HIPOT",IF(ISNUMBER(SEARCH("AHORRO",UPPER($B47))),"AHORRO",UPPER($B47)))),UPPER('Base_Cobranzas'!$AT$2:$AT$702))),--ISNUMBER(SEARCH("PENDIENTE",UPPER(TRIM('Base_Cobranzas'!$BC$2:$BC$702)))),'Base_Cobranzas'!$AR$2:$AR$702),0)</f>
        <v/>
      </c>
      <c r="D47" s="69">
        <f>IFERROR(SUMPRODUCT(--ISNUMBER(SEARCH($B$6,'Base_Cobranzas'!$A$2:$A$702)),--('Base_Cobranzas'!$AI$2:$AI$702&gt;=IF(D$45&lt;3000,DATE(D$45,1,1),D$45)),--('Base_Cobranzas'!$AI$2:$AI$702&lt;IF(D$45&lt;3000,DATE(D$45+1,1,1),EDATE(D$45,1))),--ISNUMBER(SEARCH(IF(ISNUMBER(SEARCH("DIRECTO",UPPER($B47))),"DIRECTO",IF(ISNUMBER(SEARCH("HIPOT",UPPER($B47))),"HIPOT",IF(ISNUMBER(SEARCH("AHORRO",UPPER($B47))),"AHORRO",UPPER($B47)))),UPPER('Base_Cobranzas'!$AT$2:$AT$702))),--ISNUMBER(SEARCH("PENDIENTE",UPPER(TRIM('Base_Cobranzas'!$BC$2:$BC$702)))),'Base_Cobranzas'!$AR$2:$AR$702),0)</f>
        <v/>
      </c>
      <c r="E47" s="69">
        <f>IFERROR(SUMPRODUCT(--ISNUMBER(SEARCH($B$6,'Base_Cobranzas'!$A$2:$A$702)),--('Base_Cobranzas'!$AI$2:$AI$702&gt;=IF(E$45&lt;3000,DATE(E$45,1,1),E$45)),--('Base_Cobranzas'!$AI$2:$AI$702&lt;IF(E$45&lt;3000,DATE(E$45+1,1,1),EDATE(E$45,1))),--ISNUMBER(SEARCH(IF(ISNUMBER(SEARCH("DIRECTO",UPPER($B47))),"DIRECTO",IF(ISNUMBER(SEARCH("HIPOT",UPPER($B47))),"HIPOT",IF(ISNUMBER(SEARCH("AHORRO",UPPER($B47))),"AHORRO",UPPER($B47)))),UPPER('Base_Cobranzas'!$AT$2:$AT$702))),--ISNUMBER(SEARCH("PENDIENTE",UPPER(TRIM('Base_Cobranzas'!$BC$2:$BC$702)))),'Base_Cobranzas'!$AR$2:$AR$702),0)</f>
        <v/>
      </c>
      <c r="F47" s="69">
        <f>IFERROR(SUMPRODUCT(--ISNUMBER(SEARCH($B$6,'Base_Cobranzas'!$A$2:$A$702)),--('Base_Cobranzas'!$AI$2:$AI$702&gt;=IF(F$45&lt;3000,DATE(F$45,1,1),F$45)),--('Base_Cobranzas'!$AI$2:$AI$702&lt;IF(F$45&lt;3000,DATE(F$45+1,1,1),EDATE(F$45,1))),--ISNUMBER(SEARCH(IF(ISNUMBER(SEARCH("DIRECTO",UPPER($B47))),"DIRECTO",IF(ISNUMBER(SEARCH("HIPOT",UPPER($B47))),"HIPOT",IF(ISNUMBER(SEARCH("AHORRO",UPPER($B47))),"AHORRO",UPPER($B47)))),UPPER('Base_Cobranzas'!$AT$2:$AT$702))),--ISNUMBER(SEARCH("PENDIENTE",UPPER(TRIM('Base_Cobranzas'!$BC$2:$BC$702)))),'Base_Cobranzas'!$AR$2:$AR$702),0)</f>
        <v/>
      </c>
      <c r="G47" s="69">
        <f>IFERROR(SUMPRODUCT(--ISNUMBER(SEARCH($B$6,'Base_Cobranzas'!$A$2:$A$702)),--('Base_Cobranzas'!$AI$2:$AI$702&gt;=IF(G$45&lt;3000,DATE(G$45,1,1),G$45)),--('Base_Cobranzas'!$AI$2:$AI$702&lt;IF(G$45&lt;3000,DATE(G$45+1,1,1),EDATE(G$45,1))),--ISNUMBER(SEARCH(IF(ISNUMBER(SEARCH("DIRECTO",UPPER($B47))),"DIRECTO",IF(ISNUMBER(SEARCH("HIPOT",UPPER($B47))),"HIPOT",IF(ISNUMBER(SEARCH("AHORRO",UPPER($B47))),"AHORRO",UPPER($B47)))),UPPER('Base_Cobranzas'!$AT$2:$AT$702))),--ISNUMBER(SEARCH("PENDIENTE",UPPER(TRIM('Base_Cobranzas'!$BC$2:$BC$702)))),'Base_Cobranzas'!$AR$2:$AR$702),0)</f>
        <v/>
      </c>
      <c r="H47" s="69">
        <f>IFERROR(SUMPRODUCT(--ISNUMBER(SEARCH($B$6,'Base_Cobranzas'!$A$2:$A$702)),--('Base_Cobranzas'!$AI$2:$AI$702&gt;=IF(H$45&lt;3000,DATE(H$45,1,1),H$45)),--('Base_Cobranzas'!$AI$2:$AI$702&lt;IF(H$45&lt;3000,DATE(H$45+1,1,1),EDATE(H$45,1))),--ISNUMBER(SEARCH(IF(ISNUMBER(SEARCH("DIRECTO",UPPER($B47))),"DIRECTO",IF(ISNUMBER(SEARCH("HIPOT",UPPER($B47))),"HIPOT",IF(ISNUMBER(SEARCH("AHORRO",UPPER($B47))),"AHORRO",UPPER($B47)))),UPPER('Base_Cobranzas'!$AT$2:$AT$702))),--ISNUMBER(SEARCH("PENDIENTE",UPPER(TRIM('Base_Cobranzas'!$BC$2:$BC$702)))),'Base_Cobranzas'!$AR$2:$AR$702),0)</f>
        <v/>
      </c>
      <c r="I47" s="69">
        <f>IFERROR(SUMPRODUCT(--ISNUMBER(SEARCH($B$6,'Base_Cobranzas'!$A$2:$A$702)),--('Base_Cobranzas'!$AI$2:$AI$702&gt;=IF(I$45&lt;3000,DATE(I$45,1,1),I$45)),--('Base_Cobranzas'!$AI$2:$AI$702&lt;IF(I$45&lt;3000,DATE(I$45+1,1,1),EDATE(I$45,1))),--ISNUMBER(SEARCH(IF(ISNUMBER(SEARCH("DIRECTO",UPPER($B47))),"DIRECTO",IF(ISNUMBER(SEARCH("HIPOT",UPPER($B47))),"HIPOT",IF(ISNUMBER(SEARCH("AHORRO",UPPER($B47))),"AHORRO",UPPER($B47)))),UPPER('Base_Cobranzas'!$AT$2:$AT$702))),--ISNUMBER(SEARCH("PENDIENTE",UPPER(TRIM('Base_Cobranzas'!$BC$2:$BC$702)))),'Base_Cobranzas'!$AR$2:$AR$702),0)</f>
        <v/>
      </c>
      <c r="J47" s="69">
        <f>IFERROR(SUMPRODUCT(--ISNUMBER(SEARCH($B$6,'Base_Cobranzas'!$A$2:$A$702)),--('Base_Cobranzas'!$AI$2:$AI$702&gt;=IF(J$45&lt;3000,DATE(J$45,1,1),J$45)),--('Base_Cobranzas'!$AI$2:$AI$702&lt;IF(J$45&lt;3000,DATE(J$45+1,1,1),EDATE(J$45,1))),--ISNUMBER(SEARCH(IF(ISNUMBER(SEARCH("DIRECTO",UPPER($B47))),"DIRECTO",IF(ISNUMBER(SEARCH("HIPOT",UPPER($B47))),"HIPOT",IF(ISNUMBER(SEARCH("AHORRO",UPPER($B47))),"AHORRO",UPPER($B47)))),UPPER('Base_Cobranzas'!$AT$2:$AT$702))),--ISNUMBER(SEARCH("PENDIENTE",UPPER(TRIM('Base_Cobranzas'!$BC$2:$BC$702)))),'Base_Cobranzas'!$AR$2:$AR$702),0)</f>
        <v/>
      </c>
      <c r="K47" s="69">
        <f>IFERROR(SUMPRODUCT(--ISNUMBER(SEARCH($B$6,'Base_Cobranzas'!$A$2:$A$702)),--('Base_Cobranzas'!$AI$2:$AI$702&gt;=IF(K$45&lt;3000,DATE(K$45,1,1),K$45)),--('Base_Cobranzas'!$AI$2:$AI$702&lt;IF(K$45&lt;3000,DATE(K$45+1,1,1),EDATE(K$45,1))),--ISNUMBER(SEARCH(IF(ISNUMBER(SEARCH("DIRECTO",UPPER($B47))),"DIRECTO",IF(ISNUMBER(SEARCH("HIPOT",UPPER($B47))),"HIPOT",IF(ISNUMBER(SEARCH("AHORRO",UPPER($B47))),"AHORRO",UPPER($B47)))),UPPER('Base_Cobranzas'!$AT$2:$AT$702))),--ISNUMBER(SEARCH("PENDIENTE",UPPER(TRIM('Base_Cobranzas'!$BC$2:$BC$702)))),'Base_Cobranzas'!$AR$2:$AR$702),0)</f>
        <v/>
      </c>
      <c r="L47" s="69">
        <f>IFERROR(SUMPRODUCT(--ISNUMBER(SEARCH($B$6,'Base_Cobranzas'!$A$2:$A$702)),--('Base_Cobranzas'!$AI$2:$AI$702&gt;=IF(L$45&lt;3000,DATE(L$45,1,1),L$45)),--('Base_Cobranzas'!$AI$2:$AI$702&lt;IF(L$45&lt;3000,DATE(L$45+1,1,1),EDATE(L$45,1))),--ISNUMBER(SEARCH(IF(ISNUMBER(SEARCH("DIRECTO",UPPER($B47))),"DIRECTO",IF(ISNUMBER(SEARCH("HIPOT",UPPER($B47))),"HIPOT",IF(ISNUMBER(SEARCH("AHORRO",UPPER($B47))),"AHORRO",UPPER($B47)))),UPPER('Base_Cobranzas'!$AT$2:$AT$702))),--ISNUMBER(SEARCH("PENDIENTE",UPPER(TRIM('Base_Cobranzas'!$BC$2:$BC$702)))),'Base_Cobranzas'!$AR$2:$AR$702),0)</f>
        <v/>
      </c>
      <c r="M47" s="69">
        <f>IFERROR(SUMPRODUCT(--ISNUMBER(SEARCH($B$6,'Base_Cobranzas'!$A$2:$A$702)),--('Base_Cobranzas'!$AI$2:$AI$702&gt;=IF(M$45&lt;3000,DATE(M$45,1,1),M$45)),--('Base_Cobranzas'!$AI$2:$AI$702&lt;IF(M$45&lt;3000,DATE(M$45+1,1,1),EDATE(M$45,1))),--ISNUMBER(SEARCH(IF(ISNUMBER(SEARCH("DIRECTO",UPPER($B47))),"DIRECTO",IF(ISNUMBER(SEARCH("HIPOT",UPPER($B47))),"HIPOT",IF(ISNUMBER(SEARCH("AHORRO",UPPER($B47))),"AHORRO",UPPER($B47)))),UPPER('Base_Cobranzas'!$AT$2:$AT$702))),--ISNUMBER(SEARCH("PENDIENTE",UPPER(TRIM('Base_Cobranzas'!$BC$2:$BC$702)))),'Base_Cobranzas'!$AR$2:$AR$702),0)</f>
        <v/>
      </c>
      <c r="N47" s="69">
        <f>IFERROR(SUMPRODUCT(--ISNUMBER(SEARCH($B$6,'Base_Cobranzas'!$A$2:$A$702)),--('Base_Cobranzas'!$AI$2:$AI$702&gt;=IF(N$45&lt;3000,DATE(N$45,1,1),N$45)),--('Base_Cobranzas'!$AI$2:$AI$702&lt;IF(N$45&lt;3000,DATE(N$45+1,1,1),EDATE(N$45,1))),--ISNUMBER(SEARCH(IF(ISNUMBER(SEARCH("DIRECTO",UPPER($B47))),"DIRECTO",IF(ISNUMBER(SEARCH("HIPOT",UPPER($B47))),"HIPOT",IF(ISNUMBER(SEARCH("AHORRO",UPPER($B47))),"AHORRO",UPPER($B47)))),UPPER('Base_Cobranzas'!$AT$2:$AT$702))),--ISNUMBER(SEARCH("PENDIENTE",UPPER(TRIM('Base_Cobranzas'!$BC$2:$BC$702)))),'Base_Cobranzas'!$AR$2:$AR$702),0)</f>
        <v/>
      </c>
      <c r="O47" s="69">
        <f>IFERROR(SUMPRODUCT(--ISNUMBER(SEARCH($B$6,'Base_Cobranzas'!$A$2:$A$702)),--('Base_Cobranzas'!$AI$2:$AI$702&gt;=IF(O$45&lt;3000,DATE(O$45,1,1),O$45)),--('Base_Cobranzas'!$AI$2:$AI$702&lt;IF(O$45&lt;3000,DATE(O$45+1,1,1),EDATE(O$45,1))),--ISNUMBER(SEARCH(IF(ISNUMBER(SEARCH("DIRECTO",UPPER($B47))),"DIRECTO",IF(ISNUMBER(SEARCH("HIPOT",UPPER($B47))),"HIPOT",IF(ISNUMBER(SEARCH("AHORRO",UPPER($B47))),"AHORRO",UPPER($B47)))),UPPER('Base_Cobranzas'!$AT$2:$AT$702))),--ISNUMBER(SEARCH("PENDIENTE",UPPER(TRIM('Base_Cobranzas'!$BC$2:$BC$702)))),'Base_Cobranzas'!$AR$2:$AR$702),0)</f>
        <v/>
      </c>
      <c r="P47" s="69">
        <f>IFERROR(SUMPRODUCT(--ISNUMBER(SEARCH($B$6,'Base_Cobranzas'!$A$2:$A$702)),--('Base_Cobranzas'!$AI$2:$AI$702&gt;=IF(P$45&lt;3000,DATE(P$45,1,1),P$45)),--('Base_Cobranzas'!$AI$2:$AI$702&lt;IF(P$45&lt;3000,DATE(P$45+1,1,1),EDATE(P$45,1))),--ISNUMBER(SEARCH(IF(ISNUMBER(SEARCH("DIRECTO",UPPER($B47))),"DIRECTO",IF(ISNUMBER(SEARCH("HIPOT",UPPER($B47))),"HIPOT",IF(ISNUMBER(SEARCH("AHORRO",UPPER($B47))),"AHORRO",UPPER($B47)))),UPPER('Base_Cobranzas'!$AT$2:$AT$702))),--ISNUMBER(SEARCH("PENDIENTE",UPPER(TRIM('Base_Cobranzas'!$BC$2:$BC$702)))),'Base_Cobranzas'!$AR$2:$AR$702),0)</f>
        <v/>
      </c>
      <c r="Q47" s="69">
        <f>IFERROR(SUMPRODUCT(--ISNUMBER(SEARCH($B$6,'Base_Cobranzas'!$A$2:$A$702)),--('Base_Cobranzas'!$AI$2:$AI$702&gt;=IF(Q$45&lt;3000,DATE(Q$45,1,1),Q$45)),--('Base_Cobranzas'!$AI$2:$AI$702&lt;IF(Q$45&lt;3000,DATE(Q$45+1,1,1),EDATE(Q$45,1))),--ISNUMBER(SEARCH(IF(ISNUMBER(SEARCH("DIRECTO",UPPER($B47))),"DIRECTO",IF(ISNUMBER(SEARCH("HIPOT",UPPER($B47))),"HIPOT",IF(ISNUMBER(SEARCH("AHORRO",UPPER($B47))),"AHORRO",UPPER($B47)))),UPPER('Base_Cobranzas'!$AT$2:$AT$702))),--ISNUMBER(SEARCH("PENDIENTE",UPPER(TRIM('Base_Cobranzas'!$BC$2:$BC$702)))),'Base_Cobranzas'!$AR$2:$AR$702),0)</f>
        <v/>
      </c>
      <c r="R47" s="69">
        <f>IFERROR(SUMPRODUCT(--ISNUMBER(SEARCH($B$6,'Base_Cobranzas'!$A$2:$A$702)),--('Base_Cobranzas'!$AI$2:$AI$702&gt;=IF(R$45&lt;3000,DATE(R$45,1,1),R$45)),--('Base_Cobranzas'!$AI$2:$AI$702&lt;IF(R$45&lt;3000,DATE(R$45+1,1,1),EDATE(R$45,1))),--ISNUMBER(SEARCH(IF(ISNUMBER(SEARCH("DIRECTO",UPPER($B47))),"DIRECTO",IF(ISNUMBER(SEARCH("HIPOT",UPPER($B47))),"HIPOT",IF(ISNUMBER(SEARCH("AHORRO",UPPER($B47))),"AHORRO",UPPER($B47)))),UPPER('Base_Cobranzas'!$AT$2:$AT$702))),--ISNUMBER(SEARCH("PENDIENTE",UPPER(TRIM('Base_Cobranzas'!$BC$2:$BC$702)))),'Base_Cobranzas'!$AR$2:$AR$702),0)</f>
        <v/>
      </c>
      <c r="S47" s="69">
        <f>IFERROR(SUMPRODUCT(--ISNUMBER(SEARCH($B$6,'Base_Cobranzas'!$A$2:$A$702)),--('Base_Cobranzas'!$AI$2:$AI$702&gt;=IF(S$45&lt;3000,DATE(S$45,1,1),S$45)),--('Base_Cobranzas'!$AI$2:$AI$702&lt;IF(S$45&lt;3000,DATE(S$45+1,1,1),EDATE(S$45,1))),--ISNUMBER(SEARCH(IF(ISNUMBER(SEARCH("DIRECTO",UPPER($B47))),"DIRECTO",IF(ISNUMBER(SEARCH("HIPOT",UPPER($B47))),"HIPOT",IF(ISNUMBER(SEARCH("AHORRO",UPPER($B47))),"AHORRO",UPPER($B47)))),UPPER('Base_Cobranzas'!$AT$2:$AT$702))),--ISNUMBER(SEARCH("PENDIENTE",UPPER(TRIM('Base_Cobranzas'!$BC$2:$BC$702)))),'Base_Cobranzas'!$AR$2:$AR$702),0)</f>
        <v/>
      </c>
      <c r="T47" s="69">
        <f>IFERROR(SUMPRODUCT(--ISNUMBER(SEARCH($B$6,'Base_Cobranzas'!$A$2:$A$702)),--('Base_Cobranzas'!$AI$2:$AI$702&gt;=IF(T$45&lt;3000,DATE(T$45,1,1),T$45)),--('Base_Cobranzas'!$AI$2:$AI$702&lt;IF(T$45&lt;3000,DATE(T$45+1,1,1),EDATE(T$45,1))),--ISNUMBER(SEARCH(IF(ISNUMBER(SEARCH("DIRECTO",UPPER($B47))),"DIRECTO",IF(ISNUMBER(SEARCH("HIPOT",UPPER($B47))),"HIPOT",IF(ISNUMBER(SEARCH("AHORRO",UPPER($B47))),"AHORRO",UPPER($B47)))),UPPER('Base_Cobranzas'!$AT$2:$AT$702))),--ISNUMBER(SEARCH("PENDIENTE",UPPER(TRIM('Base_Cobranzas'!$BC$2:$BC$702)))),'Base_Cobranzas'!$AR$2:$AR$702),0)</f>
        <v/>
      </c>
      <c r="U47" s="70">
        <f>SUM(C47:T47)</f>
        <v/>
      </c>
    </row>
    <row r="48">
      <c r="B48" s="8" t="inlineStr">
        <is>
          <t>Ahorro</t>
        </is>
      </c>
      <c r="C48" s="69">
        <f>IFERROR(SUMPRODUCT(--ISNUMBER(SEARCH($B$6,'Base_Cobranzas'!$A$2:$A$702)),--('Base_Cobranzas'!$AI$2:$AI$702&gt;=IF(C$45&lt;3000,DATE(C$45,1,1),C$45)),--('Base_Cobranzas'!$AI$2:$AI$702&lt;IF(C$45&lt;3000,DATE(C$45+1,1,1),EDATE(C$45,1))),--ISNUMBER(SEARCH(IF(ISNUMBER(SEARCH("DIRECTO",UPPER($B48))),"DIRECTO",IF(ISNUMBER(SEARCH("HIPOT",UPPER($B48))),"HIPOT",IF(ISNUMBER(SEARCH("AHORRO",UPPER($B48))),"AHORRO",UPPER($B48)))),UPPER('Base_Cobranzas'!$AT$2:$AT$702))),--ISNUMBER(SEARCH("PENDIENTE",UPPER(TRIM('Base_Cobranzas'!$BC$2:$BC$702)))),'Base_Cobranzas'!$AR$2:$AR$702),0)</f>
        <v/>
      </c>
      <c r="D48" s="69">
        <f>IFERROR(SUMPRODUCT(--ISNUMBER(SEARCH($B$6,'Base_Cobranzas'!$A$2:$A$702)),--('Base_Cobranzas'!$AI$2:$AI$702&gt;=IF(D$45&lt;3000,DATE(D$45,1,1),D$45)),--('Base_Cobranzas'!$AI$2:$AI$702&lt;IF(D$45&lt;3000,DATE(D$45+1,1,1),EDATE(D$45,1))),--ISNUMBER(SEARCH(IF(ISNUMBER(SEARCH("DIRECTO",UPPER($B48))),"DIRECTO",IF(ISNUMBER(SEARCH("HIPOT",UPPER($B48))),"HIPOT",IF(ISNUMBER(SEARCH("AHORRO",UPPER($B48))),"AHORRO",UPPER($B48)))),UPPER('Base_Cobranzas'!$AT$2:$AT$702))),--ISNUMBER(SEARCH("PENDIENTE",UPPER(TRIM('Base_Cobranzas'!$BC$2:$BC$702)))),'Base_Cobranzas'!$AR$2:$AR$702),0)</f>
        <v/>
      </c>
      <c r="E48" s="69">
        <f>IFERROR(SUMPRODUCT(--ISNUMBER(SEARCH($B$6,'Base_Cobranzas'!$A$2:$A$702)),--('Base_Cobranzas'!$AI$2:$AI$702&gt;=IF(E$45&lt;3000,DATE(E$45,1,1),E$45)),--('Base_Cobranzas'!$AI$2:$AI$702&lt;IF(E$45&lt;3000,DATE(E$45+1,1,1),EDATE(E$45,1))),--ISNUMBER(SEARCH(IF(ISNUMBER(SEARCH("DIRECTO",UPPER($B48))),"DIRECTO",IF(ISNUMBER(SEARCH("HIPOT",UPPER($B48))),"HIPOT",IF(ISNUMBER(SEARCH("AHORRO",UPPER($B48))),"AHORRO",UPPER($B48)))),UPPER('Base_Cobranzas'!$AT$2:$AT$702))),--ISNUMBER(SEARCH("PENDIENTE",UPPER(TRIM('Base_Cobranzas'!$BC$2:$BC$702)))),'Base_Cobranzas'!$AR$2:$AR$702),0)</f>
        <v/>
      </c>
      <c r="F48" s="69">
        <f>IFERROR(SUMPRODUCT(--ISNUMBER(SEARCH($B$6,'Base_Cobranzas'!$A$2:$A$702)),--('Base_Cobranzas'!$AI$2:$AI$702&gt;=IF(F$45&lt;3000,DATE(F$45,1,1),F$45)),--('Base_Cobranzas'!$AI$2:$AI$702&lt;IF(F$45&lt;3000,DATE(F$45+1,1,1),EDATE(F$45,1))),--ISNUMBER(SEARCH(IF(ISNUMBER(SEARCH("DIRECTO",UPPER($B48))),"DIRECTO",IF(ISNUMBER(SEARCH("HIPOT",UPPER($B48))),"HIPOT",IF(ISNUMBER(SEARCH("AHORRO",UPPER($B48))),"AHORRO",UPPER($B48)))),UPPER('Base_Cobranzas'!$AT$2:$AT$702))),--ISNUMBER(SEARCH("PENDIENTE",UPPER(TRIM('Base_Cobranzas'!$BC$2:$BC$702)))),'Base_Cobranzas'!$AR$2:$AR$702),0)</f>
        <v/>
      </c>
      <c r="G48" s="69">
        <f>IFERROR(SUMPRODUCT(--ISNUMBER(SEARCH($B$6,'Base_Cobranzas'!$A$2:$A$702)),--('Base_Cobranzas'!$AI$2:$AI$702&gt;=IF(G$45&lt;3000,DATE(G$45,1,1),G$45)),--('Base_Cobranzas'!$AI$2:$AI$702&lt;IF(G$45&lt;3000,DATE(G$45+1,1,1),EDATE(G$45,1))),--ISNUMBER(SEARCH(IF(ISNUMBER(SEARCH("DIRECTO",UPPER($B48))),"DIRECTO",IF(ISNUMBER(SEARCH("HIPOT",UPPER($B48))),"HIPOT",IF(ISNUMBER(SEARCH("AHORRO",UPPER($B48))),"AHORRO",UPPER($B48)))),UPPER('Base_Cobranzas'!$AT$2:$AT$702))),--ISNUMBER(SEARCH("PENDIENTE",UPPER(TRIM('Base_Cobranzas'!$BC$2:$BC$702)))),'Base_Cobranzas'!$AR$2:$AR$702),0)</f>
        <v/>
      </c>
      <c r="H48" s="69">
        <f>IFERROR(SUMPRODUCT(--ISNUMBER(SEARCH($B$6,'Base_Cobranzas'!$A$2:$A$702)),--('Base_Cobranzas'!$AI$2:$AI$702&gt;=IF(H$45&lt;3000,DATE(H$45,1,1),H$45)),--('Base_Cobranzas'!$AI$2:$AI$702&lt;IF(H$45&lt;3000,DATE(H$45+1,1,1),EDATE(H$45,1))),--ISNUMBER(SEARCH(IF(ISNUMBER(SEARCH("DIRECTO",UPPER($B48))),"DIRECTO",IF(ISNUMBER(SEARCH("HIPOT",UPPER($B48))),"HIPOT",IF(ISNUMBER(SEARCH("AHORRO",UPPER($B48))),"AHORRO",UPPER($B48)))),UPPER('Base_Cobranzas'!$AT$2:$AT$702))),--ISNUMBER(SEARCH("PENDIENTE",UPPER(TRIM('Base_Cobranzas'!$BC$2:$BC$702)))),'Base_Cobranzas'!$AR$2:$AR$702),0)</f>
        <v/>
      </c>
      <c r="I48" s="69">
        <f>IFERROR(SUMPRODUCT(--ISNUMBER(SEARCH($B$6,'Base_Cobranzas'!$A$2:$A$702)),--('Base_Cobranzas'!$AI$2:$AI$702&gt;=IF(I$45&lt;3000,DATE(I$45,1,1),I$45)),--('Base_Cobranzas'!$AI$2:$AI$702&lt;IF(I$45&lt;3000,DATE(I$45+1,1,1),EDATE(I$45,1))),--ISNUMBER(SEARCH(IF(ISNUMBER(SEARCH("DIRECTO",UPPER($B48))),"DIRECTO",IF(ISNUMBER(SEARCH("HIPOT",UPPER($B48))),"HIPOT",IF(ISNUMBER(SEARCH("AHORRO",UPPER($B48))),"AHORRO",UPPER($B48)))),UPPER('Base_Cobranzas'!$AT$2:$AT$702))),--ISNUMBER(SEARCH("PENDIENTE",UPPER(TRIM('Base_Cobranzas'!$BC$2:$BC$702)))),'Base_Cobranzas'!$AR$2:$AR$702),0)</f>
        <v/>
      </c>
      <c r="J48" s="69">
        <f>IFERROR(SUMPRODUCT(--ISNUMBER(SEARCH($B$6,'Base_Cobranzas'!$A$2:$A$702)),--('Base_Cobranzas'!$AI$2:$AI$702&gt;=IF(J$45&lt;3000,DATE(J$45,1,1),J$45)),--('Base_Cobranzas'!$AI$2:$AI$702&lt;IF(J$45&lt;3000,DATE(J$45+1,1,1),EDATE(J$45,1))),--ISNUMBER(SEARCH(IF(ISNUMBER(SEARCH("DIRECTO",UPPER($B48))),"DIRECTO",IF(ISNUMBER(SEARCH("HIPOT",UPPER($B48))),"HIPOT",IF(ISNUMBER(SEARCH("AHORRO",UPPER($B48))),"AHORRO",UPPER($B48)))),UPPER('Base_Cobranzas'!$AT$2:$AT$702))),--ISNUMBER(SEARCH("PENDIENTE",UPPER(TRIM('Base_Cobranzas'!$BC$2:$BC$702)))),'Base_Cobranzas'!$AR$2:$AR$702),0)</f>
        <v/>
      </c>
      <c r="K48" s="69">
        <f>IFERROR(SUMPRODUCT(--ISNUMBER(SEARCH($B$6,'Base_Cobranzas'!$A$2:$A$702)),--('Base_Cobranzas'!$AI$2:$AI$702&gt;=IF(K$45&lt;3000,DATE(K$45,1,1),K$45)),--('Base_Cobranzas'!$AI$2:$AI$702&lt;IF(K$45&lt;3000,DATE(K$45+1,1,1),EDATE(K$45,1))),--ISNUMBER(SEARCH(IF(ISNUMBER(SEARCH("DIRECTO",UPPER($B48))),"DIRECTO",IF(ISNUMBER(SEARCH("HIPOT",UPPER($B48))),"HIPOT",IF(ISNUMBER(SEARCH("AHORRO",UPPER($B48))),"AHORRO",UPPER($B48)))),UPPER('Base_Cobranzas'!$AT$2:$AT$702))),--ISNUMBER(SEARCH("PENDIENTE",UPPER(TRIM('Base_Cobranzas'!$BC$2:$BC$702)))),'Base_Cobranzas'!$AR$2:$AR$702),0)</f>
        <v/>
      </c>
      <c r="L48" s="69">
        <f>IFERROR(SUMPRODUCT(--ISNUMBER(SEARCH($B$6,'Base_Cobranzas'!$A$2:$A$702)),--('Base_Cobranzas'!$AI$2:$AI$702&gt;=IF(L$45&lt;3000,DATE(L$45,1,1),L$45)),--('Base_Cobranzas'!$AI$2:$AI$702&lt;IF(L$45&lt;3000,DATE(L$45+1,1,1),EDATE(L$45,1))),--ISNUMBER(SEARCH(IF(ISNUMBER(SEARCH("DIRECTO",UPPER($B48))),"DIRECTO",IF(ISNUMBER(SEARCH("HIPOT",UPPER($B48))),"HIPOT",IF(ISNUMBER(SEARCH("AHORRO",UPPER($B48))),"AHORRO",UPPER($B48)))),UPPER('Base_Cobranzas'!$AT$2:$AT$702))),--ISNUMBER(SEARCH("PENDIENTE",UPPER(TRIM('Base_Cobranzas'!$BC$2:$BC$702)))),'Base_Cobranzas'!$AR$2:$AR$702),0)</f>
        <v/>
      </c>
      <c r="M48" s="69">
        <f>IFERROR(SUMPRODUCT(--ISNUMBER(SEARCH($B$6,'Base_Cobranzas'!$A$2:$A$702)),--('Base_Cobranzas'!$AI$2:$AI$702&gt;=IF(M$45&lt;3000,DATE(M$45,1,1),M$45)),--('Base_Cobranzas'!$AI$2:$AI$702&lt;IF(M$45&lt;3000,DATE(M$45+1,1,1),EDATE(M$45,1))),--ISNUMBER(SEARCH(IF(ISNUMBER(SEARCH("DIRECTO",UPPER($B48))),"DIRECTO",IF(ISNUMBER(SEARCH("HIPOT",UPPER($B48))),"HIPOT",IF(ISNUMBER(SEARCH("AHORRO",UPPER($B48))),"AHORRO",UPPER($B48)))),UPPER('Base_Cobranzas'!$AT$2:$AT$702))),--ISNUMBER(SEARCH("PENDIENTE",UPPER(TRIM('Base_Cobranzas'!$BC$2:$BC$702)))),'Base_Cobranzas'!$AR$2:$AR$702),0)</f>
        <v/>
      </c>
      <c r="N48" s="69">
        <f>IFERROR(SUMPRODUCT(--ISNUMBER(SEARCH($B$6,'Base_Cobranzas'!$A$2:$A$702)),--('Base_Cobranzas'!$AI$2:$AI$702&gt;=IF(N$45&lt;3000,DATE(N$45,1,1),N$45)),--('Base_Cobranzas'!$AI$2:$AI$702&lt;IF(N$45&lt;3000,DATE(N$45+1,1,1),EDATE(N$45,1))),--ISNUMBER(SEARCH(IF(ISNUMBER(SEARCH("DIRECTO",UPPER($B48))),"DIRECTO",IF(ISNUMBER(SEARCH("HIPOT",UPPER($B48))),"HIPOT",IF(ISNUMBER(SEARCH("AHORRO",UPPER($B48))),"AHORRO",UPPER($B48)))),UPPER('Base_Cobranzas'!$AT$2:$AT$702))),--ISNUMBER(SEARCH("PENDIENTE",UPPER(TRIM('Base_Cobranzas'!$BC$2:$BC$702)))),'Base_Cobranzas'!$AR$2:$AR$702),0)</f>
        <v/>
      </c>
      <c r="O48" s="69">
        <f>IFERROR(SUMPRODUCT(--ISNUMBER(SEARCH($B$6,'Base_Cobranzas'!$A$2:$A$702)),--('Base_Cobranzas'!$AI$2:$AI$702&gt;=IF(O$45&lt;3000,DATE(O$45,1,1),O$45)),--('Base_Cobranzas'!$AI$2:$AI$702&lt;IF(O$45&lt;3000,DATE(O$45+1,1,1),EDATE(O$45,1))),--ISNUMBER(SEARCH(IF(ISNUMBER(SEARCH("DIRECTO",UPPER($B48))),"DIRECTO",IF(ISNUMBER(SEARCH("HIPOT",UPPER($B48))),"HIPOT",IF(ISNUMBER(SEARCH("AHORRO",UPPER($B48))),"AHORRO",UPPER($B48)))),UPPER('Base_Cobranzas'!$AT$2:$AT$702))),--ISNUMBER(SEARCH("PENDIENTE",UPPER(TRIM('Base_Cobranzas'!$BC$2:$BC$702)))),'Base_Cobranzas'!$AR$2:$AR$702),0)</f>
        <v/>
      </c>
      <c r="P48" s="69">
        <f>IFERROR(SUMPRODUCT(--ISNUMBER(SEARCH($B$6,'Base_Cobranzas'!$A$2:$A$702)),--('Base_Cobranzas'!$AI$2:$AI$702&gt;=IF(P$45&lt;3000,DATE(P$45,1,1),P$45)),--('Base_Cobranzas'!$AI$2:$AI$702&lt;IF(P$45&lt;3000,DATE(P$45+1,1,1),EDATE(P$45,1))),--ISNUMBER(SEARCH(IF(ISNUMBER(SEARCH("DIRECTO",UPPER($B48))),"DIRECTO",IF(ISNUMBER(SEARCH("HIPOT",UPPER($B48))),"HIPOT",IF(ISNUMBER(SEARCH("AHORRO",UPPER($B48))),"AHORRO",UPPER($B48)))),UPPER('Base_Cobranzas'!$AT$2:$AT$702))),--ISNUMBER(SEARCH("PENDIENTE",UPPER(TRIM('Base_Cobranzas'!$BC$2:$BC$702)))),'Base_Cobranzas'!$AR$2:$AR$702),0)</f>
        <v/>
      </c>
      <c r="Q48" s="69">
        <f>IFERROR(SUMPRODUCT(--ISNUMBER(SEARCH($B$6,'Base_Cobranzas'!$A$2:$A$702)),--('Base_Cobranzas'!$AI$2:$AI$702&gt;=IF(Q$45&lt;3000,DATE(Q$45,1,1),Q$45)),--('Base_Cobranzas'!$AI$2:$AI$702&lt;IF(Q$45&lt;3000,DATE(Q$45+1,1,1),EDATE(Q$45,1))),--ISNUMBER(SEARCH(IF(ISNUMBER(SEARCH("DIRECTO",UPPER($B48))),"DIRECTO",IF(ISNUMBER(SEARCH("HIPOT",UPPER($B48))),"HIPOT",IF(ISNUMBER(SEARCH("AHORRO",UPPER($B48))),"AHORRO",UPPER($B48)))),UPPER('Base_Cobranzas'!$AT$2:$AT$702))),--ISNUMBER(SEARCH("PENDIENTE",UPPER(TRIM('Base_Cobranzas'!$BC$2:$BC$702)))),'Base_Cobranzas'!$AR$2:$AR$702),0)</f>
        <v/>
      </c>
      <c r="R48" s="69">
        <f>IFERROR(SUMPRODUCT(--ISNUMBER(SEARCH($B$6,'Base_Cobranzas'!$A$2:$A$702)),--('Base_Cobranzas'!$AI$2:$AI$702&gt;=IF(R$45&lt;3000,DATE(R$45,1,1),R$45)),--('Base_Cobranzas'!$AI$2:$AI$702&lt;IF(R$45&lt;3000,DATE(R$45+1,1,1),EDATE(R$45,1))),--ISNUMBER(SEARCH(IF(ISNUMBER(SEARCH("DIRECTO",UPPER($B48))),"DIRECTO",IF(ISNUMBER(SEARCH("HIPOT",UPPER($B48))),"HIPOT",IF(ISNUMBER(SEARCH("AHORRO",UPPER($B48))),"AHORRO",UPPER($B48)))),UPPER('Base_Cobranzas'!$AT$2:$AT$702))),--ISNUMBER(SEARCH("PENDIENTE",UPPER(TRIM('Base_Cobranzas'!$BC$2:$BC$702)))),'Base_Cobranzas'!$AR$2:$AR$702),0)</f>
        <v/>
      </c>
      <c r="S48" s="69">
        <f>IFERROR(SUMPRODUCT(--ISNUMBER(SEARCH($B$6,'Base_Cobranzas'!$A$2:$A$702)),--('Base_Cobranzas'!$AI$2:$AI$702&gt;=IF(S$45&lt;3000,DATE(S$45,1,1),S$45)),--('Base_Cobranzas'!$AI$2:$AI$702&lt;IF(S$45&lt;3000,DATE(S$45+1,1,1),EDATE(S$45,1))),--ISNUMBER(SEARCH(IF(ISNUMBER(SEARCH("DIRECTO",UPPER($B48))),"DIRECTO",IF(ISNUMBER(SEARCH("HIPOT",UPPER($B48))),"HIPOT",IF(ISNUMBER(SEARCH("AHORRO",UPPER($B48))),"AHORRO",UPPER($B48)))),UPPER('Base_Cobranzas'!$AT$2:$AT$702))),--ISNUMBER(SEARCH("PENDIENTE",UPPER(TRIM('Base_Cobranzas'!$BC$2:$BC$702)))),'Base_Cobranzas'!$AR$2:$AR$702),0)</f>
        <v/>
      </c>
      <c r="T48" s="69">
        <f>IFERROR(SUMPRODUCT(--ISNUMBER(SEARCH($B$6,'Base_Cobranzas'!$A$2:$A$702)),--('Base_Cobranzas'!$AI$2:$AI$702&gt;=IF(T$45&lt;3000,DATE(T$45,1,1),T$45)),--('Base_Cobranzas'!$AI$2:$AI$702&lt;IF(T$45&lt;3000,DATE(T$45+1,1,1),EDATE(T$45,1))),--ISNUMBER(SEARCH(IF(ISNUMBER(SEARCH("DIRECTO",UPPER($B48))),"DIRECTO",IF(ISNUMBER(SEARCH("HIPOT",UPPER($B48))),"HIPOT",IF(ISNUMBER(SEARCH("AHORRO",UPPER($B48))),"AHORRO",UPPER($B48)))),UPPER('Base_Cobranzas'!$AT$2:$AT$702))),--ISNUMBER(SEARCH("PENDIENTE",UPPER(TRIM('Base_Cobranzas'!$BC$2:$BC$702)))),'Base_Cobranzas'!$AR$2:$AR$702),0)</f>
        <v/>
      </c>
      <c r="U48" s="70">
        <f>SUM(C48:T48)</f>
        <v/>
      </c>
    </row>
    <row r="49">
      <c r="B49" s="7" t="inlineStr">
        <is>
          <t>Total</t>
        </is>
      </c>
      <c r="C49" s="71">
        <f>SUM(C46:C48)</f>
        <v/>
      </c>
      <c r="D49" s="71">
        <f>SUM(D46:D48)</f>
        <v/>
      </c>
      <c r="E49" s="71">
        <f>SUM(E46:E48)</f>
        <v/>
      </c>
      <c r="F49" s="71">
        <f>SUM(F46:F48)</f>
        <v/>
      </c>
      <c r="G49" s="71">
        <f>SUM(G46:G48)</f>
        <v/>
      </c>
      <c r="H49" s="71">
        <f>SUM(H46:H48)</f>
        <v/>
      </c>
      <c r="I49" s="71">
        <f>SUM(I46:I48)</f>
        <v/>
      </c>
      <c r="J49" s="71">
        <f>SUM(J46:J48)</f>
        <v/>
      </c>
      <c r="K49" s="71">
        <f>SUM(K46:K48)</f>
        <v/>
      </c>
      <c r="L49" s="71">
        <f>SUM(L46:L48)</f>
        <v/>
      </c>
      <c r="M49" s="71">
        <f>SUM(M46:M48)</f>
        <v/>
      </c>
      <c r="N49" s="71">
        <f>SUM(N46:N48)</f>
        <v/>
      </c>
      <c r="O49" s="71">
        <f>SUM(O46:O48)</f>
        <v/>
      </c>
      <c r="P49" s="71">
        <f>SUM(P46:P48)</f>
        <v/>
      </c>
      <c r="Q49" s="71">
        <f>SUM(Q46:Q48)</f>
        <v/>
      </c>
      <c r="R49" s="71">
        <f>SUM(R46:R48)</f>
        <v/>
      </c>
      <c r="S49" s="71">
        <f>SUM(S46:S48)</f>
        <v/>
      </c>
      <c r="T49" s="71">
        <f>SUM(T46:T48)</f>
        <v/>
      </c>
      <c r="U49" s="71">
        <f>SUM(C49:T49)</f>
        <v/>
      </c>
      <c r="V49">
        <f>IF($H$21=U49,"OK","REVISAR")</f>
        <v/>
      </c>
    </row>
    <row r="51">
      <c r="B51" s="7" t="inlineStr">
        <is>
          <t>Acumulado</t>
        </is>
      </c>
      <c r="C51" s="74">
        <f>C49</f>
        <v/>
      </c>
      <c r="D51" s="72">
        <f>C51+D49</f>
        <v/>
      </c>
      <c r="E51" s="72">
        <f>D51+E49</f>
        <v/>
      </c>
      <c r="F51" s="72">
        <f>E51+F49</f>
        <v/>
      </c>
      <c r="G51" s="72">
        <f>F51+G49</f>
        <v/>
      </c>
      <c r="H51" s="72">
        <f>G51+H49</f>
        <v/>
      </c>
      <c r="I51" s="72">
        <f>H51+I49</f>
        <v/>
      </c>
      <c r="J51" s="72">
        <f>I51+J49</f>
        <v/>
      </c>
      <c r="K51" s="72">
        <f>J51+K49</f>
        <v/>
      </c>
      <c r="L51" s="72">
        <f>K51+L49</f>
        <v/>
      </c>
      <c r="M51" s="72">
        <f>L51+M49</f>
        <v/>
      </c>
      <c r="N51" s="72">
        <f>M51+N49</f>
        <v/>
      </c>
      <c r="O51" s="72">
        <f>N51+O49</f>
        <v/>
      </c>
      <c r="P51" s="72">
        <f>O51+P49</f>
        <v/>
      </c>
      <c r="Q51" s="72">
        <f>P51+Q49</f>
        <v/>
      </c>
      <c r="R51" s="72">
        <f>Q51+R49</f>
        <v/>
      </c>
      <c r="S51" s="72">
        <f>R51+S49</f>
        <v/>
      </c>
      <c r="T51" s="72">
        <f>S51+T49</f>
        <v/>
      </c>
      <c r="U51" s="73" t="n"/>
    </row>
    <row r="55" ht="21" customHeight="1">
      <c r="B55" s="1" t="inlineStr">
        <is>
          <t>COBRANZA MOROSA</t>
        </is>
      </c>
    </row>
    <row r="57">
      <c r="B57" s="25" t="inlineStr">
        <is>
          <t>Tipo de Credito</t>
        </is>
      </c>
      <c r="C57" s="26" t="n">
        <v>46082</v>
      </c>
      <c r="D57" s="26" t="n">
        <v>46113</v>
      </c>
      <c r="E57" s="26" t="n">
        <v>46143</v>
      </c>
      <c r="F57" s="26" t="n">
        <v>46174</v>
      </c>
      <c r="G57" s="26" t="inlineStr">
        <is>
          <t>Total</t>
        </is>
      </c>
    </row>
    <row r="58">
      <c r="B58" s="8" t="inlineStr">
        <is>
          <t>Crédito Directo</t>
        </is>
      </c>
      <c r="C58" s="69">
        <f>IFERROR(SUMPRODUCT(--ISNUMBER(SEARCH($B$6,'Base_Cobranzas'!$A$2:$A$702)),--('Base_Cobranzas'!$AI$2:$AI$702&gt;=IF(C$57&lt;3000,DATE(C$57,1,1),C$57)),--('Base_Cobranzas'!$AI$2:$AI$702&lt;IF(C$57&lt;3000,DATE(C$57+1,1,1),EDATE(C$57,1))),--ISNUMBER(SEARCH(IF(ISNUMBER(SEARCH("DIRECTO",UPPER($B58))),"DIRECTO",IF(ISNUMBER(SEARCH("HIPOT",UPPER($B58))),"HIPOT",IF(ISNUMBER(SEARCH("AHORRO",UPPER($B58))),"AHORRO",UPPER($B58)))),UPPER('Base_Cobranzas'!$AT$2:$AT$702))),--ISNUMBER(SEARCH("VENCIDO",UPPER(TRIM('Base_Cobranzas'!$BC$2:$BC$702)))),'Base_Cobranzas'!$AR$2:$AR$702),0)</f>
        <v/>
      </c>
      <c r="D58" s="69">
        <f>IFERROR(SUMPRODUCT(--ISNUMBER(SEARCH($B$6,'Base_Cobranzas'!$A$2:$A$702)),--('Base_Cobranzas'!$AI$2:$AI$702&gt;=IF(D$57&lt;3000,DATE(D$57,1,1),D$57)),--('Base_Cobranzas'!$AI$2:$AI$702&lt;IF(D$57&lt;3000,DATE(D$57+1,1,1),EDATE(D$57,1))),--ISNUMBER(SEARCH(IF(ISNUMBER(SEARCH("DIRECTO",UPPER($B58))),"DIRECTO",IF(ISNUMBER(SEARCH("HIPOT",UPPER($B58))),"HIPOT",IF(ISNUMBER(SEARCH("AHORRO",UPPER($B58))),"AHORRO",UPPER($B58)))),UPPER('Base_Cobranzas'!$AT$2:$AT$702))),--ISNUMBER(SEARCH("VENCIDO",UPPER(TRIM('Base_Cobranzas'!$BC$2:$BC$702)))),'Base_Cobranzas'!$AR$2:$AR$702),0)</f>
        <v/>
      </c>
      <c r="E58" s="69">
        <f>IFERROR(SUMPRODUCT(--ISNUMBER(SEARCH($B$6,'Base_Cobranzas'!$A$2:$A$702)),--('Base_Cobranzas'!$AI$2:$AI$702&gt;=IF(E$57&lt;3000,DATE(E$57,1,1),E$57)),--('Base_Cobranzas'!$AI$2:$AI$702&lt;IF(E$57&lt;3000,DATE(E$57+1,1,1),EDATE(E$57,1))),--ISNUMBER(SEARCH(IF(ISNUMBER(SEARCH("DIRECTO",UPPER($B58))),"DIRECTO",IF(ISNUMBER(SEARCH("HIPOT",UPPER($B58))),"HIPOT",IF(ISNUMBER(SEARCH("AHORRO",UPPER($B58))),"AHORRO",UPPER($B58)))),UPPER('Base_Cobranzas'!$AT$2:$AT$702))),--ISNUMBER(SEARCH("VENCIDO",UPPER(TRIM('Base_Cobranzas'!$BC$2:$BC$702)))),'Base_Cobranzas'!$AR$2:$AR$702),0)</f>
        <v/>
      </c>
      <c r="F58" s="69">
        <f>IFERROR(SUMPRODUCT(--ISNUMBER(SEARCH($B$6,'Base_Cobranzas'!$A$2:$A$702)),--('Base_Cobranzas'!$AI$2:$AI$702&gt;=IF(F$57&lt;3000,DATE(F$57,1,1),F$57)),--('Base_Cobranzas'!$AI$2:$AI$702&lt;IF(F$57&lt;3000,DATE(F$57+1,1,1),EDATE(F$57,1))),--ISNUMBER(SEARCH(IF(ISNUMBER(SEARCH("DIRECTO",UPPER($B58))),"DIRECTO",IF(ISNUMBER(SEARCH("HIPOT",UPPER($B58))),"HIPOT",IF(ISNUMBER(SEARCH("AHORRO",UPPER($B58))),"AHORRO",UPPER($B58)))),UPPER('Base_Cobranzas'!$AT$2:$AT$702))),--ISNUMBER(SEARCH("VENCIDO",UPPER(TRIM('Base_Cobranzas'!$BC$2:$BC$702)))),'Base_Cobranzas'!$AR$2:$AR$702),0)</f>
        <v/>
      </c>
      <c r="G58" s="70">
        <f>SUM(C58:F58)</f>
        <v/>
      </c>
    </row>
    <row r="59">
      <c r="B59" s="8" t="inlineStr">
        <is>
          <t>Crédito Hipotecario</t>
        </is>
      </c>
      <c r="C59" s="69">
        <f>IFERROR(SUMPRODUCT(--ISNUMBER(SEARCH($B$6,'Base_Cobranzas'!$A$2:$A$702)),--('Base_Cobranzas'!$AI$2:$AI$702&gt;=IF(C$57&lt;3000,DATE(C$57,1,1),C$57)),--('Base_Cobranzas'!$AI$2:$AI$702&lt;IF(C$57&lt;3000,DATE(C$57+1,1,1),EDATE(C$57,1))),--ISNUMBER(SEARCH(IF(ISNUMBER(SEARCH("DIRECTO",UPPER($B59))),"DIRECTO",IF(ISNUMBER(SEARCH("HIPOT",UPPER($B59))),"HIPOT",IF(ISNUMBER(SEARCH("AHORRO",UPPER($B59))),"AHORRO",UPPER($B59)))),UPPER('Base_Cobranzas'!$AT$2:$AT$702))),--ISNUMBER(SEARCH("VENCIDO",UPPER(TRIM('Base_Cobranzas'!$BC$2:$BC$702)))),'Base_Cobranzas'!$AR$2:$AR$702),0)</f>
        <v/>
      </c>
      <c r="D59" s="69">
        <f>IFERROR(SUMPRODUCT(--ISNUMBER(SEARCH($B$6,'Base_Cobranzas'!$A$2:$A$702)),--('Base_Cobranzas'!$AI$2:$AI$702&gt;=IF(D$57&lt;3000,DATE(D$57,1,1),D$57)),--('Base_Cobranzas'!$AI$2:$AI$702&lt;IF(D$57&lt;3000,DATE(D$57+1,1,1),EDATE(D$57,1))),--ISNUMBER(SEARCH(IF(ISNUMBER(SEARCH("DIRECTO",UPPER($B59))),"DIRECTO",IF(ISNUMBER(SEARCH("HIPOT",UPPER($B59))),"HIPOT",IF(ISNUMBER(SEARCH("AHORRO",UPPER($B59))),"AHORRO",UPPER($B59)))),UPPER('Base_Cobranzas'!$AT$2:$AT$702))),--ISNUMBER(SEARCH("VENCIDO",UPPER(TRIM('Base_Cobranzas'!$BC$2:$BC$702)))),'Base_Cobranzas'!$AR$2:$AR$702),0)</f>
        <v/>
      </c>
      <c r="E59" s="69">
        <f>IFERROR(SUMPRODUCT(--ISNUMBER(SEARCH($B$6,'Base_Cobranzas'!$A$2:$A$702)),--('Base_Cobranzas'!$AI$2:$AI$702&gt;=IF(E$57&lt;3000,DATE(E$57,1,1),E$57)),--('Base_Cobranzas'!$AI$2:$AI$702&lt;IF(E$57&lt;3000,DATE(E$57+1,1,1),EDATE(E$57,1))),--ISNUMBER(SEARCH(IF(ISNUMBER(SEARCH("DIRECTO",UPPER($B59))),"DIRECTO",IF(ISNUMBER(SEARCH("HIPOT",UPPER($B59))),"HIPOT",IF(ISNUMBER(SEARCH("AHORRO",UPPER($B59))),"AHORRO",UPPER($B59)))),UPPER('Base_Cobranzas'!$AT$2:$AT$702))),--ISNUMBER(SEARCH("VENCIDO",UPPER(TRIM('Base_Cobranzas'!$BC$2:$BC$702)))),'Base_Cobranzas'!$AR$2:$AR$702),0)</f>
        <v/>
      </c>
      <c r="F59" s="69">
        <f>IFERROR(SUMPRODUCT(--ISNUMBER(SEARCH($B$6,'Base_Cobranzas'!$A$2:$A$702)),--('Base_Cobranzas'!$AI$2:$AI$702&gt;=IF(F$57&lt;3000,DATE(F$57,1,1),F$57)),--('Base_Cobranzas'!$AI$2:$AI$702&lt;IF(F$57&lt;3000,DATE(F$57+1,1,1),EDATE(F$57,1))),--ISNUMBER(SEARCH(IF(ISNUMBER(SEARCH("DIRECTO",UPPER($B59))),"DIRECTO",IF(ISNUMBER(SEARCH("HIPOT",UPPER($B59))),"HIPOT",IF(ISNUMBER(SEARCH("AHORRO",UPPER($B59))),"AHORRO",UPPER($B59)))),UPPER('Base_Cobranzas'!$AT$2:$AT$702))),--ISNUMBER(SEARCH("VENCIDO",UPPER(TRIM('Base_Cobranzas'!$BC$2:$BC$702)))),'Base_Cobranzas'!$AR$2:$AR$702),0)</f>
        <v/>
      </c>
      <c r="G59" s="70">
        <f>SUM(C59:F59)</f>
        <v/>
      </c>
    </row>
    <row r="60">
      <c r="B60" s="8" t="inlineStr">
        <is>
          <t>Ahorro</t>
        </is>
      </c>
      <c r="C60" s="69">
        <f>IFERROR(SUMPRODUCT(--ISNUMBER(SEARCH($B$6,'Base_Cobranzas'!$A$2:$A$702)),--('Base_Cobranzas'!$AI$2:$AI$702&gt;=IF(C$57&lt;3000,DATE(C$57,1,1),C$57)),--('Base_Cobranzas'!$AI$2:$AI$702&lt;IF(C$57&lt;3000,DATE(C$57+1,1,1),EDATE(C$57,1))),--ISNUMBER(SEARCH(IF(ISNUMBER(SEARCH("DIRECTO",UPPER($B60))),"DIRECTO",IF(ISNUMBER(SEARCH("HIPOT",UPPER($B60))),"HIPOT",IF(ISNUMBER(SEARCH("AHORRO",UPPER($B60))),"AHORRO",UPPER($B60)))),UPPER('Base_Cobranzas'!$AT$2:$AT$702))),--ISNUMBER(SEARCH("VENCIDO",UPPER(TRIM('Base_Cobranzas'!$BC$2:$BC$702)))),'Base_Cobranzas'!$AR$2:$AR$702),0)</f>
        <v/>
      </c>
      <c r="D60" s="69">
        <f>IFERROR(SUMPRODUCT(--ISNUMBER(SEARCH($B$6,'Base_Cobranzas'!$A$2:$A$702)),--('Base_Cobranzas'!$AI$2:$AI$702&gt;=IF(D$57&lt;3000,DATE(D$57,1,1),D$57)),--('Base_Cobranzas'!$AI$2:$AI$702&lt;IF(D$57&lt;3000,DATE(D$57+1,1,1),EDATE(D$57,1))),--ISNUMBER(SEARCH(IF(ISNUMBER(SEARCH("DIRECTO",UPPER($B60))),"DIRECTO",IF(ISNUMBER(SEARCH("HIPOT",UPPER($B60))),"HIPOT",IF(ISNUMBER(SEARCH("AHORRO",UPPER($B60))),"AHORRO",UPPER($B60)))),UPPER('Base_Cobranzas'!$AT$2:$AT$702))),--ISNUMBER(SEARCH("VENCIDO",UPPER(TRIM('Base_Cobranzas'!$BC$2:$BC$702)))),'Base_Cobranzas'!$AR$2:$AR$702),0)</f>
        <v/>
      </c>
      <c r="E60" s="69">
        <f>IFERROR(SUMPRODUCT(--ISNUMBER(SEARCH($B$6,'Base_Cobranzas'!$A$2:$A$702)),--('Base_Cobranzas'!$AI$2:$AI$702&gt;=IF(E$57&lt;3000,DATE(E$57,1,1),E$57)),--('Base_Cobranzas'!$AI$2:$AI$702&lt;IF(E$57&lt;3000,DATE(E$57+1,1,1),EDATE(E$57,1))),--ISNUMBER(SEARCH(IF(ISNUMBER(SEARCH("DIRECTO",UPPER($B60))),"DIRECTO",IF(ISNUMBER(SEARCH("HIPOT",UPPER($B60))),"HIPOT",IF(ISNUMBER(SEARCH("AHORRO",UPPER($B60))),"AHORRO",UPPER($B60)))),UPPER('Base_Cobranzas'!$AT$2:$AT$702))),--ISNUMBER(SEARCH("VENCIDO",UPPER(TRIM('Base_Cobranzas'!$BC$2:$BC$702)))),'Base_Cobranzas'!$AR$2:$AR$702),0)</f>
        <v/>
      </c>
      <c r="F60" s="69">
        <f>IFERROR(SUMPRODUCT(--ISNUMBER(SEARCH($B$6,'Base_Cobranzas'!$A$2:$A$702)),--('Base_Cobranzas'!$AI$2:$AI$702&gt;=IF(F$57&lt;3000,DATE(F$57,1,1),F$57)),--('Base_Cobranzas'!$AI$2:$AI$702&lt;IF(F$57&lt;3000,DATE(F$57+1,1,1),EDATE(F$57,1))),--ISNUMBER(SEARCH(IF(ISNUMBER(SEARCH("DIRECTO",UPPER($B60))),"DIRECTO",IF(ISNUMBER(SEARCH("HIPOT",UPPER($B60))),"HIPOT",IF(ISNUMBER(SEARCH("AHORRO",UPPER($B60))),"AHORRO",UPPER($B60)))),UPPER('Base_Cobranzas'!$AT$2:$AT$702))),--ISNUMBER(SEARCH("VENCIDO",UPPER(TRIM('Base_Cobranzas'!$BC$2:$BC$702)))),'Base_Cobranzas'!$AR$2:$AR$702),0)</f>
        <v/>
      </c>
      <c r="G60" s="70">
        <f>SUM(C60:F60)</f>
        <v/>
      </c>
    </row>
    <row r="61">
      <c r="B61" s="7" t="inlineStr">
        <is>
          <t>Total</t>
        </is>
      </c>
      <c r="C61" s="71">
        <f>SUM(C58:C60)</f>
        <v/>
      </c>
      <c r="D61" s="71">
        <f>SUM(D58:D60)</f>
        <v/>
      </c>
      <c r="E61" s="71">
        <f>SUM(E58:E60)</f>
        <v/>
      </c>
      <c r="F61" s="71">
        <f>SUM(F58:F60)</f>
        <v/>
      </c>
      <c r="G61" s="71">
        <f>SUM(C61:F61)</f>
        <v/>
      </c>
      <c r="H61">
        <f>IF($I$21=G61,"OK","REVISAR")</f>
        <v/>
      </c>
    </row>
    <row r="63">
      <c r="B63" s="7" t="inlineStr">
        <is>
          <t>Acumulado</t>
        </is>
      </c>
      <c r="C63" s="74">
        <f>C61</f>
        <v/>
      </c>
      <c r="D63" s="72">
        <f>C63+D61</f>
        <v/>
      </c>
      <c r="E63" s="72">
        <f>D63+E61</f>
        <v/>
      </c>
      <c r="F63" s="72">
        <f>E63+F61</f>
        <v/>
      </c>
      <c r="G63" s="73" t="n"/>
    </row>
  </sheetData>
  <mergeCells count="3">
    <mergeCell ref="F8:I8"/>
    <mergeCell ref="C5:H5"/>
    <mergeCell ref="C8:D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2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10" defaultRowHeight="14.4"/>
  <cols>
    <col width="13.5546875" customWidth="1" min="5" max="5"/>
    <col width="14.77734375" customWidth="1" min="6" max="6"/>
    <col width="15.6640625" customWidth="1" min="7" max="7"/>
    <col width="14.33203125" customWidth="1" min="10" max="10"/>
  </cols>
  <sheetData>
    <row r="1" ht="33" customHeight="1">
      <c r="A1" s="79" t="inlineStr">
        <is>
          <t>REPORTE DE COBRANZAS</t>
        </is>
      </c>
    </row>
    <row r="2" ht="30.6" customHeight="1"/>
    <row r="3">
      <c r="A3" s="73" t="n"/>
      <c r="B3" s="73" t="n"/>
      <c r="C3" s="73" t="n"/>
      <c r="D3" s="73" t="n"/>
      <c r="E3" s="73" t="n"/>
      <c r="F3" s="73" t="n"/>
      <c r="G3" s="73" t="n"/>
      <c r="H3" s="73" t="n"/>
      <c r="I3" s="73" t="n"/>
      <c r="J3" s="73" t="n"/>
      <c r="K3" s="73" t="n"/>
      <c r="L3" s="73" t="n"/>
      <c r="M3" s="73" t="n"/>
    </row>
    <row r="4" ht="17.4" customHeight="1">
      <c r="A4" s="73" t="n"/>
      <c r="B4" s="73" t="n"/>
      <c r="C4" s="80" t="inlineStr">
        <is>
          <t>DEUDA TOTAL</t>
        </is>
      </c>
      <c r="G4" s="81" t="inlineStr">
        <is>
          <t>CLIENTES CON DEUDA</t>
        </is>
      </c>
      <c r="K4" s="73" t="n"/>
      <c r="L4" s="73" t="n"/>
      <c r="M4" s="73" t="n"/>
    </row>
    <row r="5" ht="32.4" customHeight="1">
      <c r="A5" s="73" t="n"/>
      <c r="B5" s="73" t="n"/>
      <c r="C5" s="82" t="n">
        <v>7959662.22</v>
      </c>
      <c r="G5" s="83" t="n">
        <v>44</v>
      </c>
      <c r="K5" s="73" t="n"/>
      <c r="L5" s="73" t="n"/>
      <c r="M5" s="73" t="n"/>
    </row>
    <row r="6">
      <c r="A6" s="73" t="n"/>
      <c r="B6" s="73" t="n"/>
      <c r="C6" s="73" t="n"/>
      <c r="D6" s="73" t="n"/>
      <c r="E6" s="73" t="n"/>
      <c r="F6" s="73" t="n"/>
      <c r="G6" s="73" t="n"/>
      <c r="H6" s="73" t="n"/>
      <c r="I6" s="73" t="n"/>
      <c r="J6" s="73" t="n"/>
      <c r="K6" s="73" t="n"/>
      <c r="L6" s="73" t="n"/>
      <c r="M6" s="73" t="n"/>
    </row>
    <row r="7" ht="15.6" customHeight="1">
      <c r="A7" s="84" t="inlineStr">
        <is>
          <t>PRADA</t>
        </is>
      </c>
      <c r="F7" s="85" t="inlineStr">
        <is>
          <t>DEUDA TOTAL</t>
        </is>
      </c>
      <c r="H7" s="86" t="n">
        <v>1924930</v>
      </c>
      <c r="J7" s="87" t="inlineStr">
        <is>
          <t>CLIENTE</t>
        </is>
      </c>
      <c r="L7" s="87" t="n">
        <v>8</v>
      </c>
    </row>
    <row r="8" ht="28.8" customHeight="1">
      <c r="A8" s="88" t="inlineStr">
        <is>
          <t>Rank</t>
        </is>
      </c>
      <c r="B8" s="88" t="inlineStr">
        <is>
          <t>Cliente</t>
        </is>
      </c>
      <c r="F8" s="88" t="inlineStr">
        <is>
          <t>Unidad</t>
        </is>
      </c>
      <c r="G8" s="88" t="inlineStr">
        <is>
          <t>Financiamiento</t>
        </is>
      </c>
      <c r="H8" s="88" t="inlineStr">
        <is>
          <t>Precio Venta</t>
        </is>
      </c>
      <c r="I8" s="88" t="inlineStr">
        <is>
          <t>Monto Cobrado</t>
        </is>
      </c>
      <c r="J8" s="88" t="inlineStr">
        <is>
          <t>Monto Deuda</t>
        </is>
      </c>
      <c r="L8" s="88" t="inlineStr">
        <is>
          <t>Tasa de Morosidad</t>
        </is>
      </c>
      <c r="M8" s="88" t="inlineStr">
        <is>
          <t>Días de atraso</t>
        </is>
      </c>
    </row>
    <row r="9" ht="28.8" customHeight="1">
      <c r="A9" s="89" t="n">
        <v>1</v>
      </c>
      <c r="B9" s="89" t="inlineStr">
        <is>
          <t>Chistopher Omar Peña Camargo</t>
        </is>
      </c>
      <c r="F9" s="89" t="inlineStr">
        <is>
          <t>Dpto 601, Estc E 28 - D 22</t>
        </is>
      </c>
      <c r="G9" s="89" t="inlineStr">
        <is>
          <t>Crédito Hipotecario</t>
        </is>
      </c>
      <c r="H9" s="90" t="n">
        <v>690000</v>
      </c>
      <c r="I9" s="90" t="n">
        <v>110000</v>
      </c>
      <c r="J9" s="91" t="n">
        <v>580000</v>
      </c>
      <c r="L9" s="92" t="n">
        <v>0.8405797101449275</v>
      </c>
      <c r="M9" s="91" t="n">
        <v>335</v>
      </c>
    </row>
    <row r="10" ht="28.8" customHeight="1">
      <c r="A10" s="93" t="n">
        <v>2</v>
      </c>
      <c r="B10" s="93" t="inlineStr">
        <is>
          <t>JUDITH MEDINA ALVAREZ</t>
        </is>
      </c>
      <c r="F10" s="93" t="inlineStr">
        <is>
          <t>Dpto 604, Estc E 51 - D 39</t>
        </is>
      </c>
      <c r="G10" s="93" t="inlineStr">
        <is>
          <t>Crédito Hipotecario</t>
        </is>
      </c>
      <c r="H10" s="94" t="n">
        <v>473000</v>
      </c>
      <c r="I10" s="94" t="n">
        <v>76000</v>
      </c>
      <c r="J10" s="95" t="n">
        <v>397000</v>
      </c>
      <c r="L10" s="96" t="n">
        <v>0.8393234672304439</v>
      </c>
      <c r="M10" s="97" t="n">
        <v>0</v>
      </c>
    </row>
    <row r="11" ht="28.8" customHeight="1">
      <c r="A11" s="89" t="n">
        <v>3</v>
      </c>
      <c r="B11" s="89" t="inlineStr">
        <is>
          <t>Marita Angeles Milla</t>
        </is>
      </c>
      <c r="F11" s="89" t="inlineStr">
        <is>
          <t>Dpto 1004</t>
        </is>
      </c>
      <c r="G11" s="89" t="inlineStr">
        <is>
          <t>Ahorro</t>
        </is>
      </c>
      <c r="H11" s="90" t="n">
        <v>417700</v>
      </c>
      <c r="I11" s="90" t="n">
        <v>23770</v>
      </c>
      <c r="J11" s="91" t="n">
        <v>393930</v>
      </c>
      <c r="L11" s="92" t="n">
        <v>0.9430931290399809</v>
      </c>
      <c r="M11" s="91" t="n">
        <v>80</v>
      </c>
    </row>
    <row r="12" ht="28.8" customHeight="1">
      <c r="A12" s="93" t="n">
        <v>4</v>
      </c>
      <c r="B12" s="93" t="inlineStr">
        <is>
          <t>Lizet Lopez Paucar</t>
        </is>
      </c>
      <c r="F12" s="93" t="inlineStr">
        <is>
          <t>Dpto 904</t>
        </is>
      </c>
      <c r="G12" s="93" t="inlineStr">
        <is>
          <t>Ahorro</t>
        </is>
      </c>
      <c r="H12" s="94" t="n">
        <v>417700</v>
      </c>
      <c r="I12" s="94" t="n">
        <v>67700</v>
      </c>
      <c r="J12" s="95" t="n">
        <v>350000</v>
      </c>
      <c r="L12" s="96" t="n">
        <v>0.8379219535551832</v>
      </c>
      <c r="M12" s="97" t="n">
        <v>0</v>
      </c>
    </row>
    <row r="13" ht="28.8" customHeight="1">
      <c r="A13" s="89" t="n">
        <v>5</v>
      </c>
      <c r="B13" s="89" t="inlineStr">
        <is>
          <t>PATROCINIO HUAMANI CUEVAS</t>
        </is>
      </c>
      <c r="F13" s="89" t="inlineStr">
        <is>
          <t>Dpto 503</t>
        </is>
      </c>
      <c r="G13" s="89" t="inlineStr">
        <is>
          <t>Crédito Directo</t>
        </is>
      </c>
      <c r="H13" s="90" t="n">
        <v>660000</v>
      </c>
      <c r="I13" s="90" t="n">
        <v>500000</v>
      </c>
      <c r="J13" s="91" t="n">
        <v>160000</v>
      </c>
      <c r="L13" s="92" t="n">
        <v>0.2424242424242424</v>
      </c>
      <c r="M13" s="91" t="n">
        <v>92</v>
      </c>
    </row>
    <row r="14" ht="28.8" customHeight="1">
      <c r="A14" s="93" t="n">
        <v>6</v>
      </c>
      <c r="B14" s="93" t="inlineStr">
        <is>
          <t>STEPHANIE LIZETH AQUINO HERRERA</t>
        </is>
      </c>
      <c r="F14" s="93" t="inlineStr">
        <is>
          <t>Dpto 1005</t>
        </is>
      </c>
      <c r="G14" s="93" t="inlineStr">
        <is>
          <t>Crédito Hipotecario</t>
        </is>
      </c>
      <c r="H14" s="94" t="n">
        <v>480000</v>
      </c>
      <c r="I14" s="94" t="n">
        <v>24000</v>
      </c>
      <c r="J14" s="95" t="n">
        <v>24000</v>
      </c>
      <c r="L14" s="96" t="n">
        <v>0.05</v>
      </c>
      <c r="M14" s="97" t="n">
        <v>0</v>
      </c>
    </row>
    <row r="15" ht="28.8" customHeight="1">
      <c r="A15" s="89" t="n">
        <v>7</v>
      </c>
      <c r="B15" s="89" t="inlineStr">
        <is>
          <t>RICARDO DANIEL ESPINOZA ANCHAYGUA</t>
        </is>
      </c>
      <c r="F15" s="89" t="inlineStr">
        <is>
          <t>Dpto 804, Estc E 42 - D 33</t>
        </is>
      </c>
      <c r="G15" s="89" t="inlineStr">
        <is>
          <t>Crédito Hipotecario</t>
        </is>
      </c>
      <c r="H15" s="90" t="n">
        <v>478000</v>
      </c>
      <c r="I15" s="90" t="n">
        <v>278000</v>
      </c>
      <c r="J15" s="91" t="n">
        <v>11000</v>
      </c>
      <c r="L15" s="92" t="n">
        <v>0.02301255230125523</v>
      </c>
      <c r="M15" s="91" t="n">
        <v>0</v>
      </c>
    </row>
    <row r="16" ht="28.8" customHeight="1">
      <c r="A16" s="93" t="n">
        <v>8</v>
      </c>
      <c r="B16" s="93" t="inlineStr">
        <is>
          <t>Marynn Yahara Minetto Peralta</t>
        </is>
      </c>
      <c r="F16" s="93" t="inlineStr">
        <is>
          <t>Estc E 18 - D 13</t>
        </is>
      </c>
      <c r="G16" s="93" t="inlineStr">
        <is>
          <t>Crédito Directo</t>
        </is>
      </c>
      <c r="H16" s="94" t="n">
        <v>50500</v>
      </c>
      <c r="I16" s="94" t="n">
        <v>3000</v>
      </c>
      <c r="J16" s="95" t="n">
        <v>9000</v>
      </c>
      <c r="L16" s="96" t="n">
        <v>0.1782178217821782</v>
      </c>
      <c r="M16" s="97" t="n">
        <v>0</v>
      </c>
    </row>
    <row r="17" ht="15.6" customHeight="1">
      <c r="A17" s="73" t="n"/>
      <c r="B17" s="73" t="n"/>
      <c r="C17" s="73" t="n"/>
      <c r="D17" s="73" t="n"/>
      <c r="E17" s="73" t="n"/>
      <c r="F17" s="73" t="n"/>
      <c r="G17" s="73" t="n"/>
      <c r="H17" s="73" t="n"/>
      <c r="I17" s="73" t="n"/>
      <c r="J17" s="73" t="n"/>
      <c r="K17" s="73" t="n"/>
      <c r="L17" s="73" t="n"/>
      <c r="M17" s="73" t="n"/>
    </row>
    <row r="18" ht="28.8" customHeight="1">
      <c r="A18" s="73" t="n"/>
      <c r="B18" s="73" t="n"/>
      <c r="C18" s="73" t="n"/>
      <c r="D18" s="73" t="n"/>
      <c r="E18" s="73" t="n"/>
      <c r="F18" s="73" t="n"/>
      <c r="G18" s="73" t="n"/>
      <c r="H18" s="73" t="n"/>
      <c r="I18" s="73" t="n"/>
      <c r="J18" s="73" t="n"/>
      <c r="K18" s="73" t="n"/>
      <c r="L18" s="73" t="n"/>
      <c r="M18" s="73" t="n"/>
    </row>
    <row r="19" ht="15.6" customHeight="1">
      <c r="A19" s="84" t="inlineStr">
        <is>
          <t>BEYOND</t>
        </is>
      </c>
      <c r="F19" s="85" t="inlineStr">
        <is>
          <t>DEUDA TOTAL</t>
        </is>
      </c>
      <c r="H19" s="86" t="n">
        <v>3984292.22</v>
      </c>
      <c r="J19" s="87" t="inlineStr">
        <is>
          <t>CLIENTE</t>
        </is>
      </c>
      <c r="L19" s="87" t="n">
        <v>26</v>
      </c>
    </row>
    <row r="20" ht="28.8" customHeight="1">
      <c r="A20" s="88" t="inlineStr">
        <is>
          <t>Rank</t>
        </is>
      </c>
      <c r="B20" s="88" t="inlineStr">
        <is>
          <t>Cliente</t>
        </is>
      </c>
      <c r="F20" s="88" t="inlineStr">
        <is>
          <t>Unidad</t>
        </is>
      </c>
      <c r="G20" s="88" t="inlineStr">
        <is>
          <t>Financiamiento</t>
        </is>
      </c>
      <c r="H20" s="88" t="inlineStr">
        <is>
          <t>Precio Venta</t>
        </is>
      </c>
      <c r="I20" s="88" t="inlineStr">
        <is>
          <t>Monto Cobrado</t>
        </is>
      </c>
      <c r="J20" s="88" t="inlineStr">
        <is>
          <t>Monto Deuda</t>
        </is>
      </c>
      <c r="L20" s="88" t="inlineStr">
        <is>
          <t>Tasa de Morosidad</t>
        </is>
      </c>
      <c r="M20" s="88" t="inlineStr">
        <is>
          <t>Días de atraso</t>
        </is>
      </c>
    </row>
    <row r="21" ht="28.8" customHeight="1">
      <c r="A21" s="89" t="n">
        <v>1</v>
      </c>
      <c r="B21" s="89" t="inlineStr">
        <is>
          <t>Harry Anderson Yance Ruiz</t>
        </is>
      </c>
      <c r="F21" s="89" t="inlineStr">
        <is>
          <t>Dpto 805</t>
        </is>
      </c>
      <c r="G21" s="89" t="inlineStr">
        <is>
          <t>Crédito Hipotecario</t>
        </is>
      </c>
      <c r="H21" s="90" t="n">
        <v>532100</v>
      </c>
      <c r="I21" s="90" t="n">
        <v>3000</v>
      </c>
      <c r="J21" s="91" t="n">
        <v>529100</v>
      </c>
      <c r="L21" s="92" t="n">
        <v>0.9943619620372111</v>
      </c>
      <c r="M21" s="91" t="n">
        <v>120</v>
      </c>
    </row>
    <row r="22" ht="28.8" customHeight="1">
      <c r="A22" s="93" t="n">
        <v>2</v>
      </c>
      <c r="B22" s="93" t="inlineStr">
        <is>
          <t>Tania Jackeline Valladares Timana</t>
        </is>
      </c>
      <c r="F22" s="93" t="inlineStr">
        <is>
          <t>Dpto 1001</t>
        </is>
      </c>
      <c r="G22" s="93" t="inlineStr">
        <is>
          <t>Ahorro</t>
        </is>
      </c>
      <c r="H22" s="94" t="n">
        <v>518500</v>
      </c>
      <c r="I22" s="94" t="n">
        <v>3000</v>
      </c>
      <c r="J22" s="95" t="n">
        <v>515500</v>
      </c>
      <c r="L22" s="96" t="n">
        <v>0.9942140790742526</v>
      </c>
      <c r="M22" s="97" t="n">
        <v>211</v>
      </c>
    </row>
    <row r="23" ht="28.8" customHeight="1">
      <c r="A23" s="89" t="n">
        <v>3</v>
      </c>
      <c r="B23" s="89" t="inlineStr">
        <is>
          <t>Jimmy Luis Andrade Morveli</t>
        </is>
      </c>
      <c r="F23" s="89" t="inlineStr">
        <is>
          <t>Dpto 601</t>
        </is>
      </c>
      <c r="G23" s="89" t="inlineStr">
        <is>
          <t>Crédito Hipotecario</t>
        </is>
      </c>
      <c r="H23" s="90" t="n">
        <v>470000</v>
      </c>
      <c r="I23" s="90" t="n">
        <v>3000</v>
      </c>
      <c r="J23" s="91" t="n">
        <v>467000</v>
      </c>
      <c r="L23" s="92" t="n">
        <v>0.9936170212765958</v>
      </c>
      <c r="M23" s="91" t="n">
        <v>107</v>
      </c>
    </row>
    <row r="24" ht="28.8" customHeight="1">
      <c r="A24" s="93" t="n">
        <v>4</v>
      </c>
      <c r="B24" s="93" t="inlineStr">
        <is>
          <t>Jhoully Kattherine Moreno Saavedra</t>
        </is>
      </c>
      <c r="F24" s="93" t="inlineStr">
        <is>
          <t>Dpto 204</t>
        </is>
      </c>
      <c r="G24" s="93" t="inlineStr">
        <is>
          <t>Crédito Hipotecario</t>
        </is>
      </c>
      <c r="H24" s="94" t="n">
        <v>450000</v>
      </c>
      <c r="I24" s="94" t="n">
        <v>45000</v>
      </c>
      <c r="J24" s="95" t="n">
        <v>405000</v>
      </c>
      <c r="L24" s="96" t="n">
        <v>0.9</v>
      </c>
      <c r="M24" s="97" t="n">
        <v>0</v>
      </c>
    </row>
    <row r="25" ht="28.8" customHeight="1">
      <c r="A25" s="89" t="n">
        <v>5</v>
      </c>
      <c r="B25" s="89" t="inlineStr">
        <is>
          <t>Víctor Daniel Chuquihuaccha Hernandez</t>
        </is>
      </c>
      <c r="F25" s="89" t="inlineStr">
        <is>
          <t>Dpto 702</t>
        </is>
      </c>
      <c r="G25" s="89" t="inlineStr">
        <is>
          <t>Crédito Hipotecario</t>
        </is>
      </c>
      <c r="H25" s="90" t="n">
        <v>382000</v>
      </c>
      <c r="I25" s="90" t="n">
        <v>38200</v>
      </c>
      <c r="J25" s="91" t="n">
        <v>343800</v>
      </c>
      <c r="L25" s="92" t="n">
        <v>0.9</v>
      </c>
      <c r="M25" s="91" t="n">
        <v>119</v>
      </c>
    </row>
    <row r="26" ht="28.8" customHeight="1">
      <c r="A26" s="93" t="n">
        <v>6</v>
      </c>
      <c r="B26" s="93" t="inlineStr">
        <is>
          <t>Karla Ivette Necochea Lopezv</t>
        </is>
      </c>
      <c r="F26" s="93" t="inlineStr">
        <is>
          <t>Dpto 305</t>
        </is>
      </c>
      <c r="G26" s="93" t="inlineStr">
        <is>
          <t>Ahorro</t>
        </is>
      </c>
      <c r="H26" s="94" t="n">
        <v>495000</v>
      </c>
      <c r="I26" s="94" t="n">
        <v>3000</v>
      </c>
      <c r="J26" s="95" t="n">
        <v>244500</v>
      </c>
      <c r="L26" s="96" t="n">
        <v>0.493939393939394</v>
      </c>
      <c r="M26" s="97" t="n">
        <v>23</v>
      </c>
    </row>
    <row r="27" ht="28.8" customHeight="1">
      <c r="A27" s="89" t="n">
        <v>7</v>
      </c>
      <c r="B27" s="89" t="inlineStr">
        <is>
          <t>Dante Enrique Segura Florian</t>
        </is>
      </c>
      <c r="F27" s="89" t="inlineStr">
        <is>
          <t>Dpto 505</t>
        </is>
      </c>
      <c r="G27" s="89" t="inlineStr">
        <is>
          <t>Crédito Directo</t>
        </is>
      </c>
      <c r="H27" s="90" t="n">
        <v>500000</v>
      </c>
      <c r="I27" s="90" t="n">
        <v>3000</v>
      </c>
      <c r="J27" s="91" t="n">
        <v>217040</v>
      </c>
      <c r="L27" s="92" t="n">
        <v>0.43408</v>
      </c>
      <c r="M27" s="91" t="n">
        <v>21</v>
      </c>
    </row>
    <row r="28" ht="28.8" customHeight="1">
      <c r="A28" s="93" t="n">
        <v>8</v>
      </c>
      <c r="B28" s="93" t="inlineStr">
        <is>
          <t>Erla Liseth Carhuavilca Pérez</t>
        </is>
      </c>
      <c r="F28" s="93" t="inlineStr">
        <is>
          <t>Dpto 403, Estc E 06</t>
        </is>
      </c>
      <c r="G28" s="93" t="inlineStr">
        <is>
          <t>Ahorro</t>
        </is>
      </c>
      <c r="H28" s="94" t="n">
        <v>504700</v>
      </c>
      <c r="I28" s="94" t="n">
        <v>3000</v>
      </c>
      <c r="J28" s="95" t="n">
        <v>197000</v>
      </c>
      <c r="L28" s="96" t="n">
        <v>0.3903308896374084</v>
      </c>
      <c r="M28" s="97" t="n">
        <v>83</v>
      </c>
    </row>
    <row r="29" ht="28.8" customHeight="1">
      <c r="A29" s="89" t="n">
        <v>9</v>
      </c>
      <c r="B29" s="89" t="inlineStr">
        <is>
          <t>ERICK RAUL BEDOYA BACA</t>
        </is>
      </c>
      <c r="F29" s="89" t="inlineStr">
        <is>
          <t>Dpto 503, Estc E 12 - D 10</t>
        </is>
      </c>
      <c r="G29" s="89" t="inlineStr">
        <is>
          <t>Crédito Hipotecario</t>
        </is>
      </c>
      <c r="H29" s="90" t="n">
        <v>521500</v>
      </c>
      <c r="I29" s="90" t="n">
        <v>3000</v>
      </c>
      <c r="J29" s="91" t="n">
        <v>185250</v>
      </c>
      <c r="L29" s="92" t="n">
        <v>0.3552253116011505</v>
      </c>
      <c r="M29" s="91" t="n">
        <v>141</v>
      </c>
    </row>
    <row r="30" ht="28.8" customHeight="1">
      <c r="A30" s="93" t="n">
        <v>10</v>
      </c>
      <c r="B30" s="93" t="inlineStr">
        <is>
          <t>RONALD ANTONIO TICONA ARONES</t>
        </is>
      </c>
      <c r="F30" s="93" t="inlineStr">
        <is>
          <t>Dpto 703, Dpto 704</t>
        </is>
      </c>
      <c r="G30" s="93" t="inlineStr">
        <is>
          <t>Crédito Hipotecario</t>
        </is>
      </c>
      <c r="H30" s="94" t="n">
        <v>942700</v>
      </c>
      <c r="I30" s="94" t="n">
        <v>0</v>
      </c>
      <c r="J30" s="95" t="n">
        <v>117090</v>
      </c>
      <c r="L30" s="96" t="n">
        <v>0.1242070648138326</v>
      </c>
      <c r="M30" s="97" t="n">
        <v>0</v>
      </c>
    </row>
    <row r="31" ht="28.8" customHeight="1">
      <c r="A31" s="89" t="n">
        <v>11</v>
      </c>
      <c r="B31" s="89" t="inlineStr">
        <is>
          <t>Victor Hugo Quispe Cupe</t>
        </is>
      </c>
      <c r="F31" s="89" t="inlineStr">
        <is>
          <t>Dpto 301, Estc E 04 - D 02</t>
        </is>
      </c>
      <c r="G31" s="89" t="inlineStr">
        <is>
          <t>Crédito Directo</t>
        </is>
      </c>
      <c r="H31" s="90" t="n">
        <v>527500</v>
      </c>
      <c r="I31" s="90" t="n">
        <v>3000</v>
      </c>
      <c r="J31" s="91" t="n">
        <v>106722.22</v>
      </c>
      <c r="L31" s="92" t="n">
        <v>0.2023170047393365</v>
      </c>
      <c r="M31" s="91" t="n">
        <v>182</v>
      </c>
    </row>
    <row r="32" ht="28.8" customHeight="1">
      <c r="A32" s="93" t="n">
        <v>12</v>
      </c>
      <c r="B32" s="93" t="inlineStr">
        <is>
          <t>Francesca Giuliana Ramos Ortiz</t>
        </is>
      </c>
      <c r="F32" s="93" t="inlineStr">
        <is>
          <t>Dpto 501, Estc E 14 - D 12</t>
        </is>
      </c>
      <c r="G32" s="93" t="inlineStr">
        <is>
          <t>Ahorro</t>
        </is>
      </c>
      <c r="H32" s="94" t="n">
        <v>524500</v>
      </c>
      <c r="I32" s="94" t="n">
        <v>3000</v>
      </c>
      <c r="J32" s="95" t="n">
        <v>101900</v>
      </c>
      <c r="L32" s="96" t="n">
        <v>0.194280266920877</v>
      </c>
      <c r="M32" s="97" t="n">
        <v>169</v>
      </c>
    </row>
    <row r="33" ht="28.8" customHeight="1">
      <c r="A33" s="89" t="n">
        <v>13</v>
      </c>
      <c r="B33" s="89" t="inlineStr">
        <is>
          <t>Danixa Thalia Manosalva Ameri</t>
        </is>
      </c>
      <c r="F33" s="89" t="inlineStr">
        <is>
          <t>Dpto 302</t>
        </is>
      </c>
      <c r="G33" s="89" t="inlineStr">
        <is>
          <t>Ahorro</t>
        </is>
      </c>
      <c r="H33" s="90" t="n">
        <v>381000</v>
      </c>
      <c r="I33" s="90" t="n">
        <v>3000</v>
      </c>
      <c r="J33" s="91" t="n">
        <v>82000</v>
      </c>
      <c r="L33" s="92" t="n">
        <v>0.2152230971128609</v>
      </c>
      <c r="M33" s="91" t="n">
        <v>177</v>
      </c>
    </row>
    <row r="34" ht="28.8" customHeight="1">
      <c r="A34" s="93" t="n">
        <v>14</v>
      </c>
      <c r="B34" s="93" t="inlineStr">
        <is>
          <t>Leidy Lucero Espíritu Zabarburu</t>
        </is>
      </c>
      <c r="F34" s="93" t="inlineStr">
        <is>
          <t>Dpto 303</t>
        </is>
      </c>
      <c r="G34" s="93" t="inlineStr">
        <is>
          <t>Ahorro</t>
        </is>
      </c>
      <c r="H34" s="94" t="n">
        <v>458000</v>
      </c>
      <c r="I34" s="94" t="n">
        <v>3000</v>
      </c>
      <c r="J34" s="95" t="n">
        <v>65700</v>
      </c>
      <c r="L34" s="96" t="n">
        <v>0.1434497816593887</v>
      </c>
      <c r="M34" s="97" t="n">
        <v>80</v>
      </c>
    </row>
    <row r="35" ht="28.8" customHeight="1">
      <c r="A35" s="89" t="n">
        <v>15</v>
      </c>
      <c r="B35" s="89" t="inlineStr">
        <is>
          <t>Melanny Dayanna Flores Blas</t>
        </is>
      </c>
      <c r="F35" s="89" t="inlineStr">
        <is>
          <t>Dpto 1502, Estc E 39</t>
        </is>
      </c>
      <c r="G35" s="89" t="inlineStr">
        <is>
          <t>Crédito Directo</t>
        </is>
      </c>
      <c r="H35" s="90" t="n">
        <v>412200</v>
      </c>
      <c r="I35" s="90" t="n">
        <v>103000</v>
      </c>
      <c r="J35" s="91" t="n">
        <v>65270</v>
      </c>
      <c r="L35" s="92" t="n">
        <v>0.1583454633672974</v>
      </c>
      <c r="M35" s="91" t="n">
        <v>31</v>
      </c>
    </row>
    <row r="36" ht="28.8" customHeight="1">
      <c r="A36" s="93" t="n">
        <v>16</v>
      </c>
      <c r="B36" s="93" t="inlineStr">
        <is>
          <t>Rocio del Pilar Quispe Vivanco</t>
        </is>
      </c>
      <c r="F36" s="93" t="inlineStr">
        <is>
          <t>Dpto 905</t>
        </is>
      </c>
      <c r="G36" s="93" t="inlineStr">
        <is>
          <t>Ahorro</t>
        </is>
      </c>
      <c r="H36" s="94" t="n">
        <v>510000</v>
      </c>
      <c r="I36" s="94" t="n">
        <v>3000</v>
      </c>
      <c r="J36" s="95" t="n">
        <v>57000</v>
      </c>
      <c r="L36" s="96" t="n">
        <v>0.1117647058823529</v>
      </c>
      <c r="M36" s="97" t="n">
        <v>15</v>
      </c>
    </row>
    <row r="37" ht="28.8" customHeight="1">
      <c r="A37" s="89" t="n">
        <v>17</v>
      </c>
      <c r="B37" s="89" t="inlineStr">
        <is>
          <t>Jacqueline Elsa Moreno Huaman</t>
        </is>
      </c>
      <c r="F37" s="89" t="inlineStr">
        <is>
          <t>Dpto 1401</t>
        </is>
      </c>
      <c r="G37" s="89" t="inlineStr">
        <is>
          <t>Crédito Hipotecario</t>
        </is>
      </c>
      <c r="H37" s="90" t="n">
        <v>483000</v>
      </c>
      <c r="I37" s="90" t="n">
        <v>10000</v>
      </c>
      <c r="J37" s="91" t="n">
        <v>55000</v>
      </c>
      <c r="L37" s="92" t="n">
        <v>0.113871635610766</v>
      </c>
      <c r="M37" s="91" t="n">
        <v>0</v>
      </c>
    </row>
    <row r="38" ht="28.8" customHeight="1">
      <c r="A38" s="93" t="n">
        <v>18</v>
      </c>
      <c r="B38" s="93" t="inlineStr">
        <is>
          <t>Ronald José Claudio Ramírez</t>
        </is>
      </c>
      <c r="F38" s="93" t="inlineStr">
        <is>
          <t>Dpto 504, Estc E 07</t>
        </is>
      </c>
      <c r="G38" s="93" t="inlineStr">
        <is>
          <t>Ahorro</t>
        </is>
      </c>
      <c r="H38" s="94" t="n">
        <v>510000</v>
      </c>
      <c r="I38" s="94" t="n">
        <v>3000</v>
      </c>
      <c r="J38" s="95" t="n">
        <v>49500</v>
      </c>
      <c r="L38" s="96" t="n">
        <v>0.09705882352941177</v>
      </c>
      <c r="M38" s="97" t="n">
        <v>132</v>
      </c>
    </row>
    <row r="39" ht="28.8" customHeight="1">
      <c r="A39" s="89" t="n">
        <v>19</v>
      </c>
      <c r="B39" s="89" t="inlineStr">
        <is>
          <t>Mayra Andrea Montenegro Gomez</t>
        </is>
      </c>
      <c r="F39" s="89" t="inlineStr">
        <is>
          <t>Dpto 605</t>
        </is>
      </c>
      <c r="G39" s="89" t="inlineStr">
        <is>
          <t>Crédito Hipotecario</t>
        </is>
      </c>
      <c r="H39" s="90" t="n">
        <v>495000</v>
      </c>
      <c r="I39" s="90" t="n">
        <v>53000</v>
      </c>
      <c r="J39" s="91" t="n">
        <v>46000</v>
      </c>
      <c r="L39" s="92" t="n">
        <v>0.09292929292929293</v>
      </c>
      <c r="M39" s="91" t="n">
        <v>31</v>
      </c>
    </row>
    <row r="40" ht="28.8" customHeight="1">
      <c r="A40" s="93" t="n">
        <v>20</v>
      </c>
      <c r="B40" s="93" t="inlineStr">
        <is>
          <t>Marynn Yahara Minetto Peralta</t>
        </is>
      </c>
      <c r="F40" s="93" t="inlineStr">
        <is>
          <t>Estc E 18</t>
        </is>
      </c>
      <c r="G40" s="93" t="inlineStr">
        <is>
          <t>Crédito Directo</t>
        </is>
      </c>
      <c r="H40" s="94" t="n">
        <v>50500</v>
      </c>
      <c r="I40" s="94" t="n">
        <v>3000</v>
      </c>
      <c r="J40" s="95" t="n">
        <v>39000</v>
      </c>
      <c r="L40" s="96" t="n">
        <v>0.7722772277227723</v>
      </c>
      <c r="M40" s="97" t="n">
        <v>16</v>
      </c>
    </row>
    <row r="41" ht="28.8" customHeight="1">
      <c r="A41" s="89" t="n">
        <v>21</v>
      </c>
      <c r="B41" s="89" t="inlineStr">
        <is>
          <t>Gina Victoria Saenz Pasco</t>
        </is>
      </c>
      <c r="F41" s="89" t="inlineStr">
        <is>
          <t>Dpto 402, Estc E 44 - D 26</t>
        </is>
      </c>
      <c r="G41" s="89" t="inlineStr">
        <is>
          <t>Ahorro</t>
        </is>
      </c>
      <c r="H41" s="90" t="n">
        <v>448500</v>
      </c>
      <c r="I41" s="90" t="n">
        <v>3000</v>
      </c>
      <c r="J41" s="91" t="n">
        <v>30000</v>
      </c>
      <c r="L41" s="92" t="n">
        <v>0.06688963210702341</v>
      </c>
      <c r="M41" s="91" t="n">
        <v>76</v>
      </c>
    </row>
    <row r="42" ht="28.8" customHeight="1">
      <c r="A42" s="93" t="n">
        <v>22</v>
      </c>
      <c r="B42" s="93" t="inlineStr">
        <is>
          <t>Tania Milagros Cotrina Vara</t>
        </is>
      </c>
      <c r="F42" s="93" t="inlineStr">
        <is>
          <t>Dpto 205</t>
        </is>
      </c>
      <c r="G42" s="93" t="inlineStr">
        <is>
          <t>Ahorro</t>
        </is>
      </c>
      <c r="H42" s="94" t="n">
        <v>577000</v>
      </c>
      <c r="I42" s="94" t="n">
        <v>92400</v>
      </c>
      <c r="J42" s="95" t="n">
        <v>27600</v>
      </c>
      <c r="L42" s="96" t="n">
        <v>0.04783362218370884</v>
      </c>
      <c r="M42" s="97" t="n">
        <v>15</v>
      </c>
    </row>
    <row r="43" ht="28.8" customHeight="1">
      <c r="A43" s="89" t="n">
        <v>23</v>
      </c>
      <c r="B43" s="89" t="inlineStr">
        <is>
          <t>Dolores Lissett Castillo Diaz</t>
        </is>
      </c>
      <c r="F43" s="89" t="inlineStr">
        <is>
          <t>Dpto 701, Estc E 17</t>
        </is>
      </c>
      <c r="G43" s="89" t="inlineStr">
        <is>
          <t>Ahorro</t>
        </is>
      </c>
      <c r="H43" s="90" t="n">
        <v>521800</v>
      </c>
      <c r="I43" s="90" t="n">
        <v>89440</v>
      </c>
      <c r="J43" s="91" t="n">
        <v>14920</v>
      </c>
      <c r="L43" s="92" t="n">
        <v>0.02859333077807589</v>
      </c>
      <c r="M43" s="91" t="n">
        <v>5</v>
      </c>
    </row>
    <row r="44" ht="28.8" customHeight="1">
      <c r="A44" s="93" t="n">
        <v>24</v>
      </c>
      <c r="B44" s="93" t="inlineStr">
        <is>
          <t>Alejandra Leslye Solorio Peña</t>
        </is>
      </c>
      <c r="F44" s="93" t="inlineStr">
        <is>
          <t>Dpto 1306</t>
        </is>
      </c>
      <c r="G44" s="93" t="inlineStr">
        <is>
          <t>Ahorro</t>
        </is>
      </c>
      <c r="H44" s="94" t="n">
        <v>265000</v>
      </c>
      <c r="I44" s="94" t="n">
        <v>68600</v>
      </c>
      <c r="J44" s="95" t="n">
        <v>11400</v>
      </c>
      <c r="L44" s="96" t="n">
        <v>0.0430188679245283</v>
      </c>
      <c r="M44" s="97" t="n">
        <v>150</v>
      </c>
    </row>
    <row r="45" ht="28.8" customHeight="1">
      <c r="A45" s="89" t="n">
        <v>25</v>
      </c>
      <c r="B45" s="89" t="inlineStr">
        <is>
          <t>Fabiola Maria Lecca Vargas</t>
        </is>
      </c>
      <c r="F45" s="89" t="inlineStr">
        <is>
          <t>Dpto 1205</t>
        </is>
      </c>
      <c r="G45" s="89" t="inlineStr">
        <is>
          <t>Crédito Directo</t>
        </is>
      </c>
      <c r="H45" s="90" t="n">
        <v>467100</v>
      </c>
      <c r="I45" s="90" t="n">
        <v>129470</v>
      </c>
      <c r="J45" s="91" t="n">
        <v>10000</v>
      </c>
      <c r="L45" s="92" t="n">
        <v>0.02140869192892314</v>
      </c>
      <c r="M45" s="91" t="n">
        <v>0</v>
      </c>
    </row>
    <row r="46" ht="28.8" customHeight="1">
      <c r="A46" s="93" t="n">
        <v>26</v>
      </c>
      <c r="B46" s="93" t="inlineStr">
        <is>
          <t>Vivina Pasco Blas Vda. De Saenz</t>
        </is>
      </c>
      <c r="F46" s="93" t="inlineStr">
        <is>
          <t>Dpto 603, Estc E 37 - D 23</t>
        </is>
      </c>
      <c r="G46" s="93" t="inlineStr">
        <is>
          <t>Ahorro</t>
        </is>
      </c>
      <c r="H46" s="94" t="n">
        <v>528000</v>
      </c>
      <c r="I46" s="94" t="n">
        <v>3000</v>
      </c>
      <c r="J46" s="95" t="n">
        <v>1000</v>
      </c>
      <c r="L46" s="96" t="n">
        <v>0.001893939393939394</v>
      </c>
      <c r="M46" s="97" t="n">
        <v>5</v>
      </c>
    </row>
    <row r="47">
      <c r="A47" s="73" t="n"/>
      <c r="B47" s="73" t="n"/>
      <c r="C47" s="73" t="n"/>
      <c r="D47" s="73" t="n"/>
      <c r="E47" s="73" t="n"/>
      <c r="F47" s="73" t="n"/>
      <c r="G47" s="73" t="n"/>
      <c r="H47" s="73" t="n"/>
      <c r="I47" s="73" t="n"/>
      <c r="J47" s="73" t="n"/>
      <c r="K47" s="73" t="n"/>
      <c r="L47" s="73" t="n"/>
      <c r="M47" s="73" t="n"/>
    </row>
    <row r="48">
      <c r="A48" s="73" t="n"/>
      <c r="B48" s="73" t="n"/>
      <c r="C48" s="73" t="n"/>
      <c r="D48" s="73" t="n"/>
      <c r="E48" s="73" t="n"/>
      <c r="F48" s="73" t="n"/>
      <c r="G48" s="73" t="n"/>
      <c r="H48" s="73" t="n"/>
      <c r="I48" s="73" t="n"/>
      <c r="J48" s="73" t="n"/>
      <c r="K48" s="73" t="n"/>
      <c r="L48" s="73" t="n"/>
      <c r="M48" s="73" t="n"/>
    </row>
    <row r="49" ht="15.6" customHeight="1">
      <c r="A49" s="84" t="inlineStr">
        <is>
          <t>VENECIA</t>
        </is>
      </c>
      <c r="F49" s="85" t="inlineStr">
        <is>
          <t>DEUDA TOTAL</t>
        </is>
      </c>
      <c r="H49" s="86" t="n">
        <v>2050440</v>
      </c>
      <c r="J49" s="87" t="inlineStr">
        <is>
          <t>CLIENTE</t>
        </is>
      </c>
      <c r="L49" s="87" t="n">
        <v>10</v>
      </c>
    </row>
    <row r="50" ht="28.8" customHeight="1">
      <c r="A50" s="88" t="inlineStr">
        <is>
          <t>Rank</t>
        </is>
      </c>
      <c r="B50" s="88" t="inlineStr">
        <is>
          <t>Cliente</t>
        </is>
      </c>
      <c r="F50" s="88" t="inlineStr">
        <is>
          <t>Unidad</t>
        </is>
      </c>
      <c r="G50" s="88" t="inlineStr">
        <is>
          <t>Financiamiento</t>
        </is>
      </c>
      <c r="H50" s="88" t="inlineStr">
        <is>
          <t>Precio Venta</t>
        </is>
      </c>
      <c r="I50" s="88" t="inlineStr">
        <is>
          <t>Monto Cobrado</t>
        </is>
      </c>
      <c r="J50" s="88" t="inlineStr">
        <is>
          <t>Monto Deuda</t>
        </is>
      </c>
      <c r="L50" s="88" t="inlineStr">
        <is>
          <t>Tasa de Morosidad</t>
        </is>
      </c>
      <c r="M50" s="88" t="inlineStr">
        <is>
          <t>Días de atraso</t>
        </is>
      </c>
    </row>
    <row r="51" ht="28.8" customHeight="1">
      <c r="A51" s="89" t="n">
        <v>1</v>
      </c>
      <c r="B51" s="89" t="inlineStr">
        <is>
          <t>Leidy Pilar Espinoza Mariño</t>
        </is>
      </c>
      <c r="F51" s="89" t="inlineStr">
        <is>
          <t>Dpto 301, Estc E 17</t>
        </is>
      </c>
      <c r="G51" s="89" t="inlineStr">
        <is>
          <t>Crédito Hipotecario</t>
        </is>
      </c>
      <c r="H51" s="90" t="n">
        <v>577000</v>
      </c>
      <c r="I51" s="90" t="n">
        <v>57700</v>
      </c>
      <c r="J51" s="91" t="n">
        <v>519300</v>
      </c>
      <c r="L51" s="92" t="n">
        <v>0.9</v>
      </c>
      <c r="M51" s="91" t="n">
        <v>0</v>
      </c>
    </row>
    <row r="52" ht="28.8" customHeight="1">
      <c r="A52" s="93" t="n">
        <v>2</v>
      </c>
      <c r="B52" s="93" t="inlineStr">
        <is>
          <t>ANAMELVA JULIETA AQUISE TIZNADO</t>
        </is>
      </c>
      <c r="F52" s="93" t="inlineStr">
        <is>
          <t>Dpto 704</t>
        </is>
      </c>
      <c r="G52" s="93" t="inlineStr">
        <is>
          <t>Crédito Hipotecario</t>
        </is>
      </c>
      <c r="H52" s="94" t="n">
        <v>438000</v>
      </c>
      <c r="I52" s="94" t="n">
        <v>43800</v>
      </c>
      <c r="J52" s="95" t="n">
        <v>394200</v>
      </c>
      <c r="L52" s="96" t="n">
        <v>0.9</v>
      </c>
      <c r="M52" s="97" t="n">
        <v>0</v>
      </c>
    </row>
    <row r="53" ht="28.8" customHeight="1">
      <c r="A53" s="89" t="n">
        <v>3</v>
      </c>
      <c r="B53" s="89" t="inlineStr">
        <is>
          <t>Noelia Abarca Chavez</t>
        </is>
      </c>
      <c r="F53" s="89" t="inlineStr">
        <is>
          <t>Dpto 1005</t>
        </is>
      </c>
      <c r="G53" s="89" t="inlineStr">
        <is>
          <t>Crédito Hipotecario</t>
        </is>
      </c>
      <c r="H53" s="90" t="n">
        <v>372000</v>
      </c>
      <c r="I53" s="90" t="n">
        <v>37200</v>
      </c>
      <c r="J53" s="91" t="n">
        <v>334800</v>
      </c>
      <c r="L53" s="92" t="n">
        <v>0.9</v>
      </c>
      <c r="M53" s="91" t="n">
        <v>0</v>
      </c>
    </row>
    <row r="54" ht="28.8" customHeight="1">
      <c r="A54" s="93" t="n">
        <v>4</v>
      </c>
      <c r="B54" s="93" t="inlineStr">
        <is>
          <t>Giovani Chumioque Garcia</t>
        </is>
      </c>
      <c r="F54" s="93" t="inlineStr">
        <is>
          <t>Dpto 304, Estc E 28 - D 15</t>
        </is>
      </c>
      <c r="G54" s="93" t="inlineStr">
        <is>
          <t>Crédito Hipotecario</t>
        </is>
      </c>
      <c r="H54" s="94" t="n">
        <v>481000</v>
      </c>
      <c r="I54" s="94" t="n">
        <v>150000</v>
      </c>
      <c r="J54" s="95" t="n">
        <v>331000</v>
      </c>
      <c r="L54" s="96" t="n">
        <v>0.6881496881496881</v>
      </c>
      <c r="M54" s="97" t="n">
        <v>0</v>
      </c>
    </row>
    <row r="55" ht="28.8" customHeight="1">
      <c r="A55" s="89" t="n">
        <v>5</v>
      </c>
      <c r="B55" s="89" t="inlineStr">
        <is>
          <t>Isabel Cristina Franco Zegarra</t>
        </is>
      </c>
      <c r="F55" s="89" t="inlineStr">
        <is>
          <t>Dpto 805</t>
        </is>
      </c>
      <c r="G55" s="89" t="inlineStr">
        <is>
          <t>Crédito Hipotecario</t>
        </is>
      </c>
      <c r="H55" s="90" t="n">
        <v>415000</v>
      </c>
      <c r="I55" s="90" t="n">
        <v>124500</v>
      </c>
      <c r="J55" s="91" t="n">
        <v>290500</v>
      </c>
      <c r="L55" s="92" t="n">
        <v>0.7</v>
      </c>
      <c r="M55" s="91" t="n">
        <v>0</v>
      </c>
    </row>
    <row r="56" ht="28.8" customHeight="1">
      <c r="A56" s="93" t="n">
        <v>6</v>
      </c>
      <c r="B56" s="93" t="inlineStr">
        <is>
          <t>Rocio Chuquimango Valencia</t>
        </is>
      </c>
      <c r="F56" s="93" t="inlineStr">
        <is>
          <t>Dpto 602, Estc E 24 - D 5</t>
        </is>
      </c>
      <c r="G56" s="93" t="inlineStr">
        <is>
          <t>Crédito Directo</t>
        </is>
      </c>
      <c r="H56" s="94" t="n">
        <v>624000</v>
      </c>
      <c r="I56" s="94" t="n">
        <v>67300</v>
      </c>
      <c r="J56" s="95" t="n">
        <v>119900</v>
      </c>
      <c r="L56" s="96" t="n">
        <v>0.1921474358974359</v>
      </c>
      <c r="M56" s="97" t="n">
        <v>0</v>
      </c>
    </row>
    <row r="57" ht="28.8" customHeight="1">
      <c r="A57" s="89" t="n">
        <v>7</v>
      </c>
      <c r="B57" s="89" t="inlineStr">
        <is>
          <t>Norma Luz Tello Contreras</t>
        </is>
      </c>
      <c r="F57" s="89" t="inlineStr">
        <is>
          <t>Dpto 601, Estc E 11</t>
        </is>
      </c>
      <c r="G57" s="89" t="inlineStr">
        <is>
          <t>Crédito Directo</t>
        </is>
      </c>
      <c r="H57" s="90" t="n">
        <v>595800</v>
      </c>
      <c r="I57" s="90" t="n">
        <v>279800</v>
      </c>
      <c r="J57" s="91" t="n">
        <v>24000</v>
      </c>
      <c r="L57" s="92" t="n">
        <v>0.04028197381671702</v>
      </c>
      <c r="M57" s="91" t="n">
        <v>46</v>
      </c>
    </row>
    <row r="58" ht="28.8" customHeight="1">
      <c r="A58" s="93" t="n">
        <v>8</v>
      </c>
      <c r="B58" s="93" t="inlineStr">
        <is>
          <t>Mariela Gabriela Zapata Santivañez</t>
        </is>
      </c>
      <c r="F58" s="93" t="inlineStr">
        <is>
          <t>Dpto 205, Estc E 20</t>
        </is>
      </c>
      <c r="G58" s="93" t="inlineStr">
        <is>
          <t>Crédito Hipotecario</t>
        </is>
      </c>
      <c r="H58" s="94" t="n">
        <v>432800</v>
      </c>
      <c r="I58" s="94" t="n">
        <v>21640</v>
      </c>
      <c r="J58" s="95" t="n">
        <v>21640</v>
      </c>
      <c r="L58" s="96" t="n">
        <v>0.05</v>
      </c>
      <c r="M58" s="97" t="n">
        <v>31</v>
      </c>
    </row>
    <row r="59" ht="28.8" customHeight="1">
      <c r="A59" s="89" t="n">
        <v>9</v>
      </c>
      <c r="B59" s="89" t="inlineStr">
        <is>
          <t>Patricia Salazar Aparcana</t>
        </is>
      </c>
      <c r="F59" s="89" t="inlineStr">
        <is>
          <t>Dpto 302</t>
        </is>
      </c>
      <c r="G59" s="89" t="inlineStr">
        <is>
          <t>Ahorro</t>
        </is>
      </c>
      <c r="H59" s="90" t="n">
        <v>600000</v>
      </c>
      <c r="I59" s="90" t="n">
        <v>20000</v>
      </c>
      <c r="J59" s="91" t="n">
        <v>10000</v>
      </c>
      <c r="L59" s="92" t="n">
        <v>0.01666666666666667</v>
      </c>
      <c r="M59" s="91" t="n">
        <v>2</v>
      </c>
    </row>
    <row r="60" ht="28.8" customHeight="1">
      <c r="A60" s="93" t="n">
        <v>10</v>
      </c>
      <c r="B60" s="93" t="inlineStr">
        <is>
          <t>Luis Miguel Montero Monteza</t>
        </is>
      </c>
      <c r="F60" s="93" t="inlineStr">
        <is>
          <t>Dpto 104</t>
        </is>
      </c>
      <c r="G60" s="93" t="inlineStr">
        <is>
          <t>Ahorro</t>
        </is>
      </c>
      <c r="H60" s="94" t="n">
        <v>497000</v>
      </c>
      <c r="I60" s="94" t="n">
        <v>20000</v>
      </c>
      <c r="J60" s="95" t="n">
        <v>5100</v>
      </c>
      <c r="L60" s="96" t="n">
        <v>0.01026156941649899</v>
      </c>
      <c r="M60" s="97" t="n">
        <v>0</v>
      </c>
    </row>
    <row r="61">
      <c r="A61" s="73" t="n"/>
      <c r="B61" s="73" t="n"/>
      <c r="C61" s="73" t="n"/>
      <c r="D61" s="73" t="n"/>
      <c r="E61" s="73" t="n"/>
      <c r="F61" s="73" t="n"/>
      <c r="G61" s="73" t="n"/>
      <c r="H61" s="73" t="n"/>
      <c r="I61" s="73" t="n"/>
      <c r="J61" s="73" t="n"/>
      <c r="K61" s="73" t="n"/>
      <c r="L61" s="73" t="n"/>
      <c r="M61" s="73" t="n"/>
    </row>
    <row r="62">
      <c r="A62" s="73" t="n"/>
      <c r="B62" s="73" t="n"/>
      <c r="C62" s="73" t="n"/>
      <c r="D62" s="73" t="n"/>
      <c r="E62" s="73" t="n"/>
      <c r="F62" s="73" t="n"/>
      <c r="G62" s="73" t="n"/>
      <c r="H62" s="73" t="n"/>
      <c r="I62" s="73" t="n"/>
      <c r="J62" s="73" t="n"/>
      <c r="K62" s="73" t="n"/>
      <c r="L62" s="73" t="n"/>
      <c r="M62" s="73" t="n"/>
    </row>
  </sheetData>
  <mergeCells count="114">
    <mergeCell ref="G4:J4"/>
    <mergeCell ref="J10:K10"/>
    <mergeCell ref="J19:K19"/>
    <mergeCell ref="L19:M19"/>
    <mergeCell ref="J28:K28"/>
    <mergeCell ref="J59:K59"/>
    <mergeCell ref="B36:E36"/>
    <mergeCell ref="J60:K60"/>
    <mergeCell ref="J9:K9"/>
    <mergeCell ref="B45:E45"/>
    <mergeCell ref="J53:K53"/>
    <mergeCell ref="J45:K45"/>
    <mergeCell ref="B22:E22"/>
    <mergeCell ref="B31:E31"/>
    <mergeCell ref="B12:E12"/>
    <mergeCell ref="B21:E21"/>
    <mergeCell ref="B39:E39"/>
    <mergeCell ref="J31:K31"/>
    <mergeCell ref="B14:E14"/>
    <mergeCell ref="B23:E23"/>
    <mergeCell ref="J21:K21"/>
    <mergeCell ref="B13:E13"/>
    <mergeCell ref="B38:E38"/>
    <mergeCell ref="J23:K23"/>
    <mergeCell ref="J58:K58"/>
    <mergeCell ref="B40:E40"/>
    <mergeCell ref="L7:M7"/>
    <mergeCell ref="F19:G19"/>
    <mergeCell ref="A49:E49"/>
    <mergeCell ref="B33:E33"/>
    <mergeCell ref="J57:K57"/>
    <mergeCell ref="B51:E51"/>
    <mergeCell ref="B32:E32"/>
    <mergeCell ref="B26:E26"/>
    <mergeCell ref="B41:E41"/>
    <mergeCell ref="J34:K34"/>
    <mergeCell ref="B35:E35"/>
    <mergeCell ref="B50:E50"/>
    <mergeCell ref="B16:E16"/>
    <mergeCell ref="H49:I49"/>
    <mergeCell ref="B25:E25"/>
    <mergeCell ref="J49:K49"/>
    <mergeCell ref="J27:K27"/>
    <mergeCell ref="C5:F5"/>
    <mergeCell ref="J36:K36"/>
    <mergeCell ref="B27:E27"/>
    <mergeCell ref="J20:K20"/>
    <mergeCell ref="J11:K11"/>
    <mergeCell ref="C4:F4"/>
    <mergeCell ref="B11:E11"/>
    <mergeCell ref="H19:I19"/>
    <mergeCell ref="J22:K22"/>
    <mergeCell ref="J12:K12"/>
    <mergeCell ref="B53:E53"/>
    <mergeCell ref="J46:K46"/>
    <mergeCell ref="J51:K51"/>
    <mergeCell ref="B29:E29"/>
    <mergeCell ref="B37:E37"/>
    <mergeCell ref="J29:K29"/>
    <mergeCell ref="J38:K38"/>
    <mergeCell ref="B15:E15"/>
    <mergeCell ref="B55:E55"/>
    <mergeCell ref="B24:E24"/>
    <mergeCell ref="J40:K40"/>
    <mergeCell ref="F7:G7"/>
    <mergeCell ref="J24:K24"/>
    <mergeCell ref="B54:E54"/>
    <mergeCell ref="J26:K26"/>
    <mergeCell ref="J35:K35"/>
    <mergeCell ref="B56:E56"/>
    <mergeCell ref="B43:E43"/>
    <mergeCell ref="B58:E58"/>
    <mergeCell ref="J16:K16"/>
    <mergeCell ref="B52:E52"/>
    <mergeCell ref="J25:K25"/>
    <mergeCell ref="B42:E42"/>
    <mergeCell ref="B60:E60"/>
    <mergeCell ref="B57:E57"/>
    <mergeCell ref="J50:K50"/>
    <mergeCell ref="B44:E44"/>
    <mergeCell ref="J42:K42"/>
    <mergeCell ref="F49:G49"/>
    <mergeCell ref="B34:E34"/>
    <mergeCell ref="B28:E28"/>
    <mergeCell ref="J52:K52"/>
    <mergeCell ref="J39:K39"/>
    <mergeCell ref="J44:K44"/>
    <mergeCell ref="B9:E9"/>
    <mergeCell ref="A1:M2"/>
    <mergeCell ref="J14:K14"/>
    <mergeCell ref="B30:E30"/>
    <mergeCell ref="J37:K37"/>
    <mergeCell ref="B20:E20"/>
    <mergeCell ref="J13:K13"/>
    <mergeCell ref="J30:K30"/>
    <mergeCell ref="A7:E7"/>
    <mergeCell ref="J15:K15"/>
    <mergeCell ref="B59:E59"/>
    <mergeCell ref="J55:K55"/>
    <mergeCell ref="B46:E46"/>
    <mergeCell ref="H7:I7"/>
    <mergeCell ref="J54:K54"/>
    <mergeCell ref="J32:K32"/>
    <mergeCell ref="J7:K7"/>
    <mergeCell ref="J41:K41"/>
    <mergeCell ref="J56:K56"/>
    <mergeCell ref="B8:E8"/>
    <mergeCell ref="J43:K43"/>
    <mergeCell ref="A19:E19"/>
    <mergeCell ref="L49:M49"/>
    <mergeCell ref="J33:K33"/>
    <mergeCell ref="B10:E10"/>
    <mergeCell ref="J8:K8"/>
    <mergeCell ref="G5:J5"/>
  </mergeCells>
  <conditionalFormatting sqref="J9:J16">
    <cfRule type="dataBar" priority="1">
      <dataBar>
        <cfvo type="num" val="0"/>
        <cfvo type="num" val="580000"/>
        <color rgb="FFE73349"/>
      </dataBar>
    </cfRule>
  </conditionalFormatting>
  <conditionalFormatting sqref="J21:J46">
    <cfRule type="dataBar" priority="2">
      <dataBar>
        <cfvo type="num" val="0"/>
        <cfvo type="num" val="529100"/>
        <color rgb="FFE73349"/>
      </dataBar>
    </cfRule>
  </conditionalFormatting>
  <conditionalFormatting sqref="J51:J60">
    <cfRule type="dataBar" priority="3">
      <dataBar>
        <cfvo type="num" val="0"/>
        <cfvo type="num" val="519300"/>
        <color rgb="FFE73349"/>
      </dataBar>
    </cfRule>
  </conditionalFormatting>
  <pageMargins left="0.7" right="0.7" top="0.75" bottom="0.75" header="0.3" footer="0.3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8"/>
  <sheetViews>
    <sheetView workbookViewId="0">
      <pane ySplit="4" topLeftCell="A5" activePane="bottomLeft" state="frozen"/>
      <selection pane="bottomLeft" activeCell="A1" sqref="A1"/>
    </sheetView>
  </sheetViews>
  <sheetFormatPr baseColWidth="10" defaultRowHeight="14.4"/>
  <sheetData>
    <row r="1" ht="34.2" customHeight="1">
      <c r="A1" s="79" t="inlineStr">
        <is>
          <t>REPORTE DE COBRANZAS POR CLIENTE</t>
        </is>
      </c>
    </row>
    <row r="2" ht="29.4" customHeight="1"/>
    <row r="3">
      <c r="A3" s="73" t="n"/>
      <c r="B3" s="73" t="n"/>
      <c r="C3" s="73" t="n"/>
      <c r="D3" s="73" t="n"/>
      <c r="E3" s="73" t="n"/>
      <c r="F3" s="73" t="n"/>
      <c r="G3" s="73" t="n"/>
      <c r="H3" s="73" t="n"/>
      <c r="I3" s="73" t="n"/>
      <c r="J3" s="73" t="n"/>
      <c r="K3" s="73" t="n"/>
      <c r="L3" s="73" t="n"/>
      <c r="M3" s="73" t="n"/>
      <c r="N3" s="73" t="n"/>
      <c r="O3" s="73" t="n"/>
      <c r="P3" s="73" t="n"/>
    </row>
    <row r="4" ht="28.8" customHeight="1">
      <c r="A4" s="98" t="inlineStr">
        <is>
          <t>Rank</t>
        </is>
      </c>
      <c r="B4" s="98" t="inlineStr">
        <is>
          <t>Cliente</t>
        </is>
      </c>
      <c r="E4" s="98" t="inlineStr">
        <is>
          <t>Proyecto</t>
        </is>
      </c>
      <c r="G4" s="98" t="inlineStr">
        <is>
          <t>Tipo de Financiamiento</t>
        </is>
      </c>
      <c r="I4" s="98" t="inlineStr">
        <is>
          <t>Monto Vendido</t>
        </is>
      </c>
      <c r="K4" s="98" t="inlineStr">
        <is>
          <t>Deuda</t>
        </is>
      </c>
      <c r="M4" s="98" t="inlineStr">
        <is>
          <t>Días Atrasados</t>
        </is>
      </c>
      <c r="N4" s="98" t="inlineStr">
        <is>
          <t>Unidad Inmobiliaria</t>
        </is>
      </c>
      <c r="O4" s="98" t="inlineStr">
        <is>
          <t>Tasa de Morosidad</t>
        </is>
      </c>
    </row>
    <row r="5" ht="28.8" customHeight="1">
      <c r="A5" s="99" t="n">
        <v>1</v>
      </c>
      <c r="B5" s="99" t="inlineStr">
        <is>
          <t>Chistopher Omar Peña Camargo</t>
        </is>
      </c>
      <c r="E5" s="99" t="inlineStr">
        <is>
          <t>Prada</t>
        </is>
      </c>
      <c r="G5" s="99" t="inlineStr">
        <is>
          <t>Crédito Hipotecario</t>
        </is>
      </c>
      <c r="I5" s="100" t="n">
        <v>690000</v>
      </c>
      <c r="K5" s="100" t="n">
        <v>580000</v>
      </c>
      <c r="M5" s="100" t="n">
        <v>335</v>
      </c>
      <c r="N5" s="101" t="inlineStr">
        <is>
          <t>Dpto 601, Estc E 28 - D 22</t>
        </is>
      </c>
      <c r="O5" s="102" t="n">
        <v>0.8405797101449275</v>
      </c>
    </row>
    <row r="6" ht="28.8" customHeight="1">
      <c r="A6" s="103" t="n">
        <v>2</v>
      </c>
      <c r="B6" s="103" t="inlineStr">
        <is>
          <t>Harry Anderson Yance Ruiz</t>
        </is>
      </c>
      <c r="E6" s="103" t="inlineStr">
        <is>
          <t>Beyond</t>
        </is>
      </c>
      <c r="G6" s="103" t="inlineStr">
        <is>
          <t>Crédito Hipotecario</t>
        </is>
      </c>
      <c r="I6" s="104" t="n">
        <v>532100</v>
      </c>
      <c r="K6" s="104" t="n">
        <v>529100</v>
      </c>
      <c r="M6" s="104" t="n">
        <v>120</v>
      </c>
      <c r="N6" s="105" t="inlineStr">
        <is>
          <t>Dpto 805</t>
        </is>
      </c>
      <c r="O6" s="106" t="n">
        <v>0.9943619620372111</v>
      </c>
    </row>
    <row r="7" ht="28.8" customHeight="1">
      <c r="A7" s="99" t="n">
        <v>3</v>
      </c>
      <c r="B7" s="99" t="inlineStr">
        <is>
          <t>Leidy Pilar Espinoza Mariño</t>
        </is>
      </c>
      <c r="E7" s="99" t="inlineStr">
        <is>
          <t>Venecia</t>
        </is>
      </c>
      <c r="G7" s="99" t="inlineStr">
        <is>
          <t>Crédito Hipotecario</t>
        </is>
      </c>
      <c r="I7" s="100" t="n">
        <v>577000</v>
      </c>
      <c r="K7" s="100" t="n">
        <v>519300</v>
      </c>
      <c r="M7" s="100" t="n">
        <v>0</v>
      </c>
      <c r="N7" s="101" t="inlineStr">
        <is>
          <t>Dpto 301, Estc E 17</t>
        </is>
      </c>
      <c r="O7" s="102" t="n">
        <v>0.9</v>
      </c>
    </row>
    <row r="8" ht="28.8" customHeight="1">
      <c r="A8" s="103" t="n">
        <v>4</v>
      </c>
      <c r="B8" s="103" t="inlineStr">
        <is>
          <t>Tania Jackeline Valladares Timana</t>
        </is>
      </c>
      <c r="E8" s="103" t="inlineStr">
        <is>
          <t>Beyond</t>
        </is>
      </c>
      <c r="G8" s="103" t="inlineStr">
        <is>
          <t>Ahorro</t>
        </is>
      </c>
      <c r="I8" s="104" t="n">
        <v>518500</v>
      </c>
      <c r="K8" s="104" t="n">
        <v>515500</v>
      </c>
      <c r="M8" s="104" t="n">
        <v>211</v>
      </c>
      <c r="N8" s="105" t="inlineStr">
        <is>
          <t>Dpto 1001</t>
        </is>
      </c>
      <c r="O8" s="106" t="n">
        <v>0.9942140790742526</v>
      </c>
    </row>
    <row r="9" ht="28.8" customHeight="1">
      <c r="A9" s="99" t="n">
        <v>5</v>
      </c>
      <c r="B9" s="99" t="inlineStr">
        <is>
          <t>Jimmy Luis Andrade Morveli</t>
        </is>
      </c>
      <c r="E9" s="99" t="inlineStr">
        <is>
          <t>Beyond</t>
        </is>
      </c>
      <c r="G9" s="99" t="inlineStr">
        <is>
          <t>Crédito Hipotecario</t>
        </is>
      </c>
      <c r="I9" s="100" t="n">
        <v>470000</v>
      </c>
      <c r="K9" s="100" t="n">
        <v>467000</v>
      </c>
      <c r="M9" s="100" t="n">
        <v>107</v>
      </c>
      <c r="N9" s="101" t="inlineStr">
        <is>
          <t>Dpto 601</t>
        </is>
      </c>
      <c r="O9" s="102" t="n">
        <v>0.9936170212765958</v>
      </c>
    </row>
    <row r="10" ht="28.8" customHeight="1">
      <c r="A10" s="103" t="n">
        <v>6</v>
      </c>
      <c r="B10" s="103" t="inlineStr">
        <is>
          <t>Jhoully Kattherine Moreno Saavedra</t>
        </is>
      </c>
      <c r="E10" s="103" t="inlineStr">
        <is>
          <t>Beyond</t>
        </is>
      </c>
      <c r="G10" s="103" t="inlineStr">
        <is>
          <t>Crédito Hipotecario</t>
        </is>
      </c>
      <c r="I10" s="104" t="n">
        <v>450000</v>
      </c>
      <c r="K10" s="104" t="n">
        <v>405000</v>
      </c>
      <c r="M10" s="104" t="n">
        <v>0</v>
      </c>
      <c r="N10" s="105" t="inlineStr">
        <is>
          <t>Dpto 204</t>
        </is>
      </c>
      <c r="O10" s="106" t="n">
        <v>0.9</v>
      </c>
    </row>
    <row r="11" ht="28.8" customHeight="1">
      <c r="A11" s="99" t="n">
        <v>7</v>
      </c>
      <c r="B11" s="99" t="inlineStr">
        <is>
          <t>JUDITH MEDINA ALVAREZ</t>
        </is>
      </c>
      <c r="E11" s="99" t="inlineStr">
        <is>
          <t>Prada</t>
        </is>
      </c>
      <c r="G11" s="99" t="inlineStr">
        <is>
          <t>Crédito Hipotecario</t>
        </is>
      </c>
      <c r="I11" s="100" t="n">
        <v>473000</v>
      </c>
      <c r="K11" s="100" t="n">
        <v>397000</v>
      </c>
      <c r="M11" s="100" t="n">
        <v>0</v>
      </c>
      <c r="N11" s="101" t="inlineStr">
        <is>
          <t>Dpto 604, Estc E 51 - D 39</t>
        </is>
      </c>
      <c r="O11" s="102" t="n">
        <v>0.8393234672304439</v>
      </c>
    </row>
    <row r="12" ht="28.8" customHeight="1">
      <c r="A12" s="103" t="n">
        <v>8</v>
      </c>
      <c r="B12" s="103" t="inlineStr">
        <is>
          <t>ANAMELVA JULIETA AQUISE TIZNADO</t>
        </is>
      </c>
      <c r="E12" s="103" t="inlineStr">
        <is>
          <t>Venecia</t>
        </is>
      </c>
      <c r="G12" s="103" t="inlineStr">
        <is>
          <t>Crédito Hipotecario</t>
        </is>
      </c>
      <c r="I12" s="104" t="n">
        <v>438000</v>
      </c>
      <c r="K12" s="104" t="n">
        <v>394200</v>
      </c>
      <c r="M12" s="104" t="n">
        <v>0</v>
      </c>
      <c r="N12" s="105" t="inlineStr">
        <is>
          <t>Dpto 704</t>
        </is>
      </c>
      <c r="O12" s="106" t="n">
        <v>0.9</v>
      </c>
    </row>
    <row r="13" ht="28.8" customHeight="1">
      <c r="A13" s="99" t="n">
        <v>9</v>
      </c>
      <c r="B13" s="99" t="inlineStr">
        <is>
          <t>Marita Angeles Milla</t>
        </is>
      </c>
      <c r="E13" s="99" t="inlineStr">
        <is>
          <t>Prada</t>
        </is>
      </c>
      <c r="G13" s="99" t="inlineStr">
        <is>
          <t>Ahorro</t>
        </is>
      </c>
      <c r="I13" s="100" t="n">
        <v>417700</v>
      </c>
      <c r="K13" s="100" t="n">
        <v>393930</v>
      </c>
      <c r="M13" s="100" t="n">
        <v>80</v>
      </c>
      <c r="N13" s="101" t="inlineStr">
        <is>
          <t>Dpto 1004</t>
        </is>
      </c>
      <c r="O13" s="102" t="n">
        <v>0.9430931290399809</v>
      </c>
    </row>
    <row r="14" ht="28.8" customHeight="1">
      <c r="A14" s="103" t="n">
        <v>10</v>
      </c>
      <c r="B14" s="103" t="inlineStr">
        <is>
          <t>Lizet Lopez Paucar</t>
        </is>
      </c>
      <c r="E14" s="103" t="inlineStr">
        <is>
          <t>Prada</t>
        </is>
      </c>
      <c r="G14" s="103" t="inlineStr">
        <is>
          <t>Ahorro</t>
        </is>
      </c>
      <c r="I14" s="104" t="n">
        <v>417700</v>
      </c>
      <c r="K14" s="104" t="n">
        <v>350000</v>
      </c>
      <c r="M14" s="104" t="n">
        <v>0</v>
      </c>
      <c r="N14" s="105" t="inlineStr">
        <is>
          <t>Dpto 904</t>
        </is>
      </c>
      <c r="O14" s="106" t="n">
        <v>0.8379219535551832</v>
      </c>
    </row>
    <row r="15" ht="28.8" customHeight="1">
      <c r="A15" s="99" t="n">
        <v>11</v>
      </c>
      <c r="B15" s="99" t="inlineStr">
        <is>
          <t>Víctor Daniel Chuquihuaccha Hernandez</t>
        </is>
      </c>
      <c r="E15" s="99" t="inlineStr">
        <is>
          <t>Beyond</t>
        </is>
      </c>
      <c r="G15" s="99" t="inlineStr">
        <is>
          <t>Crédito Hipotecario</t>
        </is>
      </c>
      <c r="I15" s="100" t="n">
        <v>382000</v>
      </c>
      <c r="K15" s="100" t="n">
        <v>343800</v>
      </c>
      <c r="M15" s="100" t="n">
        <v>119</v>
      </c>
      <c r="N15" s="101" t="inlineStr">
        <is>
          <t>Dpto 702</t>
        </is>
      </c>
      <c r="O15" s="102" t="n">
        <v>0.9</v>
      </c>
    </row>
    <row r="16" ht="28.8" customHeight="1">
      <c r="A16" s="103" t="n">
        <v>12</v>
      </c>
      <c r="B16" s="103" t="inlineStr">
        <is>
          <t>Noelia Abarca Chavez</t>
        </is>
      </c>
      <c r="E16" s="103" t="inlineStr">
        <is>
          <t>Venecia</t>
        </is>
      </c>
      <c r="G16" s="103" t="inlineStr">
        <is>
          <t>Crédito Hipotecario</t>
        </is>
      </c>
      <c r="I16" s="104" t="n">
        <v>372000</v>
      </c>
      <c r="K16" s="104" t="n">
        <v>334800</v>
      </c>
      <c r="M16" s="104" t="n">
        <v>0</v>
      </c>
      <c r="N16" s="105" t="inlineStr">
        <is>
          <t>Dpto 1005</t>
        </is>
      </c>
      <c r="O16" s="106" t="n">
        <v>0.9</v>
      </c>
    </row>
    <row r="17" ht="28.8" customHeight="1">
      <c r="A17" s="99" t="n">
        <v>13</v>
      </c>
      <c r="B17" s="99" t="inlineStr">
        <is>
          <t>Giovani Chumioque Garcia</t>
        </is>
      </c>
      <c r="E17" s="99" t="inlineStr">
        <is>
          <t>Venecia</t>
        </is>
      </c>
      <c r="G17" s="99" t="inlineStr">
        <is>
          <t>Crédito Hipotecario</t>
        </is>
      </c>
      <c r="I17" s="100" t="n">
        <v>481000</v>
      </c>
      <c r="K17" s="100" t="n">
        <v>331000</v>
      </c>
      <c r="M17" s="100" t="n">
        <v>0</v>
      </c>
      <c r="N17" s="101" t="inlineStr">
        <is>
          <t>Dpto 304, Estc E 28 - D 15</t>
        </is>
      </c>
      <c r="O17" s="102" t="n">
        <v>0.6881496881496881</v>
      </c>
    </row>
    <row r="18" ht="28.8" customHeight="1">
      <c r="A18" s="103" t="n">
        <v>14</v>
      </c>
      <c r="B18" s="103" t="inlineStr">
        <is>
          <t>Isabel Cristina Franco Zegarra</t>
        </is>
      </c>
      <c r="E18" s="103" t="inlineStr">
        <is>
          <t>Venecia</t>
        </is>
      </c>
      <c r="G18" s="103" t="inlineStr">
        <is>
          <t>Crédito Hipotecario</t>
        </is>
      </c>
      <c r="I18" s="104" t="n">
        <v>415000</v>
      </c>
      <c r="K18" s="104" t="n">
        <v>290500</v>
      </c>
      <c r="M18" s="104" t="n">
        <v>0</v>
      </c>
      <c r="N18" s="105" t="inlineStr">
        <is>
          <t>Dpto 805</t>
        </is>
      </c>
      <c r="O18" s="106" t="n">
        <v>0.7</v>
      </c>
    </row>
    <row r="19" ht="28.8" customHeight="1">
      <c r="A19" s="99" t="n">
        <v>15</v>
      </c>
      <c r="B19" s="99" t="inlineStr">
        <is>
          <t>Karla Ivette Necochea Lopezv</t>
        </is>
      </c>
      <c r="E19" s="99" t="inlineStr">
        <is>
          <t>Beyond</t>
        </is>
      </c>
      <c r="G19" s="99" t="inlineStr">
        <is>
          <t>Ahorro</t>
        </is>
      </c>
      <c r="I19" s="100" t="n">
        <v>495000</v>
      </c>
      <c r="K19" s="100" t="n">
        <v>244500</v>
      </c>
      <c r="M19" s="100" t="n">
        <v>23</v>
      </c>
      <c r="N19" s="101" t="inlineStr">
        <is>
          <t>Dpto 305</t>
        </is>
      </c>
      <c r="O19" s="102" t="n">
        <v>0.493939393939394</v>
      </c>
    </row>
    <row r="20" ht="28.8" customHeight="1">
      <c r="A20" s="103" t="n">
        <v>16</v>
      </c>
      <c r="B20" s="103" t="inlineStr">
        <is>
          <t>Dante Enrique Segura Florian</t>
        </is>
      </c>
      <c r="E20" s="103" t="inlineStr">
        <is>
          <t>Beyond</t>
        </is>
      </c>
      <c r="G20" s="103" t="inlineStr">
        <is>
          <t>Crédito Directo</t>
        </is>
      </c>
      <c r="I20" s="104" t="n">
        <v>500000</v>
      </c>
      <c r="K20" s="104" t="n">
        <v>217040</v>
      </c>
      <c r="M20" s="104" t="n">
        <v>21</v>
      </c>
      <c r="N20" s="105" t="inlineStr">
        <is>
          <t>Dpto 505</t>
        </is>
      </c>
      <c r="O20" s="106" t="n">
        <v>0.43408</v>
      </c>
    </row>
    <row r="21" ht="28.8" customHeight="1">
      <c r="A21" s="99" t="n">
        <v>17</v>
      </c>
      <c r="B21" s="99" t="inlineStr">
        <is>
          <t>Erla Liseth Carhuavilca Pérez</t>
        </is>
      </c>
      <c r="E21" s="99" t="inlineStr">
        <is>
          <t>Beyond</t>
        </is>
      </c>
      <c r="G21" s="99" t="inlineStr">
        <is>
          <t>Ahorro</t>
        </is>
      </c>
      <c r="I21" s="100" t="n">
        <v>504700</v>
      </c>
      <c r="K21" s="100" t="n">
        <v>197000</v>
      </c>
      <c r="M21" s="100" t="n">
        <v>83</v>
      </c>
      <c r="N21" s="101" t="inlineStr">
        <is>
          <t>Dpto 403, Estc E 06</t>
        </is>
      </c>
      <c r="O21" s="102" t="n">
        <v>0.3903308896374084</v>
      </c>
    </row>
    <row r="22" ht="28.8" customHeight="1">
      <c r="A22" s="103" t="n">
        <v>18</v>
      </c>
      <c r="B22" s="103" t="inlineStr">
        <is>
          <t>ERICK RAUL BEDOYA BACA</t>
        </is>
      </c>
      <c r="E22" s="103" t="inlineStr">
        <is>
          <t>Beyond</t>
        </is>
      </c>
      <c r="G22" s="103" t="inlineStr">
        <is>
          <t>Crédito Hipotecario</t>
        </is>
      </c>
      <c r="I22" s="104" t="n">
        <v>521500</v>
      </c>
      <c r="K22" s="104" t="n">
        <v>185250</v>
      </c>
      <c r="M22" s="104" t="n">
        <v>141</v>
      </c>
      <c r="N22" s="105" t="inlineStr">
        <is>
          <t>Dpto 503, Estc E 12 - D 10</t>
        </is>
      </c>
      <c r="O22" s="106" t="n">
        <v>0.3552253116011505</v>
      </c>
    </row>
    <row r="23" ht="28.8" customHeight="1">
      <c r="A23" s="99" t="n">
        <v>19</v>
      </c>
      <c r="B23" s="99" t="inlineStr">
        <is>
          <t>PATROCINIO HUAMANI CUEVAS</t>
        </is>
      </c>
      <c r="E23" s="99" t="inlineStr">
        <is>
          <t>Prada</t>
        </is>
      </c>
      <c r="G23" s="99" t="inlineStr">
        <is>
          <t>Crédito Directo</t>
        </is>
      </c>
      <c r="I23" s="100" t="n">
        <v>660000</v>
      </c>
      <c r="K23" s="100" t="n">
        <v>160000</v>
      </c>
      <c r="M23" s="100" t="n">
        <v>92</v>
      </c>
      <c r="N23" s="101" t="inlineStr">
        <is>
          <t>Dpto 503</t>
        </is>
      </c>
      <c r="O23" s="102" t="n">
        <v>0.2424242424242424</v>
      </c>
    </row>
    <row r="24" ht="28.8" customHeight="1">
      <c r="A24" s="103" t="n">
        <v>20</v>
      </c>
      <c r="B24" s="103" t="inlineStr">
        <is>
          <t>Rocio Chuquimango Valencia</t>
        </is>
      </c>
      <c r="E24" s="103" t="inlineStr">
        <is>
          <t>Venecia</t>
        </is>
      </c>
      <c r="G24" s="103" t="inlineStr">
        <is>
          <t>Crédito Directo</t>
        </is>
      </c>
      <c r="I24" s="104" t="n">
        <v>624000</v>
      </c>
      <c r="K24" s="104" t="n">
        <v>119900</v>
      </c>
      <c r="M24" s="104" t="n">
        <v>0</v>
      </c>
      <c r="N24" s="105" t="inlineStr">
        <is>
          <t>Dpto 602, Estc E 24 - D 5</t>
        </is>
      </c>
      <c r="O24" s="106" t="n">
        <v>0.1921474358974359</v>
      </c>
    </row>
    <row r="25" ht="28.8" customHeight="1">
      <c r="A25" s="99" t="n">
        <v>21</v>
      </c>
      <c r="B25" s="99" t="inlineStr">
        <is>
          <t>RONALD ANTONIO TICONA ARONES</t>
        </is>
      </c>
      <c r="E25" s="99" t="inlineStr">
        <is>
          <t>Beyond</t>
        </is>
      </c>
      <c r="G25" s="99" t="inlineStr">
        <is>
          <t>Crédito Hipotecario</t>
        </is>
      </c>
      <c r="I25" s="100" t="n">
        <v>942700</v>
      </c>
      <c r="K25" s="100" t="n">
        <v>117090</v>
      </c>
      <c r="M25" s="100" t="n">
        <v>0</v>
      </c>
      <c r="N25" s="101" t="inlineStr">
        <is>
          <t>Dpto 703, Dpto 704</t>
        </is>
      </c>
      <c r="O25" s="102" t="n">
        <v>0.1242070648138326</v>
      </c>
    </row>
    <row r="26" ht="28.8" customHeight="1">
      <c r="A26" s="103" t="n">
        <v>22</v>
      </c>
      <c r="B26" s="103" t="inlineStr">
        <is>
          <t>Victor Hugo Quispe Cupe</t>
        </is>
      </c>
      <c r="E26" s="103" t="inlineStr">
        <is>
          <t>Beyond</t>
        </is>
      </c>
      <c r="G26" s="103" t="inlineStr">
        <is>
          <t>Crédito Directo</t>
        </is>
      </c>
      <c r="I26" s="104" t="n">
        <v>527500</v>
      </c>
      <c r="K26" s="104" t="n">
        <v>106722.22</v>
      </c>
      <c r="M26" s="104" t="n">
        <v>182</v>
      </c>
      <c r="N26" s="105" t="inlineStr">
        <is>
          <t>Dpto 301, Estc E 04 - D 02</t>
        </is>
      </c>
      <c r="O26" s="106" t="n">
        <v>0.2023170047393365</v>
      </c>
    </row>
    <row r="27" ht="28.8" customHeight="1">
      <c r="A27" s="99" t="n">
        <v>23</v>
      </c>
      <c r="B27" s="99" t="inlineStr">
        <is>
          <t>Francesca Giuliana Ramos Ortiz</t>
        </is>
      </c>
      <c r="E27" s="99" t="inlineStr">
        <is>
          <t>Beyond</t>
        </is>
      </c>
      <c r="G27" s="99" t="inlineStr">
        <is>
          <t>Ahorro</t>
        </is>
      </c>
      <c r="I27" s="100" t="n">
        <v>524500</v>
      </c>
      <c r="K27" s="100" t="n">
        <v>101900</v>
      </c>
      <c r="M27" s="100" t="n">
        <v>169</v>
      </c>
      <c r="N27" s="101" t="inlineStr">
        <is>
          <t>Dpto 501, Estc E 14 - D 12</t>
        </is>
      </c>
      <c r="O27" s="102" t="n">
        <v>0.194280266920877</v>
      </c>
    </row>
    <row r="28" ht="28.8" customHeight="1">
      <c r="A28" s="103" t="n">
        <v>24</v>
      </c>
      <c r="B28" s="103" t="inlineStr">
        <is>
          <t>Danixa Thalia Manosalva Ameri</t>
        </is>
      </c>
      <c r="E28" s="103" t="inlineStr">
        <is>
          <t>Beyond</t>
        </is>
      </c>
      <c r="G28" s="103" t="inlineStr">
        <is>
          <t>Ahorro</t>
        </is>
      </c>
      <c r="I28" s="104" t="n">
        <v>381000</v>
      </c>
      <c r="K28" s="104" t="n">
        <v>82000</v>
      </c>
      <c r="M28" s="104" t="n">
        <v>177</v>
      </c>
      <c r="N28" s="105" t="inlineStr">
        <is>
          <t>Dpto 302</t>
        </is>
      </c>
      <c r="O28" s="106" t="n">
        <v>0.2152230971128609</v>
      </c>
    </row>
    <row r="29" ht="28.8" customHeight="1">
      <c r="A29" s="99" t="n">
        <v>25</v>
      </c>
      <c r="B29" s="99" t="inlineStr">
        <is>
          <t>Leidy Lucero Espíritu Zabarburu</t>
        </is>
      </c>
      <c r="E29" s="99" t="inlineStr">
        <is>
          <t>Beyond</t>
        </is>
      </c>
      <c r="G29" s="99" t="inlineStr">
        <is>
          <t>Ahorro</t>
        </is>
      </c>
      <c r="I29" s="100" t="n">
        <v>458000</v>
      </c>
      <c r="K29" s="100" t="n">
        <v>65700</v>
      </c>
      <c r="M29" s="100" t="n">
        <v>80</v>
      </c>
      <c r="N29" s="101" t="inlineStr">
        <is>
          <t>Dpto 303</t>
        </is>
      </c>
      <c r="O29" s="102" t="n">
        <v>0.1434497816593887</v>
      </c>
    </row>
    <row r="30" ht="28.8" customHeight="1">
      <c r="A30" s="103" t="n">
        <v>26</v>
      </c>
      <c r="B30" s="103" t="inlineStr">
        <is>
          <t>Melanny Dayanna Flores Blas</t>
        </is>
      </c>
      <c r="E30" s="103" t="inlineStr">
        <is>
          <t>Beyond</t>
        </is>
      </c>
      <c r="G30" s="103" t="inlineStr">
        <is>
          <t>Crédito Directo</t>
        </is>
      </c>
      <c r="I30" s="104" t="n">
        <v>412200</v>
      </c>
      <c r="K30" s="104" t="n">
        <v>65270</v>
      </c>
      <c r="M30" s="104" t="n">
        <v>31</v>
      </c>
      <c r="N30" s="105" t="inlineStr">
        <is>
          <t>Dpto 1502, Estc E 39</t>
        </is>
      </c>
      <c r="O30" s="106" t="n">
        <v>0.1583454633672974</v>
      </c>
    </row>
    <row r="31" ht="28.8" customHeight="1">
      <c r="A31" s="99" t="n">
        <v>27</v>
      </c>
      <c r="B31" s="99" t="inlineStr">
        <is>
          <t>Rocio del Pilar Quispe Vivanco</t>
        </is>
      </c>
      <c r="E31" s="99" t="inlineStr">
        <is>
          <t>Beyond</t>
        </is>
      </c>
      <c r="G31" s="99" t="inlineStr">
        <is>
          <t>Ahorro</t>
        </is>
      </c>
      <c r="I31" s="100" t="n">
        <v>510000</v>
      </c>
      <c r="K31" s="100" t="n">
        <v>57000</v>
      </c>
      <c r="M31" s="100" t="n">
        <v>15</v>
      </c>
      <c r="N31" s="101" t="inlineStr">
        <is>
          <t>Dpto 905</t>
        </is>
      </c>
      <c r="O31" s="102" t="n">
        <v>0.1117647058823529</v>
      </c>
    </row>
    <row r="32" ht="28.8" customHeight="1">
      <c r="A32" s="103" t="n">
        <v>28</v>
      </c>
      <c r="B32" s="103" t="inlineStr">
        <is>
          <t>Jacqueline Elsa Moreno Huaman</t>
        </is>
      </c>
      <c r="E32" s="103" t="inlineStr">
        <is>
          <t>Beyond</t>
        </is>
      </c>
      <c r="G32" s="103" t="inlineStr">
        <is>
          <t>Crédito Hipotecario</t>
        </is>
      </c>
      <c r="I32" s="104" t="n">
        <v>483000</v>
      </c>
      <c r="K32" s="104" t="n">
        <v>55000</v>
      </c>
      <c r="M32" s="104" t="n">
        <v>0</v>
      </c>
      <c r="N32" s="105" t="inlineStr">
        <is>
          <t>Dpto 1401</t>
        </is>
      </c>
      <c r="O32" s="106" t="n">
        <v>0.113871635610766</v>
      </c>
    </row>
    <row r="33" ht="28.8" customHeight="1">
      <c r="A33" s="99" t="n">
        <v>29</v>
      </c>
      <c r="B33" s="99" t="inlineStr">
        <is>
          <t>Ronald José Claudio Ramírez</t>
        </is>
      </c>
      <c r="E33" s="99" t="inlineStr">
        <is>
          <t>Beyond</t>
        </is>
      </c>
      <c r="G33" s="99" t="inlineStr">
        <is>
          <t>Ahorro</t>
        </is>
      </c>
      <c r="I33" s="100" t="n">
        <v>510000</v>
      </c>
      <c r="K33" s="100" t="n">
        <v>49500</v>
      </c>
      <c r="M33" s="100" t="n">
        <v>132</v>
      </c>
      <c r="N33" s="101" t="inlineStr">
        <is>
          <t>Dpto 504, Estc E 07</t>
        </is>
      </c>
      <c r="O33" s="102" t="n">
        <v>0.09705882352941177</v>
      </c>
    </row>
    <row r="34" ht="28.8" customHeight="1">
      <c r="A34" s="103" t="n">
        <v>30</v>
      </c>
      <c r="B34" s="103" t="inlineStr">
        <is>
          <t>Mayra Andrea Montenegro Gomez</t>
        </is>
      </c>
      <c r="E34" s="103" t="inlineStr">
        <is>
          <t>Beyond</t>
        </is>
      </c>
      <c r="G34" s="103" t="inlineStr">
        <is>
          <t>Crédito Hipotecario</t>
        </is>
      </c>
      <c r="I34" s="104" t="n">
        <v>495000</v>
      </c>
      <c r="K34" s="104" t="n">
        <v>46000</v>
      </c>
      <c r="M34" s="104" t="n">
        <v>31</v>
      </c>
      <c r="N34" s="105" t="inlineStr">
        <is>
          <t>Dpto 605</t>
        </is>
      </c>
      <c r="O34" s="106" t="n">
        <v>0.09292929292929293</v>
      </c>
    </row>
    <row r="35" ht="28.8" customHeight="1">
      <c r="A35" s="99" t="n">
        <v>31</v>
      </c>
      <c r="B35" s="99" t="inlineStr">
        <is>
          <t>Marynn Yahara Minetto Peralta</t>
        </is>
      </c>
      <c r="E35" s="99" t="inlineStr">
        <is>
          <t>Beyond</t>
        </is>
      </c>
      <c r="G35" s="99" t="inlineStr">
        <is>
          <t>Crédito Directo</t>
        </is>
      </c>
      <c r="I35" s="100" t="n">
        <v>50500</v>
      </c>
      <c r="K35" s="100" t="n">
        <v>39000</v>
      </c>
      <c r="M35" s="100" t="n">
        <v>16</v>
      </c>
      <c r="N35" s="101" t="inlineStr">
        <is>
          <t>Estc E 18</t>
        </is>
      </c>
      <c r="O35" s="102" t="n">
        <v>0.7722772277227723</v>
      </c>
    </row>
    <row r="36" ht="28.8" customHeight="1">
      <c r="A36" s="103" t="n">
        <v>32</v>
      </c>
      <c r="B36" s="103" t="inlineStr">
        <is>
          <t>Gina Victoria Saenz Pasco</t>
        </is>
      </c>
      <c r="E36" s="103" t="inlineStr">
        <is>
          <t>Beyond</t>
        </is>
      </c>
      <c r="G36" s="103" t="inlineStr">
        <is>
          <t>Ahorro</t>
        </is>
      </c>
      <c r="I36" s="104" t="n">
        <v>448500</v>
      </c>
      <c r="K36" s="104" t="n">
        <v>30000</v>
      </c>
      <c r="M36" s="104" t="n">
        <v>76</v>
      </c>
      <c r="N36" s="105" t="inlineStr">
        <is>
          <t>Dpto 402, Estc E 44 - D 26</t>
        </is>
      </c>
      <c r="O36" s="106" t="n">
        <v>0.06688963210702341</v>
      </c>
    </row>
    <row r="37" ht="28.8" customHeight="1">
      <c r="A37" s="99" t="n">
        <v>33</v>
      </c>
      <c r="B37" s="99" t="inlineStr">
        <is>
          <t>Tania Milagros Cotrina Vara</t>
        </is>
      </c>
      <c r="E37" s="99" t="inlineStr">
        <is>
          <t>Beyond</t>
        </is>
      </c>
      <c r="G37" s="99" t="inlineStr">
        <is>
          <t>Ahorro</t>
        </is>
      </c>
      <c r="I37" s="100" t="n">
        <v>577000</v>
      </c>
      <c r="K37" s="100" t="n">
        <v>27600</v>
      </c>
      <c r="M37" s="100" t="n">
        <v>15</v>
      </c>
      <c r="N37" s="101" t="inlineStr">
        <is>
          <t>Dpto 205</t>
        </is>
      </c>
      <c r="O37" s="102" t="n">
        <v>0.04783362218370884</v>
      </c>
    </row>
    <row r="38" ht="28.8" customHeight="1">
      <c r="A38" s="103" t="n">
        <v>34</v>
      </c>
      <c r="B38" s="103" t="inlineStr">
        <is>
          <t>Norma Luz Tello Contreras</t>
        </is>
      </c>
      <c r="E38" s="103" t="inlineStr">
        <is>
          <t>Venecia</t>
        </is>
      </c>
      <c r="G38" s="103" t="inlineStr">
        <is>
          <t>Crédito Directo</t>
        </is>
      </c>
      <c r="I38" s="104" t="n">
        <v>595800</v>
      </c>
      <c r="K38" s="104" t="n">
        <v>24000</v>
      </c>
      <c r="M38" s="104" t="n">
        <v>46</v>
      </c>
      <c r="N38" s="105" t="inlineStr">
        <is>
          <t>Dpto 601, Estc E 11</t>
        </is>
      </c>
      <c r="O38" s="106" t="n">
        <v>0.04028197381671702</v>
      </c>
    </row>
    <row r="39" ht="28.8" customHeight="1">
      <c r="A39" s="99" t="n">
        <v>35</v>
      </c>
      <c r="B39" s="99" t="inlineStr">
        <is>
          <t>STEPHANIE LIZETH AQUINO HERRERA</t>
        </is>
      </c>
      <c r="E39" s="99" t="inlineStr">
        <is>
          <t>Prada</t>
        </is>
      </c>
      <c r="G39" s="99" t="inlineStr">
        <is>
          <t>Crédito Hipotecario</t>
        </is>
      </c>
      <c r="I39" s="100" t="n">
        <v>480000</v>
      </c>
      <c r="K39" s="100" t="n">
        <v>24000</v>
      </c>
      <c r="M39" s="100" t="n">
        <v>0</v>
      </c>
      <c r="N39" s="101" t="inlineStr">
        <is>
          <t>Dpto 1005</t>
        </is>
      </c>
      <c r="O39" s="102" t="n">
        <v>0.05</v>
      </c>
    </row>
    <row r="40" ht="28.8" customHeight="1">
      <c r="A40" s="103" t="n">
        <v>36</v>
      </c>
      <c r="B40" s="103" t="inlineStr">
        <is>
          <t>Mariela Gabriela Zapata Santivañez</t>
        </is>
      </c>
      <c r="E40" s="103" t="inlineStr">
        <is>
          <t>Venecia</t>
        </is>
      </c>
      <c r="G40" s="103" t="inlineStr">
        <is>
          <t>Crédito Hipotecario</t>
        </is>
      </c>
      <c r="I40" s="104" t="n">
        <v>432800</v>
      </c>
      <c r="K40" s="104" t="n">
        <v>21640</v>
      </c>
      <c r="M40" s="104" t="n">
        <v>31</v>
      </c>
      <c r="N40" s="105" t="inlineStr">
        <is>
          <t>Dpto 205, Estc E 20</t>
        </is>
      </c>
      <c r="O40" s="106" t="n">
        <v>0.05</v>
      </c>
    </row>
    <row r="41" ht="28.8" customHeight="1">
      <c r="A41" s="99" t="n">
        <v>37</v>
      </c>
      <c r="B41" s="99" t="inlineStr">
        <is>
          <t>Dolores Lissett Castillo Diaz</t>
        </is>
      </c>
      <c r="E41" s="99" t="inlineStr">
        <is>
          <t>Beyond</t>
        </is>
      </c>
      <c r="G41" s="99" t="inlineStr">
        <is>
          <t>Ahorro</t>
        </is>
      </c>
      <c r="I41" s="100" t="n">
        <v>521800</v>
      </c>
      <c r="K41" s="100" t="n">
        <v>14920</v>
      </c>
      <c r="M41" s="100" t="n">
        <v>5</v>
      </c>
      <c r="N41" s="101" t="inlineStr">
        <is>
          <t>Dpto 701, Estc E 17</t>
        </is>
      </c>
      <c r="O41" s="102" t="n">
        <v>0.02859333077807589</v>
      </c>
    </row>
    <row r="42" ht="28.8" customHeight="1">
      <c r="A42" s="103" t="n">
        <v>38</v>
      </c>
      <c r="B42" s="103" t="inlineStr">
        <is>
          <t>Alejandra Leslye Solorio Peña</t>
        </is>
      </c>
      <c r="E42" s="103" t="inlineStr">
        <is>
          <t>Beyond</t>
        </is>
      </c>
      <c r="G42" s="103" t="inlineStr">
        <is>
          <t>Ahorro</t>
        </is>
      </c>
      <c r="I42" s="104" t="n">
        <v>265000</v>
      </c>
      <c r="K42" s="104" t="n">
        <v>11400</v>
      </c>
      <c r="M42" s="104" t="n">
        <v>150</v>
      </c>
      <c r="N42" s="105" t="inlineStr">
        <is>
          <t>Dpto 1306</t>
        </is>
      </c>
      <c r="O42" s="106" t="n">
        <v>0.0430188679245283</v>
      </c>
    </row>
    <row r="43" ht="28.8" customHeight="1">
      <c r="A43" s="99" t="n">
        <v>39</v>
      </c>
      <c r="B43" s="99" t="inlineStr">
        <is>
          <t>RICARDO DANIEL ESPINOZA ANCHAYGUA</t>
        </is>
      </c>
      <c r="E43" s="99" t="inlineStr">
        <is>
          <t>Prada</t>
        </is>
      </c>
      <c r="G43" s="99" t="inlineStr">
        <is>
          <t>Crédito Hipotecario</t>
        </is>
      </c>
      <c r="I43" s="100" t="n">
        <v>478000</v>
      </c>
      <c r="K43" s="100" t="n">
        <v>11000</v>
      </c>
      <c r="M43" s="100" t="n">
        <v>0</v>
      </c>
      <c r="N43" s="101" t="inlineStr">
        <is>
          <t>Dpto 804, Estc E 42 - D 33</t>
        </is>
      </c>
      <c r="O43" s="102" t="n">
        <v>0.02301255230125523</v>
      </c>
    </row>
    <row r="44" ht="28.8" customHeight="1">
      <c r="A44" s="103" t="n">
        <v>40</v>
      </c>
      <c r="B44" s="103" t="inlineStr">
        <is>
          <t>Patricia Salazar Aparcana</t>
        </is>
      </c>
      <c r="E44" s="103" t="inlineStr">
        <is>
          <t>Venecia</t>
        </is>
      </c>
      <c r="G44" s="103" t="inlineStr">
        <is>
          <t>Ahorro</t>
        </is>
      </c>
      <c r="I44" s="104" t="n">
        <v>600000</v>
      </c>
      <c r="K44" s="104" t="n">
        <v>10000</v>
      </c>
      <c r="M44" s="104" t="n">
        <v>2</v>
      </c>
      <c r="N44" s="105" t="inlineStr">
        <is>
          <t>Dpto 302</t>
        </is>
      </c>
      <c r="O44" s="106" t="n">
        <v>0.01666666666666667</v>
      </c>
    </row>
    <row r="45" ht="28.8" customHeight="1">
      <c r="A45" s="99" t="n">
        <v>41</v>
      </c>
      <c r="B45" s="99" t="inlineStr">
        <is>
          <t>Fabiola Maria Lecca Vargas</t>
        </is>
      </c>
      <c r="E45" s="99" t="inlineStr">
        <is>
          <t>Beyond</t>
        </is>
      </c>
      <c r="G45" s="99" t="inlineStr">
        <is>
          <t>Crédito Directo</t>
        </is>
      </c>
      <c r="I45" s="100" t="n">
        <v>467100</v>
      </c>
      <c r="K45" s="100" t="n">
        <v>10000</v>
      </c>
      <c r="M45" s="100" t="n">
        <v>0</v>
      </c>
      <c r="N45" s="101" t="inlineStr">
        <is>
          <t>Dpto 1205</t>
        </is>
      </c>
      <c r="O45" s="102" t="n">
        <v>0.02140869192892314</v>
      </c>
    </row>
    <row r="46" ht="28.8" customHeight="1">
      <c r="A46" s="103" t="n">
        <v>42</v>
      </c>
      <c r="B46" s="103" t="inlineStr">
        <is>
          <t>Marynn Yahara Minetto Peralta</t>
        </is>
      </c>
      <c r="E46" s="103" t="inlineStr">
        <is>
          <t>Prada</t>
        </is>
      </c>
      <c r="G46" s="103" t="inlineStr">
        <is>
          <t>Crédito Directo</t>
        </is>
      </c>
      <c r="I46" s="104" t="n">
        <v>50500</v>
      </c>
      <c r="K46" s="104" t="n">
        <v>9000</v>
      </c>
      <c r="M46" s="104" t="n">
        <v>0</v>
      </c>
      <c r="N46" s="105" t="inlineStr">
        <is>
          <t>Estc E 18 - D 13</t>
        </is>
      </c>
      <c r="O46" s="106" t="n">
        <v>0.1782178217821782</v>
      </c>
    </row>
    <row r="47" ht="28.8" customHeight="1">
      <c r="A47" s="99" t="n">
        <v>43</v>
      </c>
      <c r="B47" s="99" t="inlineStr">
        <is>
          <t>Luis Miguel Montero Monteza</t>
        </is>
      </c>
      <c r="E47" s="99" t="inlineStr">
        <is>
          <t>Venecia</t>
        </is>
      </c>
      <c r="G47" s="99" t="inlineStr">
        <is>
          <t>Ahorro</t>
        </is>
      </c>
      <c r="I47" s="100" t="n">
        <v>497000</v>
      </c>
      <c r="K47" s="100" t="n">
        <v>5100</v>
      </c>
      <c r="M47" s="100" t="n">
        <v>0</v>
      </c>
      <c r="N47" s="101" t="inlineStr">
        <is>
          <t>Dpto 104</t>
        </is>
      </c>
      <c r="O47" s="102" t="n">
        <v>0.01026156941649899</v>
      </c>
    </row>
    <row r="48" ht="28.8" customHeight="1">
      <c r="A48" s="103" t="n">
        <v>44</v>
      </c>
      <c r="B48" s="103" t="inlineStr">
        <is>
          <t>Vivina Pasco Blas Vda. De Saenz</t>
        </is>
      </c>
      <c r="E48" s="103" t="inlineStr">
        <is>
          <t>Beyond</t>
        </is>
      </c>
      <c r="G48" s="103" t="inlineStr">
        <is>
          <t>Ahorro</t>
        </is>
      </c>
      <c r="I48" s="104" t="n">
        <v>528000</v>
      </c>
      <c r="K48" s="104" t="n">
        <v>1000</v>
      </c>
      <c r="M48" s="104" t="n">
        <v>5</v>
      </c>
      <c r="N48" s="105" t="inlineStr">
        <is>
          <t>Dpto 603, Estc E 37 - D 23</t>
        </is>
      </c>
      <c r="O48" s="106" t="n">
        <v>0.001893939393939394</v>
      </c>
    </row>
  </sheetData>
  <mergeCells count="271">
    <mergeCell ref="G21:H21"/>
    <mergeCell ref="B42:D42"/>
    <mergeCell ref="B11:D11"/>
    <mergeCell ref="O7:P7"/>
    <mergeCell ref="K24:L24"/>
    <mergeCell ref="O6:P6"/>
    <mergeCell ref="K33:L33"/>
    <mergeCell ref="O15:P15"/>
    <mergeCell ref="E23:F23"/>
    <mergeCell ref="B44:D44"/>
    <mergeCell ref="G23:H23"/>
    <mergeCell ref="I26:J26"/>
    <mergeCell ref="E8:F8"/>
    <mergeCell ref="K26:L26"/>
    <mergeCell ref="B34:D34"/>
    <mergeCell ref="B28:D28"/>
    <mergeCell ref="K35:L35"/>
    <mergeCell ref="B37:D37"/>
    <mergeCell ref="I16:J16"/>
    <mergeCell ref="I25:J25"/>
    <mergeCell ref="O32:P32"/>
    <mergeCell ref="B30:D30"/>
    <mergeCell ref="O26:P26"/>
    <mergeCell ref="O41:P41"/>
    <mergeCell ref="G18:H18"/>
    <mergeCell ref="O35:P35"/>
    <mergeCell ref="B6:D6"/>
    <mergeCell ref="I18:J18"/>
    <mergeCell ref="B20:D20"/>
    <mergeCell ref="E34:F34"/>
    <mergeCell ref="O16:P16"/>
    <mergeCell ref="G34:H34"/>
    <mergeCell ref="O25:P25"/>
    <mergeCell ref="O43:P43"/>
    <mergeCell ref="I42:J42"/>
    <mergeCell ref="B4:D4"/>
    <mergeCell ref="K42:L42"/>
    <mergeCell ref="E27:F27"/>
    <mergeCell ref="O40:P40"/>
    <mergeCell ref="E36:F36"/>
    <mergeCell ref="O27:P27"/>
    <mergeCell ref="O8:P8"/>
    <mergeCell ref="I44:J44"/>
    <mergeCell ref="O17:P17"/>
    <mergeCell ref="G20:H20"/>
    <mergeCell ref="O11:P11"/>
    <mergeCell ref="I20:J20"/>
    <mergeCell ref="K28:L28"/>
    <mergeCell ref="K37:L37"/>
    <mergeCell ref="E22:F22"/>
    <mergeCell ref="G44:H44"/>
    <mergeCell ref="I13:J13"/>
    <mergeCell ref="G22:H22"/>
    <mergeCell ref="B43:D43"/>
    <mergeCell ref="K13:L13"/>
    <mergeCell ref="I30:J30"/>
    <mergeCell ref="E12:F12"/>
    <mergeCell ref="K30:L30"/>
    <mergeCell ref="G12:H12"/>
    <mergeCell ref="I6:J6"/>
    <mergeCell ref="I46:J46"/>
    <mergeCell ref="I15:J15"/>
    <mergeCell ref="B8:D8"/>
    <mergeCell ref="K15:L15"/>
    <mergeCell ref="B17:D17"/>
    <mergeCell ref="E5:F5"/>
    <mergeCell ref="E14:F14"/>
    <mergeCell ref="E48:F48"/>
    <mergeCell ref="G40:H40"/>
    <mergeCell ref="O45:P45"/>
    <mergeCell ref="G48:H48"/>
    <mergeCell ref="K21:L21"/>
    <mergeCell ref="B10:D10"/>
    <mergeCell ref="E4:F4"/>
    <mergeCell ref="B19:D19"/>
    <mergeCell ref="E38:F38"/>
    <mergeCell ref="O29:P29"/>
    <mergeCell ref="G7:H7"/>
    <mergeCell ref="G38:H38"/>
    <mergeCell ref="I32:J32"/>
    <mergeCell ref="I7:J7"/>
    <mergeCell ref="K32:L32"/>
    <mergeCell ref="I41:J41"/>
    <mergeCell ref="B9:D9"/>
    <mergeCell ref="K41:L41"/>
    <mergeCell ref="O44:P44"/>
    <mergeCell ref="E40:F40"/>
    <mergeCell ref="O31:P31"/>
    <mergeCell ref="I43:J43"/>
    <mergeCell ref="B5:D5"/>
    <mergeCell ref="B36:D36"/>
    <mergeCell ref="K43:L43"/>
    <mergeCell ref="O21:P21"/>
    <mergeCell ref="G24:H24"/>
    <mergeCell ref="B45:D45"/>
    <mergeCell ref="I24:J24"/>
    <mergeCell ref="G33:H33"/>
    <mergeCell ref="I33:J33"/>
    <mergeCell ref="K27:L27"/>
    <mergeCell ref="I8:J8"/>
    <mergeCell ref="O37:P37"/>
    <mergeCell ref="E26:F26"/>
    <mergeCell ref="I17:J17"/>
    <mergeCell ref="G26:H26"/>
    <mergeCell ref="B47:D47"/>
    <mergeCell ref="K17:L17"/>
    <mergeCell ref="G35:H35"/>
    <mergeCell ref="I35:J35"/>
    <mergeCell ref="E16:F16"/>
    <mergeCell ref="B31:D31"/>
    <mergeCell ref="B46:D46"/>
    <mergeCell ref="G16:H16"/>
    <mergeCell ref="E25:F25"/>
    <mergeCell ref="I10:J10"/>
    <mergeCell ref="G25:H25"/>
    <mergeCell ref="K10:L10"/>
    <mergeCell ref="I19:J19"/>
    <mergeCell ref="K19:L19"/>
    <mergeCell ref="B21:D21"/>
    <mergeCell ref="K6:L6"/>
    <mergeCell ref="G9:H9"/>
    <mergeCell ref="E18:F18"/>
    <mergeCell ref="B39:D39"/>
    <mergeCell ref="I9:J9"/>
    <mergeCell ref="B48:D48"/>
    <mergeCell ref="K16:L16"/>
    <mergeCell ref="K25:L25"/>
    <mergeCell ref="B14:D14"/>
    <mergeCell ref="O19:P19"/>
    <mergeCell ref="B23:D23"/>
    <mergeCell ref="O34:P34"/>
    <mergeCell ref="A1:P2"/>
    <mergeCell ref="G11:H11"/>
    <mergeCell ref="O28:P28"/>
    <mergeCell ref="G42:H42"/>
    <mergeCell ref="K9:L9"/>
    <mergeCell ref="I11:J11"/>
    <mergeCell ref="K5:L5"/>
    <mergeCell ref="B13:D13"/>
    <mergeCell ref="I45:J45"/>
    <mergeCell ref="O9:P9"/>
    <mergeCell ref="K45:L45"/>
    <mergeCell ref="E39:F39"/>
    <mergeCell ref="O39:P39"/>
    <mergeCell ref="O36:P36"/>
    <mergeCell ref="G39:H39"/>
    <mergeCell ref="E44:F44"/>
    <mergeCell ref="O30:P30"/>
    <mergeCell ref="K29:L29"/>
    <mergeCell ref="K11:L11"/>
    <mergeCell ref="E20:F20"/>
    <mergeCell ref="I47:J47"/>
    <mergeCell ref="E29:F29"/>
    <mergeCell ref="O5:P5"/>
    <mergeCell ref="O20:P20"/>
    <mergeCell ref="K47:L47"/>
    <mergeCell ref="K44:L44"/>
    <mergeCell ref="G37:H37"/>
    <mergeCell ref="E13:F13"/>
    <mergeCell ref="I37:J37"/>
    <mergeCell ref="K31:L31"/>
    <mergeCell ref="G13:H13"/>
    <mergeCell ref="K46:L46"/>
    <mergeCell ref="O4:P4"/>
    <mergeCell ref="K40:L40"/>
    <mergeCell ref="E31:F31"/>
    <mergeCell ref="O22:P22"/>
    <mergeCell ref="I21:J21"/>
    <mergeCell ref="E6:F6"/>
    <mergeCell ref="E15:F15"/>
    <mergeCell ref="K8:L8"/>
    <mergeCell ref="B41:D41"/>
    <mergeCell ref="G15:H15"/>
    <mergeCell ref="E46:F46"/>
    <mergeCell ref="B35:D35"/>
    <mergeCell ref="O46:P46"/>
    <mergeCell ref="I23:J23"/>
    <mergeCell ref="K23:L23"/>
    <mergeCell ref="O47:P47"/>
    <mergeCell ref="B25:D25"/>
    <mergeCell ref="O48:P48"/>
    <mergeCell ref="K7:L7"/>
    <mergeCell ref="E32:F32"/>
    <mergeCell ref="E7:F7"/>
    <mergeCell ref="B22:D22"/>
    <mergeCell ref="G32:H32"/>
    <mergeCell ref="E41:F41"/>
    <mergeCell ref="O23:P23"/>
    <mergeCell ref="G41:H41"/>
    <mergeCell ref="O38:P38"/>
    <mergeCell ref="B12:D12"/>
    <mergeCell ref="K18:L18"/>
    <mergeCell ref="E43:F43"/>
    <mergeCell ref="I34:J34"/>
    <mergeCell ref="G43:H43"/>
    <mergeCell ref="K34:L34"/>
    <mergeCell ref="E24:F24"/>
    <mergeCell ref="O10:P10"/>
    <mergeCell ref="E33:F33"/>
    <mergeCell ref="O24:P24"/>
    <mergeCell ref="G27:H27"/>
    <mergeCell ref="E42:F42"/>
    <mergeCell ref="O18:P18"/>
    <mergeCell ref="I27:J27"/>
    <mergeCell ref="O33:P33"/>
    <mergeCell ref="G36:H36"/>
    <mergeCell ref="I36:J36"/>
    <mergeCell ref="G8:H8"/>
    <mergeCell ref="E17:F17"/>
    <mergeCell ref="B29:D29"/>
    <mergeCell ref="K36:L36"/>
    <mergeCell ref="G17:H17"/>
    <mergeCell ref="B38:D38"/>
    <mergeCell ref="E35:F35"/>
    <mergeCell ref="K20:L20"/>
    <mergeCell ref="E10:F10"/>
    <mergeCell ref="G10:H10"/>
    <mergeCell ref="E19:F19"/>
    <mergeCell ref="G19:H19"/>
    <mergeCell ref="E28:F28"/>
    <mergeCell ref="B40:D40"/>
    <mergeCell ref="G28:H28"/>
    <mergeCell ref="G6:H6"/>
    <mergeCell ref="I22:J22"/>
    <mergeCell ref="B15:D15"/>
    <mergeCell ref="K22:L22"/>
    <mergeCell ref="E9:F9"/>
    <mergeCell ref="I28:J28"/>
    <mergeCell ref="B24:D24"/>
    <mergeCell ref="B33:D33"/>
    <mergeCell ref="I12:J12"/>
    <mergeCell ref="E30:F30"/>
    <mergeCell ref="K12:L12"/>
    <mergeCell ref="G30:H30"/>
    <mergeCell ref="B32:D32"/>
    <mergeCell ref="E11:F11"/>
    <mergeCell ref="G5:H5"/>
    <mergeCell ref="B26:D26"/>
    <mergeCell ref="E45:F45"/>
    <mergeCell ref="I5:J5"/>
    <mergeCell ref="G14:H14"/>
    <mergeCell ref="O42:P42"/>
    <mergeCell ref="I39:J39"/>
    <mergeCell ref="I14:J14"/>
    <mergeCell ref="G45:H45"/>
    <mergeCell ref="B7:D7"/>
    <mergeCell ref="I48:J48"/>
    <mergeCell ref="K14:L14"/>
    <mergeCell ref="K39:L39"/>
    <mergeCell ref="K48:L48"/>
    <mergeCell ref="O12:P12"/>
    <mergeCell ref="B16:D16"/>
    <mergeCell ref="G29:H29"/>
    <mergeCell ref="G4:H4"/>
    <mergeCell ref="I29:J29"/>
    <mergeCell ref="I4:J4"/>
    <mergeCell ref="O13:P13"/>
    <mergeCell ref="I38:J38"/>
    <mergeCell ref="G47:H47"/>
    <mergeCell ref="K38:L38"/>
    <mergeCell ref="O14:P14"/>
    <mergeCell ref="B18:D18"/>
    <mergeCell ref="B27:D27"/>
    <mergeCell ref="G31:H31"/>
    <mergeCell ref="E37:F37"/>
    <mergeCell ref="G46:H46"/>
    <mergeCell ref="I31:J31"/>
    <mergeCell ref="K4:L4"/>
    <mergeCell ref="I40:J40"/>
    <mergeCell ref="E47:F47"/>
    <mergeCell ref="E21:F21"/>
  </mergeCells>
  <conditionalFormatting sqref="K5:K48">
    <cfRule type="dataBar" priority="1">
      <dataBar>
        <cfvo type="num" val="0"/>
        <cfvo type="num" val="580000"/>
        <color rgb="FFE73349"/>
      </dataBar>
    </cfRule>
  </conditionalFormatting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4" topLeftCell="A5" activePane="bottomLeft" state="frozen"/>
      <selection pane="bottomLeft" activeCell="A1" sqref="A1"/>
    </sheetView>
  </sheetViews>
  <sheetFormatPr baseColWidth="10" defaultRowHeight="14.4"/>
  <cols>
    <col width="23.33203125" customWidth="1" min="1" max="1"/>
    <col width="19.21875" customWidth="1" min="2" max="2"/>
    <col width="16.21875" customWidth="1" min="3" max="3"/>
    <col width="17.88671875" customWidth="1" min="4" max="4"/>
    <col width="13" customWidth="1" min="5" max="5"/>
    <col width="16.21875" customWidth="1" min="6" max="6"/>
    <col width="14" customWidth="1" min="7" max="7"/>
    <col width="14.33203125" customWidth="1" min="8" max="8"/>
  </cols>
  <sheetData>
    <row r="1" ht="36" customHeight="1">
      <c r="A1" s="79" t="inlineStr">
        <is>
          <t>RESUMEN DE COBRANZAS</t>
        </is>
      </c>
      <c r="I1" s="73" t="n"/>
    </row>
    <row r="2" ht="30" customHeight="1">
      <c r="I2" s="73" t="n"/>
    </row>
    <row r="3">
      <c r="A3" s="73" t="n"/>
      <c r="B3" s="73" t="n"/>
      <c r="C3" s="73" t="n"/>
      <c r="D3" s="73" t="n"/>
      <c r="E3" s="73" t="n"/>
      <c r="F3" s="73" t="n"/>
      <c r="G3" s="73" t="n"/>
      <c r="H3" s="73" t="n"/>
      <c r="I3" s="73" t="n"/>
    </row>
    <row r="4" ht="46.8" customHeight="1">
      <c r="A4" s="107" t="inlineStr">
        <is>
          <t>Proyecto</t>
        </is>
      </c>
      <c r="B4" s="107" t="inlineStr">
        <is>
          <t>Precio Venta</t>
        </is>
      </c>
      <c r="C4" s="107" t="inlineStr">
        <is>
          <t>Cobrado</t>
        </is>
      </c>
      <c r="D4" s="107" t="inlineStr">
        <is>
          <t>Por Cobrar</t>
        </is>
      </c>
      <c r="E4" s="107" t="inlineStr">
        <is>
          <t>Vencido</t>
        </is>
      </c>
      <c r="F4" s="107" t="inlineStr">
        <is>
          <t>Tasa Morosidad</t>
        </is>
      </c>
      <c r="G4" s="107" t="inlineStr">
        <is>
          <t>Cantidad de Clientes Morosos</t>
        </is>
      </c>
      <c r="H4" s="107" t="inlineStr">
        <is>
          <t>Días de Atraso Promedio</t>
        </is>
      </c>
      <c r="I4" s="73" t="n"/>
    </row>
    <row r="5" ht="18" customHeight="1">
      <c r="A5" s="108" t="inlineStr">
        <is>
          <t>Beyond</t>
        </is>
      </c>
      <c r="B5" s="109" t="n">
        <v>20920400</v>
      </c>
      <c r="C5" s="109" t="n">
        <v>2294760.21</v>
      </c>
      <c r="D5" s="109" t="n">
        <v>14641347.57</v>
      </c>
      <c r="E5" s="91" t="n">
        <v>3984292.22</v>
      </c>
      <c r="F5" s="110" t="n">
        <v>0.1904500975124759</v>
      </c>
      <c r="G5" s="109" t="n">
        <v>26</v>
      </c>
      <c r="H5" s="111" t="n">
        <v>94</v>
      </c>
      <c r="I5" s="112">
        <f>IF(ROUND(B5,0)=ROUND(C5+D5+E5,0),"OK","REVISAR")</f>
        <v/>
      </c>
    </row>
    <row r="6" ht="20.4" customHeight="1">
      <c r="A6" s="113" t="inlineStr">
        <is>
          <t>Venecia</t>
        </is>
      </c>
      <c r="B6" s="97" t="n">
        <v>8513900</v>
      </c>
      <c r="C6" s="97" t="n">
        <v>1799153.34</v>
      </c>
      <c r="D6" s="97" t="n">
        <v>4664306.66</v>
      </c>
      <c r="E6" s="95" t="n">
        <v>2050440</v>
      </c>
      <c r="F6" s="114" t="n">
        <v>0.2408344002161172</v>
      </c>
      <c r="G6" s="97" t="n">
        <v>10</v>
      </c>
      <c r="H6" s="104" t="n">
        <v>17</v>
      </c>
      <c r="I6" s="112">
        <f>IF(ROUND(B6,0)=ROUND(C6+D6+E6,0),"OK","REVISAR")</f>
        <v/>
      </c>
    </row>
    <row r="7" ht="18" customHeight="1">
      <c r="A7" s="108" t="inlineStr">
        <is>
          <t>Prada</t>
        </is>
      </c>
      <c r="B7" s="109" t="n">
        <v>24971100</v>
      </c>
      <c r="C7" s="109" t="n">
        <v>21018930.18</v>
      </c>
      <c r="D7" s="109" t="n">
        <v>2027239.8</v>
      </c>
      <c r="E7" s="91" t="n">
        <v>1924930</v>
      </c>
      <c r="F7" s="110" t="n">
        <v>0.07708631177641354</v>
      </c>
      <c r="G7" s="109" t="n">
        <v>8</v>
      </c>
      <c r="H7" s="111" t="n">
        <v>65</v>
      </c>
      <c r="I7" s="112">
        <f>IF(ROUND(B7,0)=ROUND(C7+D7+E7,0),"OK","REVISAR")</f>
        <v/>
      </c>
    </row>
    <row r="8">
      <c r="A8" s="115" t="inlineStr">
        <is>
          <t>TOTAL</t>
        </is>
      </c>
      <c r="B8" s="116" t="n">
        <v>54405400</v>
      </c>
      <c r="C8" s="116" t="n">
        <v>25112843.73</v>
      </c>
      <c r="D8" s="116" t="n">
        <v>21332894.03</v>
      </c>
      <c r="E8" s="116" t="n">
        <v>7959662.22</v>
      </c>
      <c r="F8" s="117" t="n">
        <v>0.146302797516423</v>
      </c>
      <c r="G8" s="118" t="n">
        <v>44</v>
      </c>
      <c r="H8" s="119" t="n">
        <v>57</v>
      </c>
      <c r="I8" s="112">
        <f>IF(ROUND(B8,0)=ROUND(C8+D8+E8,0),"OK","REVISAR")</f>
        <v/>
      </c>
    </row>
    <row r="9">
      <c r="A9" s="73" t="n"/>
      <c r="B9" s="73" t="n"/>
      <c r="C9" s="73" t="n"/>
      <c r="D9" s="73" t="n"/>
      <c r="E9" s="73" t="n"/>
      <c r="F9" s="73" t="n"/>
      <c r="G9" s="73" t="n"/>
      <c r="H9" s="73" t="n"/>
      <c r="I9" s="73" t="n"/>
    </row>
    <row r="10">
      <c r="A10" s="73" t="n"/>
      <c r="B10" s="73" t="n"/>
      <c r="C10" s="73" t="n"/>
      <c r="D10" s="73" t="n"/>
      <c r="E10" s="73" t="n"/>
      <c r="F10" s="73" t="n"/>
      <c r="G10" s="73" t="n"/>
      <c r="H10" s="73" t="n"/>
      <c r="I10" s="73" t="n"/>
    </row>
    <row r="11" ht="24" customHeight="1">
      <c r="A11" s="120" t="inlineStr">
        <is>
          <t>Nota:</t>
        </is>
      </c>
      <c r="B11" s="121" t="inlineStr">
        <is>
          <t>Marynn Yahara Minetto Peralta es cliente de Beyond y Prada.</t>
        </is>
      </c>
      <c r="I11" s="73" t="n"/>
    </row>
  </sheetData>
  <mergeCells count="2">
    <mergeCell ref="A1:H2"/>
    <mergeCell ref="B11:H11"/>
  </mergeCells>
  <conditionalFormatting sqref="A5:A7 E5:E7">
    <cfRule type="expression" priority="11" dxfId="0">
      <formula>AND($C5&gt;0,#REF!=MAX(#REF!))</formula>
    </cfRule>
  </conditionalFormatting>
  <conditionalFormatting sqref="E5:E7">
    <cfRule type="dataBar" priority="5">
      <dataBar>
        <cfvo type="min"/>
        <cfvo type="max"/>
        <color rgb="FFDC0D22"/>
      </dataBar>
    </cfRule>
    <cfRule type="dataBar" priority="6">
      <dataBar>
        <cfvo type="min"/>
        <cfvo type="max"/>
        <color rgb="FFDC0D22"/>
      </dataBar>
    </cfRule>
    <cfRule type="dataBar" priority="8">
      <dataBar>
        <cfvo type="min"/>
        <cfvo type="max"/>
        <color rgb="FFDC0D22"/>
      </dataBar>
    </cfRule>
  </conditionalFormatting>
  <conditionalFormatting sqref="H5:H7">
    <cfRule type="dataBar" priority="1">
      <dataBar>
        <cfvo type="min"/>
        <cfvo type="max"/>
        <color rgb="FFC17510"/>
      </dataBar>
    </cfRule>
    <cfRule type="dataBar" priority="2">
      <dataBar>
        <cfvo type="min"/>
        <cfvo type="max"/>
        <color rgb="FFC17510"/>
      </dataBar>
    </cfRule>
    <cfRule type="expression" priority="3" dxfId="0">
      <formula>AND($C5&gt;0,$E5=MAX($E$5:$E$7))</formula>
    </cfRule>
    <cfRule type="dataBar" priority="4">
      <dataBar>
        <cfvo type="min"/>
        <cfvo type="max"/>
        <color rgb="FFC17510"/>
      </dataBar>
    </cfRule>
  </conditionalFormatting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Eduardo Huamani</dc:creator>
  <dcterms:created xsi:type="dcterms:W3CDTF">2026-07-10T15:59:11Z</dcterms:created>
  <dcterms:modified xsi:type="dcterms:W3CDTF">2026-07-17T13:33:39Z</dcterms:modified>
  <cp:lastModifiedBy>Eduardo Huamani</cp:lastModifiedBy>
</cp:coreProperties>
</file>