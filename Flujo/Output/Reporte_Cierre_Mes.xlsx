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Base_Cobranzas" sheetId="1" state="hidden" r:id="rId1"/>
    <sheet name="Prada" sheetId="2" state="visible" r:id="rId2"/>
    <sheet name="Beyond" sheetId="3" state="visible" r:id="rId3"/>
    <sheet name="Venecia" sheetId="4" state="visible" r:id="rId4"/>
    <sheet name="Reporte_General" sheetId="5" state="visible" r:id="rId5"/>
    <sheet name="Reporte_Cliente" sheetId="6" state="visible" r:id="rId6"/>
    <sheet name="Reporte_Proyecto" sheetId="7" state="visible" r:id="rId7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_-* #,##0_-;\-* #,##0_-;_-* &quot;-&quot;??_-;_-@_-"/>
    <numFmt numFmtId="165" formatCode="_-* #,##0.00_-;\-* #,##0.00_-;_-* &quot;-&quot;??_-;_-@_-"/>
    <numFmt numFmtId="166" formatCode="0.0%"/>
    <numFmt numFmtId="167" formatCode="dd/mm/yyyy"/>
    <numFmt numFmtId="168" formatCode="yyyy-mm-dd h:mm:ss"/>
    <numFmt numFmtId="169" formatCode="#,##0;-#,##0;-"/>
    <numFmt numFmtId="170" formatCode="#,##0;\-#,##0;\-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theme="0"/>
      <sz val="11"/>
      <scheme val="minor"/>
    </font>
    <font>
      <name val="Aptos Narrow"/>
      <family val="2"/>
      <b val="1"/>
      <color rgb="FFFFFFFF"/>
      <sz val="16"/>
    </font>
    <font>
      <name val="Aptos Narrow"/>
      <family val="2"/>
      <b val="1"/>
      <color rgb="FFFFFFFF"/>
      <sz val="13"/>
    </font>
    <font>
      <name val="Aptos Narrow"/>
      <family val="2"/>
      <b val="1"/>
      <color rgb="FF0F2344"/>
      <sz val="13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FFFF"/>
      <sz val="12"/>
    </font>
    <font>
      <name val="Aptos Narrow"/>
      <family val="2"/>
      <b val="1"/>
      <color rgb="FFF4F6F8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0"/>
      <sz val="11"/>
    </font>
    <font>
      <name val="Aptos Narrow"/>
      <family val="2"/>
      <color rgb="FF0F2344"/>
      <sz val="11"/>
    </font>
    <font>
      <name val="Aptos Narrow"/>
      <family val="2"/>
      <b val="1"/>
      <color rgb="FFFFFFFF"/>
      <sz val="11"/>
    </font>
    <font>
      <name val="Aptos Narrow"/>
      <family val="2"/>
      <b val="1"/>
      <color rgb="FF0F2344"/>
      <sz val="12"/>
    </font>
  </fonts>
  <fills count="2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A7679"/>
        <bgColor indexed="64"/>
      </patternFill>
    </fill>
    <fill>
      <patternFill patternType="solid">
        <fgColor rgb="FF0F2344"/>
        <bgColor indexed="64"/>
      </patternFill>
    </fill>
    <fill>
      <patternFill patternType="solid">
        <fgColor rgb="FF80171B"/>
        <bgColor indexed="64"/>
      </patternFill>
    </fill>
    <fill>
      <patternFill patternType="solid">
        <fgColor rgb="00F2F2F2"/>
      </patternFill>
    </fill>
    <fill>
      <patternFill patternType="solid">
        <fgColor rgb="00D0D0D0"/>
      </patternFill>
    </fill>
    <fill>
      <patternFill patternType="solid">
        <fgColor rgb="FF0F2344"/>
      </patternFill>
    </fill>
    <fill>
      <patternFill patternType="solid">
        <fgColor rgb="FFC17510"/>
      </patternFill>
    </fill>
    <fill>
      <patternFill patternType="solid">
        <fgColor rgb="FFF9DABD"/>
      </patternFill>
    </fill>
    <fill>
      <patternFill patternType="solid">
        <fgColor rgb="FFC17510"/>
        <bgColor indexed="64"/>
      </patternFill>
    </fill>
    <fill>
      <patternFill patternType="solid">
        <fgColor rgb="FFF9DABD"/>
        <bgColor indexed="64"/>
      </patternFill>
    </fill>
    <fill>
      <patternFill patternType="solid">
        <fgColor rgb="FFDC0D22"/>
      </patternFill>
    </fill>
    <fill>
      <patternFill patternType="solid">
        <fgColor theme="0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80171B"/>
      </patternFill>
    </fill>
    <fill>
      <patternFill patternType="solid">
        <fgColor theme="0"/>
      </patternFill>
    </fill>
    <fill>
      <patternFill patternType="solid">
        <fgColor rgb="FFF4F6F8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20">
    <xf numFmtId="0" fontId="0" fillId="0" borderId="0" pivotButton="0" quotePrefix="0" xfId="0"/>
    <xf numFmtId="0" fontId="4" fillId="0" borderId="0" pivotButton="0" quotePrefix="0" xfId="0"/>
    <xf numFmtId="164" fontId="0" fillId="0" borderId="0" pivotButton="0" quotePrefix="0" xfId="1"/>
    <xf numFmtId="164" fontId="0" fillId="0" borderId="0" pivotButton="0" quotePrefix="0" xfId="0"/>
    <xf numFmtId="0" fontId="0" fillId="0" borderId="1" pivotButton="0" quotePrefix="0" xfId="0"/>
    <xf numFmtId="164" fontId="0" fillId="2" borderId="0" pivotButton="0" quotePrefix="0" xfId="1"/>
    <xf numFmtId="164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0" fillId="4" borderId="0" pivotButton="0" quotePrefix="0" xfId="1"/>
    <xf numFmtId="0" fontId="2" fillId="5" borderId="1" pivotButton="0" quotePrefix="0" xfId="0"/>
    <xf numFmtId="165" fontId="2" fillId="5" borderId="1" pivotButton="0" quotePrefix="0" xfId="1"/>
    <xf numFmtId="9" fontId="0" fillId="6" borderId="1" applyAlignment="1" pivotButton="0" quotePrefix="0" xfId="2">
      <alignment horizontal="center" vertical="center"/>
    </xf>
    <xf numFmtId="9" fontId="0" fillId="0" borderId="1" applyAlignment="1" pivotButton="0" quotePrefix="0" xfId="2">
      <alignment horizontal="center"/>
    </xf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9" fontId="3" fillId="8" borderId="1" applyAlignment="1" pivotButton="0" quotePrefix="0" xfId="2">
      <alignment horizontal="center" vertical="center"/>
    </xf>
    <xf numFmtId="164" fontId="2" fillId="5" borderId="1" pivotButton="0" quotePrefix="0" xfId="1"/>
    <xf numFmtId="164" fontId="0" fillId="0" borderId="1" pivotButton="0" quotePrefix="0" xfId="0"/>
    <xf numFmtId="164" fontId="3" fillId="7" borderId="1" pivotButton="0" quotePrefix="0" xfId="0"/>
    <xf numFmtId="164" fontId="0" fillId="6" borderId="1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0">
      <alignment horizontal="center"/>
    </xf>
    <xf numFmtId="164" fontId="3" fillId="8" borderId="1" applyAlignment="1" pivotButton="0" quotePrefix="0" xfId="1">
      <alignment horizontal="center" vertical="center"/>
    </xf>
    <xf numFmtId="0" fontId="3" fillId="0" borderId="0" pivotButton="0" quotePrefix="0" xfId="0"/>
    <xf numFmtId="17" fontId="3" fillId="7" borderId="1" pivotButton="0" quotePrefix="0" xfId="0"/>
    <xf numFmtId="17" fontId="3" fillId="7" borderId="1" applyAlignment="1" pivotButton="0" quotePrefix="0" xfId="0">
      <alignment horizontal="center"/>
    </xf>
    <xf numFmtId="14" fontId="0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166" fontId="0" fillId="0" borderId="1" applyAlignment="1" pivotButton="0" quotePrefix="0" xfId="2">
      <alignment horizontal="center"/>
    </xf>
    <xf numFmtId="164" fontId="6" fillId="6" borderId="1" applyAlignment="1" pivotButton="0" quotePrefix="0" xfId="1">
      <alignment horizontal="center" vertical="center"/>
    </xf>
    <xf numFmtId="164" fontId="6" fillId="0" borderId="0" pivotButton="0" quotePrefix="0" xfId="0"/>
    <xf numFmtId="164" fontId="7" fillId="8" borderId="1" applyAlignment="1" pivotButton="0" quotePrefix="0" xfId="1">
      <alignment horizontal="center" vertical="center"/>
    </xf>
    <xf numFmtId="166" fontId="0" fillId="6" borderId="1" applyAlignment="1" pivotButton="0" quotePrefix="0" xfId="2">
      <alignment horizontal="center" vertical="center"/>
    </xf>
    <xf numFmtId="0" fontId="2" fillId="0" borderId="0" pivotButton="0" quotePrefix="0" xfId="0"/>
    <xf numFmtId="0" fontId="3" fillId="7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/>
    </xf>
    <xf numFmtId="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9" fontId="5" fillId="0" borderId="0" applyAlignment="1" pivotButton="0" quotePrefix="0" xfId="0">
      <alignment horizontal="center"/>
    </xf>
    <xf numFmtId="169" fontId="3" fillId="7" borderId="1" applyAlignment="1" pivotButton="0" quotePrefix="0" xfId="0">
      <alignment horizontal="center"/>
    </xf>
    <xf numFmtId="169" fontId="0" fillId="0" borderId="5" pivotButton="0" quotePrefix="0" xfId="0"/>
    <xf numFmtId="166" fontId="3" fillId="8" borderId="1" applyAlignment="1" pivotButton="0" quotePrefix="0" xfId="0">
      <alignment horizontal="center" vertical="center"/>
    </xf>
    <xf numFmtId="169" fontId="0" fillId="0" borderId="6" pivotButton="0" quotePrefix="0" xfId="0"/>
    <xf numFmtId="166" fontId="3" fillId="8" borderId="1" applyAlignment="1" pivotButton="0" quotePrefix="0" xfId="0">
      <alignment horizontal="center" vertical="center" wrapText="1"/>
    </xf>
    <xf numFmtId="169" fontId="3" fillId="8" borderId="1" applyAlignment="1" pivotButton="0" quotePrefix="0" xfId="0">
      <alignment horizontal="center" vertical="center" wrapText="1"/>
    </xf>
    <xf numFmtId="166" fontId="3" fillId="8" borderId="2" applyAlignment="1" pivotButton="0" quotePrefix="0" xfId="0">
      <alignment horizontal="center" vertical="center" wrapText="1"/>
    </xf>
    <xf numFmtId="169" fontId="3" fillId="8" borderId="2" applyAlignment="1" pivotButton="0" quotePrefix="0" xfId="0">
      <alignment horizontal="center" vertical="center" wrapText="1"/>
    </xf>
    <xf numFmtId="169" fontId="2" fillId="5" borderId="1" pivotButton="0" quotePrefix="0" xfId="1"/>
    <xf numFmtId="166" fontId="0" fillId="6" borderId="1" applyAlignment="1" pivotButton="0" quotePrefix="0" xfId="2">
      <alignment horizontal="center" vertical="center"/>
    </xf>
    <xf numFmtId="169" fontId="0" fillId="6" borderId="1" applyAlignment="1" pivotButton="0" quotePrefix="0" xfId="1">
      <alignment horizontal="center" vertical="center"/>
    </xf>
    <xf numFmtId="169" fontId="0" fillId="0" borderId="1" pivotButton="0" quotePrefix="0" xfId="0"/>
    <xf numFmtId="166" fontId="0" fillId="0" borderId="1" applyAlignment="1" pivotButton="0" quotePrefix="0" xfId="2">
      <alignment horizontal="center"/>
    </xf>
    <xf numFmtId="169" fontId="0" fillId="0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6" fontId="0" fillId="6" borderId="1" applyAlignment="1" pivotButton="0" quotePrefix="0" xfId="1">
      <alignment horizontal="center" vertical="center"/>
    </xf>
    <xf numFmtId="169" fontId="6" fillId="6" borderId="1" applyAlignment="1" pivotButton="0" quotePrefix="0" xfId="1">
      <alignment horizontal="center" vertical="center"/>
    </xf>
    <xf numFmtId="169" fontId="6" fillId="0" borderId="0" pivotButton="0" quotePrefix="0" xfId="0"/>
    <xf numFmtId="169" fontId="3" fillId="7" borderId="1" pivotButton="0" quotePrefix="0" xfId="0"/>
    <xf numFmtId="166" fontId="3" fillId="8" borderId="1" applyAlignment="1" pivotButton="0" quotePrefix="0" xfId="2">
      <alignment horizontal="center" vertical="center"/>
    </xf>
    <xf numFmtId="169" fontId="3" fillId="8" borderId="1" applyAlignment="1" pivotButton="0" quotePrefix="0" xfId="1">
      <alignment horizontal="center" vertical="center"/>
    </xf>
    <xf numFmtId="166" fontId="3" fillId="8" borderId="1" applyAlignment="1" pivotButton="0" quotePrefix="0" xfId="1">
      <alignment horizontal="center" vertical="center"/>
    </xf>
    <xf numFmtId="169" fontId="7" fillId="8" borderId="1" applyAlignment="1" pivotButton="0" quotePrefix="0" xfId="1">
      <alignment horizontal="center" vertical="center"/>
    </xf>
    <xf numFmtId="1" fontId="3" fillId="7" borderId="1" applyAlignment="1" pivotButton="0" quotePrefix="0" xfId="0">
      <alignment horizontal="center"/>
    </xf>
    <xf numFmtId="169" fontId="1" fillId="0" borderId="0" pivotButton="0" quotePrefix="0" xfId="1"/>
    <xf numFmtId="169" fontId="1" fillId="9" borderId="0" pivotButton="0" quotePrefix="0" xfId="1"/>
    <xf numFmtId="169" fontId="1" fillId="10" borderId="0" pivotButton="0" quotePrefix="0" xfId="1"/>
    <xf numFmtId="169" fontId="1" fillId="2" borderId="0" pivotButton="0" quotePrefix="0" xfId="0"/>
    <xf numFmtId="0" fontId="1" fillId="0" borderId="0" pivotButton="0" quotePrefix="0" xfId="0"/>
    <xf numFmtId="169" fontId="1" fillId="2" borderId="0" pivotButton="0" quotePrefix="0" xfId="1"/>
    <xf numFmtId="167" fontId="0" fillId="0" borderId="0" pivotButton="0" quotePrefix="0" xfId="0"/>
    <xf numFmtId="168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70" fontId="11" fillId="14" borderId="0" applyAlignment="1" pivotButton="0" quotePrefix="0" xfId="0">
      <alignment horizontal="center" vertical="center"/>
    </xf>
    <xf numFmtId="170" fontId="12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center" vertical="center" wrapText="1"/>
    </xf>
    <xf numFmtId="170" fontId="14" fillId="14" borderId="0" applyAlignment="1" pivotButton="0" quotePrefix="0" xfId="0">
      <alignment horizontal="center" vertical="center" wrapText="1"/>
    </xf>
    <xf numFmtId="0" fontId="15" fillId="15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1">
      <alignment horizontal="center" vertical="center" wrapText="1"/>
    </xf>
    <xf numFmtId="170" fontId="17" fillId="17" borderId="0" applyAlignment="1" pivotButton="0" quotePrefix="0" xfId="0">
      <alignment horizontal="center" vertical="center" wrapText="1"/>
    </xf>
    <xf numFmtId="166" fontId="17" fillId="17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1">
      <alignment horizontal="center" vertical="center" wrapText="1"/>
    </xf>
    <xf numFmtId="170" fontId="17" fillId="18" borderId="0" applyAlignment="1" pivotButton="0" quotePrefix="0" xfId="0">
      <alignment horizontal="center" vertical="center" wrapText="1"/>
    </xf>
    <xf numFmtId="166" fontId="17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0">
      <alignment horizontal="center" vertical="center" wrapText="1"/>
    </xf>
    <xf numFmtId="0" fontId="18" fillId="19" borderId="0" applyAlignment="1" pivotButton="0" quotePrefix="0" xfId="0">
      <alignment horizontal="center" vertical="center" wrapText="1"/>
    </xf>
    <xf numFmtId="0" fontId="17" fillId="20" borderId="0" applyAlignment="1" pivotButton="0" quotePrefix="0" xfId="0">
      <alignment horizontal="center" vertical="center" wrapText="1"/>
    </xf>
    <xf numFmtId="170" fontId="17" fillId="20" borderId="0" applyAlignment="1" pivotButton="0" quotePrefix="0" xfId="0">
      <alignment horizontal="center" vertical="center" wrapText="1"/>
    </xf>
    <xf numFmtId="1" fontId="17" fillId="20" borderId="0" applyAlignment="1" pivotButton="0" quotePrefix="0" xfId="0">
      <alignment horizontal="center" vertical="center" wrapText="1"/>
    </xf>
    <xf numFmtId="166" fontId="1" fillId="20" borderId="0" applyAlignment="1" pivotButton="0" quotePrefix="0" xfId="0">
      <alignment horizontal="center" vertical="center" wrapText="1"/>
    </xf>
    <xf numFmtId="0" fontId="17" fillId="21" borderId="0" applyAlignment="1" pivotButton="0" quotePrefix="0" xfId="0">
      <alignment horizontal="center" vertical="center" wrapText="1"/>
    </xf>
    <xf numFmtId="170" fontId="17" fillId="21" borderId="0" applyAlignment="1" pivotButton="0" quotePrefix="0" xfId="0">
      <alignment horizontal="center" vertical="center" wrapText="1"/>
    </xf>
    <xf numFmtId="1" fontId="17" fillId="21" borderId="0" applyAlignment="1" pivotButton="0" quotePrefix="0" xfId="0">
      <alignment horizontal="center" vertical="center" wrapText="1"/>
    </xf>
    <xf numFmtId="166" fontId="1" fillId="21" borderId="0" applyAlignment="1" pivotButton="0" quotePrefix="0" xfId="0">
      <alignment horizontal="center" vertical="center" wrapText="1"/>
    </xf>
    <xf numFmtId="0" fontId="13" fillId="19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0">
      <alignment horizontal="center" vertical="center" wrapText="1"/>
    </xf>
    <xf numFmtId="166" fontId="1" fillId="17" borderId="0" applyAlignment="1" pivotButton="0" quotePrefix="0" xfId="0">
      <alignment horizontal="center" vertical="center" wrapText="1"/>
    </xf>
    <xf numFmtId="170" fontId="17" fillId="2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9" fillId="18" borderId="0" applyAlignment="1" pivotButton="0" quotePrefix="0" xfId="0">
      <alignment horizontal="center" vertical="center" wrapText="1"/>
    </xf>
    <xf numFmtId="166" fontId="1" fillId="18" borderId="0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170" fontId="18" fillId="11" borderId="0" applyAlignment="1" pivotButton="0" quotePrefix="0" xfId="1">
      <alignment horizontal="center" vertical="center" wrapText="1"/>
    </xf>
    <xf numFmtId="166" fontId="3" fillId="7" borderId="0" applyAlignment="1" pivotButton="0" quotePrefix="0" xfId="0">
      <alignment horizontal="center" vertical="center" wrapText="1"/>
    </xf>
    <xf numFmtId="170" fontId="3" fillId="7" borderId="0" applyAlignment="1" pivotButton="0" quotePrefix="0" xfId="1">
      <alignment horizontal="center" vertical="center" wrapText="1"/>
    </xf>
    <xf numFmtId="170" fontId="3" fillId="7" borderId="0" applyAlignment="1" pivotButton="0" quotePrefix="0" xfId="0">
      <alignment horizontal="center" vertical="center" wrapText="1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b val="1"/>
        <color rgb="FF80171B"/>
      </font>
      <fill>
        <patternFill patternType="solid">
          <bgColor rgb="FFF9DAB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367447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352207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1</col>
      <colOff>121920</colOff>
      <row>1</row>
      <rowOff>329347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</cols>
  <sheetData>
    <row r="1">
      <c r="A1" t="inlineStr">
        <is>
          <t>Proyecto</t>
        </is>
      </c>
      <c r="B1" t="inlineStr">
        <is>
          <t>Etapa</t>
        </is>
      </c>
      <c r="C1" t="inlineStr">
        <is>
          <t>Tipo_Construccion_1</t>
        </is>
      </c>
      <c r="D1" t="inlineStr">
        <is>
          <t>Nombre_Tipo_Construccion_1</t>
        </is>
      </c>
      <c r="E1" t="inlineStr">
        <is>
          <t>TipoInmueble_1</t>
        </is>
      </c>
      <c r="F1" t="inlineStr">
        <is>
          <t>NroInmueble_1</t>
        </is>
      </c>
      <c r="G1" t="inlineStr">
        <is>
          <t>AreaTechada_1</t>
        </is>
      </c>
      <c r="H1" t="inlineStr">
        <is>
          <t>AreaLibre_1</t>
        </is>
      </c>
      <c r="I1" t="inlineStr">
        <is>
          <t>PrecioLista_1</t>
        </is>
      </c>
      <c r="J1" t="inlineStr">
        <is>
          <t>PrecioVenta_1</t>
        </is>
      </c>
      <c r="K1" t="inlineStr">
        <is>
          <t>Tipo_Construccion_2</t>
        </is>
      </c>
      <c r="L1" t="inlineStr">
        <is>
          <t>Nombre_Tipo_Construccion_2</t>
        </is>
      </c>
      <c r="M1" t="inlineStr">
        <is>
          <t>TipoInmueble_2</t>
        </is>
      </c>
      <c r="N1" t="inlineStr">
        <is>
          <t>NroInmueble_2</t>
        </is>
      </c>
      <c r="O1" t="inlineStr">
        <is>
          <t>AreaTechada_2</t>
        </is>
      </c>
      <c r="P1" t="inlineStr">
        <is>
          <t>AreaLibre_2</t>
        </is>
      </c>
      <c r="Q1" t="inlineStr">
        <is>
          <t>PrecioLista_2</t>
        </is>
      </c>
      <c r="R1" t="inlineStr">
        <is>
          <t>PrecioVenta_2</t>
        </is>
      </c>
      <c r="S1" t="inlineStr">
        <is>
          <t>Tipo_Construccion_3</t>
        </is>
      </c>
      <c r="T1" t="inlineStr">
        <is>
          <t>Nombre_Tipo_Construccion_3</t>
        </is>
      </c>
      <c r="U1" t="inlineStr">
        <is>
          <t>TipoInmueble_3</t>
        </is>
      </c>
      <c r="V1" t="inlineStr">
        <is>
          <t>NroInmueble_3</t>
        </is>
      </c>
      <c r="W1" t="inlineStr">
        <is>
          <t>AreaTechada_3</t>
        </is>
      </c>
      <c r="X1" t="inlineStr">
        <is>
          <t>AreaLibre_3</t>
        </is>
      </c>
      <c r="Y1" t="inlineStr">
        <is>
          <t>PrecioLista_3</t>
        </is>
      </c>
      <c r="Z1" t="inlineStr">
        <is>
          <t>PrecioVenta_3</t>
        </is>
      </c>
      <c r="AA1" t="inlineStr">
        <is>
          <t>Tipo_Construccion_4</t>
        </is>
      </c>
      <c r="AB1" t="inlineStr">
        <is>
          <t>Nombre_Tipo_Construccion_4</t>
        </is>
      </c>
      <c r="AC1" t="inlineStr">
        <is>
          <t>TipoInmueble_4</t>
        </is>
      </c>
      <c r="AD1" t="inlineStr">
        <is>
          <t>NroInmueble_4</t>
        </is>
      </c>
      <c r="AE1" t="inlineStr">
        <is>
          <t>AreaTechada_4</t>
        </is>
      </c>
      <c r="AF1" t="inlineStr">
        <is>
          <t>AreaLibre_4</t>
        </is>
      </c>
      <c r="AG1" t="inlineStr">
        <is>
          <t>PrecioLista_4</t>
        </is>
      </c>
      <c r="AH1" t="inlineStr">
        <is>
          <t>PrecioVenta_4</t>
        </is>
      </c>
      <c r="AI1" t="inlineStr">
        <is>
          <t>Nombres_Titular</t>
        </is>
      </c>
      <c r="AJ1" t="inlineStr">
        <is>
          <t>NroDocumento</t>
        </is>
      </c>
      <c r="AK1" t="inlineStr">
        <is>
          <t>Direccion</t>
        </is>
      </c>
      <c r="AL1" t="inlineStr">
        <is>
          <t>TelefonoCasa</t>
        </is>
      </c>
      <c r="AM1" t="inlineStr">
        <is>
          <t>TelefonoCelular</t>
        </is>
      </c>
      <c r="AN1" t="inlineStr">
        <is>
          <t>CorreoElectronico</t>
        </is>
      </c>
      <c r="AO1" t="inlineStr">
        <is>
          <t>Provincia</t>
        </is>
      </c>
      <c r="AP1" t="inlineStr">
        <is>
          <t>Distrito</t>
        </is>
      </c>
      <c r="AQ1" t="inlineStr">
        <is>
          <t>Fecha_Programada</t>
        </is>
      </c>
      <c r="AR1" t="inlineStr">
        <is>
          <t>FechaPago</t>
        </is>
      </c>
      <c r="AS1" t="inlineStr">
        <is>
          <t>Tipo_Cuota</t>
        </is>
      </c>
      <c r="AT1" t="inlineStr">
        <is>
          <t>Nro_Cuota</t>
        </is>
      </c>
      <c r="AU1" t="inlineStr">
        <is>
          <t>Capital</t>
        </is>
      </c>
      <c r="AV1" t="inlineStr">
        <is>
          <t>Intereses</t>
        </is>
      </c>
      <c r="AW1" t="inlineStr">
        <is>
          <t>GastosAdministrativos</t>
        </is>
      </c>
      <c r="AX1" t="inlineStr">
        <is>
          <t>Monto_Cuota</t>
        </is>
      </c>
      <c r="AY1" t="inlineStr">
        <is>
          <t>Monto_Cuota_Pagado</t>
        </is>
      </c>
      <c r="AZ1" t="inlineStr">
        <is>
          <t>SaldoPorPagarCuota</t>
        </is>
      </c>
      <c r="BA1" t="inlineStr">
        <is>
          <t>MontoMora</t>
        </is>
      </c>
      <c r="BB1" t="inlineStr">
        <is>
          <t>TipoFinanciamiento</t>
        </is>
      </c>
      <c r="BC1" t="inlineStr">
        <is>
          <t>Entidad_Financiera</t>
        </is>
      </c>
      <c r="BD1" t="inlineStr">
        <is>
          <t>Nro_Cuenta</t>
        </is>
      </c>
      <c r="BE1" t="inlineStr">
        <is>
          <t>Medio_Pago</t>
        </is>
      </c>
      <c r="BF1" t="inlineStr">
        <is>
          <t>Nro_Documento</t>
        </is>
      </c>
      <c r="BG1" t="inlineStr">
        <is>
          <t>Nro_Operacion</t>
        </is>
      </c>
      <c r="BH1" t="inlineStr">
        <is>
          <t>Verificado</t>
        </is>
      </c>
      <c r="BI1" t="inlineStr">
        <is>
          <t>OrigenFondo</t>
        </is>
      </c>
      <c r="BJ1" t="inlineStr">
        <is>
          <t>TipoCambio</t>
        </is>
      </c>
      <c r="BK1" t="inlineStr">
        <is>
          <t>Estado</t>
        </is>
      </c>
      <c r="BL1" t="inlineStr">
        <is>
          <t>Estado_Letra</t>
        </is>
      </c>
      <c r="BM1" t="inlineStr">
        <is>
          <t>Ubicación_Letra</t>
        </is>
      </c>
      <c r="BN1" t="inlineStr">
        <is>
          <t>Casuistica_Cuota</t>
        </is>
      </c>
      <c r="BO1" t="inlineStr">
        <is>
          <t>Accio_Cuota</t>
        </is>
      </c>
      <c r="BP1" t="inlineStr">
        <is>
          <t>FechaPromesa</t>
        </is>
      </c>
      <c r="BQ1" t="inlineStr">
        <is>
          <t>ValorCompromiso</t>
        </is>
      </c>
      <c r="BR1" t="inlineStr">
        <is>
          <t>Porcentaje</t>
        </is>
      </c>
      <c r="BS1" t="inlineStr">
        <is>
          <t>Comentario_Cuota</t>
        </is>
      </c>
      <c r="BT1" t="inlineStr">
        <is>
          <t>Fecha_Modificiacion_Seguimiento</t>
        </is>
      </c>
      <c r="BU1" t="inlineStr">
        <is>
          <t>Usuario_Modificiacion_Seguimiento</t>
        </is>
      </c>
      <c r="BV1" t="inlineStr">
        <is>
          <t>Doc_Adjunto</t>
        </is>
      </c>
      <c r="BW1" t="inlineStr">
        <is>
          <t>FechaOperacionComercial</t>
        </is>
      </c>
      <c r="BX1" t="inlineStr">
        <is>
          <t>Asesor_Comercial</t>
        </is>
      </c>
      <c r="BY1" t="inlineStr">
        <is>
          <t>Asesor_Banco</t>
        </is>
      </c>
      <c r="BZ1" t="inlineStr">
        <is>
          <t>Correlativo</t>
        </is>
      </c>
      <c r="CA1" t="inlineStr">
        <is>
          <t>Fecha_Registro_Pago_Cargado</t>
        </is>
      </c>
      <c r="CB1" t="inlineStr">
        <is>
          <t>ComisionPago</t>
        </is>
      </c>
      <c r="CC1" t="inlineStr">
        <is>
          <t>IdCotizacion</t>
        </is>
      </c>
      <c r="CD1" t="inlineStr">
        <is>
          <t>Doc_Contable</t>
        </is>
      </c>
      <c r="CE1" t="inlineStr">
        <is>
          <t>Monto_EstadoCuenta</t>
        </is>
      </c>
      <c r="CF1" t="inlineStr">
        <is>
          <t>Archivo_Origen</t>
        </is>
      </c>
      <c r="CG1" t="inlineStr">
        <is>
          <t>Anio_Descarga</t>
        </is>
      </c>
      <c r="CH1" t="inlineStr">
        <is>
          <t>Fecha_Inicio_Reporte</t>
        </is>
      </c>
      <c r="CI1" t="inlineStr">
        <is>
          <t>Fecha_Fin_Reporte</t>
        </is>
      </c>
    </row>
    <row r="2">
      <c r="A2" t="inlineStr">
        <is>
          <t>RESIDENCIAL PRADA</t>
        </is>
      </c>
      <c r="B2" t="inlineStr">
        <is>
          <t>Etapa 1</t>
        </is>
      </c>
      <c r="C2" t="inlineStr">
        <is>
          <t>Edificio</t>
        </is>
      </c>
      <c r="D2" t="inlineStr">
        <is>
          <t>A</t>
        </is>
      </c>
      <c r="E2" t="inlineStr">
        <is>
          <t>Departamento</t>
        </is>
      </c>
      <c r="F2" t="inlineStr">
        <is>
          <t>103</t>
        </is>
      </c>
      <c r="G2" t="n">
        <v>60.94</v>
      </c>
      <c r="H2" t="n">
        <v>30.59</v>
      </c>
      <c r="I2" s="39" t="n">
        <v>520400</v>
      </c>
      <c r="J2" s="39" t="n">
        <v>520400</v>
      </c>
      <c r="Q2" s="39" t="n"/>
      <c r="R2" s="39" t="n"/>
      <c r="Y2" s="39" t="n"/>
      <c r="Z2" s="39" t="n"/>
      <c r="AG2" s="39" t="n"/>
      <c r="AH2" s="39" t="n"/>
      <c r="AI2" t="inlineStr">
        <is>
          <t>Ayleen Katia Messarina Rios</t>
        </is>
      </c>
      <c r="AJ2" t="inlineStr">
        <is>
          <t>70512701</t>
        </is>
      </c>
      <c r="AK2" t="inlineStr">
        <is>
          <t>Departamento 101 Urbanización Santa Rosa de Surco etapa 2 Mz D Lt 23</t>
        </is>
      </c>
      <c r="AL2" t="n">
        <v>978722675</v>
      </c>
      <c r="AM2" t="inlineStr">
        <is>
          <t>978722675</t>
        </is>
      </c>
      <c r="AN2" t="inlineStr">
        <is>
          <t>ayleen30mr@gmail.com</t>
        </is>
      </c>
      <c r="AO2" t="inlineStr">
        <is>
          <t>LIMA</t>
        </is>
      </c>
      <c r="AP2" t="inlineStr">
        <is>
          <t>SANTIAGO DE SURCO</t>
        </is>
      </c>
      <c r="AQ2" s="75" t="n">
        <v>45578</v>
      </c>
      <c r="AR2" s="75" t="n">
        <v>45578</v>
      </c>
      <c r="AS2" t="inlineStr">
        <is>
          <t>SEPARACION</t>
        </is>
      </c>
      <c r="AT2" t="n">
        <v>1</v>
      </c>
      <c r="AU2" t="n">
        <v>3000</v>
      </c>
      <c r="AV2" t="n">
        <v>0</v>
      </c>
      <c r="AW2" t="n">
        <v>0</v>
      </c>
      <c r="AX2" s="39" t="n">
        <v>3000</v>
      </c>
      <c r="AY2" s="39" t="n">
        <v>3000</v>
      </c>
      <c r="AZ2" s="39" t="n">
        <v>0</v>
      </c>
      <c r="BA2" t="n">
        <v>0</v>
      </c>
      <c r="BB2" t="inlineStr">
        <is>
          <t>Crédito Hipotecario</t>
        </is>
      </c>
      <c r="BC2" t="inlineStr">
        <is>
          <t>Scotiabank Perú</t>
        </is>
      </c>
      <c r="BD2" t="inlineStr">
        <is>
          <t>000-2768484</t>
        </is>
      </c>
      <c r="BE2" t="inlineStr">
        <is>
          <t>TRANSFERENCIA BANCARIA</t>
        </is>
      </c>
      <c r="BG2" t="inlineStr">
        <is>
          <t>01871075</t>
        </is>
      </c>
      <c r="BH2" t="inlineStr">
        <is>
          <t>No</t>
        </is>
      </c>
      <c r="BJ2" t="n">
        <v>4</v>
      </c>
      <c r="BK2" t="inlineStr">
        <is>
          <t>CANCELADO</t>
        </is>
      </c>
      <c r="BV2" t="inlineStr">
        <is>
          <t>Si</t>
        </is>
      </c>
      <c r="BW2" s="76" t="n">
        <v>45663.58819444444</v>
      </c>
      <c r="BX2" t="inlineStr">
        <is>
          <t>Kenny Salazar S</t>
        </is>
      </c>
      <c r="BZ2" t="n">
        <v>31</v>
      </c>
      <c r="CA2" t="inlineStr">
        <is>
          <t>26/06/2026 17:22</t>
        </is>
      </c>
      <c r="CB2" t="n">
        <v>0</v>
      </c>
      <c r="CF2" t="inlineStr">
        <is>
          <t>Cobranzas_2024.csv</t>
        </is>
      </c>
      <c r="CG2" t="n">
        <v>2024</v>
      </c>
      <c r="CH2" t="inlineStr">
        <is>
          <t>01/01/2024</t>
        </is>
      </c>
      <c r="CI2" t="inlineStr">
        <is>
          <t>24/08/2031</t>
        </is>
      </c>
    </row>
    <row r="3">
      <c r="A3" t="inlineStr">
        <is>
          <t>RESIDENCIAL PRADA</t>
        </is>
      </c>
      <c r="B3" t="inlineStr">
        <is>
          <t>Etapa 1</t>
        </is>
      </c>
      <c r="C3" t="inlineStr">
        <is>
          <t>Edificio</t>
        </is>
      </c>
      <c r="D3" t="inlineStr">
        <is>
          <t>A</t>
        </is>
      </c>
      <c r="E3" t="inlineStr">
        <is>
          <t>Estacionamiento</t>
        </is>
      </c>
      <c r="F3" t="inlineStr">
        <is>
          <t>E 14 - D 11</t>
        </is>
      </c>
      <c r="G3" t="n">
        <v>14.63</v>
      </c>
      <c r="H3" t="n">
        <v>2.37</v>
      </c>
      <c r="I3" s="39" t="n">
        <v>56300</v>
      </c>
      <c r="J3" s="39" t="n">
        <v>56300</v>
      </c>
      <c r="Q3" s="39" t="n"/>
      <c r="R3" s="39" t="n"/>
      <c r="Y3" s="39" t="n"/>
      <c r="Z3" s="39" t="n"/>
      <c r="AG3" s="39" t="n"/>
      <c r="AH3" s="39" t="n"/>
      <c r="AI3" t="inlineStr">
        <is>
          <t>Ayleen Katia Messarina Rios</t>
        </is>
      </c>
      <c r="AJ3" t="inlineStr">
        <is>
          <t>70512701</t>
        </is>
      </c>
      <c r="AK3" t="inlineStr">
        <is>
          <t>Departamento 101 Urbanización Santa Rosa de Surco etapa 2 Mz D Lt 23</t>
        </is>
      </c>
      <c r="AL3" t="n">
        <v>978722675</v>
      </c>
      <c r="AM3" t="inlineStr">
        <is>
          <t>978722675</t>
        </is>
      </c>
      <c r="AN3" t="inlineStr">
        <is>
          <t>ayleen30mr@gmail.com</t>
        </is>
      </c>
      <c r="AO3" t="inlineStr">
        <is>
          <t>LIMA</t>
        </is>
      </c>
      <c r="AP3" t="inlineStr">
        <is>
          <t>SANTIAGO DE SURCO</t>
        </is>
      </c>
      <c r="AQ3" s="75" t="n">
        <v>45628</v>
      </c>
      <c r="AR3" s="75" t="n">
        <v>45628</v>
      </c>
      <c r="AS3" t="inlineStr">
        <is>
          <t>SEPARACION</t>
        </is>
      </c>
      <c r="AT3" t="n">
        <v>1</v>
      </c>
      <c r="AU3" t="n">
        <v>3000</v>
      </c>
      <c r="AV3" t="n">
        <v>0</v>
      </c>
      <c r="AW3" t="n">
        <v>0</v>
      </c>
      <c r="AX3" s="39" t="n">
        <v>3000</v>
      </c>
      <c r="AY3" s="39" t="n">
        <v>3000</v>
      </c>
      <c r="AZ3" s="39" t="n">
        <v>0</v>
      </c>
      <c r="BA3" t="n">
        <v>0</v>
      </c>
      <c r="BB3" t="inlineStr">
        <is>
          <t>Crédito Directo</t>
        </is>
      </c>
      <c r="BC3" t="inlineStr">
        <is>
          <t>Scotiabank Perú</t>
        </is>
      </c>
      <c r="BD3" t="inlineStr">
        <is>
          <t>000-2768484</t>
        </is>
      </c>
      <c r="BE3" t="inlineStr">
        <is>
          <t>TRANSFERENCIA BANCARIA</t>
        </is>
      </c>
      <c r="BG3" t="inlineStr">
        <is>
          <t>000001100000012</t>
        </is>
      </c>
      <c r="BH3" t="inlineStr">
        <is>
          <t>No</t>
        </is>
      </c>
      <c r="BJ3" t="n">
        <v>4</v>
      </c>
      <c r="BK3" t="inlineStr">
        <is>
          <t>CANCELADO</t>
        </is>
      </c>
      <c r="BV3" t="inlineStr">
        <is>
          <t>Si</t>
        </is>
      </c>
      <c r="BW3" s="76" t="n">
        <v>45748.62986111111</v>
      </c>
      <c r="BX3" t="inlineStr">
        <is>
          <t>Magaly Guevara Perez</t>
        </is>
      </c>
      <c r="BZ3" t="n">
        <v>56</v>
      </c>
      <c r="CA3" t="inlineStr">
        <is>
          <t>28/06/2026 21:22</t>
        </is>
      </c>
      <c r="CB3" t="n">
        <v>0</v>
      </c>
      <c r="CF3" t="inlineStr">
        <is>
          <t>Cobranzas_2024.csv</t>
        </is>
      </c>
      <c r="CG3" t="n">
        <v>2024</v>
      </c>
      <c r="CH3" t="inlineStr">
        <is>
          <t>01/01/2024</t>
        </is>
      </c>
      <c r="CI3" t="inlineStr">
        <is>
          <t>24/08/2031</t>
        </is>
      </c>
    </row>
    <row r="4">
      <c r="A4" t="inlineStr">
        <is>
          <t>RESIDENCIAL PRADA</t>
        </is>
      </c>
      <c r="B4" t="inlineStr">
        <is>
          <t>Etapa 1</t>
        </is>
      </c>
      <c r="C4" t="inlineStr">
        <is>
          <t>Edificio</t>
        </is>
      </c>
      <c r="D4" t="inlineStr">
        <is>
          <t>A</t>
        </is>
      </c>
      <c r="E4" t="inlineStr">
        <is>
          <t>Estacionamiento</t>
        </is>
      </c>
      <c r="F4" t="inlineStr">
        <is>
          <t>E 14 - D 11</t>
        </is>
      </c>
      <c r="G4" t="n">
        <v>14.63</v>
      </c>
      <c r="H4" t="n">
        <v>2.37</v>
      </c>
      <c r="I4" s="39" t="n">
        <v>56300</v>
      </c>
      <c r="J4" s="39" t="n">
        <v>56300</v>
      </c>
      <c r="Q4" s="39" t="n"/>
      <c r="R4" s="39" t="n"/>
      <c r="Y4" s="39" t="n"/>
      <c r="Z4" s="39" t="n"/>
      <c r="AG4" s="39" t="n"/>
      <c r="AH4" s="39" t="n"/>
      <c r="AI4" t="inlineStr">
        <is>
          <t>Ayleen Katia Messarina Rios</t>
        </is>
      </c>
      <c r="AJ4" t="inlineStr">
        <is>
          <t>70512701</t>
        </is>
      </c>
      <c r="AK4" t="inlineStr">
        <is>
          <t>Departamento 101 Urbanización Santa Rosa de Surco etapa 2 Mz D Lt 23</t>
        </is>
      </c>
      <c r="AL4" t="n">
        <v>978722675</v>
      </c>
      <c r="AM4" t="inlineStr">
        <is>
          <t>978722675</t>
        </is>
      </c>
      <c r="AN4" t="inlineStr">
        <is>
          <t>ayleen30mr@gmail.com</t>
        </is>
      </c>
      <c r="AO4" t="inlineStr">
        <is>
          <t>LIMA</t>
        </is>
      </c>
      <c r="AP4" t="inlineStr">
        <is>
          <t>SANTIAGO DE SURCO</t>
        </is>
      </c>
      <c r="AQ4" s="75" t="n">
        <v>45628</v>
      </c>
      <c r="AR4" s="75" t="n">
        <v>45628</v>
      </c>
      <c r="AS4" t="inlineStr">
        <is>
          <t>CUOTA INICIAL</t>
        </is>
      </c>
      <c r="AT4" t="n">
        <v>1</v>
      </c>
      <c r="AU4" t="n">
        <v>7000</v>
      </c>
      <c r="AV4" t="n">
        <v>0</v>
      </c>
      <c r="AW4" t="n">
        <v>0</v>
      </c>
      <c r="AX4" s="39" t="n">
        <v>7000</v>
      </c>
      <c r="AY4" s="39" t="n">
        <v>7000</v>
      </c>
      <c r="AZ4" s="39" t="n">
        <v>0</v>
      </c>
      <c r="BA4" t="n">
        <v>0</v>
      </c>
      <c r="BB4" t="inlineStr">
        <is>
          <t>Crédito Directo</t>
        </is>
      </c>
      <c r="BC4" t="inlineStr">
        <is>
          <t>Scotiabank Perú</t>
        </is>
      </c>
      <c r="BD4" t="inlineStr">
        <is>
          <t>000-2768484</t>
        </is>
      </c>
      <c r="BE4" t="inlineStr">
        <is>
          <t>TRANSFERENCIA BANCARIA</t>
        </is>
      </c>
      <c r="BG4" t="inlineStr">
        <is>
          <t>000001100000012</t>
        </is>
      </c>
      <c r="BH4" t="inlineStr">
        <is>
          <t>No</t>
        </is>
      </c>
      <c r="BJ4" t="n">
        <v>4</v>
      </c>
      <c r="BK4" t="inlineStr">
        <is>
          <t>CANCELADO</t>
        </is>
      </c>
      <c r="BV4" t="inlineStr">
        <is>
          <t>Si</t>
        </is>
      </c>
      <c r="BW4" s="76" t="n">
        <v>45748.62986111111</v>
      </c>
      <c r="BX4" t="inlineStr">
        <is>
          <t>Magaly Guevara Perez</t>
        </is>
      </c>
      <c r="BZ4" t="n">
        <v>56</v>
      </c>
      <c r="CA4" t="inlineStr">
        <is>
          <t>28/06/2026 21:22</t>
        </is>
      </c>
      <c r="CB4" t="n">
        <v>0</v>
      </c>
      <c r="CF4" t="inlineStr">
        <is>
          <t>Cobranzas_2024.csv</t>
        </is>
      </c>
      <c r="CG4" t="n">
        <v>2024</v>
      </c>
      <c r="CH4" t="inlineStr">
        <is>
          <t>01/01/2024</t>
        </is>
      </c>
      <c r="CI4" t="inlineStr">
        <is>
          <t>24/08/2031</t>
        </is>
      </c>
    </row>
    <row r="5">
      <c r="A5" t="inlineStr">
        <is>
          <t>RESIDENCIAL PRADA</t>
        </is>
      </c>
      <c r="B5" t="inlineStr">
        <is>
          <t>Etapa 1</t>
        </is>
      </c>
      <c r="C5" t="inlineStr">
        <is>
          <t>Edificio</t>
        </is>
      </c>
      <c r="D5" t="inlineStr">
        <is>
          <t>A</t>
        </is>
      </c>
      <c r="E5" t="inlineStr">
        <is>
          <t>Departamento</t>
        </is>
      </c>
      <c r="F5" t="inlineStr">
        <is>
          <t>302</t>
        </is>
      </c>
      <c r="G5" t="n">
        <v>55</v>
      </c>
      <c r="H5" t="n">
        <v>0</v>
      </c>
      <c r="I5" s="39" t="n">
        <v>435500</v>
      </c>
      <c r="J5" s="39" t="n">
        <v>435500</v>
      </c>
      <c r="Q5" s="39" t="n"/>
      <c r="R5" s="39" t="n"/>
      <c r="Y5" s="39" t="n"/>
      <c r="Z5" s="39" t="n"/>
      <c r="AG5" s="39" t="n"/>
      <c r="AH5" s="39" t="n"/>
      <c r="AI5" t="inlineStr">
        <is>
          <t>Cristhiam Ortiz Angeles</t>
        </is>
      </c>
      <c r="AJ5" t="inlineStr">
        <is>
          <t>45110882</t>
        </is>
      </c>
      <c r="AK5" t="inlineStr">
        <is>
          <t>Av. Olavegoya 1879 departamento 301</t>
        </is>
      </c>
      <c r="AL5" t="n">
        <v>992532732</v>
      </c>
      <c r="AM5" t="inlineStr">
        <is>
          <t>992532732</t>
        </is>
      </c>
      <c r="AN5" t="inlineStr">
        <is>
          <t>Cristhian4520@gmail.com</t>
        </is>
      </c>
      <c r="AO5" t="inlineStr">
        <is>
          <t>LIMA</t>
        </is>
      </c>
      <c r="AP5" t="inlineStr">
        <is>
          <t>JESUS MARIA</t>
        </is>
      </c>
      <c r="AQ5" s="75" t="n">
        <v>45473</v>
      </c>
      <c r="AR5" s="75" t="n">
        <v>45473</v>
      </c>
      <c r="AS5" t="inlineStr">
        <is>
          <t>SEPARACION</t>
        </is>
      </c>
      <c r="AT5" t="n">
        <v>1</v>
      </c>
      <c r="AU5" t="n">
        <v>3000</v>
      </c>
      <c r="AV5" t="n">
        <v>0</v>
      </c>
      <c r="AW5" t="n">
        <v>0</v>
      </c>
      <c r="AX5" s="39" t="n">
        <v>3000</v>
      </c>
      <c r="AY5" s="39" t="n">
        <v>3000</v>
      </c>
      <c r="AZ5" s="39" t="n">
        <v>0</v>
      </c>
      <c r="BA5" t="n">
        <v>0</v>
      </c>
      <c r="BB5" t="inlineStr">
        <is>
          <t>Crédito Hipotecario</t>
        </is>
      </c>
      <c r="BC5" t="inlineStr">
        <is>
          <t>Scotiabank Perú</t>
        </is>
      </c>
      <c r="BD5" t="inlineStr">
        <is>
          <t>000-2768484</t>
        </is>
      </c>
      <c r="BE5" t="inlineStr">
        <is>
          <t>TRANSFERENCIA BANCARIA</t>
        </is>
      </c>
      <c r="BF5" t="inlineStr">
        <is>
          <t>45110882</t>
        </is>
      </c>
      <c r="BG5" t="inlineStr">
        <is>
          <t>01226077</t>
        </is>
      </c>
      <c r="BH5" t="inlineStr">
        <is>
          <t>No</t>
        </is>
      </c>
      <c r="BI5" t="inlineStr">
        <is>
          <t>NO PRECISA</t>
        </is>
      </c>
      <c r="BJ5" t="n">
        <v>4</v>
      </c>
      <c r="BK5" t="inlineStr">
        <is>
          <t>CANCELADO</t>
        </is>
      </c>
      <c r="BV5" t="inlineStr">
        <is>
          <t>Si</t>
        </is>
      </c>
      <c r="BW5" s="76" t="n">
        <v>45499.61319444444</v>
      </c>
      <c r="BX5" t="inlineStr">
        <is>
          <t>Kenny Salazar S</t>
        </is>
      </c>
      <c r="BZ5" t="n">
        <v>34</v>
      </c>
      <c r="CA5" t="inlineStr">
        <is>
          <t>02/06/2026 15:34</t>
        </is>
      </c>
      <c r="CB5" t="n">
        <v>0</v>
      </c>
      <c r="CF5" t="inlineStr">
        <is>
          <t>Cobranzas_2024.csv</t>
        </is>
      </c>
      <c r="CG5" t="n">
        <v>2024</v>
      </c>
      <c r="CH5" t="inlineStr">
        <is>
          <t>01/01/2024</t>
        </is>
      </c>
      <c r="CI5" t="inlineStr">
        <is>
          <t>24/08/2031</t>
        </is>
      </c>
    </row>
    <row r="6">
      <c r="A6" t="inlineStr">
        <is>
          <t>RESIDENCIAL PRADA</t>
        </is>
      </c>
      <c r="B6" t="inlineStr">
        <is>
          <t>Etapa 1</t>
        </is>
      </c>
      <c r="C6" t="inlineStr">
        <is>
          <t>Edificio</t>
        </is>
      </c>
      <c r="D6" t="inlineStr">
        <is>
          <t>A</t>
        </is>
      </c>
      <c r="E6" t="inlineStr">
        <is>
          <t>Departamento</t>
        </is>
      </c>
      <c r="F6" t="inlineStr">
        <is>
          <t>302</t>
        </is>
      </c>
      <c r="G6" t="n">
        <v>55</v>
      </c>
      <c r="H6" t="n">
        <v>0</v>
      </c>
      <c r="I6" s="39" t="n">
        <v>435500</v>
      </c>
      <c r="J6" s="39" t="n">
        <v>435500</v>
      </c>
      <c r="Q6" s="39" t="n"/>
      <c r="R6" s="39" t="n"/>
      <c r="Y6" s="39" t="n"/>
      <c r="Z6" s="39" t="n"/>
      <c r="AG6" s="39" t="n"/>
      <c r="AH6" s="39" t="n"/>
      <c r="AI6" t="inlineStr">
        <is>
          <t>Cristhiam Ortiz Angeles</t>
        </is>
      </c>
      <c r="AJ6" t="inlineStr">
        <is>
          <t>45110882</t>
        </is>
      </c>
      <c r="AK6" t="inlineStr">
        <is>
          <t>Av. Olavegoya 1879 departamento 301</t>
        </is>
      </c>
      <c r="AL6" t="n">
        <v>992532732</v>
      </c>
      <c r="AM6" t="inlineStr">
        <is>
          <t>992532732</t>
        </is>
      </c>
      <c r="AN6" t="inlineStr">
        <is>
          <t>Cristhian4520@gmail.com</t>
        </is>
      </c>
      <c r="AO6" t="inlineStr">
        <is>
          <t>LIMA</t>
        </is>
      </c>
      <c r="AP6" t="inlineStr">
        <is>
          <t>JESUS MARIA</t>
        </is>
      </c>
      <c r="AQ6" s="75" t="n">
        <v>45499</v>
      </c>
      <c r="AR6" s="75" t="n">
        <v>45499</v>
      </c>
      <c r="AS6" t="inlineStr">
        <is>
          <t>CUOTA INICIAL</t>
        </is>
      </c>
      <c r="AT6" t="n">
        <v>1</v>
      </c>
      <c r="AU6" t="n">
        <v>20000</v>
      </c>
      <c r="AV6" t="n">
        <v>0</v>
      </c>
      <c r="AW6" t="n">
        <v>0</v>
      </c>
      <c r="AX6" s="39" t="n">
        <v>20000</v>
      </c>
      <c r="AY6" s="39" t="n">
        <v>20000</v>
      </c>
      <c r="AZ6" s="39" t="n">
        <v>0</v>
      </c>
      <c r="BA6" t="n">
        <v>0</v>
      </c>
      <c r="BB6" t="inlineStr">
        <is>
          <t>Crédito Hipotecario</t>
        </is>
      </c>
      <c r="BC6" t="inlineStr">
        <is>
          <t>Scotiabank Perú</t>
        </is>
      </c>
      <c r="BD6" t="inlineStr">
        <is>
          <t>000-2768484</t>
        </is>
      </c>
      <c r="BE6" t="inlineStr">
        <is>
          <t>CHEQUE DE GERENCIA</t>
        </is>
      </c>
      <c r="BF6" t="inlineStr">
        <is>
          <t>45110882</t>
        </is>
      </c>
      <c r="BG6" t="inlineStr">
        <is>
          <t>162515191002194000000022290</t>
        </is>
      </c>
      <c r="BH6" t="inlineStr">
        <is>
          <t>Si</t>
        </is>
      </c>
      <c r="BI6" t="inlineStr">
        <is>
          <t>NO PRECISA</t>
        </is>
      </c>
      <c r="BJ6" t="n">
        <v>4</v>
      </c>
      <c r="BK6" t="inlineStr">
        <is>
          <t>CANCELADO</t>
        </is>
      </c>
      <c r="BV6" t="inlineStr">
        <is>
          <t>Si</t>
        </is>
      </c>
      <c r="BW6" s="76" t="n">
        <v>45499.61319444444</v>
      </c>
      <c r="BX6" t="inlineStr">
        <is>
          <t>Kenny Salazar S</t>
        </is>
      </c>
      <c r="BZ6" t="n">
        <v>34</v>
      </c>
      <c r="CA6" t="inlineStr">
        <is>
          <t>04/06/2026 14:01</t>
        </is>
      </c>
      <c r="CB6" t="n">
        <v>0</v>
      </c>
      <c r="CF6" t="inlineStr">
        <is>
          <t>Cobranzas_2024.csv</t>
        </is>
      </c>
      <c r="CG6" t="n">
        <v>2024</v>
      </c>
      <c r="CH6" t="inlineStr">
        <is>
          <t>01/01/2024</t>
        </is>
      </c>
      <c r="CI6" t="inlineStr">
        <is>
          <t>24/08/2031</t>
        </is>
      </c>
    </row>
    <row r="7">
      <c r="A7" t="inlineStr">
        <is>
          <t>RESIDENCIAL PRADA</t>
        </is>
      </c>
      <c r="B7" t="inlineStr">
        <is>
          <t>Etapa 1</t>
        </is>
      </c>
      <c r="C7" t="inlineStr">
        <is>
          <t>Edificio</t>
        </is>
      </c>
      <c r="D7" t="inlineStr">
        <is>
          <t>A</t>
        </is>
      </c>
      <c r="E7" t="inlineStr">
        <is>
          <t>Departamento</t>
        </is>
      </c>
      <c r="F7" t="inlineStr">
        <is>
          <t>302</t>
        </is>
      </c>
      <c r="G7" t="n">
        <v>55</v>
      </c>
      <c r="H7" t="n">
        <v>0</v>
      </c>
      <c r="I7" s="39" t="n">
        <v>435500</v>
      </c>
      <c r="J7" s="39" t="n">
        <v>435500</v>
      </c>
      <c r="Q7" s="39" t="n"/>
      <c r="R7" s="39" t="n"/>
      <c r="Y7" s="39" t="n"/>
      <c r="Z7" s="39" t="n"/>
      <c r="AG7" s="39" t="n"/>
      <c r="AH7" s="39" t="n"/>
      <c r="AI7" t="inlineStr">
        <is>
          <t>Cristhiam Ortiz Angeles</t>
        </is>
      </c>
      <c r="AJ7" t="inlineStr">
        <is>
          <t>45110882</t>
        </is>
      </c>
      <c r="AK7" t="inlineStr">
        <is>
          <t>Av. Olavegoya 1879 departamento 301</t>
        </is>
      </c>
      <c r="AL7" t="n">
        <v>992532732</v>
      </c>
      <c r="AM7" t="inlineStr">
        <is>
          <t>992532732</t>
        </is>
      </c>
      <c r="AN7" t="inlineStr">
        <is>
          <t>Cristhian4520@gmail.com</t>
        </is>
      </c>
      <c r="AO7" t="inlineStr">
        <is>
          <t>LIMA</t>
        </is>
      </c>
      <c r="AP7" t="inlineStr">
        <is>
          <t>JESUS MARIA</t>
        </is>
      </c>
      <c r="AQ7" s="75" t="n">
        <v>45534</v>
      </c>
      <c r="AR7" s="75" t="n">
        <v>45538</v>
      </c>
      <c r="AS7" t="inlineStr">
        <is>
          <t>CUOTA INICIAL</t>
        </is>
      </c>
      <c r="AT7" t="n">
        <v>2</v>
      </c>
      <c r="AU7" t="n">
        <v>8775</v>
      </c>
      <c r="AV7" t="n">
        <v>0</v>
      </c>
      <c r="AW7" t="n">
        <v>0</v>
      </c>
      <c r="AX7" s="39" t="n">
        <v>8775</v>
      </c>
      <c r="AY7" s="39" t="n">
        <v>8775</v>
      </c>
      <c r="AZ7" s="39" t="n">
        <v>0</v>
      </c>
      <c r="BA7" t="n">
        <v>0</v>
      </c>
      <c r="BB7" t="inlineStr">
        <is>
          <t>Crédito Hipotecario</t>
        </is>
      </c>
      <c r="BC7" t="inlineStr">
        <is>
          <t>Scotiabank Perú</t>
        </is>
      </c>
      <c r="BD7" t="inlineStr">
        <is>
          <t>000-2768484</t>
        </is>
      </c>
      <c r="BE7" t="inlineStr">
        <is>
          <t>TRANSFERENCIA BANCARIA</t>
        </is>
      </c>
      <c r="BG7" t="inlineStr">
        <is>
          <t>U26966</t>
        </is>
      </c>
      <c r="BH7" t="inlineStr">
        <is>
          <t>No</t>
        </is>
      </c>
      <c r="BJ7" t="n">
        <v>4</v>
      </c>
      <c r="BK7" t="inlineStr">
        <is>
          <t>CANCELADO</t>
        </is>
      </c>
      <c r="BV7" t="inlineStr">
        <is>
          <t>Si</t>
        </is>
      </c>
      <c r="BW7" s="76" t="n">
        <v>45499.61319444444</v>
      </c>
      <c r="BX7" t="inlineStr">
        <is>
          <t>Kenny Salazar S</t>
        </is>
      </c>
      <c r="BZ7" t="n">
        <v>34</v>
      </c>
      <c r="CA7" t="inlineStr">
        <is>
          <t>07/07/2026 08:47</t>
        </is>
      </c>
      <c r="CB7" t="n">
        <v>0</v>
      </c>
      <c r="CF7" t="inlineStr">
        <is>
          <t>Cobranzas_2024.csv</t>
        </is>
      </c>
      <c r="CG7" t="n">
        <v>2024</v>
      </c>
      <c r="CH7" t="inlineStr">
        <is>
          <t>01/01/2024</t>
        </is>
      </c>
      <c r="CI7" t="inlineStr">
        <is>
          <t>24/08/2031</t>
        </is>
      </c>
    </row>
    <row r="8">
      <c r="A8" t="inlineStr">
        <is>
          <t>RESIDENCIAL PRADA</t>
        </is>
      </c>
      <c r="B8" t="inlineStr">
        <is>
          <t>Etapa 1</t>
        </is>
      </c>
      <c r="C8" t="inlineStr">
        <is>
          <t>Edificio</t>
        </is>
      </c>
      <c r="D8" t="inlineStr">
        <is>
          <t>A</t>
        </is>
      </c>
      <c r="E8" t="inlineStr">
        <is>
          <t>Departamento</t>
        </is>
      </c>
      <c r="F8" t="inlineStr">
        <is>
          <t>302</t>
        </is>
      </c>
      <c r="G8" t="n">
        <v>55</v>
      </c>
      <c r="H8" t="n">
        <v>0</v>
      </c>
      <c r="I8" s="39" t="n">
        <v>435500</v>
      </c>
      <c r="J8" s="39" t="n">
        <v>435500</v>
      </c>
      <c r="Q8" s="39" t="n"/>
      <c r="R8" s="39" t="n"/>
      <c r="Y8" s="39" t="n"/>
      <c r="Z8" s="39" t="n"/>
      <c r="AG8" s="39" t="n"/>
      <c r="AH8" s="39" t="n"/>
      <c r="AI8" t="inlineStr">
        <is>
          <t>Cristhiam Ortiz Angeles</t>
        </is>
      </c>
      <c r="AJ8" t="inlineStr">
        <is>
          <t>45110882</t>
        </is>
      </c>
      <c r="AK8" t="inlineStr">
        <is>
          <t>Av. Olavegoya 1879 departamento 301</t>
        </is>
      </c>
      <c r="AL8" t="n">
        <v>992532732</v>
      </c>
      <c r="AM8" t="inlineStr">
        <is>
          <t>992532732</t>
        </is>
      </c>
      <c r="AN8" t="inlineStr">
        <is>
          <t>Cristhian4520@gmail.com</t>
        </is>
      </c>
      <c r="AO8" t="inlineStr">
        <is>
          <t>LIMA</t>
        </is>
      </c>
      <c r="AP8" t="inlineStr">
        <is>
          <t>JESUS MARIA</t>
        </is>
      </c>
      <c r="AQ8" s="75" t="n">
        <v>45565</v>
      </c>
      <c r="AR8" s="75" t="n">
        <v>45538</v>
      </c>
      <c r="AS8" t="inlineStr">
        <is>
          <t>CUOTA INICIAL</t>
        </is>
      </c>
      <c r="AT8" t="n">
        <v>3</v>
      </c>
      <c r="AU8" t="n">
        <v>0</v>
      </c>
      <c r="AV8" t="n">
        <v>0</v>
      </c>
      <c r="AW8" t="n">
        <v>0</v>
      </c>
      <c r="AX8" s="39" t="n">
        <v>11775</v>
      </c>
      <c r="AY8" s="39" t="n">
        <v>1225</v>
      </c>
      <c r="AZ8" s="39" t="n">
        <v>0</v>
      </c>
      <c r="BA8" t="n">
        <v>0</v>
      </c>
      <c r="BB8" t="inlineStr">
        <is>
          <t>Crédito Hipotecario</t>
        </is>
      </c>
      <c r="BC8" t="inlineStr">
        <is>
          <t>Scotiabank Perú</t>
        </is>
      </c>
      <c r="BD8" t="inlineStr">
        <is>
          <t>000-2768484</t>
        </is>
      </c>
      <c r="BE8" t="inlineStr">
        <is>
          <t>TRANSFERENCIA BANCARIA</t>
        </is>
      </c>
      <c r="BG8" t="inlineStr">
        <is>
          <t>U26966</t>
        </is>
      </c>
      <c r="BH8" t="inlineStr">
        <is>
          <t>No</t>
        </is>
      </c>
      <c r="BJ8" t="n">
        <v>4</v>
      </c>
      <c r="BK8" t="inlineStr">
        <is>
          <t>CANCELADO</t>
        </is>
      </c>
      <c r="BV8" t="inlineStr">
        <is>
          <t>Si</t>
        </is>
      </c>
      <c r="BW8" s="76" t="n">
        <v>45499.61319444444</v>
      </c>
      <c r="BX8" t="inlineStr">
        <is>
          <t>Kenny Salazar S</t>
        </is>
      </c>
      <c r="BZ8" t="n">
        <v>34</v>
      </c>
      <c r="CA8" t="inlineStr">
        <is>
          <t>07/07/2026 08:47</t>
        </is>
      </c>
      <c r="CB8" t="n">
        <v>0</v>
      </c>
      <c r="CF8" t="inlineStr">
        <is>
          <t>Cobranzas_2024.csv</t>
        </is>
      </c>
      <c r="CG8" t="n">
        <v>2024</v>
      </c>
      <c r="CH8" t="inlineStr">
        <is>
          <t>01/01/2024</t>
        </is>
      </c>
      <c r="CI8" t="inlineStr">
        <is>
          <t>24/08/2031</t>
        </is>
      </c>
    </row>
    <row r="9">
      <c r="A9" t="inlineStr">
        <is>
          <t>RESIDENCIAL PRADA</t>
        </is>
      </c>
      <c r="B9" t="inlineStr">
        <is>
          <t>Etapa 1</t>
        </is>
      </c>
      <c r="C9" t="inlineStr">
        <is>
          <t>Edificio</t>
        </is>
      </c>
      <c r="D9" t="inlineStr">
        <is>
          <t>A</t>
        </is>
      </c>
      <c r="E9" t="inlineStr">
        <is>
          <t>Departamento</t>
        </is>
      </c>
      <c r="F9" t="inlineStr">
        <is>
          <t>302</t>
        </is>
      </c>
      <c r="G9" t="n">
        <v>55</v>
      </c>
      <c r="H9" t="n">
        <v>0</v>
      </c>
      <c r="I9" s="39" t="n">
        <v>435500</v>
      </c>
      <c r="J9" s="39" t="n">
        <v>435500</v>
      </c>
      <c r="Q9" s="39" t="n"/>
      <c r="R9" s="39" t="n"/>
      <c r="Y9" s="39" t="n"/>
      <c r="Z9" s="39" t="n"/>
      <c r="AG9" s="39" t="n"/>
      <c r="AH9" s="39" t="n"/>
      <c r="AI9" t="inlineStr">
        <is>
          <t>Cristhiam Ortiz Angeles</t>
        </is>
      </c>
      <c r="AJ9" t="inlineStr">
        <is>
          <t>45110882</t>
        </is>
      </c>
      <c r="AK9" t="inlineStr">
        <is>
          <t>Av. Olavegoya 1879 departamento 301</t>
        </is>
      </c>
      <c r="AL9" t="n">
        <v>992532732</v>
      </c>
      <c r="AM9" t="inlineStr">
        <is>
          <t>992532732</t>
        </is>
      </c>
      <c r="AN9" t="inlineStr">
        <is>
          <t>Cristhian4520@gmail.com</t>
        </is>
      </c>
      <c r="AO9" t="inlineStr">
        <is>
          <t>LIMA</t>
        </is>
      </c>
      <c r="AP9" t="inlineStr">
        <is>
          <t>JESUS MARIA</t>
        </is>
      </c>
      <c r="AQ9" s="75" t="n">
        <v>45565</v>
      </c>
      <c r="AR9" s="75" t="n">
        <v>45569</v>
      </c>
      <c r="AS9" t="inlineStr">
        <is>
          <t>CUOTA INICIAL</t>
        </is>
      </c>
      <c r="AT9" t="n">
        <v>3</v>
      </c>
      <c r="AU9" t="n">
        <v>0</v>
      </c>
      <c r="AV9" t="n">
        <v>0</v>
      </c>
      <c r="AW9" t="n">
        <v>0</v>
      </c>
      <c r="AX9" s="39" t="n">
        <v>0</v>
      </c>
      <c r="AY9" s="39" t="n">
        <v>10000</v>
      </c>
      <c r="AZ9" s="39" t="n">
        <v>0</v>
      </c>
      <c r="BA9" t="n">
        <v>0</v>
      </c>
      <c r="BB9" t="inlineStr">
        <is>
          <t>Crédito Hipotecario</t>
        </is>
      </c>
      <c r="BC9" t="inlineStr">
        <is>
          <t>Scotiabank Perú</t>
        </is>
      </c>
      <c r="BD9" t="inlineStr">
        <is>
          <t>000-2768484</t>
        </is>
      </c>
      <c r="BE9" t="inlineStr">
        <is>
          <t>TRANSFERENCIA BANCARIA</t>
        </is>
      </c>
      <c r="BG9" t="inlineStr">
        <is>
          <t>U27618</t>
        </is>
      </c>
      <c r="BH9" t="inlineStr">
        <is>
          <t>No</t>
        </is>
      </c>
      <c r="BJ9" t="n">
        <v>4</v>
      </c>
      <c r="BK9" t="inlineStr">
        <is>
          <t>CANCELADO</t>
        </is>
      </c>
      <c r="BV9" t="inlineStr">
        <is>
          <t>Si</t>
        </is>
      </c>
      <c r="BW9" s="76" t="n">
        <v>45499.61319444444</v>
      </c>
      <c r="BX9" t="inlineStr">
        <is>
          <t>Kenny Salazar S</t>
        </is>
      </c>
      <c r="BZ9" t="n">
        <v>34</v>
      </c>
      <c r="CA9" t="inlineStr">
        <is>
          <t>07/07/2026 08:52</t>
        </is>
      </c>
      <c r="CB9" t="n">
        <v>0</v>
      </c>
      <c r="CF9" t="inlineStr">
        <is>
          <t>Cobranzas_2024.csv</t>
        </is>
      </c>
      <c r="CG9" t="n">
        <v>2024</v>
      </c>
      <c r="CH9" t="inlineStr">
        <is>
          <t>01/01/2024</t>
        </is>
      </c>
      <c r="CI9" t="inlineStr">
        <is>
          <t>24/08/2031</t>
        </is>
      </c>
    </row>
    <row r="10">
      <c r="A10" t="inlineStr">
        <is>
          <t>RESIDENCIAL PRADA</t>
        </is>
      </c>
      <c r="B10" t="inlineStr">
        <is>
          <t>Etapa 1</t>
        </is>
      </c>
      <c r="C10" t="inlineStr">
        <is>
          <t>Edificio</t>
        </is>
      </c>
      <c r="D10" t="inlineStr">
        <is>
          <t>A</t>
        </is>
      </c>
      <c r="E10" t="inlineStr">
        <is>
          <t>Departamento</t>
        </is>
      </c>
      <c r="F10" t="inlineStr">
        <is>
          <t>302</t>
        </is>
      </c>
      <c r="G10" t="n">
        <v>55</v>
      </c>
      <c r="H10" t="n">
        <v>0</v>
      </c>
      <c r="I10" s="39" t="n">
        <v>435500</v>
      </c>
      <c r="J10" s="39" t="n">
        <v>435500</v>
      </c>
      <c r="Q10" s="39" t="n"/>
      <c r="R10" s="39" t="n"/>
      <c r="Y10" s="39" t="n"/>
      <c r="Z10" s="39" t="n"/>
      <c r="AG10" s="39" t="n"/>
      <c r="AH10" s="39" t="n"/>
      <c r="AI10" t="inlineStr">
        <is>
          <t>Cristhiam Ortiz Angeles</t>
        </is>
      </c>
      <c r="AJ10" t="inlineStr">
        <is>
          <t>45110882</t>
        </is>
      </c>
      <c r="AK10" t="inlineStr">
        <is>
          <t>Av. Olavegoya 1879 departamento 301</t>
        </is>
      </c>
      <c r="AL10" t="n">
        <v>992532732</v>
      </c>
      <c r="AM10" t="inlineStr">
        <is>
          <t>992532732</t>
        </is>
      </c>
      <c r="AN10" t="inlineStr">
        <is>
          <t>Cristhian4520@gmail.com</t>
        </is>
      </c>
      <c r="AO10" t="inlineStr">
        <is>
          <t>LIMA</t>
        </is>
      </c>
      <c r="AP10" t="inlineStr">
        <is>
          <t>JESUS MARIA</t>
        </is>
      </c>
      <c r="AQ10" s="75" t="n">
        <v>45565</v>
      </c>
      <c r="AR10" s="75" t="n">
        <v>45693</v>
      </c>
      <c r="AS10" t="inlineStr">
        <is>
          <t>CUOTA INICIAL</t>
        </is>
      </c>
      <c r="AT10" t="n">
        <v>3</v>
      </c>
      <c r="AU10" t="n">
        <v>11775</v>
      </c>
      <c r="AV10" t="n">
        <v>0</v>
      </c>
      <c r="AW10" t="n">
        <v>0</v>
      </c>
      <c r="AX10" s="39" t="n">
        <v>0</v>
      </c>
      <c r="AY10" s="39" t="n">
        <v>550</v>
      </c>
      <c r="AZ10" s="39" t="n">
        <v>0</v>
      </c>
      <c r="BA10" t="n">
        <v>0</v>
      </c>
      <c r="BB10" t="inlineStr">
        <is>
          <t>Crédito Hipotecario</t>
        </is>
      </c>
      <c r="BC10" t="inlineStr">
        <is>
          <t>Scotiabank Perú</t>
        </is>
      </c>
      <c r="BD10" t="inlineStr">
        <is>
          <t>000-2768484</t>
        </is>
      </c>
      <c r="BE10" t="inlineStr">
        <is>
          <t>TRANSFERENCIA BANCARIA</t>
        </is>
      </c>
      <c r="BG10" t="inlineStr">
        <is>
          <t>U28731</t>
        </is>
      </c>
      <c r="BH10" t="inlineStr">
        <is>
          <t>No</t>
        </is>
      </c>
      <c r="BJ10" t="n">
        <v>4</v>
      </c>
      <c r="BK10" t="inlineStr">
        <is>
          <t>CANCELADO</t>
        </is>
      </c>
      <c r="BV10" t="inlineStr">
        <is>
          <t>Si</t>
        </is>
      </c>
      <c r="BW10" s="76" t="n">
        <v>45499.61319444444</v>
      </c>
      <c r="BX10" t="inlineStr">
        <is>
          <t>Kenny Salazar S</t>
        </is>
      </c>
      <c r="BZ10" t="n">
        <v>34</v>
      </c>
      <c r="CA10" t="inlineStr">
        <is>
          <t>07/07/2026 08:56</t>
        </is>
      </c>
      <c r="CB10" t="n">
        <v>0</v>
      </c>
      <c r="CF10" t="inlineStr">
        <is>
          <t>Cobranzas_2024.csv</t>
        </is>
      </c>
      <c r="CG10" t="n">
        <v>2024</v>
      </c>
      <c r="CH10" t="inlineStr">
        <is>
          <t>01/01/2024</t>
        </is>
      </c>
      <c r="CI10" t="inlineStr">
        <is>
          <t>24/08/2031</t>
        </is>
      </c>
    </row>
    <row r="11">
      <c r="A11" t="inlineStr">
        <is>
          <t>RESIDENCIAL PRADA</t>
        </is>
      </c>
      <c r="B11" t="inlineStr">
        <is>
          <t>Etapa 1</t>
        </is>
      </c>
      <c r="C11" t="inlineStr">
        <is>
          <t>Edificio</t>
        </is>
      </c>
      <c r="D11" t="inlineStr">
        <is>
          <t>A</t>
        </is>
      </c>
      <c r="E11" t="inlineStr">
        <is>
          <t>Departamento</t>
        </is>
      </c>
      <c r="F11" t="inlineStr">
        <is>
          <t>302</t>
        </is>
      </c>
      <c r="G11" t="n">
        <v>55</v>
      </c>
      <c r="H11" t="n">
        <v>0</v>
      </c>
      <c r="I11" s="39" t="n">
        <v>435500</v>
      </c>
      <c r="J11" s="39" t="n">
        <v>435500</v>
      </c>
      <c r="Q11" s="39" t="n"/>
      <c r="R11" s="39" t="n"/>
      <c r="Y11" s="39" t="n"/>
      <c r="Z11" s="39" t="n"/>
      <c r="AG11" s="39" t="n"/>
      <c r="AH11" s="39" t="n"/>
      <c r="AI11" t="inlineStr">
        <is>
          <t>Cristhiam Ortiz Angeles</t>
        </is>
      </c>
      <c r="AJ11" t="inlineStr">
        <is>
          <t>45110882</t>
        </is>
      </c>
      <c r="AK11" t="inlineStr">
        <is>
          <t>Av. Olavegoya 1879 departamento 301</t>
        </is>
      </c>
      <c r="AL11" t="n">
        <v>992532732</v>
      </c>
      <c r="AM11" t="inlineStr">
        <is>
          <t>992532732</t>
        </is>
      </c>
      <c r="AN11" t="inlineStr">
        <is>
          <t>Cristhian4520@gmail.com</t>
        </is>
      </c>
      <c r="AO11" t="inlineStr">
        <is>
          <t>LIMA</t>
        </is>
      </c>
      <c r="AP11" t="inlineStr">
        <is>
          <t>JESUS MARIA</t>
        </is>
      </c>
      <c r="AQ11" s="75" t="n">
        <v>45656</v>
      </c>
      <c r="AR11" s="75" t="n">
        <v>45693</v>
      </c>
      <c r="AS11" t="inlineStr">
        <is>
          <t>CUOTA INICIAL</t>
        </is>
      </c>
      <c r="AT11" t="n">
        <v>4</v>
      </c>
      <c r="AU11" t="n">
        <v>21000</v>
      </c>
      <c r="AV11" t="n">
        <v>0</v>
      </c>
      <c r="AW11" t="n">
        <v>0</v>
      </c>
      <c r="AX11" s="39" t="n">
        <v>21000</v>
      </c>
      <c r="AY11" s="39" t="n">
        <v>21000</v>
      </c>
      <c r="AZ11" s="39" t="n">
        <v>0</v>
      </c>
      <c r="BA11" t="n">
        <v>0</v>
      </c>
      <c r="BB11" t="inlineStr">
        <is>
          <t>Crédito Hipotecario</t>
        </is>
      </c>
      <c r="BC11" t="inlineStr">
        <is>
          <t>Scotiabank Perú</t>
        </is>
      </c>
      <c r="BD11" t="inlineStr">
        <is>
          <t>000-2768484</t>
        </is>
      </c>
      <c r="BE11" t="inlineStr">
        <is>
          <t>TRANSFERENCIA BANCARIA</t>
        </is>
      </c>
      <c r="BG11" t="inlineStr">
        <is>
          <t>U28731</t>
        </is>
      </c>
      <c r="BH11" t="inlineStr">
        <is>
          <t>No</t>
        </is>
      </c>
      <c r="BJ11" t="n">
        <v>4</v>
      </c>
      <c r="BK11" t="inlineStr">
        <is>
          <t>CANCELADO</t>
        </is>
      </c>
      <c r="BV11" t="inlineStr">
        <is>
          <t>Si</t>
        </is>
      </c>
      <c r="BW11" s="76" t="n">
        <v>45499.61319444444</v>
      </c>
      <c r="BX11" t="inlineStr">
        <is>
          <t>Kenny Salazar S</t>
        </is>
      </c>
      <c r="BZ11" t="n">
        <v>34</v>
      </c>
      <c r="CA11" t="inlineStr">
        <is>
          <t>07/07/2026 08:56</t>
        </is>
      </c>
      <c r="CB11" t="n">
        <v>0</v>
      </c>
      <c r="CF11" t="inlineStr">
        <is>
          <t>Cobranzas_2024.csv</t>
        </is>
      </c>
      <c r="CG11" t="n">
        <v>2024</v>
      </c>
      <c r="CH11" t="inlineStr">
        <is>
          <t>01/01/2024</t>
        </is>
      </c>
      <c r="CI11" t="inlineStr">
        <is>
          <t>24/08/2031</t>
        </is>
      </c>
    </row>
    <row r="12">
      <c r="A12" t="inlineStr">
        <is>
          <t>RESIDENCIAL BEYOND</t>
        </is>
      </c>
      <c r="B12" t="inlineStr">
        <is>
          <t>Etapa 1</t>
        </is>
      </c>
      <c r="C12" t="inlineStr">
        <is>
          <t>Edificio</t>
        </is>
      </c>
      <c r="D12" t="inlineStr">
        <is>
          <t>A</t>
        </is>
      </c>
      <c r="E12" t="inlineStr">
        <is>
          <t>Departamento</t>
        </is>
      </c>
      <c r="F12" t="inlineStr">
        <is>
          <t>505</t>
        </is>
      </c>
      <c r="G12" t="n">
        <v>72</v>
      </c>
      <c r="H12" t="n">
        <v>0</v>
      </c>
      <c r="I12" s="39" t="n">
        <v>532100</v>
      </c>
      <c r="J12" s="39" t="n">
        <v>500000</v>
      </c>
      <c r="K12" t="inlineStr">
        <is>
          <t>Edificio</t>
        </is>
      </c>
      <c r="L12" t="inlineStr">
        <is>
          <t>A</t>
        </is>
      </c>
      <c r="M12" t="inlineStr">
        <is>
          <t>Estacionamiento</t>
        </is>
      </c>
      <c r="N12" t="inlineStr">
        <is>
          <t>E 05</t>
        </is>
      </c>
      <c r="O12" t="n">
        <v>12</v>
      </c>
      <c r="P12" t="n">
        <v>0</v>
      </c>
      <c r="Q12" s="39" t="n">
        <v>45600</v>
      </c>
      <c r="R12" s="39" t="n">
        <v>45600</v>
      </c>
      <c r="S12" t="inlineStr">
        <is>
          <t>Edificio</t>
        </is>
      </c>
      <c r="T12" t="inlineStr">
        <is>
          <t>A</t>
        </is>
      </c>
      <c r="U12" t="inlineStr">
        <is>
          <t>Depósito</t>
        </is>
      </c>
      <c r="V12" t="inlineStr">
        <is>
          <t>D 05</t>
        </is>
      </c>
      <c r="W12" t="n">
        <v>4.4</v>
      </c>
      <c r="X12" t="n">
        <v>0</v>
      </c>
      <c r="Y12" s="39" t="n">
        <v>15900</v>
      </c>
      <c r="Z12" s="39" t="n">
        <v>15900</v>
      </c>
      <c r="AG12" s="39" t="n"/>
      <c r="AH12" s="39" t="n"/>
      <c r="AI12" t="inlineStr">
        <is>
          <t>Dante Enrique Segura Florian</t>
        </is>
      </c>
      <c r="AJ12" t="inlineStr">
        <is>
          <t xml:space="preserve">45587286		</t>
        </is>
      </c>
      <c r="AK12" t="inlineStr">
        <is>
          <t xml:space="preserve">1845 San Andres Dr Pitsburg CA 94565 - San Francisco </t>
        </is>
      </c>
      <c r="AL12" t="n">
        <v>0</v>
      </c>
      <c r="AM12" t="inlineStr">
        <is>
          <t>+15103330517</t>
        </is>
      </c>
      <c r="AN12" t="inlineStr">
        <is>
          <t xml:space="preserve">d.segura@uaa.edu		</t>
        </is>
      </c>
      <c r="AQ12" s="75" t="n">
        <v>45368</v>
      </c>
      <c r="AR12" s="75" t="n">
        <v>45368</v>
      </c>
      <c r="AS12" t="inlineStr">
        <is>
          <t>SEPARACION</t>
        </is>
      </c>
      <c r="AT12" t="n">
        <v>1</v>
      </c>
      <c r="AU12" t="n">
        <v>3000</v>
      </c>
      <c r="AV12" t="n">
        <v>0</v>
      </c>
      <c r="AW12" t="n">
        <v>0</v>
      </c>
      <c r="AX12" s="39" t="n">
        <v>3000</v>
      </c>
      <c r="AY12" s="39" t="n">
        <v>3000</v>
      </c>
      <c r="AZ12" s="39" t="n">
        <v>0</v>
      </c>
      <c r="BA12" t="n">
        <v>0</v>
      </c>
      <c r="BB12" t="inlineStr">
        <is>
          <t>Crédito Directo</t>
        </is>
      </c>
      <c r="BC12" t="inlineStr">
        <is>
          <t>Banco de Credito del Perú</t>
        </is>
      </c>
      <c r="BD12" t="inlineStr">
        <is>
          <t>194-7325779-0-65</t>
        </is>
      </c>
      <c r="BE12" t="inlineStr">
        <is>
          <t>TRANSFERENCIA BANCARIA</t>
        </is>
      </c>
      <c r="BG12" t="inlineStr">
        <is>
          <t>7844655595634</t>
        </is>
      </c>
      <c r="BH12" t="inlineStr">
        <is>
          <t>No</t>
        </is>
      </c>
      <c r="BJ12" t="n">
        <v>4</v>
      </c>
      <c r="BK12" t="inlineStr">
        <is>
          <t>CANCELADO</t>
        </is>
      </c>
      <c r="BV12" t="inlineStr">
        <is>
          <t>Si</t>
        </is>
      </c>
      <c r="BW12" s="76" t="n">
        <v>45386.40347222222</v>
      </c>
      <c r="BX12" t="inlineStr">
        <is>
          <t>Carla Michue M</t>
        </is>
      </c>
      <c r="BZ12" t="n">
        <v>35</v>
      </c>
      <c r="CA12" t="inlineStr">
        <is>
          <t>25/05/2026 17:28</t>
        </is>
      </c>
      <c r="CB12" t="n">
        <v>0</v>
      </c>
      <c r="CF12" t="inlineStr">
        <is>
          <t>Cobranzas_2024.csv</t>
        </is>
      </c>
      <c r="CG12" t="n">
        <v>2024</v>
      </c>
      <c r="CH12" t="inlineStr">
        <is>
          <t>01/01/2024</t>
        </is>
      </c>
      <c r="CI12" t="inlineStr">
        <is>
          <t>24/08/2031</t>
        </is>
      </c>
    </row>
    <row r="13">
      <c r="A13" t="inlineStr">
        <is>
          <t>RESIDENCIAL PRADA</t>
        </is>
      </c>
      <c r="B13" t="inlineStr">
        <is>
          <t>Etapa 1</t>
        </is>
      </c>
      <c r="C13" t="inlineStr">
        <is>
          <t>Edificio</t>
        </is>
      </c>
      <c r="D13" t="inlineStr">
        <is>
          <t>A</t>
        </is>
      </c>
      <c r="E13" t="inlineStr">
        <is>
          <t>Departamento</t>
        </is>
      </c>
      <c r="F13" t="inlineStr">
        <is>
          <t>703</t>
        </is>
      </c>
      <c r="G13" t="n">
        <v>88.27</v>
      </c>
      <c r="H13" t="n">
        <v>0</v>
      </c>
      <c r="I13" s="39" t="n">
        <v>654000</v>
      </c>
      <c r="J13" s="39" t="n">
        <v>654000</v>
      </c>
      <c r="K13" t="inlineStr">
        <is>
          <t>Edificio</t>
        </is>
      </c>
      <c r="L13" t="inlineStr">
        <is>
          <t>A</t>
        </is>
      </c>
      <c r="M13" t="inlineStr">
        <is>
          <t>Estacionamiento</t>
        </is>
      </c>
      <c r="N13" t="inlineStr">
        <is>
          <t>E 06 - D 04</t>
        </is>
      </c>
      <c r="O13" t="n">
        <v>15.9</v>
      </c>
      <c r="P13" t="n">
        <v>2.26</v>
      </c>
      <c r="Q13" s="39" t="n">
        <v>57500</v>
      </c>
      <c r="R13" s="39" t="n">
        <v>57500</v>
      </c>
      <c r="Y13" s="39" t="n"/>
      <c r="Z13" s="39" t="n"/>
      <c r="AG13" s="39" t="n"/>
      <c r="AH13" s="39" t="n"/>
      <c r="AI13" t="inlineStr">
        <is>
          <t>David Edgar Valencia Cordova</t>
        </is>
      </c>
      <c r="AJ13" t="inlineStr">
        <is>
          <t>41844906</t>
        </is>
      </c>
      <c r="AK13" t="inlineStr">
        <is>
          <t>P. Joven Año Nuevo Jr. Montero Rosas 860</t>
        </is>
      </c>
      <c r="AL13" t="n">
        <v>991846561</v>
      </c>
      <c r="AM13" t="inlineStr">
        <is>
          <t>991846561</t>
        </is>
      </c>
      <c r="AN13" t="inlineStr">
        <is>
          <t>davico29@gmail.com</t>
        </is>
      </c>
      <c r="AO13" t="inlineStr">
        <is>
          <t>LIMA</t>
        </is>
      </c>
      <c r="AP13" t="inlineStr">
        <is>
          <t>COMAS</t>
        </is>
      </c>
      <c r="AQ13" s="75" t="n">
        <v>45655</v>
      </c>
      <c r="AR13" s="75" t="n">
        <v>45655</v>
      </c>
      <c r="AS13" t="inlineStr">
        <is>
          <t>SEPARACION</t>
        </is>
      </c>
      <c r="AT13" t="n">
        <v>1</v>
      </c>
      <c r="AU13" t="n">
        <v>3000</v>
      </c>
      <c r="AV13" t="n">
        <v>0</v>
      </c>
      <c r="AW13" t="n">
        <v>0</v>
      </c>
      <c r="AX13" s="39" t="n">
        <v>3000</v>
      </c>
      <c r="AY13" s="39" t="n">
        <v>3000</v>
      </c>
      <c r="AZ13" s="39" t="n">
        <v>0</v>
      </c>
      <c r="BA13" t="n">
        <v>0</v>
      </c>
      <c r="BB13" t="inlineStr">
        <is>
          <t>Crédito Hipotecario</t>
        </is>
      </c>
      <c r="BC13" t="inlineStr">
        <is>
          <t>Scotiabank Perú</t>
        </is>
      </c>
      <c r="BD13" t="inlineStr">
        <is>
          <t>000-2768484</t>
        </is>
      </c>
      <c r="BE13" t="inlineStr">
        <is>
          <t>TRANSFERENCIA BANCARIA</t>
        </is>
      </c>
      <c r="BF13" t="inlineStr">
        <is>
          <t>41844906</t>
        </is>
      </c>
      <c r="BG13" t="inlineStr">
        <is>
          <t>00000082000000000</t>
        </is>
      </c>
      <c r="BH13" t="inlineStr">
        <is>
          <t>No</t>
        </is>
      </c>
      <c r="BI13" t="inlineStr">
        <is>
          <t>NO PRECISA</t>
        </is>
      </c>
      <c r="BJ13" t="n">
        <v>4</v>
      </c>
      <c r="BK13" t="inlineStr">
        <is>
          <t>CANCELADO</t>
        </is>
      </c>
      <c r="BV13" t="inlineStr">
        <is>
          <t>Si</t>
        </is>
      </c>
      <c r="BW13" s="76" t="n">
        <v>45687.61736111111</v>
      </c>
      <c r="BX13" t="inlineStr">
        <is>
          <t>Carla Michue M</t>
        </is>
      </c>
      <c r="BZ13" t="n">
        <v>38</v>
      </c>
      <c r="CA13" t="inlineStr">
        <is>
          <t>02/06/2026 18:05</t>
        </is>
      </c>
      <c r="CB13" t="n">
        <v>0</v>
      </c>
      <c r="CF13" t="inlineStr">
        <is>
          <t>Cobranzas_2024.csv</t>
        </is>
      </c>
      <c r="CG13" t="n">
        <v>2024</v>
      </c>
      <c r="CH13" t="inlineStr">
        <is>
          <t>01/01/2024</t>
        </is>
      </c>
      <c r="CI13" t="inlineStr">
        <is>
          <t>24/08/2031</t>
        </is>
      </c>
    </row>
    <row r="14">
      <c r="A14" t="inlineStr">
        <is>
          <t>RESIDENCIAL PRADA</t>
        </is>
      </c>
      <c r="B14" t="inlineStr">
        <is>
          <t>Etapa 1</t>
        </is>
      </c>
      <c r="C14" t="inlineStr">
        <is>
          <t>Edificio</t>
        </is>
      </c>
      <c r="D14" t="inlineStr">
        <is>
          <t>A</t>
        </is>
      </c>
      <c r="E14" t="inlineStr">
        <is>
          <t>Departamento</t>
        </is>
      </c>
      <c r="F14" t="inlineStr">
        <is>
          <t>205</t>
        </is>
      </c>
      <c r="G14" t="n">
        <v>68.72</v>
      </c>
      <c r="H14" t="n">
        <v>0</v>
      </c>
      <c r="I14" s="39" t="n">
        <v>490000</v>
      </c>
      <c r="J14" s="39" t="n">
        <v>490000</v>
      </c>
      <c r="Q14" s="39" t="n"/>
      <c r="R14" s="39" t="n"/>
      <c r="Y14" s="39" t="n"/>
      <c r="Z14" s="39" t="n"/>
      <c r="AG14" s="39" t="n"/>
      <c r="AH14" s="39" t="n"/>
      <c r="AI14" t="inlineStr">
        <is>
          <t>Elizabeth Rocio Urbina Ñañez</t>
        </is>
      </c>
      <c r="AJ14" t="inlineStr">
        <is>
          <t>71404863</t>
        </is>
      </c>
      <c r="AK14" t="inlineStr">
        <is>
          <t>Av. Arequipa 2651</t>
        </is>
      </c>
      <c r="AM14" t="inlineStr">
        <is>
          <t>943921218</t>
        </is>
      </c>
      <c r="AN14" t="inlineStr">
        <is>
          <t>elizabethurbina9624@gmail.com</t>
        </is>
      </c>
      <c r="AO14" t="inlineStr">
        <is>
          <t>LIMA</t>
        </is>
      </c>
      <c r="AP14" t="inlineStr">
        <is>
          <t>LINCE</t>
        </is>
      </c>
      <c r="AQ14" s="75" t="n">
        <v>45620</v>
      </c>
      <c r="AR14" s="75" t="n">
        <v>45620</v>
      </c>
      <c r="AS14" t="inlineStr">
        <is>
          <t>SEPARACION</t>
        </is>
      </c>
      <c r="AT14" t="n">
        <v>1</v>
      </c>
      <c r="AU14" t="n">
        <v>2000</v>
      </c>
      <c r="AV14" t="n">
        <v>0</v>
      </c>
      <c r="AW14" t="n">
        <v>0</v>
      </c>
      <c r="AX14" s="39" t="n">
        <v>2000</v>
      </c>
      <c r="AY14" s="39" t="n">
        <v>2000</v>
      </c>
      <c r="AZ14" s="39" t="n">
        <v>0</v>
      </c>
      <c r="BA14" t="n">
        <v>0</v>
      </c>
      <c r="BB14" t="inlineStr">
        <is>
          <t>Crédito Hipotecario</t>
        </is>
      </c>
      <c r="BC14" t="inlineStr">
        <is>
          <t>Scotiabank Perú</t>
        </is>
      </c>
      <c r="BD14" t="inlineStr">
        <is>
          <t>000-2768484</t>
        </is>
      </c>
      <c r="BE14" t="inlineStr">
        <is>
          <t>TRANSFERENCIA BANCARIA</t>
        </is>
      </c>
      <c r="BG14" t="inlineStr">
        <is>
          <t>FD893378</t>
        </is>
      </c>
      <c r="BH14" t="inlineStr">
        <is>
          <t>No</t>
        </is>
      </c>
      <c r="BJ14" t="n">
        <v>4</v>
      </c>
      <c r="BK14" t="inlineStr">
        <is>
          <t>CANCELADO</t>
        </is>
      </c>
      <c r="BV14" t="inlineStr">
        <is>
          <t>Si</t>
        </is>
      </c>
      <c r="BW14" s="76" t="n">
        <v>45750.73263888889</v>
      </c>
      <c r="BX14" t="inlineStr">
        <is>
          <t>Carla Michue M</t>
        </is>
      </c>
      <c r="BZ14" t="n">
        <v>5</v>
      </c>
      <c r="CA14" t="inlineStr">
        <is>
          <t>29/06/2026 21:44</t>
        </is>
      </c>
      <c r="CB14" t="n">
        <v>0</v>
      </c>
      <c r="CF14" t="inlineStr">
        <is>
          <t>Cobranzas_2024.csv</t>
        </is>
      </c>
      <c r="CG14" t="n">
        <v>2024</v>
      </c>
      <c r="CH14" t="inlineStr">
        <is>
          <t>01/01/2024</t>
        </is>
      </c>
      <c r="CI14" t="inlineStr">
        <is>
          <t>24/08/2031</t>
        </is>
      </c>
    </row>
    <row r="15">
      <c r="A15" t="inlineStr">
        <is>
          <t>RESIDENCIAL PRADA</t>
        </is>
      </c>
      <c r="B15" t="inlineStr">
        <is>
          <t>Etapa 1</t>
        </is>
      </c>
      <c r="C15" t="inlineStr">
        <is>
          <t>Edificio</t>
        </is>
      </c>
      <c r="D15" t="inlineStr">
        <is>
          <t>A</t>
        </is>
      </c>
      <c r="E15" t="inlineStr">
        <is>
          <t>Departamento</t>
        </is>
      </c>
      <c r="F15" t="inlineStr">
        <is>
          <t>101</t>
        </is>
      </c>
      <c r="G15" t="n">
        <v>80.58</v>
      </c>
      <c r="H15" t="n">
        <v>18.9</v>
      </c>
      <c r="I15" s="39" t="n">
        <v>637000</v>
      </c>
      <c r="J15" s="39" t="n">
        <v>637000</v>
      </c>
      <c r="Q15" s="39" t="n"/>
      <c r="R15" s="39" t="n"/>
      <c r="Y15" s="39" t="n"/>
      <c r="Z15" s="39" t="n"/>
      <c r="AG15" s="39" t="n"/>
      <c r="AH15" s="39" t="n"/>
      <c r="AI15" t="inlineStr">
        <is>
          <t>Elmo Calatayud Chumbes</t>
        </is>
      </c>
      <c r="AJ15" t="inlineStr">
        <is>
          <t>15580131</t>
        </is>
      </c>
      <c r="AK15" t="inlineStr">
        <is>
          <t>Avenida Tomas Valles 1530 Block 14 departamento 204</t>
        </is>
      </c>
      <c r="AL15" t="n">
        <v>955600933</v>
      </c>
      <c r="AM15" t="inlineStr">
        <is>
          <t>955600933</t>
        </is>
      </c>
      <c r="AN15" t="inlineStr">
        <is>
          <t>ec.calatayud@gmail.com</t>
        </is>
      </c>
      <c r="AO15" t="inlineStr">
        <is>
          <t>LIMA</t>
        </is>
      </c>
      <c r="AP15" t="inlineStr">
        <is>
          <t>LOS OLIVOS</t>
        </is>
      </c>
      <c r="AQ15" s="75" t="n">
        <v>45595</v>
      </c>
      <c r="AR15" s="75" t="n">
        <v>45595</v>
      </c>
      <c r="AS15" t="inlineStr">
        <is>
          <t>SEPARACION</t>
        </is>
      </c>
      <c r="AT15" t="n">
        <v>1</v>
      </c>
      <c r="AU15" t="n">
        <v>3000</v>
      </c>
      <c r="AV15" t="n">
        <v>0</v>
      </c>
      <c r="AW15" t="n">
        <v>0</v>
      </c>
      <c r="AX15" s="39" t="n">
        <v>3000</v>
      </c>
      <c r="AY15" s="39" t="n">
        <v>3000</v>
      </c>
      <c r="AZ15" s="39" t="n">
        <v>0</v>
      </c>
      <c r="BA15" t="n">
        <v>0</v>
      </c>
      <c r="BB15" t="inlineStr">
        <is>
          <t>Crédito Hipotecario</t>
        </is>
      </c>
      <c r="BC15" t="inlineStr">
        <is>
          <t>Scotiabank Perú</t>
        </is>
      </c>
      <c r="BD15" t="inlineStr">
        <is>
          <t>000-2768484</t>
        </is>
      </c>
      <c r="BE15" t="inlineStr">
        <is>
          <t>TRANSFERENCIA BANCARIA</t>
        </is>
      </c>
      <c r="BG15" t="inlineStr">
        <is>
          <t>04797111</t>
        </is>
      </c>
      <c r="BH15" t="inlineStr">
        <is>
          <t>No</t>
        </is>
      </c>
      <c r="BJ15" t="n">
        <v>4</v>
      </c>
      <c r="BK15" t="inlineStr">
        <is>
          <t>CANCELADO</t>
        </is>
      </c>
      <c r="BV15" t="inlineStr">
        <is>
          <t>Si</t>
        </is>
      </c>
      <c r="BW15" s="76" t="n">
        <v>45626.65</v>
      </c>
      <c r="BX15" t="inlineStr">
        <is>
          <t>Carla Michue M</t>
        </is>
      </c>
      <c r="BZ15" t="n">
        <v>25</v>
      </c>
      <c r="CA15" t="inlineStr">
        <is>
          <t>26/06/2026 14:52</t>
        </is>
      </c>
      <c r="CB15" t="n">
        <v>0</v>
      </c>
      <c r="CF15" t="inlineStr">
        <is>
          <t>Cobranzas_2024.csv</t>
        </is>
      </c>
      <c r="CG15" t="n">
        <v>2024</v>
      </c>
      <c r="CH15" t="inlineStr">
        <is>
          <t>01/01/2024</t>
        </is>
      </c>
      <c r="CI15" t="inlineStr">
        <is>
          <t>24/08/2031</t>
        </is>
      </c>
    </row>
    <row r="16">
      <c r="A16" t="inlineStr">
        <is>
          <t>RESIDENCIAL PRADA</t>
        </is>
      </c>
      <c r="B16" t="inlineStr">
        <is>
          <t>Etapa 1</t>
        </is>
      </c>
      <c r="C16" t="inlineStr">
        <is>
          <t>Edificio</t>
        </is>
      </c>
      <c r="D16" t="inlineStr">
        <is>
          <t>A</t>
        </is>
      </c>
      <c r="E16" t="inlineStr">
        <is>
          <t>Departamento</t>
        </is>
      </c>
      <c r="F16" t="inlineStr">
        <is>
          <t>101</t>
        </is>
      </c>
      <c r="G16" t="n">
        <v>80.58</v>
      </c>
      <c r="H16" t="n">
        <v>18.9</v>
      </c>
      <c r="I16" s="39" t="n">
        <v>637000</v>
      </c>
      <c r="J16" s="39" t="n">
        <v>637000</v>
      </c>
      <c r="Q16" s="39" t="n"/>
      <c r="R16" s="39" t="n"/>
      <c r="Y16" s="39" t="n"/>
      <c r="Z16" s="39" t="n"/>
      <c r="AG16" s="39" t="n"/>
      <c r="AH16" s="39" t="n"/>
      <c r="AI16" t="inlineStr">
        <is>
          <t>Elmo Calatayud Chumbes</t>
        </is>
      </c>
      <c r="AJ16" t="inlineStr">
        <is>
          <t>15580131</t>
        </is>
      </c>
      <c r="AK16" t="inlineStr">
        <is>
          <t>Avenida Tomas Valles 1530 Block 14 departamento 204</t>
        </is>
      </c>
      <c r="AL16" t="n">
        <v>955600933</v>
      </c>
      <c r="AM16" t="inlineStr">
        <is>
          <t>955600933</t>
        </is>
      </c>
      <c r="AN16" t="inlineStr">
        <is>
          <t>ec.calatayud@gmail.com</t>
        </is>
      </c>
      <c r="AO16" t="inlineStr">
        <is>
          <t>LIMA</t>
        </is>
      </c>
      <c r="AP16" t="inlineStr">
        <is>
          <t>LOS OLIVOS</t>
        </is>
      </c>
      <c r="AQ16" s="75" t="n">
        <v>45626</v>
      </c>
      <c r="AR16" s="75" t="n">
        <v>45626</v>
      </c>
      <c r="AS16" t="inlineStr">
        <is>
          <t>CUOTA INICIAL</t>
        </is>
      </c>
      <c r="AT16" t="n">
        <v>1</v>
      </c>
      <c r="AU16" t="n">
        <v>27000</v>
      </c>
      <c r="AV16" t="n">
        <v>0</v>
      </c>
      <c r="AW16" t="n">
        <v>0</v>
      </c>
      <c r="AX16" s="39" t="n">
        <v>27000</v>
      </c>
      <c r="AY16" s="39" t="n">
        <v>27000</v>
      </c>
      <c r="AZ16" s="39" t="n">
        <v>0</v>
      </c>
      <c r="BA16" t="n">
        <v>0</v>
      </c>
      <c r="BB16" t="inlineStr">
        <is>
          <t>Crédito Hipotecario</t>
        </is>
      </c>
      <c r="BC16" t="inlineStr">
        <is>
          <t>Scotiabank Perú</t>
        </is>
      </c>
      <c r="BD16" t="inlineStr">
        <is>
          <t>000-2768484</t>
        </is>
      </c>
      <c r="BE16" t="inlineStr">
        <is>
          <t>TRANSFERENCIA BANCARIA</t>
        </is>
      </c>
      <c r="BG16" t="inlineStr">
        <is>
          <t>78446555266223</t>
        </is>
      </c>
      <c r="BH16" t="inlineStr">
        <is>
          <t>No</t>
        </is>
      </c>
      <c r="BJ16" t="n">
        <v>4</v>
      </c>
      <c r="BK16" t="inlineStr">
        <is>
          <t>CANCELADO</t>
        </is>
      </c>
      <c r="BV16" t="inlineStr">
        <is>
          <t>Si</t>
        </is>
      </c>
      <c r="BW16" s="76" t="n">
        <v>45626.65</v>
      </c>
      <c r="BX16" t="inlineStr">
        <is>
          <t>Carla Michue M</t>
        </is>
      </c>
      <c r="BZ16" t="n">
        <v>25</v>
      </c>
      <c r="CA16" t="inlineStr">
        <is>
          <t>26/06/2026 14:53</t>
        </is>
      </c>
      <c r="CB16" t="n">
        <v>0</v>
      </c>
      <c r="CF16" t="inlineStr">
        <is>
          <t>Cobranzas_2024.csv</t>
        </is>
      </c>
      <c r="CG16" t="n">
        <v>2024</v>
      </c>
      <c r="CH16" t="inlineStr">
        <is>
          <t>01/01/2024</t>
        </is>
      </c>
      <c r="CI16" t="inlineStr">
        <is>
          <t>24/08/2031</t>
        </is>
      </c>
    </row>
    <row r="17">
      <c r="A17" t="inlineStr">
        <is>
          <t>RESIDENCIAL PRADA</t>
        </is>
      </c>
      <c r="B17" t="inlineStr">
        <is>
          <t>Etapa 1</t>
        </is>
      </c>
      <c r="C17" t="inlineStr">
        <is>
          <t>Edificio</t>
        </is>
      </c>
      <c r="D17" t="inlineStr">
        <is>
          <t>A</t>
        </is>
      </c>
      <c r="E17" t="inlineStr">
        <is>
          <t>Departamento</t>
        </is>
      </c>
      <c r="F17" t="inlineStr">
        <is>
          <t>101</t>
        </is>
      </c>
      <c r="G17" t="n">
        <v>80.58</v>
      </c>
      <c r="H17" t="n">
        <v>18.9</v>
      </c>
      <c r="I17" s="39" t="n">
        <v>637000</v>
      </c>
      <c r="J17" s="39" t="n">
        <v>637000</v>
      </c>
      <c r="Q17" s="39" t="n"/>
      <c r="R17" s="39" t="n"/>
      <c r="Y17" s="39" t="n"/>
      <c r="Z17" s="39" t="n"/>
      <c r="AG17" s="39" t="n"/>
      <c r="AH17" s="39" t="n"/>
      <c r="AI17" t="inlineStr">
        <is>
          <t>Elmo Calatayud Chumbes</t>
        </is>
      </c>
      <c r="AJ17" t="inlineStr">
        <is>
          <t>15580131</t>
        </is>
      </c>
      <c r="AK17" t="inlineStr">
        <is>
          <t>Avenida Tomas Valles 1530 Block 14 departamento 204</t>
        </is>
      </c>
      <c r="AL17" t="n">
        <v>955600933</v>
      </c>
      <c r="AM17" t="inlineStr">
        <is>
          <t>955600933</t>
        </is>
      </c>
      <c r="AN17" t="inlineStr">
        <is>
          <t>ec.calatayud@gmail.com</t>
        </is>
      </c>
      <c r="AO17" t="inlineStr">
        <is>
          <t>LIMA</t>
        </is>
      </c>
      <c r="AP17" t="inlineStr">
        <is>
          <t>LOS OLIVOS</t>
        </is>
      </c>
      <c r="AQ17" s="75" t="n">
        <v>45626</v>
      </c>
      <c r="AR17" s="75" t="n">
        <v>45626</v>
      </c>
      <c r="AS17" t="inlineStr">
        <is>
          <t>CUOTA INICIAL</t>
        </is>
      </c>
      <c r="AT17" t="n">
        <v>2</v>
      </c>
      <c r="AU17" t="n">
        <v>3000</v>
      </c>
      <c r="AV17" t="n">
        <v>0</v>
      </c>
      <c r="AW17" t="n">
        <v>0</v>
      </c>
      <c r="AX17" s="39" t="n">
        <v>3000</v>
      </c>
      <c r="AY17" s="39" t="n">
        <v>3000</v>
      </c>
      <c r="AZ17" s="39" t="n">
        <v>0</v>
      </c>
      <c r="BA17" t="n">
        <v>0</v>
      </c>
      <c r="BB17" t="inlineStr">
        <is>
          <t>Crédito Hipotecario</t>
        </is>
      </c>
      <c r="BC17" t="inlineStr">
        <is>
          <t>Scotiabank Perú</t>
        </is>
      </c>
      <c r="BD17" t="inlineStr">
        <is>
          <t>000-2768484</t>
        </is>
      </c>
      <c r="BE17" t="inlineStr">
        <is>
          <t>TRANSFERENCIA BANCARIA</t>
        </is>
      </c>
      <c r="BG17" t="inlineStr">
        <is>
          <t>7844655544194</t>
        </is>
      </c>
      <c r="BH17" t="inlineStr">
        <is>
          <t>No</t>
        </is>
      </c>
      <c r="BJ17" t="n">
        <v>4</v>
      </c>
      <c r="BK17" t="inlineStr">
        <is>
          <t>CANCELADO</t>
        </is>
      </c>
      <c r="BV17" t="inlineStr">
        <is>
          <t>Si</t>
        </is>
      </c>
      <c r="BW17" s="76" t="n">
        <v>45626.65</v>
      </c>
      <c r="BX17" t="inlineStr">
        <is>
          <t>Carla Michue M</t>
        </is>
      </c>
      <c r="BZ17" t="n">
        <v>25</v>
      </c>
      <c r="CA17" t="inlineStr">
        <is>
          <t>26/06/2026 14:53</t>
        </is>
      </c>
      <c r="CB17" t="n">
        <v>0</v>
      </c>
      <c r="CF17" t="inlineStr">
        <is>
          <t>Cobranzas_2024.csv</t>
        </is>
      </c>
      <c r="CG17" t="n">
        <v>2024</v>
      </c>
      <c r="CH17" t="inlineStr">
        <is>
          <t>01/01/2024</t>
        </is>
      </c>
      <c r="CI17" t="inlineStr">
        <is>
          <t>24/08/2031</t>
        </is>
      </c>
    </row>
    <row r="18">
      <c r="A18" t="inlineStr">
        <is>
          <t>RESIDENCIAL PRADA</t>
        </is>
      </c>
      <c r="B18" t="inlineStr">
        <is>
          <t>Etapa 1</t>
        </is>
      </c>
      <c r="C18" t="inlineStr">
        <is>
          <t>Edificio</t>
        </is>
      </c>
      <c r="D18" t="inlineStr">
        <is>
          <t>A</t>
        </is>
      </c>
      <c r="E18" t="inlineStr">
        <is>
          <t>Departamento</t>
        </is>
      </c>
      <c r="F18" t="inlineStr">
        <is>
          <t>101</t>
        </is>
      </c>
      <c r="G18" t="n">
        <v>80.58</v>
      </c>
      <c r="H18" t="n">
        <v>18.9</v>
      </c>
      <c r="I18" s="39" t="n">
        <v>637000</v>
      </c>
      <c r="J18" s="39" t="n">
        <v>637000</v>
      </c>
      <c r="Q18" s="39" t="n"/>
      <c r="R18" s="39" t="n"/>
      <c r="Y18" s="39" t="n"/>
      <c r="Z18" s="39" t="n"/>
      <c r="AG18" s="39" t="n"/>
      <c r="AH18" s="39" t="n"/>
      <c r="AI18" t="inlineStr">
        <is>
          <t>Elmo Calatayud Chumbes</t>
        </is>
      </c>
      <c r="AJ18" t="inlineStr">
        <is>
          <t>15580131</t>
        </is>
      </c>
      <c r="AK18" t="inlineStr">
        <is>
          <t>Avenida Tomas Valles 1530 Block 14 departamento 204</t>
        </is>
      </c>
      <c r="AL18" t="n">
        <v>955600933</v>
      </c>
      <c r="AM18" t="inlineStr">
        <is>
          <t>955600933</t>
        </is>
      </c>
      <c r="AN18" t="inlineStr">
        <is>
          <t>ec.calatayud@gmail.com</t>
        </is>
      </c>
      <c r="AO18" t="inlineStr">
        <is>
          <t>LIMA</t>
        </is>
      </c>
      <c r="AP18" t="inlineStr">
        <is>
          <t>LOS OLIVOS</t>
        </is>
      </c>
      <c r="AQ18" s="75" t="n">
        <v>45656</v>
      </c>
      <c r="AR18" s="75" t="n">
        <v>45656</v>
      </c>
      <c r="AS18" t="inlineStr">
        <is>
          <t>CUOTA INICIAL</t>
        </is>
      </c>
      <c r="AT18" t="n">
        <v>3</v>
      </c>
      <c r="AU18" t="n">
        <v>0</v>
      </c>
      <c r="AV18" t="n">
        <v>0</v>
      </c>
      <c r="AW18" t="n">
        <v>0</v>
      </c>
      <c r="AX18" s="39" t="n">
        <v>30700</v>
      </c>
      <c r="AY18" s="39" t="n">
        <v>30000</v>
      </c>
      <c r="AZ18" s="39" t="n">
        <v>0</v>
      </c>
      <c r="BA18" t="n">
        <v>0</v>
      </c>
      <c r="BB18" t="inlineStr">
        <is>
          <t>Crédito Hipotecario</t>
        </is>
      </c>
      <c r="BC18" t="inlineStr">
        <is>
          <t>Scotiabank Perú</t>
        </is>
      </c>
      <c r="BD18" t="inlineStr">
        <is>
          <t>000-2768484</t>
        </is>
      </c>
      <c r="BE18" t="inlineStr">
        <is>
          <t>TRANSFERENCIA BANCARIA</t>
        </is>
      </c>
      <c r="BG18" t="inlineStr">
        <is>
          <t>7844655610530</t>
        </is>
      </c>
      <c r="BH18" t="inlineStr">
        <is>
          <t>No</t>
        </is>
      </c>
      <c r="BJ18" t="n">
        <v>4</v>
      </c>
      <c r="BK18" t="inlineStr">
        <is>
          <t>CANCELADO</t>
        </is>
      </c>
      <c r="BV18" t="inlineStr">
        <is>
          <t>Si</t>
        </is>
      </c>
      <c r="BW18" s="76" t="n">
        <v>45626.65</v>
      </c>
      <c r="BX18" t="inlineStr">
        <is>
          <t>Carla Michue M</t>
        </is>
      </c>
      <c r="BZ18" t="n">
        <v>25</v>
      </c>
      <c r="CA18" t="inlineStr">
        <is>
          <t>26/06/2026 14:55</t>
        </is>
      </c>
      <c r="CB18" t="n">
        <v>0</v>
      </c>
      <c r="CF18" t="inlineStr">
        <is>
          <t>Cobranzas_2024.csv</t>
        </is>
      </c>
      <c r="CG18" t="n">
        <v>2024</v>
      </c>
      <c r="CH18" t="inlineStr">
        <is>
          <t>01/01/2024</t>
        </is>
      </c>
      <c r="CI18" t="inlineStr">
        <is>
          <t>24/08/2031</t>
        </is>
      </c>
    </row>
    <row r="19">
      <c r="A19" t="inlineStr">
        <is>
          <t>RESIDENCIAL PRADA</t>
        </is>
      </c>
      <c r="B19" t="inlineStr">
        <is>
          <t>Etapa 1</t>
        </is>
      </c>
      <c r="C19" t="inlineStr">
        <is>
          <t>Edificio</t>
        </is>
      </c>
      <c r="D19" t="inlineStr">
        <is>
          <t>A</t>
        </is>
      </c>
      <c r="E19" t="inlineStr">
        <is>
          <t>Departamento</t>
        </is>
      </c>
      <c r="F19" t="inlineStr">
        <is>
          <t>101</t>
        </is>
      </c>
      <c r="G19" t="n">
        <v>80.58</v>
      </c>
      <c r="H19" t="n">
        <v>18.9</v>
      </c>
      <c r="I19" s="39" t="n">
        <v>637000</v>
      </c>
      <c r="J19" s="39" t="n">
        <v>637000</v>
      </c>
      <c r="Q19" s="39" t="n"/>
      <c r="R19" s="39" t="n"/>
      <c r="Y19" s="39" t="n"/>
      <c r="Z19" s="39" t="n"/>
      <c r="AG19" s="39" t="n"/>
      <c r="AH19" s="39" t="n"/>
      <c r="AI19" t="inlineStr">
        <is>
          <t>Elmo Calatayud Chumbes</t>
        </is>
      </c>
      <c r="AJ19" t="inlineStr">
        <is>
          <t>15580131</t>
        </is>
      </c>
      <c r="AK19" t="inlineStr">
        <is>
          <t>Avenida Tomas Valles 1530 Block 14 departamento 204</t>
        </is>
      </c>
      <c r="AL19" t="n">
        <v>955600933</v>
      </c>
      <c r="AM19" t="inlineStr">
        <is>
          <t>955600933</t>
        </is>
      </c>
      <c r="AN19" t="inlineStr">
        <is>
          <t>ec.calatayud@gmail.com</t>
        </is>
      </c>
      <c r="AO19" t="inlineStr">
        <is>
          <t>LIMA</t>
        </is>
      </c>
      <c r="AP19" t="inlineStr">
        <is>
          <t>LOS OLIVOS</t>
        </is>
      </c>
      <c r="AQ19" s="75" t="n">
        <v>45656</v>
      </c>
      <c r="AR19" s="75" t="n">
        <v>45656</v>
      </c>
      <c r="AS19" t="inlineStr">
        <is>
          <t>CUOTA INICIAL</t>
        </is>
      </c>
      <c r="AT19" t="n">
        <v>3</v>
      </c>
      <c r="AU19" t="n">
        <v>30700</v>
      </c>
      <c r="AV19" t="n">
        <v>0</v>
      </c>
      <c r="AW19" t="n">
        <v>0</v>
      </c>
      <c r="AX19" s="39" t="n">
        <v>0</v>
      </c>
      <c r="AY19" s="39" t="n">
        <v>700</v>
      </c>
      <c r="AZ19" s="39" t="n">
        <v>0</v>
      </c>
      <c r="BA19" t="n">
        <v>0</v>
      </c>
      <c r="BB19" t="inlineStr">
        <is>
          <t>Crédito Hipotecario</t>
        </is>
      </c>
      <c r="BC19" t="inlineStr">
        <is>
          <t>Scotiabank Perú</t>
        </is>
      </c>
      <c r="BD19" t="inlineStr">
        <is>
          <t>000-2768484</t>
        </is>
      </c>
      <c r="BE19" t="inlineStr">
        <is>
          <t>TRANSFERENCIA BANCARIA</t>
        </is>
      </c>
      <c r="BG19" t="inlineStr">
        <is>
          <t>7844655610860</t>
        </is>
      </c>
      <c r="BH19" t="inlineStr">
        <is>
          <t>No</t>
        </is>
      </c>
      <c r="BJ19" t="n">
        <v>4</v>
      </c>
      <c r="BK19" t="inlineStr">
        <is>
          <t>CANCELADO</t>
        </is>
      </c>
      <c r="BV19" t="inlineStr">
        <is>
          <t>Si</t>
        </is>
      </c>
      <c r="BW19" s="76" t="n">
        <v>45626.65</v>
      </c>
      <c r="BX19" t="inlineStr">
        <is>
          <t>Carla Michue M</t>
        </is>
      </c>
      <c r="BZ19" t="n">
        <v>25</v>
      </c>
      <c r="CA19" t="inlineStr">
        <is>
          <t>26/06/2026 14:56</t>
        </is>
      </c>
      <c r="CB19" t="n">
        <v>0</v>
      </c>
      <c r="CF19" t="inlineStr">
        <is>
          <t>Cobranzas_2024.csv</t>
        </is>
      </c>
      <c r="CG19" t="n">
        <v>2024</v>
      </c>
      <c r="CH19" t="inlineStr">
        <is>
          <t>01/01/2024</t>
        </is>
      </c>
      <c r="CI19" t="inlineStr">
        <is>
          <t>24/08/2031</t>
        </is>
      </c>
    </row>
    <row r="20">
      <c r="A20" t="inlineStr">
        <is>
          <t>RESIDENCIAL PRADA</t>
        </is>
      </c>
      <c r="B20" t="inlineStr">
        <is>
          <t>Etapa 1</t>
        </is>
      </c>
      <c r="C20" t="inlineStr">
        <is>
          <t>Edificio</t>
        </is>
      </c>
      <c r="D20" t="inlineStr">
        <is>
          <t>A</t>
        </is>
      </c>
      <c r="E20" t="inlineStr">
        <is>
          <t>Departamento</t>
        </is>
      </c>
      <c r="F20" t="inlineStr">
        <is>
          <t>203</t>
        </is>
      </c>
      <c r="G20" t="n">
        <v>88.27</v>
      </c>
      <c r="H20" t="n">
        <v>0</v>
      </c>
      <c r="I20" s="39" t="n">
        <v>654000</v>
      </c>
      <c r="J20" s="39" t="n">
        <v>654000</v>
      </c>
      <c r="K20" t="inlineStr">
        <is>
          <t>Edificio</t>
        </is>
      </c>
      <c r="L20" t="inlineStr">
        <is>
          <t>A</t>
        </is>
      </c>
      <c r="M20" t="inlineStr">
        <is>
          <t>Estacionamiento</t>
        </is>
      </c>
      <c r="N20" t="inlineStr">
        <is>
          <t>E 12 - D 09</t>
        </is>
      </c>
      <c r="O20" t="n">
        <v>13</v>
      </c>
      <c r="P20" t="n">
        <v>3.89</v>
      </c>
      <c r="Q20" s="39" t="n">
        <v>56300</v>
      </c>
      <c r="R20" s="39" t="n">
        <v>56300</v>
      </c>
      <c r="Y20" s="39" t="n"/>
      <c r="Z20" s="39" t="n"/>
      <c r="AG20" s="39" t="n"/>
      <c r="AH20" s="39" t="n"/>
      <c r="AI20" t="inlineStr">
        <is>
          <t>Gilberto Videla Flores</t>
        </is>
      </c>
      <c r="AJ20" t="inlineStr">
        <is>
          <t>06571347</t>
        </is>
      </c>
      <c r="AK20" t="inlineStr">
        <is>
          <t>Mz D Lt 7 Urb. La Estrella</t>
        </is>
      </c>
      <c r="AM20" t="inlineStr">
        <is>
          <t>969742622</t>
        </is>
      </c>
      <c r="AN20" t="inlineStr">
        <is>
          <t>gvidelaf@gmail.com</t>
        </is>
      </c>
      <c r="AO20" t="inlineStr">
        <is>
          <t>LIMA</t>
        </is>
      </c>
      <c r="AP20" t="inlineStr">
        <is>
          <t>LOS OLIVOS</t>
        </is>
      </c>
      <c r="AQ20" s="75" t="n">
        <v>45535</v>
      </c>
      <c r="AR20" s="75" t="n">
        <v>45535</v>
      </c>
      <c r="AS20" t="inlineStr">
        <is>
          <t>SEPARACION</t>
        </is>
      </c>
      <c r="AT20" t="n">
        <v>1</v>
      </c>
      <c r="AU20" t="n">
        <v>3000</v>
      </c>
      <c r="AV20" t="n">
        <v>0</v>
      </c>
      <c r="AW20" t="n">
        <v>0</v>
      </c>
      <c r="AX20" s="39" t="n">
        <v>3000</v>
      </c>
      <c r="AY20" s="39" t="n">
        <v>3000</v>
      </c>
      <c r="AZ20" s="39" t="n">
        <v>0</v>
      </c>
      <c r="BA20" t="n">
        <v>0</v>
      </c>
      <c r="BB20" t="inlineStr">
        <is>
          <t>Crédito Directo</t>
        </is>
      </c>
      <c r="BC20" t="inlineStr">
        <is>
          <t>Scotiabank Perú</t>
        </is>
      </c>
      <c r="BD20" t="inlineStr">
        <is>
          <t>000-2768484</t>
        </is>
      </c>
      <c r="BE20" t="inlineStr">
        <is>
          <t>POS VISA</t>
        </is>
      </c>
      <c r="BF20" t="inlineStr">
        <is>
          <t>06571347</t>
        </is>
      </c>
      <c r="BG20" t="inlineStr">
        <is>
          <t>0059</t>
        </is>
      </c>
      <c r="BH20" t="inlineStr">
        <is>
          <t>No</t>
        </is>
      </c>
      <c r="BI20" t="inlineStr">
        <is>
          <t>NO PRECISA</t>
        </is>
      </c>
      <c r="BJ20" t="n">
        <v>1</v>
      </c>
      <c r="BK20" t="inlineStr">
        <is>
          <t>CANCELADO</t>
        </is>
      </c>
      <c r="BV20" t="inlineStr">
        <is>
          <t>Si</t>
        </is>
      </c>
      <c r="BW20" s="76" t="n">
        <v>45539.38055555556</v>
      </c>
      <c r="BX20" t="inlineStr">
        <is>
          <t>Carla Michue M</t>
        </is>
      </c>
      <c r="BZ20" t="n">
        <v>24</v>
      </c>
      <c r="CA20" t="inlineStr">
        <is>
          <t>29/05/2026 12:21</t>
        </is>
      </c>
      <c r="CB20" t="n">
        <v>0</v>
      </c>
      <c r="CF20" t="inlineStr">
        <is>
          <t>Cobranzas_2024.csv</t>
        </is>
      </c>
      <c r="CG20" t="n">
        <v>2024</v>
      </c>
      <c r="CH20" t="inlineStr">
        <is>
          <t>01/01/2024</t>
        </is>
      </c>
      <c r="CI20" t="inlineStr">
        <is>
          <t>24/08/2031</t>
        </is>
      </c>
    </row>
    <row r="21">
      <c r="A21" t="inlineStr">
        <is>
          <t>RESIDENCIAL PRADA</t>
        </is>
      </c>
      <c r="B21" t="inlineStr">
        <is>
          <t>Etapa 1</t>
        </is>
      </c>
      <c r="C21" t="inlineStr">
        <is>
          <t>Edificio</t>
        </is>
      </c>
      <c r="D21" t="inlineStr">
        <is>
          <t>A</t>
        </is>
      </c>
      <c r="E21" t="inlineStr">
        <is>
          <t>Departamento</t>
        </is>
      </c>
      <c r="F21" t="inlineStr">
        <is>
          <t>203</t>
        </is>
      </c>
      <c r="G21" t="n">
        <v>88.27</v>
      </c>
      <c r="H21" t="n">
        <v>0</v>
      </c>
      <c r="I21" s="39" t="n">
        <v>654000</v>
      </c>
      <c r="J21" s="39" t="n">
        <v>654000</v>
      </c>
      <c r="K21" t="inlineStr">
        <is>
          <t>Edificio</t>
        </is>
      </c>
      <c r="L21" t="inlineStr">
        <is>
          <t>A</t>
        </is>
      </c>
      <c r="M21" t="inlineStr">
        <is>
          <t>Estacionamiento</t>
        </is>
      </c>
      <c r="N21" t="inlineStr">
        <is>
          <t>E 12 - D 09</t>
        </is>
      </c>
      <c r="O21" t="n">
        <v>13</v>
      </c>
      <c r="P21" t="n">
        <v>3.89</v>
      </c>
      <c r="Q21" s="39" t="n">
        <v>56300</v>
      </c>
      <c r="R21" s="39" t="n">
        <v>56300</v>
      </c>
      <c r="Y21" s="39" t="n"/>
      <c r="Z21" s="39" t="n"/>
      <c r="AG21" s="39" t="n"/>
      <c r="AH21" s="39" t="n"/>
      <c r="AI21" t="inlineStr">
        <is>
          <t>Gilberto Videla Flores</t>
        </is>
      </c>
      <c r="AJ21" t="inlineStr">
        <is>
          <t>06571347</t>
        </is>
      </c>
      <c r="AK21" t="inlineStr">
        <is>
          <t>Mz D Lt 7 Urb. La Estrella</t>
        </is>
      </c>
      <c r="AM21" t="inlineStr">
        <is>
          <t>969742622</t>
        </is>
      </c>
      <c r="AN21" t="inlineStr">
        <is>
          <t>gvidelaf@gmail.com</t>
        </is>
      </c>
      <c r="AO21" t="inlineStr">
        <is>
          <t>LIMA</t>
        </is>
      </c>
      <c r="AP21" t="inlineStr">
        <is>
          <t>LOS OLIVOS</t>
        </is>
      </c>
      <c r="AQ21" s="75" t="n">
        <v>45539</v>
      </c>
      <c r="AR21" s="75" t="n">
        <v>45539</v>
      </c>
      <c r="AS21" t="inlineStr">
        <is>
          <t>CUOTA INICIAL</t>
        </is>
      </c>
      <c r="AT21" t="n">
        <v>2</v>
      </c>
      <c r="AU21" t="n">
        <v>281120</v>
      </c>
      <c r="AV21" t="n">
        <v>0</v>
      </c>
      <c r="AW21" t="n">
        <v>0</v>
      </c>
      <c r="AX21" s="39" t="n">
        <v>281120</v>
      </c>
      <c r="AY21" s="39" t="n">
        <v>281120</v>
      </c>
      <c r="AZ21" s="39" t="n">
        <v>0</v>
      </c>
      <c r="BA21" t="n">
        <v>0</v>
      </c>
      <c r="BB21" t="inlineStr">
        <is>
          <t>Crédito Directo</t>
        </is>
      </c>
      <c r="BC21" t="inlineStr">
        <is>
          <t>Scotiabank Perú</t>
        </is>
      </c>
      <c r="BD21" t="inlineStr">
        <is>
          <t>000-2768484</t>
        </is>
      </c>
      <c r="BE21" t="inlineStr">
        <is>
          <t>TRANSFERENCIA BANCARIA</t>
        </is>
      </c>
      <c r="BG21" t="inlineStr">
        <is>
          <t>0953413</t>
        </is>
      </c>
      <c r="BH21" t="inlineStr">
        <is>
          <t>No</t>
        </is>
      </c>
      <c r="BJ21" t="n">
        <v>4</v>
      </c>
      <c r="BK21" t="inlineStr">
        <is>
          <t>CANCELADO</t>
        </is>
      </c>
      <c r="BV21" t="inlineStr">
        <is>
          <t>Si</t>
        </is>
      </c>
      <c r="BW21" s="76" t="n">
        <v>45539.38055555556</v>
      </c>
      <c r="BX21" t="inlineStr">
        <is>
          <t>Carla Michue M</t>
        </is>
      </c>
      <c r="BZ21" t="n">
        <v>24</v>
      </c>
      <c r="CA21" t="inlineStr">
        <is>
          <t>30/06/2026 16:33</t>
        </is>
      </c>
      <c r="CB21" t="n">
        <v>0</v>
      </c>
      <c r="CF21" t="inlineStr">
        <is>
          <t>Cobranzas_2024.csv</t>
        </is>
      </c>
      <c r="CG21" t="n">
        <v>2024</v>
      </c>
      <c r="CH21" t="inlineStr">
        <is>
          <t>01/01/2024</t>
        </is>
      </c>
      <c r="CI21" t="inlineStr">
        <is>
          <t>24/08/2031</t>
        </is>
      </c>
    </row>
    <row r="22">
      <c r="A22" t="inlineStr">
        <is>
          <t>RESIDENCIAL PRADA</t>
        </is>
      </c>
      <c r="B22" t="inlineStr">
        <is>
          <t>Etapa 1</t>
        </is>
      </c>
      <c r="C22" t="inlineStr">
        <is>
          <t>Edificio</t>
        </is>
      </c>
      <c r="D22" t="inlineStr">
        <is>
          <t>A</t>
        </is>
      </c>
      <c r="E22" t="inlineStr">
        <is>
          <t>Departamento</t>
        </is>
      </c>
      <c r="F22" t="inlineStr">
        <is>
          <t>203</t>
        </is>
      </c>
      <c r="G22" t="n">
        <v>88.27</v>
      </c>
      <c r="H22" t="n">
        <v>0</v>
      </c>
      <c r="I22" s="39" t="n">
        <v>654000</v>
      </c>
      <c r="J22" s="39" t="n">
        <v>654000</v>
      </c>
      <c r="K22" t="inlineStr">
        <is>
          <t>Edificio</t>
        </is>
      </c>
      <c r="L22" t="inlineStr">
        <is>
          <t>A</t>
        </is>
      </c>
      <c r="M22" t="inlineStr">
        <is>
          <t>Estacionamiento</t>
        </is>
      </c>
      <c r="N22" t="inlineStr">
        <is>
          <t>E 12 - D 09</t>
        </is>
      </c>
      <c r="O22" t="n">
        <v>13</v>
      </c>
      <c r="P22" t="n">
        <v>3.89</v>
      </c>
      <c r="Q22" s="39" t="n">
        <v>56300</v>
      </c>
      <c r="R22" s="39" t="n">
        <v>56300</v>
      </c>
      <c r="Y22" s="39" t="n"/>
      <c r="Z22" s="39" t="n"/>
      <c r="AG22" s="39" t="n"/>
      <c r="AH22" s="39" t="n"/>
      <c r="AI22" t="inlineStr">
        <is>
          <t>Gilberto Videla Flores</t>
        </is>
      </c>
      <c r="AJ22" t="inlineStr">
        <is>
          <t>06571347</t>
        </is>
      </c>
      <c r="AK22" t="inlineStr">
        <is>
          <t>Mz D Lt 7 Urb. La Estrella</t>
        </is>
      </c>
      <c r="AM22" t="inlineStr">
        <is>
          <t>969742622</t>
        </is>
      </c>
      <c r="AN22" t="inlineStr">
        <is>
          <t>gvidelaf@gmail.com</t>
        </is>
      </c>
      <c r="AO22" t="inlineStr">
        <is>
          <t>LIMA</t>
        </is>
      </c>
      <c r="AP22" t="inlineStr">
        <is>
          <t>LOS OLIVOS</t>
        </is>
      </c>
      <c r="AQ22" s="75" t="n">
        <v>45559</v>
      </c>
      <c r="AR22" s="75" t="n">
        <v>45559</v>
      </c>
      <c r="AS22" t="inlineStr">
        <is>
          <t>SALDO FINANCIAR</t>
        </is>
      </c>
      <c r="AT22" t="n">
        <v>3</v>
      </c>
      <c r="AU22" t="n">
        <v>248605</v>
      </c>
      <c r="AV22" t="n">
        <v>0</v>
      </c>
      <c r="AW22" t="n">
        <v>0</v>
      </c>
      <c r="AX22" s="39" t="n">
        <v>248605</v>
      </c>
      <c r="AY22" s="39" t="n">
        <v>248605</v>
      </c>
      <c r="AZ22" s="39" t="n">
        <v>0</v>
      </c>
      <c r="BA22" t="n">
        <v>0</v>
      </c>
      <c r="BB22" t="inlineStr">
        <is>
          <t>Crédito Directo</t>
        </is>
      </c>
      <c r="BC22" t="inlineStr">
        <is>
          <t>Scotiabank Perú</t>
        </is>
      </c>
      <c r="BD22" t="inlineStr">
        <is>
          <t>000-2768484</t>
        </is>
      </c>
      <c r="BE22" t="inlineStr">
        <is>
          <t>TRANSFERENCIA BANCARIA</t>
        </is>
      </c>
      <c r="BG22" t="inlineStr">
        <is>
          <t>0036913</t>
        </is>
      </c>
      <c r="BH22" t="inlineStr">
        <is>
          <t>No</t>
        </is>
      </c>
      <c r="BJ22" t="n">
        <v>4</v>
      </c>
      <c r="BK22" t="inlineStr">
        <is>
          <t>CANCELADO</t>
        </is>
      </c>
      <c r="BV22" t="inlineStr">
        <is>
          <t>Si</t>
        </is>
      </c>
      <c r="BW22" s="76" t="n">
        <v>45539.38055555556</v>
      </c>
      <c r="BX22" t="inlineStr">
        <is>
          <t>Carla Michue M</t>
        </is>
      </c>
      <c r="BZ22" t="n">
        <v>24</v>
      </c>
      <c r="CA22" t="inlineStr">
        <is>
          <t>30/06/2026 16:48</t>
        </is>
      </c>
      <c r="CB22" t="n">
        <v>0</v>
      </c>
      <c r="CF22" t="inlineStr">
        <is>
          <t>Cobranzas_2024.csv</t>
        </is>
      </c>
      <c r="CG22" t="n">
        <v>2024</v>
      </c>
      <c r="CH22" t="inlineStr">
        <is>
          <t>01/01/2024</t>
        </is>
      </c>
      <c r="CI22" t="inlineStr">
        <is>
          <t>24/08/2031</t>
        </is>
      </c>
    </row>
    <row r="23">
      <c r="A23" t="inlineStr">
        <is>
          <t>RESIDENCIAL PRADA</t>
        </is>
      </c>
      <c r="B23" t="inlineStr">
        <is>
          <t>Etapa 1</t>
        </is>
      </c>
      <c r="C23" t="inlineStr">
        <is>
          <t>Edificio</t>
        </is>
      </c>
      <c r="D23" t="inlineStr">
        <is>
          <t>A</t>
        </is>
      </c>
      <c r="E23" t="inlineStr">
        <is>
          <t>Departamento</t>
        </is>
      </c>
      <c r="F23" t="inlineStr">
        <is>
          <t>104</t>
        </is>
      </c>
      <c r="G23" t="n">
        <v>68.52</v>
      </c>
      <c r="H23" t="n">
        <v>31.7</v>
      </c>
      <c r="I23" s="39" t="n">
        <v>609100</v>
      </c>
      <c r="J23" s="39" t="n">
        <v>609100</v>
      </c>
      <c r="K23" t="inlineStr">
        <is>
          <t>Edificio</t>
        </is>
      </c>
      <c r="L23" t="inlineStr">
        <is>
          <t>A</t>
        </is>
      </c>
      <c r="M23" t="inlineStr">
        <is>
          <t>Estacionamiento</t>
        </is>
      </c>
      <c r="N23" t="inlineStr">
        <is>
          <t>E 26 - D 20</t>
        </is>
      </c>
      <c r="O23" t="n">
        <v>14.6</v>
      </c>
      <c r="P23" t="n">
        <v>3.89</v>
      </c>
      <c r="Q23" s="39" t="n">
        <v>64600</v>
      </c>
      <c r="R23" s="39" t="n">
        <v>64600</v>
      </c>
      <c r="Y23" s="39" t="n"/>
      <c r="Z23" s="39" t="n"/>
      <c r="AG23" s="39" t="n"/>
      <c r="AH23" s="39" t="n"/>
      <c r="AI23" t="inlineStr">
        <is>
          <t>Gilda Victoria Sampi González</t>
        </is>
      </c>
      <c r="AJ23" t="inlineStr">
        <is>
          <t>43636501</t>
        </is>
      </c>
      <c r="AK23" t="inlineStr">
        <is>
          <t>Av. Brasil 863 departamento 702-A</t>
        </is>
      </c>
      <c r="AL23" t="n">
        <v>966422784</v>
      </c>
      <c r="AM23" t="inlineStr">
        <is>
          <t xml:space="preserve">966422784		</t>
        </is>
      </c>
      <c r="AN23" t="inlineStr">
        <is>
          <t>victoria.sampi@gmail.com</t>
        </is>
      </c>
      <c r="AO23" t="inlineStr">
        <is>
          <t>LIMA</t>
        </is>
      </c>
      <c r="AP23" t="inlineStr">
        <is>
          <t>JESUS MARIA</t>
        </is>
      </c>
      <c r="AQ23" s="75" t="n">
        <v>45494</v>
      </c>
      <c r="AR23" s="75" t="n">
        <v>45494</v>
      </c>
      <c r="AS23" t="inlineStr">
        <is>
          <t>SEPARACION</t>
        </is>
      </c>
      <c r="AT23" t="n">
        <v>1</v>
      </c>
      <c r="AU23" t="n">
        <v>3000</v>
      </c>
      <c r="AV23" t="n">
        <v>0</v>
      </c>
      <c r="AW23" t="n">
        <v>0</v>
      </c>
      <c r="AX23" s="39" t="n">
        <v>3000</v>
      </c>
      <c r="AY23" s="39" t="n">
        <v>3000</v>
      </c>
      <c r="AZ23" s="39" t="n">
        <v>0</v>
      </c>
      <c r="BA23" t="n">
        <v>0</v>
      </c>
      <c r="BB23" t="inlineStr">
        <is>
          <t>Crédito Hipotecario</t>
        </is>
      </c>
      <c r="BC23" t="inlineStr">
        <is>
          <t>Scotiabank Perú</t>
        </is>
      </c>
      <c r="BD23" t="inlineStr">
        <is>
          <t>000-2768484</t>
        </is>
      </c>
      <c r="BE23" t="inlineStr">
        <is>
          <t>TRANSFERENCIA BANCARIA</t>
        </is>
      </c>
      <c r="BF23" t="inlineStr">
        <is>
          <t>43636501</t>
        </is>
      </c>
      <c r="BG23" t="inlineStr">
        <is>
          <t>00998929</t>
        </is>
      </c>
      <c r="BH23" t="inlineStr">
        <is>
          <t>No</t>
        </is>
      </c>
      <c r="BI23" t="inlineStr">
        <is>
          <t>NO PRECISA</t>
        </is>
      </c>
      <c r="BJ23" t="n">
        <v>4</v>
      </c>
      <c r="BK23" t="inlineStr">
        <is>
          <t>CANCELADO</t>
        </is>
      </c>
      <c r="BV23" t="inlineStr">
        <is>
          <t>Si</t>
        </is>
      </c>
      <c r="BW23" s="76" t="n">
        <v>45537.59305555555</v>
      </c>
      <c r="BX23" t="inlineStr">
        <is>
          <t>Kenny Salazar S</t>
        </is>
      </c>
      <c r="BZ23" t="n">
        <v>32</v>
      </c>
      <c r="CA23" t="inlineStr">
        <is>
          <t>02/06/2026 14:50</t>
        </is>
      </c>
      <c r="CB23" t="n">
        <v>0</v>
      </c>
      <c r="CF23" t="inlineStr">
        <is>
          <t>Cobranzas_2024.csv</t>
        </is>
      </c>
      <c r="CG23" t="n">
        <v>2024</v>
      </c>
      <c r="CH23" t="inlineStr">
        <is>
          <t>01/01/2024</t>
        </is>
      </c>
      <c r="CI23" t="inlineStr">
        <is>
          <t>24/08/2031</t>
        </is>
      </c>
    </row>
    <row r="24">
      <c r="A24" t="inlineStr">
        <is>
          <t>RESIDENCIAL PRADA</t>
        </is>
      </c>
      <c r="B24" t="inlineStr">
        <is>
          <t>Etapa 1</t>
        </is>
      </c>
      <c r="C24" t="inlineStr">
        <is>
          <t>Edificio</t>
        </is>
      </c>
      <c r="D24" t="inlineStr">
        <is>
          <t>A</t>
        </is>
      </c>
      <c r="E24" t="inlineStr">
        <is>
          <t>Departamento</t>
        </is>
      </c>
      <c r="F24" t="inlineStr">
        <is>
          <t>104</t>
        </is>
      </c>
      <c r="G24" t="n">
        <v>68.52</v>
      </c>
      <c r="H24" t="n">
        <v>31.7</v>
      </c>
      <c r="I24" s="39" t="n">
        <v>609100</v>
      </c>
      <c r="J24" s="39" t="n">
        <v>609100</v>
      </c>
      <c r="K24" t="inlineStr">
        <is>
          <t>Edificio</t>
        </is>
      </c>
      <c r="L24" t="inlineStr">
        <is>
          <t>A</t>
        </is>
      </c>
      <c r="M24" t="inlineStr">
        <is>
          <t>Estacionamiento</t>
        </is>
      </c>
      <c r="N24" t="inlineStr">
        <is>
          <t>E 26 - D 20</t>
        </is>
      </c>
      <c r="O24" t="n">
        <v>14.6</v>
      </c>
      <c r="P24" t="n">
        <v>3.89</v>
      </c>
      <c r="Q24" s="39" t="n">
        <v>64600</v>
      </c>
      <c r="R24" s="39" t="n">
        <v>64600</v>
      </c>
      <c r="Y24" s="39" t="n"/>
      <c r="Z24" s="39" t="n"/>
      <c r="AG24" s="39" t="n"/>
      <c r="AH24" s="39" t="n"/>
      <c r="AI24" t="inlineStr">
        <is>
          <t>Gilda Victoria Sampi González</t>
        </is>
      </c>
      <c r="AJ24" t="inlineStr">
        <is>
          <t>43636501</t>
        </is>
      </c>
      <c r="AK24" t="inlineStr">
        <is>
          <t>Av. Brasil 863 departamento 702-A</t>
        </is>
      </c>
      <c r="AL24" t="n">
        <v>966422784</v>
      </c>
      <c r="AM24" t="inlineStr">
        <is>
          <t xml:space="preserve">966422784		</t>
        </is>
      </c>
      <c r="AN24" t="inlineStr">
        <is>
          <t>victoria.sampi@gmail.com</t>
        </is>
      </c>
      <c r="AO24" t="inlineStr">
        <is>
          <t>LIMA</t>
        </is>
      </c>
      <c r="AP24" t="inlineStr">
        <is>
          <t>JESUS MARIA</t>
        </is>
      </c>
      <c r="AQ24" s="75" t="n">
        <v>45537</v>
      </c>
      <c r="AR24" s="75" t="n">
        <v>45537</v>
      </c>
      <c r="AS24" t="inlineStr">
        <is>
          <t>CUOTA INICIAL</t>
        </is>
      </c>
      <c r="AT24" t="n">
        <v>1</v>
      </c>
      <c r="AU24" t="n">
        <v>134740</v>
      </c>
      <c r="AV24" t="n">
        <v>0</v>
      </c>
      <c r="AW24" t="n">
        <v>0</v>
      </c>
      <c r="AX24" s="39" t="n">
        <v>134740</v>
      </c>
      <c r="AY24" s="39" t="n">
        <v>134740</v>
      </c>
      <c r="AZ24" s="39" t="n">
        <v>0</v>
      </c>
      <c r="BA24" t="n">
        <v>0</v>
      </c>
      <c r="BB24" t="inlineStr">
        <is>
          <t>Crédito Hipotecario</t>
        </is>
      </c>
      <c r="BC24" t="inlineStr">
        <is>
          <t>Scotiabank Perú</t>
        </is>
      </c>
      <c r="BD24" t="inlineStr">
        <is>
          <t>000-2768484</t>
        </is>
      </c>
      <c r="BE24" t="inlineStr">
        <is>
          <t>TRANSFERENCIA BANCARIA</t>
        </is>
      </c>
      <c r="BF24" t="inlineStr">
        <is>
          <t>43636501</t>
        </is>
      </c>
      <c r="BG24" t="inlineStr">
        <is>
          <t>009107870</t>
        </is>
      </c>
      <c r="BH24" t="inlineStr">
        <is>
          <t>No</t>
        </is>
      </c>
      <c r="BI24" t="inlineStr">
        <is>
          <t>NO PRECISA</t>
        </is>
      </c>
      <c r="BJ24" t="n">
        <v>4</v>
      </c>
      <c r="BK24" t="inlineStr">
        <is>
          <t>CANCELADO</t>
        </is>
      </c>
      <c r="BV24" t="inlineStr">
        <is>
          <t>Si</t>
        </is>
      </c>
      <c r="BW24" s="76" t="n">
        <v>45537.59305555555</v>
      </c>
      <c r="BX24" t="inlineStr">
        <is>
          <t>Kenny Salazar S</t>
        </is>
      </c>
      <c r="BZ24" t="n">
        <v>32</v>
      </c>
      <c r="CA24" t="inlineStr">
        <is>
          <t>04/06/2026 09:52</t>
        </is>
      </c>
      <c r="CB24" t="n">
        <v>0</v>
      </c>
      <c r="CF24" t="inlineStr">
        <is>
          <t>Cobranzas_2024.csv</t>
        </is>
      </c>
      <c r="CG24" t="n">
        <v>2024</v>
      </c>
      <c r="CH24" t="inlineStr">
        <is>
          <t>01/01/2024</t>
        </is>
      </c>
      <c r="CI24" t="inlineStr">
        <is>
          <t>24/08/2031</t>
        </is>
      </c>
    </row>
    <row r="25">
      <c r="A25" t="inlineStr">
        <is>
          <t>RESIDENCIAL PRADA</t>
        </is>
      </c>
      <c r="B25" t="inlineStr">
        <is>
          <t>Etapa 1</t>
        </is>
      </c>
      <c r="C25" t="inlineStr">
        <is>
          <t>Edificio</t>
        </is>
      </c>
      <c r="D25" t="inlineStr">
        <is>
          <t>A</t>
        </is>
      </c>
      <c r="E25" t="inlineStr">
        <is>
          <t>Departamento</t>
        </is>
      </c>
      <c r="F25" t="inlineStr">
        <is>
          <t>605</t>
        </is>
      </c>
      <c r="G25" t="n">
        <v>68.72</v>
      </c>
      <c r="H25" t="n">
        <v>0</v>
      </c>
      <c r="I25" s="39" t="n">
        <v>501000</v>
      </c>
      <c r="J25" s="39" t="n">
        <v>501000</v>
      </c>
      <c r="K25" t="inlineStr">
        <is>
          <t>Edificio</t>
        </is>
      </c>
      <c r="L25" t="inlineStr">
        <is>
          <t>A</t>
        </is>
      </c>
      <c r="M25" t="inlineStr">
        <is>
          <t>Estacionamiento</t>
        </is>
      </c>
      <c r="N25" t="inlineStr">
        <is>
          <t>E 07 - D 05</t>
        </is>
      </c>
      <c r="O25" t="n">
        <v>15.4</v>
      </c>
      <c r="P25" t="n">
        <v>2.26</v>
      </c>
      <c r="Q25" s="39" t="n">
        <v>57300</v>
      </c>
      <c r="R25" s="39" t="n">
        <v>57300</v>
      </c>
      <c r="Y25" s="39" t="n"/>
      <c r="Z25" s="39" t="n"/>
      <c r="AG25" s="39" t="n"/>
      <c r="AH25" s="39" t="n"/>
      <c r="AI25" t="inlineStr">
        <is>
          <t>Jose Humberto Pehovaz Diez</t>
        </is>
      </c>
      <c r="AJ25" t="inlineStr">
        <is>
          <t>49073756</t>
        </is>
      </c>
      <c r="AK25" t="inlineStr">
        <is>
          <t>-</t>
        </is>
      </c>
      <c r="AM25" t="inlineStr">
        <is>
          <t>952256518</t>
        </is>
      </c>
      <c r="AN25" t="inlineStr">
        <is>
          <t>josehp99@gmail.com</t>
        </is>
      </c>
      <c r="AO25" t="inlineStr">
        <is>
          <t>LIMA</t>
        </is>
      </c>
      <c r="AP25" t="inlineStr">
        <is>
          <t>MAGDALENA DEL MAR</t>
        </is>
      </c>
      <c r="AQ25" s="75" t="n">
        <v>45338</v>
      </c>
      <c r="AR25" s="75" t="n">
        <v>45698</v>
      </c>
      <c r="AS25" t="inlineStr">
        <is>
          <t>SEPARACION</t>
        </is>
      </c>
      <c r="AT25" t="n">
        <v>1</v>
      </c>
      <c r="AU25" t="n">
        <v>3000</v>
      </c>
      <c r="AV25" t="n">
        <v>0</v>
      </c>
      <c r="AW25" t="n">
        <v>0</v>
      </c>
      <c r="AX25" s="39" t="n">
        <v>3000</v>
      </c>
      <c r="AY25" s="39" t="n">
        <v>3000</v>
      </c>
      <c r="AZ25" s="39" t="n">
        <v>0</v>
      </c>
      <c r="BA25" t="n">
        <v>0</v>
      </c>
      <c r="BB25" t="inlineStr">
        <is>
          <t>Crédito Hipotecario</t>
        </is>
      </c>
      <c r="BC25" t="inlineStr">
        <is>
          <t>Scotiabank Perú</t>
        </is>
      </c>
      <c r="BD25" t="inlineStr">
        <is>
          <t>000-2768484</t>
        </is>
      </c>
      <c r="BE25" t="inlineStr">
        <is>
          <t>TRANSFERENCIA BANCARIA</t>
        </is>
      </c>
      <c r="BF25" t="inlineStr">
        <is>
          <t>49073756</t>
        </is>
      </c>
      <c r="BG25" t="inlineStr">
        <is>
          <t>7844655534521</t>
        </is>
      </c>
      <c r="BH25" t="inlineStr">
        <is>
          <t>No</t>
        </is>
      </c>
      <c r="BI25" t="inlineStr">
        <is>
          <t>NO PRECISA</t>
        </is>
      </c>
      <c r="BJ25" t="n">
        <v>1</v>
      </c>
      <c r="BK25" t="inlineStr">
        <is>
          <t>CANCELADO</t>
        </is>
      </c>
      <c r="BV25" t="inlineStr">
        <is>
          <t>Si</t>
        </is>
      </c>
      <c r="BW25" s="76" t="n">
        <v>45709.69652777778</v>
      </c>
      <c r="BX25" t="inlineStr">
        <is>
          <t>Carla Michue M</t>
        </is>
      </c>
      <c r="BZ25" t="n">
        <v>10</v>
      </c>
      <c r="CA25" t="inlineStr">
        <is>
          <t>29/05/2026 12:21</t>
        </is>
      </c>
      <c r="CB25" t="n">
        <v>0</v>
      </c>
      <c r="CF25" t="inlineStr">
        <is>
          <t>Cobranzas_2024.csv</t>
        </is>
      </c>
      <c r="CG25" t="n">
        <v>2024</v>
      </c>
      <c r="CH25" t="inlineStr">
        <is>
          <t>01/01/2024</t>
        </is>
      </c>
      <c r="CI25" t="inlineStr">
        <is>
          <t>24/08/2031</t>
        </is>
      </c>
    </row>
    <row r="26">
      <c r="A26" t="inlineStr">
        <is>
          <t>RESIDENCIAL PRADA</t>
        </is>
      </c>
      <c r="B26" t="inlineStr">
        <is>
          <t>Etapa 1</t>
        </is>
      </c>
      <c r="C26" t="inlineStr">
        <is>
          <t>Edificio</t>
        </is>
      </c>
      <c r="D26" t="inlineStr">
        <is>
          <t>A</t>
        </is>
      </c>
      <c r="E26" t="inlineStr">
        <is>
          <t>Departamento</t>
        </is>
      </c>
      <c r="F26" t="inlineStr">
        <is>
          <t>201</t>
        </is>
      </c>
      <c r="G26" t="n">
        <v>84</v>
      </c>
      <c r="H26" t="n">
        <v>0</v>
      </c>
      <c r="I26" s="39" t="n">
        <v>622500</v>
      </c>
      <c r="J26" s="39" t="n">
        <v>622500</v>
      </c>
      <c r="Q26" s="39" t="n"/>
      <c r="R26" s="39" t="n"/>
      <c r="Y26" s="39" t="n"/>
      <c r="Z26" s="39" t="n"/>
      <c r="AG26" s="39" t="n"/>
      <c r="AH26" s="39" t="n"/>
      <c r="AI26" t="inlineStr">
        <is>
          <t>Joseluis Gaspar Zapata Flores</t>
        </is>
      </c>
      <c r="AJ26" t="inlineStr">
        <is>
          <t>46730672</t>
        </is>
      </c>
      <c r="AK26" t="inlineStr">
        <is>
          <t>Jr. Los Clavles 141 P. J  El Progreso 1er Sector</t>
        </is>
      </c>
      <c r="AM26" t="inlineStr">
        <is>
          <t>948041027</t>
        </is>
      </c>
      <c r="AN26" t="inlineStr">
        <is>
          <t>jlzapata91@gmail.com</t>
        </is>
      </c>
      <c r="AO26" t="inlineStr">
        <is>
          <t>LIMA</t>
        </is>
      </c>
      <c r="AP26" t="inlineStr">
        <is>
          <t>CARABAYLLO</t>
        </is>
      </c>
      <c r="AQ26" s="75" t="n">
        <v>45479</v>
      </c>
      <c r="AR26" s="75" t="n">
        <v>45479</v>
      </c>
      <c r="AS26" t="inlineStr">
        <is>
          <t>CUOTA INICIAL</t>
        </is>
      </c>
      <c r="AT26" t="n">
        <v>1</v>
      </c>
      <c r="AU26" t="n">
        <v>3000</v>
      </c>
      <c r="AV26" t="n">
        <v>0</v>
      </c>
      <c r="AW26" t="n">
        <v>0</v>
      </c>
      <c r="AX26" s="39" t="n">
        <v>3000</v>
      </c>
      <c r="AY26" s="39" t="n">
        <v>3000</v>
      </c>
      <c r="AZ26" s="39" t="n">
        <v>0</v>
      </c>
      <c r="BA26" t="n">
        <v>0</v>
      </c>
      <c r="BB26" t="inlineStr">
        <is>
          <t>Ahorro</t>
        </is>
      </c>
      <c r="BC26" t="inlineStr">
        <is>
          <t>Scotiabank Perú</t>
        </is>
      </c>
      <c r="BD26" t="inlineStr">
        <is>
          <t>000-2768484</t>
        </is>
      </c>
      <c r="BE26" t="inlineStr">
        <is>
          <t>TRANSFERENCIA BANCARIA</t>
        </is>
      </c>
      <c r="BG26" t="inlineStr">
        <is>
          <t>03343387</t>
        </is>
      </c>
      <c r="BH26" t="inlineStr">
        <is>
          <t>Si</t>
        </is>
      </c>
      <c r="BJ26" t="n">
        <v>4</v>
      </c>
      <c r="BK26" t="inlineStr">
        <is>
          <t>CANCELADO</t>
        </is>
      </c>
      <c r="BV26" t="inlineStr">
        <is>
          <t>Si</t>
        </is>
      </c>
      <c r="BW26" s="76" t="n">
        <v>45488.65486111111</v>
      </c>
      <c r="BX26" t="inlineStr">
        <is>
          <t>Carla Michue M</t>
        </is>
      </c>
      <c r="BZ26" t="n">
        <v>6</v>
      </c>
      <c r="CA26" t="inlineStr">
        <is>
          <t>29/06/2026 01:05</t>
        </is>
      </c>
      <c r="CB26" t="n">
        <v>0</v>
      </c>
      <c r="CF26" t="inlineStr">
        <is>
          <t>Cobranzas_2024.csv</t>
        </is>
      </c>
      <c r="CG26" t="n">
        <v>2024</v>
      </c>
      <c r="CH26" t="inlineStr">
        <is>
          <t>01/01/2024</t>
        </is>
      </c>
      <c r="CI26" t="inlineStr">
        <is>
          <t>24/08/2031</t>
        </is>
      </c>
    </row>
    <row r="27">
      <c r="A27" t="inlineStr">
        <is>
          <t>RESIDENCIAL PRADA</t>
        </is>
      </c>
      <c r="B27" t="inlineStr">
        <is>
          <t>Etapa 1</t>
        </is>
      </c>
      <c r="C27" t="inlineStr">
        <is>
          <t>Edificio</t>
        </is>
      </c>
      <c r="D27" t="inlineStr">
        <is>
          <t>A</t>
        </is>
      </c>
      <c r="E27" t="inlineStr">
        <is>
          <t>Departamento</t>
        </is>
      </c>
      <c r="F27" t="inlineStr">
        <is>
          <t>201</t>
        </is>
      </c>
      <c r="G27" t="n">
        <v>84</v>
      </c>
      <c r="H27" t="n">
        <v>0</v>
      </c>
      <c r="I27" s="39" t="n">
        <v>622500</v>
      </c>
      <c r="J27" s="39" t="n">
        <v>622500</v>
      </c>
      <c r="Q27" s="39" t="n"/>
      <c r="R27" s="39" t="n"/>
      <c r="Y27" s="39" t="n"/>
      <c r="Z27" s="39" t="n"/>
      <c r="AG27" s="39" t="n"/>
      <c r="AH27" s="39" t="n"/>
      <c r="AI27" t="inlineStr">
        <is>
          <t>Joseluis Gaspar Zapata Flores</t>
        </is>
      </c>
      <c r="AJ27" t="inlineStr">
        <is>
          <t>46730672</t>
        </is>
      </c>
      <c r="AK27" t="inlineStr">
        <is>
          <t>Jr. Los Clavles 141 P. J  El Progreso 1er Sector</t>
        </is>
      </c>
      <c r="AM27" t="inlineStr">
        <is>
          <t>948041027</t>
        </is>
      </c>
      <c r="AN27" t="inlineStr">
        <is>
          <t>jlzapata91@gmail.com</t>
        </is>
      </c>
      <c r="AO27" t="inlineStr">
        <is>
          <t>LIMA</t>
        </is>
      </c>
      <c r="AP27" t="inlineStr">
        <is>
          <t>CARABAYLLO</t>
        </is>
      </c>
      <c r="AQ27" s="75" t="n">
        <v>45488</v>
      </c>
      <c r="AR27" s="75" t="n">
        <v>45488</v>
      </c>
      <c r="AS27" t="inlineStr">
        <is>
          <t>CUOTA INICIAL</t>
        </is>
      </c>
      <c r="AT27" t="n">
        <v>2</v>
      </c>
      <c r="AU27" t="n">
        <v>20000</v>
      </c>
      <c r="AV27" t="n">
        <v>0</v>
      </c>
      <c r="AW27" t="n">
        <v>0</v>
      </c>
      <c r="AX27" s="39" t="n">
        <v>20000</v>
      </c>
      <c r="AY27" s="39" t="n">
        <v>20000</v>
      </c>
      <c r="AZ27" s="39" t="n">
        <v>0</v>
      </c>
      <c r="BA27" t="n">
        <v>0</v>
      </c>
      <c r="BB27" t="inlineStr">
        <is>
          <t>Ahorro</t>
        </is>
      </c>
      <c r="BC27" t="inlineStr">
        <is>
          <t>Scotiabank Perú</t>
        </is>
      </c>
      <c r="BD27" t="inlineStr">
        <is>
          <t>000-2768484</t>
        </is>
      </c>
      <c r="BE27" t="inlineStr">
        <is>
          <t>TRANSFERENCIA BANCARIA</t>
        </is>
      </c>
      <c r="BG27" t="inlineStr">
        <is>
          <t>7844655656315</t>
        </is>
      </c>
      <c r="BH27" t="inlineStr">
        <is>
          <t>No</t>
        </is>
      </c>
      <c r="BJ27" t="n">
        <v>4</v>
      </c>
      <c r="BK27" t="inlineStr">
        <is>
          <t>CANCELADO</t>
        </is>
      </c>
      <c r="BV27" t="inlineStr">
        <is>
          <t>Si</t>
        </is>
      </c>
      <c r="BW27" s="76" t="n">
        <v>45488.65486111111</v>
      </c>
      <c r="BX27" t="inlineStr">
        <is>
          <t>Carla Michue M</t>
        </is>
      </c>
      <c r="BZ27" t="n">
        <v>6</v>
      </c>
      <c r="CA27" t="inlineStr">
        <is>
          <t>29/06/2026 01:06</t>
        </is>
      </c>
      <c r="CB27" t="n">
        <v>0</v>
      </c>
      <c r="CF27" t="inlineStr">
        <is>
          <t>Cobranzas_2024.csv</t>
        </is>
      </c>
      <c r="CG27" t="n">
        <v>2024</v>
      </c>
      <c r="CH27" t="inlineStr">
        <is>
          <t>01/01/2024</t>
        </is>
      </c>
      <c r="CI27" t="inlineStr">
        <is>
          <t>24/08/2031</t>
        </is>
      </c>
    </row>
    <row r="28">
      <c r="A28" t="inlineStr">
        <is>
          <t>RESIDENCIAL PRADA</t>
        </is>
      </c>
      <c r="B28" t="inlineStr">
        <is>
          <t>Etapa 1</t>
        </is>
      </c>
      <c r="C28" t="inlineStr">
        <is>
          <t>Edificio</t>
        </is>
      </c>
      <c r="D28" t="inlineStr">
        <is>
          <t>A</t>
        </is>
      </c>
      <c r="E28" t="inlineStr">
        <is>
          <t>Departamento</t>
        </is>
      </c>
      <c r="F28" t="inlineStr">
        <is>
          <t>201</t>
        </is>
      </c>
      <c r="G28" t="n">
        <v>84</v>
      </c>
      <c r="H28" t="n">
        <v>0</v>
      </c>
      <c r="I28" s="39" t="n">
        <v>622500</v>
      </c>
      <c r="J28" s="39" t="n">
        <v>622500</v>
      </c>
      <c r="Q28" s="39" t="n"/>
      <c r="R28" s="39" t="n"/>
      <c r="Y28" s="39" t="n"/>
      <c r="Z28" s="39" t="n"/>
      <c r="AG28" s="39" t="n"/>
      <c r="AH28" s="39" t="n"/>
      <c r="AI28" t="inlineStr">
        <is>
          <t>Joseluis Gaspar Zapata Flores</t>
        </is>
      </c>
      <c r="AJ28" t="inlineStr">
        <is>
          <t>46730672</t>
        </is>
      </c>
      <c r="AK28" t="inlineStr">
        <is>
          <t>Jr. Los Clavles 141 P. J  El Progreso 1er Sector</t>
        </is>
      </c>
      <c r="AM28" t="inlineStr">
        <is>
          <t>948041027</t>
        </is>
      </c>
      <c r="AN28" t="inlineStr">
        <is>
          <t>jlzapata91@gmail.com</t>
        </is>
      </c>
      <c r="AO28" t="inlineStr">
        <is>
          <t>LIMA</t>
        </is>
      </c>
      <c r="AP28" t="inlineStr">
        <is>
          <t>CARABAYLLO</t>
        </is>
      </c>
      <c r="AQ28" s="75" t="n">
        <v>45656</v>
      </c>
      <c r="AR28" s="75" t="n">
        <v>45722</v>
      </c>
      <c r="AS28" t="inlineStr">
        <is>
          <t>CUOTA INICIAL</t>
        </is>
      </c>
      <c r="AT28" t="n">
        <v>3</v>
      </c>
      <c r="AU28" t="n">
        <v>0</v>
      </c>
      <c r="AV28" t="n">
        <v>0</v>
      </c>
      <c r="AW28" t="n">
        <v>0</v>
      </c>
      <c r="AX28" s="39" t="n">
        <v>67000</v>
      </c>
      <c r="AY28" s="39" t="n">
        <v>65000</v>
      </c>
      <c r="AZ28" s="39" t="n">
        <v>0</v>
      </c>
      <c r="BA28" t="n">
        <v>0</v>
      </c>
      <c r="BB28" t="inlineStr">
        <is>
          <t>Ahorro</t>
        </is>
      </c>
      <c r="BC28" t="inlineStr">
        <is>
          <t>Scotiabank Perú</t>
        </is>
      </c>
      <c r="BD28" t="inlineStr">
        <is>
          <t>000-2768484</t>
        </is>
      </c>
      <c r="BE28" t="inlineStr">
        <is>
          <t>TRANSFERENCIA BANCARIA</t>
        </is>
      </c>
      <c r="BG28" t="inlineStr">
        <is>
          <t>u26563</t>
        </is>
      </c>
      <c r="BH28" t="inlineStr">
        <is>
          <t>No</t>
        </is>
      </c>
      <c r="BJ28" t="n">
        <v>4</v>
      </c>
      <c r="BK28" t="inlineStr">
        <is>
          <t>CANCELADO</t>
        </is>
      </c>
      <c r="BV28" t="inlineStr">
        <is>
          <t>Si</t>
        </is>
      </c>
      <c r="BW28" s="76" t="n">
        <v>45488.65486111111</v>
      </c>
      <c r="BX28" t="inlineStr">
        <is>
          <t>Carla Michue M</t>
        </is>
      </c>
      <c r="BZ28" t="n">
        <v>6</v>
      </c>
      <c r="CA28" t="inlineStr">
        <is>
          <t>29/06/2026 01:07</t>
        </is>
      </c>
      <c r="CB28" t="n">
        <v>0</v>
      </c>
      <c r="CF28" t="inlineStr">
        <is>
          <t>Cobranzas_2024.csv</t>
        </is>
      </c>
      <c r="CG28" t="n">
        <v>2024</v>
      </c>
      <c r="CH28" t="inlineStr">
        <is>
          <t>01/01/2024</t>
        </is>
      </c>
      <c r="CI28" t="inlineStr">
        <is>
          <t>24/08/2031</t>
        </is>
      </c>
    </row>
    <row r="29">
      <c r="A29" t="inlineStr">
        <is>
          <t>RESIDENCIAL PRADA</t>
        </is>
      </c>
      <c r="B29" t="inlineStr">
        <is>
          <t>Etapa 1</t>
        </is>
      </c>
      <c r="C29" t="inlineStr">
        <is>
          <t>Edificio</t>
        </is>
      </c>
      <c r="D29" t="inlineStr">
        <is>
          <t>A</t>
        </is>
      </c>
      <c r="E29" t="inlineStr">
        <is>
          <t>Departamento</t>
        </is>
      </c>
      <c r="F29" t="inlineStr">
        <is>
          <t>201</t>
        </is>
      </c>
      <c r="G29" t="n">
        <v>84</v>
      </c>
      <c r="H29" t="n">
        <v>0</v>
      </c>
      <c r="I29" s="39" t="n">
        <v>622500</v>
      </c>
      <c r="J29" s="39" t="n">
        <v>622500</v>
      </c>
      <c r="Q29" s="39" t="n"/>
      <c r="R29" s="39" t="n"/>
      <c r="Y29" s="39" t="n"/>
      <c r="Z29" s="39" t="n"/>
      <c r="AG29" s="39" t="n"/>
      <c r="AH29" s="39" t="n"/>
      <c r="AI29" t="inlineStr">
        <is>
          <t>Joseluis Gaspar Zapata Flores</t>
        </is>
      </c>
      <c r="AJ29" t="inlineStr">
        <is>
          <t>46730672</t>
        </is>
      </c>
      <c r="AK29" t="inlineStr">
        <is>
          <t>Jr. Los Clavles 141 P. J  El Progreso 1er Sector</t>
        </is>
      </c>
      <c r="AM29" t="inlineStr">
        <is>
          <t>948041027</t>
        </is>
      </c>
      <c r="AN29" t="inlineStr">
        <is>
          <t>jlzapata91@gmail.com</t>
        </is>
      </c>
      <c r="AO29" t="inlineStr">
        <is>
          <t>LIMA</t>
        </is>
      </c>
      <c r="AP29" t="inlineStr">
        <is>
          <t>CARABAYLLO</t>
        </is>
      </c>
      <c r="AQ29" s="75" t="n">
        <v>45656</v>
      </c>
      <c r="AR29" s="75" t="n">
        <v>45722</v>
      </c>
      <c r="AS29" t="inlineStr">
        <is>
          <t>CUOTA INICIAL</t>
        </is>
      </c>
      <c r="AT29" t="n">
        <v>3</v>
      </c>
      <c r="AU29" t="n">
        <v>67000</v>
      </c>
      <c r="AV29" t="n">
        <v>0</v>
      </c>
      <c r="AW29" t="n">
        <v>0</v>
      </c>
      <c r="AX29" s="39" t="n">
        <v>0</v>
      </c>
      <c r="AY29" s="39" t="n">
        <v>2000</v>
      </c>
      <c r="AZ29" s="39" t="n">
        <v>0</v>
      </c>
      <c r="BA29" t="n">
        <v>0</v>
      </c>
      <c r="BB29" t="inlineStr">
        <is>
          <t>Ahorro</t>
        </is>
      </c>
      <c r="BC29" t="inlineStr">
        <is>
          <t>Scotiabank Perú</t>
        </is>
      </c>
      <c r="BD29" t="inlineStr">
        <is>
          <t>000-2768484</t>
        </is>
      </c>
      <c r="BE29" t="inlineStr">
        <is>
          <t>TRANSFERENCIA BANCARIA</t>
        </is>
      </c>
      <c r="BG29" t="inlineStr">
        <is>
          <t>7844655541508</t>
        </is>
      </c>
      <c r="BH29" t="inlineStr">
        <is>
          <t>No</t>
        </is>
      </c>
      <c r="BJ29" t="n">
        <v>4</v>
      </c>
      <c r="BK29" t="inlineStr">
        <is>
          <t>CANCELADO</t>
        </is>
      </c>
      <c r="BV29" t="inlineStr">
        <is>
          <t>Si</t>
        </is>
      </c>
      <c r="BW29" s="76" t="n">
        <v>45488.65486111111</v>
      </c>
      <c r="BX29" t="inlineStr">
        <is>
          <t>Carla Michue M</t>
        </is>
      </c>
      <c r="BZ29" t="n">
        <v>6</v>
      </c>
      <c r="CA29" t="inlineStr">
        <is>
          <t>29/06/2026 01:08</t>
        </is>
      </c>
      <c r="CB29" t="n">
        <v>0</v>
      </c>
      <c r="CF29" t="inlineStr">
        <is>
          <t>Cobranzas_2024.csv</t>
        </is>
      </c>
      <c r="CG29" t="n">
        <v>2024</v>
      </c>
      <c r="CH29" t="inlineStr">
        <is>
          <t>01/01/2024</t>
        </is>
      </c>
      <c r="CI29" t="inlineStr">
        <is>
          <t>24/08/2031</t>
        </is>
      </c>
    </row>
    <row r="30">
      <c r="A30" t="inlineStr">
        <is>
          <t>RESIDENCIAL PRADA</t>
        </is>
      </c>
      <c r="B30" t="inlineStr">
        <is>
          <t>Etapa 1</t>
        </is>
      </c>
      <c r="C30" t="inlineStr">
        <is>
          <t>Edificio</t>
        </is>
      </c>
      <c r="D30" t="inlineStr">
        <is>
          <t>A</t>
        </is>
      </c>
      <c r="E30" t="inlineStr">
        <is>
          <t>Departamento</t>
        </is>
      </c>
      <c r="F30" t="inlineStr">
        <is>
          <t>501</t>
        </is>
      </c>
      <c r="G30" t="n">
        <v>83</v>
      </c>
      <c r="H30" t="n">
        <v>0</v>
      </c>
      <c r="I30" s="39" t="n">
        <v>612000</v>
      </c>
      <c r="J30" s="39" t="n">
        <v>612000</v>
      </c>
      <c r="Q30" s="39" t="n"/>
      <c r="R30" s="39" t="n"/>
      <c r="Y30" s="39" t="n"/>
      <c r="Z30" s="39" t="n"/>
      <c r="AG30" s="39" t="n"/>
      <c r="AH30" s="39" t="n"/>
      <c r="AI30" t="inlineStr">
        <is>
          <t>Juan Carlos Ángeles Milla</t>
        </is>
      </c>
      <c r="AJ30" t="inlineStr">
        <is>
          <t>32403305</t>
        </is>
      </c>
      <c r="AK30" t="inlineStr">
        <is>
          <t>Av. Miraflores 218</t>
        </is>
      </c>
      <c r="AM30" t="inlineStr">
        <is>
          <t>942097700</t>
        </is>
      </c>
      <c r="AN30" t="inlineStr">
        <is>
          <t>Vidang72@hotmail.com</t>
        </is>
      </c>
      <c r="AO30" t="inlineStr">
        <is>
          <t>HUAYLAS</t>
        </is>
      </c>
      <c r="AP30" t="inlineStr">
        <is>
          <t>HUAYLAS</t>
        </is>
      </c>
      <c r="AQ30" s="75" t="n">
        <v>45520</v>
      </c>
      <c r="AR30" s="75" t="n">
        <v>45520</v>
      </c>
      <c r="AS30" t="inlineStr">
        <is>
          <t>SEPARACION</t>
        </is>
      </c>
      <c r="AT30" t="n">
        <v>1</v>
      </c>
      <c r="AU30" t="n">
        <v>3000</v>
      </c>
      <c r="AV30" t="n">
        <v>0</v>
      </c>
      <c r="AW30" t="n">
        <v>0</v>
      </c>
      <c r="AX30" s="39" t="n">
        <v>3000</v>
      </c>
      <c r="AY30" s="39" t="n">
        <v>3000</v>
      </c>
      <c r="AZ30" s="39" t="n">
        <v>0</v>
      </c>
      <c r="BA30" t="n">
        <v>0</v>
      </c>
      <c r="BB30" t="inlineStr">
        <is>
          <t>Ahorro</t>
        </is>
      </c>
      <c r="BC30" t="inlineStr">
        <is>
          <t>Scotiabank Perú</t>
        </is>
      </c>
      <c r="BD30" t="inlineStr">
        <is>
          <t>000-2768484</t>
        </is>
      </c>
      <c r="BE30" t="inlineStr">
        <is>
          <t>TRANSFERENCIA BANCARIA</t>
        </is>
      </c>
      <c r="BF30" t="inlineStr">
        <is>
          <t>32403305</t>
        </is>
      </c>
      <c r="BG30" t="inlineStr">
        <is>
          <t>02431073</t>
        </is>
      </c>
      <c r="BH30" t="inlineStr">
        <is>
          <t>No</t>
        </is>
      </c>
      <c r="BI30" t="inlineStr">
        <is>
          <t>NO PRECISA</t>
        </is>
      </c>
      <c r="BJ30" t="n">
        <v>1</v>
      </c>
      <c r="BK30" t="inlineStr">
        <is>
          <t>CANCELADO</t>
        </is>
      </c>
      <c r="BV30" t="inlineStr">
        <is>
          <t>Si</t>
        </is>
      </c>
      <c r="BW30" s="76" t="n">
        <v>45541.59444444445</v>
      </c>
      <c r="BX30" t="inlineStr">
        <is>
          <t>Carla Michue M</t>
        </is>
      </c>
      <c r="BZ30" t="n">
        <v>21</v>
      </c>
      <c r="CA30" t="inlineStr">
        <is>
          <t>29/05/2026 12:21</t>
        </is>
      </c>
      <c r="CB30" t="n">
        <v>0</v>
      </c>
      <c r="CF30" t="inlineStr">
        <is>
          <t>Cobranzas_2024.csv</t>
        </is>
      </c>
      <c r="CG30" t="n">
        <v>2024</v>
      </c>
      <c r="CH30" t="inlineStr">
        <is>
          <t>01/01/2024</t>
        </is>
      </c>
      <c r="CI30" t="inlineStr">
        <is>
          <t>24/08/2031</t>
        </is>
      </c>
    </row>
    <row r="31">
      <c r="A31" t="inlineStr">
        <is>
          <t>RESIDENCIAL PRADA</t>
        </is>
      </c>
      <c r="B31" t="inlineStr">
        <is>
          <t>Etapa 1</t>
        </is>
      </c>
      <c r="C31" t="inlineStr">
        <is>
          <t>Edificio</t>
        </is>
      </c>
      <c r="D31" t="inlineStr">
        <is>
          <t>A</t>
        </is>
      </c>
      <c r="E31" t="inlineStr">
        <is>
          <t>Departamento</t>
        </is>
      </c>
      <c r="F31" t="inlineStr">
        <is>
          <t>501</t>
        </is>
      </c>
      <c r="G31" t="n">
        <v>83</v>
      </c>
      <c r="H31" t="n">
        <v>0</v>
      </c>
      <c r="I31" s="39" t="n">
        <v>612000</v>
      </c>
      <c r="J31" s="39" t="n">
        <v>612000</v>
      </c>
      <c r="Q31" s="39" t="n"/>
      <c r="R31" s="39" t="n"/>
      <c r="Y31" s="39" t="n"/>
      <c r="Z31" s="39" t="n"/>
      <c r="AG31" s="39" t="n"/>
      <c r="AH31" s="39" t="n"/>
      <c r="AI31" t="inlineStr">
        <is>
          <t>Juan Carlos Ángeles Milla</t>
        </is>
      </c>
      <c r="AJ31" t="inlineStr">
        <is>
          <t>32403305</t>
        </is>
      </c>
      <c r="AK31" t="inlineStr">
        <is>
          <t>Av. Miraflores 218</t>
        </is>
      </c>
      <c r="AM31" t="inlineStr">
        <is>
          <t>942097700</t>
        </is>
      </c>
      <c r="AN31" t="inlineStr">
        <is>
          <t>Vidang72@hotmail.com</t>
        </is>
      </c>
      <c r="AO31" t="inlineStr">
        <is>
          <t>HUAYLAS</t>
        </is>
      </c>
      <c r="AP31" t="inlineStr">
        <is>
          <t>HUAYLAS</t>
        </is>
      </c>
      <c r="AQ31" s="75" t="n">
        <v>45541</v>
      </c>
      <c r="AR31" s="75" t="n">
        <v>45541</v>
      </c>
      <c r="AS31" t="inlineStr">
        <is>
          <t>CUOTA INICIAL</t>
        </is>
      </c>
      <c r="AT31" t="n">
        <v>2</v>
      </c>
      <c r="AU31" t="n">
        <v>29500</v>
      </c>
      <c r="AV31" t="n">
        <v>0</v>
      </c>
      <c r="AW31" t="n">
        <v>0</v>
      </c>
      <c r="AX31" s="39" t="n">
        <v>29500</v>
      </c>
      <c r="AY31" s="39" t="n">
        <v>29500</v>
      </c>
      <c r="AZ31" s="39" t="n">
        <v>0</v>
      </c>
      <c r="BA31" t="n">
        <v>0</v>
      </c>
      <c r="BB31" t="inlineStr">
        <is>
          <t>Ahorro</t>
        </is>
      </c>
      <c r="BC31" t="inlineStr">
        <is>
          <t>Scotiabank Perú</t>
        </is>
      </c>
      <c r="BD31" t="inlineStr">
        <is>
          <t>000-2768484</t>
        </is>
      </c>
      <c r="BE31" t="inlineStr">
        <is>
          <t>TRANSFERENCIA BANCARIA</t>
        </is>
      </c>
      <c r="BF31" t="inlineStr">
        <is>
          <t>32403305</t>
        </is>
      </c>
      <c r="BG31" t="inlineStr">
        <is>
          <t>0500010059</t>
        </is>
      </c>
      <c r="BH31" t="inlineStr">
        <is>
          <t>No</t>
        </is>
      </c>
      <c r="BI31" t="inlineStr">
        <is>
          <t>NO PRECISA</t>
        </is>
      </c>
      <c r="BJ31" t="n">
        <v>1</v>
      </c>
      <c r="BK31" t="inlineStr">
        <is>
          <t>CANCELADO</t>
        </is>
      </c>
      <c r="BV31" t="inlineStr">
        <is>
          <t>Si</t>
        </is>
      </c>
      <c r="BW31" s="76" t="n">
        <v>45541.59444444445</v>
      </c>
      <c r="BX31" t="inlineStr">
        <is>
          <t>Carla Michue M</t>
        </is>
      </c>
      <c r="BZ31" t="n">
        <v>21</v>
      </c>
      <c r="CA31" t="inlineStr">
        <is>
          <t>29/05/2026 12:21</t>
        </is>
      </c>
      <c r="CB31" t="n">
        <v>0</v>
      </c>
      <c r="CF31" t="inlineStr">
        <is>
          <t>Cobranzas_2024.csv</t>
        </is>
      </c>
      <c r="CG31" t="n">
        <v>2024</v>
      </c>
      <c r="CH31" t="inlineStr">
        <is>
          <t>01/01/2024</t>
        </is>
      </c>
      <c r="CI31" t="inlineStr">
        <is>
          <t>24/08/2031</t>
        </is>
      </c>
    </row>
    <row r="32">
      <c r="A32" t="inlineStr">
        <is>
          <t>RESIDENCIAL PRADA</t>
        </is>
      </c>
      <c r="B32" t="inlineStr">
        <is>
          <t>Etapa 1</t>
        </is>
      </c>
      <c r="C32" t="inlineStr">
        <is>
          <t>Edificio</t>
        </is>
      </c>
      <c r="D32" t="inlineStr">
        <is>
          <t>A</t>
        </is>
      </c>
      <c r="E32" t="inlineStr">
        <is>
          <t>Departamento</t>
        </is>
      </c>
      <c r="F32" t="inlineStr">
        <is>
          <t>403</t>
        </is>
      </c>
      <c r="G32" t="n">
        <v>88.27</v>
      </c>
      <c r="H32" t="n">
        <v>0</v>
      </c>
      <c r="I32" s="39" t="n">
        <v>654000</v>
      </c>
      <c r="J32" s="39" t="n">
        <v>654000</v>
      </c>
      <c r="Q32" s="39" t="n"/>
      <c r="R32" s="39" t="n"/>
      <c r="Y32" s="39" t="n"/>
      <c r="Z32" s="39" t="n"/>
      <c r="AG32" s="39" t="n"/>
      <c r="AH32" s="39" t="n"/>
      <c r="AI32" t="inlineStr">
        <is>
          <t>Liliana Lucila Luciano Claros</t>
        </is>
      </c>
      <c r="AJ32" t="inlineStr">
        <is>
          <t>15764694</t>
        </is>
      </c>
      <c r="AK32" t="inlineStr">
        <is>
          <t xml:space="preserve">MZ M5 – Lt. 7 urb. Paseo del Mar </t>
        </is>
      </c>
      <c r="AM32" t="inlineStr">
        <is>
          <t>982406857</t>
        </is>
      </c>
      <c r="AN32" t="inlineStr">
        <is>
          <t>liliana31_micaela@hotmail.com</t>
        </is>
      </c>
      <c r="AO32" t="inlineStr">
        <is>
          <t>SANTA</t>
        </is>
      </c>
      <c r="AP32" t="inlineStr">
        <is>
          <t>NUEVO CHIMBOTE</t>
        </is>
      </c>
      <c r="AQ32" s="75" t="n">
        <v>45586</v>
      </c>
      <c r="AR32" s="75" t="n">
        <v>45586</v>
      </c>
      <c r="AS32" t="inlineStr">
        <is>
          <t>SEPARACION</t>
        </is>
      </c>
      <c r="AT32" t="n">
        <v>1</v>
      </c>
      <c r="AU32" t="n">
        <v>3000</v>
      </c>
      <c r="AV32" t="n">
        <v>0</v>
      </c>
      <c r="AW32" t="n">
        <v>0</v>
      </c>
      <c r="AX32" s="39" t="n">
        <v>3000</v>
      </c>
      <c r="AY32" s="39" t="n">
        <v>3000</v>
      </c>
      <c r="AZ32" s="39" t="n">
        <v>0</v>
      </c>
      <c r="BA32" t="n">
        <v>0</v>
      </c>
      <c r="BB32" t="inlineStr">
        <is>
          <t>Crédito Hipotecario</t>
        </is>
      </c>
      <c r="BC32" t="inlineStr">
        <is>
          <t>Scotiabank Perú</t>
        </is>
      </c>
      <c r="BD32" t="inlineStr">
        <is>
          <t>000-2768484</t>
        </is>
      </c>
      <c r="BE32" t="inlineStr">
        <is>
          <t>EFECTIVO</t>
        </is>
      </c>
      <c r="BF32" t="inlineStr">
        <is>
          <t>15764694</t>
        </is>
      </c>
      <c r="BG32" t="inlineStr">
        <is>
          <t>0500010056</t>
        </is>
      </c>
      <c r="BH32" t="inlineStr">
        <is>
          <t>No</t>
        </is>
      </c>
      <c r="BI32" t="inlineStr">
        <is>
          <t>NO PRECISA</t>
        </is>
      </c>
      <c r="BJ32" t="n">
        <v>1</v>
      </c>
      <c r="BK32" t="inlineStr">
        <is>
          <t>CANCELADO</t>
        </is>
      </c>
      <c r="BV32" t="inlineStr">
        <is>
          <t>Si</t>
        </is>
      </c>
      <c r="BW32" s="76" t="n">
        <v>45619.38611111111</v>
      </c>
      <c r="BX32" t="inlineStr">
        <is>
          <t>Carla Michue M</t>
        </is>
      </c>
      <c r="BZ32" t="n">
        <v>1</v>
      </c>
      <c r="CA32" t="inlineStr">
        <is>
          <t>29/05/2026 12:20</t>
        </is>
      </c>
      <c r="CB32" t="n">
        <v>0</v>
      </c>
      <c r="CF32" t="inlineStr">
        <is>
          <t>Cobranzas_2024.csv</t>
        </is>
      </c>
      <c r="CG32" t="n">
        <v>2024</v>
      </c>
      <c r="CH32" t="inlineStr">
        <is>
          <t>01/01/2024</t>
        </is>
      </c>
      <c r="CI32" t="inlineStr">
        <is>
          <t>24/08/2031</t>
        </is>
      </c>
    </row>
    <row r="33">
      <c r="A33" t="inlineStr">
        <is>
          <t>RESIDENCIAL PRADA</t>
        </is>
      </c>
      <c r="B33" t="inlineStr">
        <is>
          <t>Etapa 1</t>
        </is>
      </c>
      <c r="C33" t="inlineStr">
        <is>
          <t>Edificio</t>
        </is>
      </c>
      <c r="D33" t="inlineStr">
        <is>
          <t>A</t>
        </is>
      </c>
      <c r="E33" t="inlineStr">
        <is>
          <t>Departamento</t>
        </is>
      </c>
      <c r="F33" t="inlineStr">
        <is>
          <t>403</t>
        </is>
      </c>
      <c r="G33" t="n">
        <v>88.27</v>
      </c>
      <c r="H33" t="n">
        <v>0</v>
      </c>
      <c r="I33" s="39" t="n">
        <v>654000</v>
      </c>
      <c r="J33" s="39" t="n">
        <v>654000</v>
      </c>
      <c r="Q33" s="39" t="n"/>
      <c r="R33" s="39" t="n"/>
      <c r="Y33" s="39" t="n"/>
      <c r="Z33" s="39" t="n"/>
      <c r="AG33" s="39" t="n"/>
      <c r="AH33" s="39" t="n"/>
      <c r="AI33" t="inlineStr">
        <is>
          <t>Liliana Lucila Luciano Claros</t>
        </is>
      </c>
      <c r="AJ33" t="inlineStr">
        <is>
          <t>15764694</t>
        </is>
      </c>
      <c r="AK33" t="inlineStr">
        <is>
          <t xml:space="preserve">MZ M5 – Lt. 7 urb. Paseo del Mar </t>
        </is>
      </c>
      <c r="AM33" t="inlineStr">
        <is>
          <t>982406857</t>
        </is>
      </c>
      <c r="AN33" t="inlineStr">
        <is>
          <t>liliana31_micaela@hotmail.com</t>
        </is>
      </c>
      <c r="AO33" t="inlineStr">
        <is>
          <t>SANTA</t>
        </is>
      </c>
      <c r="AP33" t="inlineStr">
        <is>
          <t>NUEVO CHIMBOTE</t>
        </is>
      </c>
      <c r="AQ33" s="75" t="n">
        <v>45619</v>
      </c>
      <c r="AR33" s="75" t="n">
        <v>45619</v>
      </c>
      <c r="AS33" t="inlineStr">
        <is>
          <t>CUOTA INICIAL</t>
        </is>
      </c>
      <c r="AT33" t="n">
        <v>2</v>
      </c>
      <c r="AU33" t="n">
        <v>97800</v>
      </c>
      <c r="AV33" t="n">
        <v>0</v>
      </c>
      <c r="AW33" t="n">
        <v>0</v>
      </c>
      <c r="AX33" s="39" t="n">
        <v>97800</v>
      </c>
      <c r="AY33" s="39" t="n">
        <v>97800</v>
      </c>
      <c r="AZ33" s="39" t="n">
        <v>0</v>
      </c>
      <c r="BA33" t="n">
        <v>0</v>
      </c>
      <c r="BB33" t="inlineStr">
        <is>
          <t>Crédito Hipotecario</t>
        </is>
      </c>
      <c r="BC33" t="inlineStr">
        <is>
          <t>Scotiabank Perú</t>
        </is>
      </c>
      <c r="BD33" t="inlineStr">
        <is>
          <t>000-2768484</t>
        </is>
      </c>
      <c r="BE33" t="inlineStr">
        <is>
          <t>TRANSFERENCIA BANCARIA</t>
        </is>
      </c>
      <c r="BG33" t="inlineStr">
        <is>
          <t>12007725</t>
        </is>
      </c>
      <c r="BH33" t="inlineStr">
        <is>
          <t>No</t>
        </is>
      </c>
      <c r="BJ33" t="n">
        <v>4</v>
      </c>
      <c r="BK33" t="inlineStr">
        <is>
          <t>CANCELADO</t>
        </is>
      </c>
      <c r="BV33" t="inlineStr">
        <is>
          <t>Si</t>
        </is>
      </c>
      <c r="BW33" s="76" t="n">
        <v>45619.38611111111</v>
      </c>
      <c r="BX33" t="inlineStr">
        <is>
          <t>Carla Michue M</t>
        </is>
      </c>
      <c r="BZ33" t="n">
        <v>1</v>
      </c>
      <c r="CA33" t="inlineStr">
        <is>
          <t>07/07/2026 09:30</t>
        </is>
      </c>
      <c r="CB33" t="n">
        <v>0</v>
      </c>
      <c r="CF33" t="inlineStr">
        <is>
          <t>Cobranzas_2024.csv</t>
        </is>
      </c>
      <c r="CG33" t="n">
        <v>2024</v>
      </c>
      <c r="CH33" t="inlineStr">
        <is>
          <t>01/01/2024</t>
        </is>
      </c>
      <c r="CI33" t="inlineStr">
        <is>
          <t>24/08/2031</t>
        </is>
      </c>
    </row>
    <row r="34">
      <c r="A34" t="inlineStr">
        <is>
          <t>RESIDENCIAL PRADA</t>
        </is>
      </c>
      <c r="B34" t="inlineStr">
        <is>
          <t>Etapa 1</t>
        </is>
      </c>
      <c r="C34" t="inlineStr">
        <is>
          <t>Edificio</t>
        </is>
      </c>
      <c r="D34" t="inlineStr">
        <is>
          <t>A</t>
        </is>
      </c>
      <c r="E34" t="inlineStr">
        <is>
          <t>Departamento</t>
        </is>
      </c>
      <c r="F34" t="inlineStr">
        <is>
          <t>403</t>
        </is>
      </c>
      <c r="G34" t="n">
        <v>88.27</v>
      </c>
      <c r="H34" t="n">
        <v>0</v>
      </c>
      <c r="I34" s="39" t="n">
        <v>654000</v>
      </c>
      <c r="J34" s="39" t="n">
        <v>654000</v>
      </c>
      <c r="Q34" s="39" t="n"/>
      <c r="R34" s="39" t="n"/>
      <c r="Y34" s="39" t="n"/>
      <c r="Z34" s="39" t="n"/>
      <c r="AG34" s="39" t="n"/>
      <c r="AH34" s="39" t="n"/>
      <c r="AI34" t="inlineStr">
        <is>
          <t>Liliana Lucila Luciano Claros</t>
        </is>
      </c>
      <c r="AJ34" t="inlineStr">
        <is>
          <t>15764694</t>
        </is>
      </c>
      <c r="AK34" t="inlineStr">
        <is>
          <t xml:space="preserve">MZ M5 – Lt. 7 urb. Paseo del Mar </t>
        </is>
      </c>
      <c r="AM34" t="inlineStr">
        <is>
          <t>982406857</t>
        </is>
      </c>
      <c r="AN34" t="inlineStr">
        <is>
          <t>liliana31_micaela@hotmail.com</t>
        </is>
      </c>
      <c r="AO34" t="inlineStr">
        <is>
          <t>SANTA</t>
        </is>
      </c>
      <c r="AP34" t="inlineStr">
        <is>
          <t>NUEVO CHIMBOTE</t>
        </is>
      </c>
      <c r="AQ34" s="75" t="n">
        <v>45631</v>
      </c>
      <c r="AR34" s="75" t="n">
        <v>45631</v>
      </c>
      <c r="AS34" t="inlineStr">
        <is>
          <t>CUOTA INICIAL</t>
        </is>
      </c>
      <c r="AT34" t="n">
        <v>3</v>
      </c>
      <c r="AU34" t="n">
        <v>30000</v>
      </c>
      <c r="AV34" t="n">
        <v>0</v>
      </c>
      <c r="AW34" t="n">
        <v>0</v>
      </c>
      <c r="AX34" s="39" t="n">
        <v>30000</v>
      </c>
      <c r="AY34" s="39" t="n">
        <v>30000</v>
      </c>
      <c r="AZ34" s="39" t="n">
        <v>0</v>
      </c>
      <c r="BA34" t="n">
        <v>0</v>
      </c>
      <c r="BB34" t="inlineStr">
        <is>
          <t>Crédito Hipotecario</t>
        </is>
      </c>
      <c r="BC34" t="inlineStr">
        <is>
          <t>Scotiabank Perú</t>
        </is>
      </c>
      <c r="BD34" t="inlineStr">
        <is>
          <t>000-2768484</t>
        </is>
      </c>
      <c r="BE34" t="inlineStr">
        <is>
          <t>DEPOSITO EN CUENTA</t>
        </is>
      </c>
      <c r="BF34" t="inlineStr">
        <is>
          <t>15764694</t>
        </is>
      </c>
      <c r="BG34" t="inlineStr">
        <is>
          <t>05000010069</t>
        </is>
      </c>
      <c r="BH34" t="inlineStr">
        <is>
          <t>No</t>
        </is>
      </c>
      <c r="BI34" t="inlineStr">
        <is>
          <t>NO PRECISA</t>
        </is>
      </c>
      <c r="BJ34" t="n">
        <v>1</v>
      </c>
      <c r="BK34" t="inlineStr">
        <is>
          <t>CANCELADO</t>
        </is>
      </c>
      <c r="BV34" t="inlineStr">
        <is>
          <t>Si</t>
        </is>
      </c>
      <c r="BW34" s="76" t="n">
        <v>45619.38611111111</v>
      </c>
      <c r="BX34" t="inlineStr">
        <is>
          <t>Carla Michue M</t>
        </is>
      </c>
      <c r="BZ34" t="n">
        <v>1</v>
      </c>
      <c r="CA34" t="inlineStr">
        <is>
          <t>29/05/2026 12:20</t>
        </is>
      </c>
      <c r="CB34" t="n">
        <v>0</v>
      </c>
      <c r="CF34" t="inlineStr">
        <is>
          <t>Cobranzas_2024.csv</t>
        </is>
      </c>
      <c r="CG34" t="n">
        <v>2024</v>
      </c>
      <c r="CH34" t="inlineStr">
        <is>
          <t>01/01/2024</t>
        </is>
      </c>
      <c r="CI34" t="inlineStr">
        <is>
          <t>24/08/2031</t>
        </is>
      </c>
    </row>
    <row r="35">
      <c r="A35" t="inlineStr">
        <is>
          <t>RESIDENCIAL PRADA</t>
        </is>
      </c>
      <c r="B35" t="inlineStr">
        <is>
          <t>Etapa 1</t>
        </is>
      </c>
      <c r="C35" t="inlineStr">
        <is>
          <t>Edificio</t>
        </is>
      </c>
      <c r="D35" t="inlineStr">
        <is>
          <t>A</t>
        </is>
      </c>
      <c r="E35" t="inlineStr">
        <is>
          <t>Departamento</t>
        </is>
      </c>
      <c r="F35" t="inlineStr">
        <is>
          <t>403</t>
        </is>
      </c>
      <c r="G35" t="n">
        <v>88.27</v>
      </c>
      <c r="H35" t="n">
        <v>0</v>
      </c>
      <c r="I35" s="39" t="n">
        <v>654000</v>
      </c>
      <c r="J35" s="39" t="n">
        <v>654000</v>
      </c>
      <c r="Q35" s="39" t="n"/>
      <c r="R35" s="39" t="n"/>
      <c r="Y35" s="39" t="n"/>
      <c r="Z35" s="39" t="n"/>
      <c r="AG35" s="39" t="n"/>
      <c r="AH35" s="39" t="n"/>
      <c r="AI35" t="inlineStr">
        <is>
          <t>Liliana Lucila Luciano Claros</t>
        </is>
      </c>
      <c r="AJ35" t="inlineStr">
        <is>
          <t>15764694</t>
        </is>
      </c>
      <c r="AK35" t="inlineStr">
        <is>
          <t xml:space="preserve">MZ M5 – Lt. 7 urb. Paseo del Mar </t>
        </is>
      </c>
      <c r="AM35" t="inlineStr">
        <is>
          <t>982406857</t>
        </is>
      </c>
      <c r="AN35" t="inlineStr">
        <is>
          <t>liliana31_micaela@hotmail.com</t>
        </is>
      </c>
      <c r="AO35" t="inlineStr">
        <is>
          <t>SANTA</t>
        </is>
      </c>
      <c r="AP35" t="inlineStr">
        <is>
          <t>NUEVO CHIMBOTE</t>
        </is>
      </c>
      <c r="AQ35" s="75" t="n">
        <v>45657</v>
      </c>
      <c r="AR35" s="75" t="n">
        <v>45723</v>
      </c>
      <c r="AS35" t="inlineStr">
        <is>
          <t>SALDO FINANCIAR</t>
        </is>
      </c>
      <c r="AT35" t="n">
        <v>4</v>
      </c>
      <c r="AU35" t="n">
        <v>523200</v>
      </c>
      <c r="AV35" t="n">
        <v>0</v>
      </c>
      <c r="AW35" t="n">
        <v>0</v>
      </c>
      <c r="AX35" s="39" t="n">
        <v>523200</v>
      </c>
      <c r="AY35" s="39" t="n">
        <v>523200</v>
      </c>
      <c r="AZ35" s="39" t="n">
        <v>0</v>
      </c>
      <c r="BA35" t="n">
        <v>0</v>
      </c>
      <c r="BB35" t="inlineStr">
        <is>
          <t>Crédito Hipotecario</t>
        </is>
      </c>
      <c r="BC35" t="inlineStr">
        <is>
          <t>Scotiabank Perú</t>
        </is>
      </c>
      <c r="BD35" t="inlineStr">
        <is>
          <t>000-2768484</t>
        </is>
      </c>
      <c r="BE35" t="inlineStr">
        <is>
          <t>TRANSFERENCIA BANCARIA</t>
        </is>
      </c>
      <c r="BG35" t="inlineStr">
        <is>
          <t>07032025</t>
        </is>
      </c>
      <c r="BH35" t="inlineStr">
        <is>
          <t>Si</t>
        </is>
      </c>
      <c r="BJ35" t="n">
        <v>4</v>
      </c>
      <c r="BK35" t="inlineStr">
        <is>
          <t>CANCELADO</t>
        </is>
      </c>
      <c r="BV35" t="inlineStr">
        <is>
          <t>Si</t>
        </is>
      </c>
      <c r="BW35" s="76" t="n">
        <v>45619.38611111111</v>
      </c>
      <c r="BX35" t="inlineStr">
        <is>
          <t>Carla Michue M</t>
        </is>
      </c>
      <c r="BZ35" t="n">
        <v>1</v>
      </c>
      <c r="CA35" t="inlineStr">
        <is>
          <t>07/07/2026 09:31</t>
        </is>
      </c>
      <c r="CB35" t="n">
        <v>0</v>
      </c>
      <c r="CF35" t="inlineStr">
        <is>
          <t>Cobranzas_2024.csv</t>
        </is>
      </c>
      <c r="CG35" t="n">
        <v>2024</v>
      </c>
      <c r="CH35" t="inlineStr">
        <is>
          <t>01/01/2024</t>
        </is>
      </c>
      <c r="CI35" t="inlineStr">
        <is>
          <t>24/08/2031</t>
        </is>
      </c>
    </row>
    <row r="36">
      <c r="A36" t="inlineStr">
        <is>
          <t>RESIDENCIAL PRADA</t>
        </is>
      </c>
      <c r="B36" t="inlineStr">
        <is>
          <t>Etapa 1</t>
        </is>
      </c>
      <c r="C36" t="inlineStr">
        <is>
          <t>Edificio</t>
        </is>
      </c>
      <c r="D36" t="inlineStr">
        <is>
          <t>A</t>
        </is>
      </c>
      <c r="E36" t="inlineStr">
        <is>
          <t>Departamento</t>
        </is>
      </c>
      <c r="F36" t="inlineStr">
        <is>
          <t>603</t>
        </is>
      </c>
      <c r="G36" t="n">
        <v>88.27</v>
      </c>
      <c r="H36" t="n">
        <v>0</v>
      </c>
      <c r="I36" s="39" t="n">
        <v>654000</v>
      </c>
      <c r="J36" s="39" t="n">
        <v>654000</v>
      </c>
      <c r="Q36" s="39" t="n"/>
      <c r="R36" s="39" t="n"/>
      <c r="Y36" s="39" t="n"/>
      <c r="Z36" s="39" t="n"/>
      <c r="AG36" s="39" t="n"/>
      <c r="AH36" s="39" t="n"/>
      <c r="AI36" t="inlineStr">
        <is>
          <t>Luis Alberto Ovalle Huamanguilla</t>
        </is>
      </c>
      <c r="AJ36" t="inlineStr">
        <is>
          <t>43953371</t>
        </is>
      </c>
      <c r="AK36" t="inlineStr">
        <is>
          <t>JR. NAPO NRO. 821</t>
        </is>
      </c>
      <c r="AM36" t="inlineStr">
        <is>
          <t>992764943</t>
        </is>
      </c>
      <c r="AN36" t="inlineStr">
        <is>
          <t>aovalle2212@gmail.com</t>
        </is>
      </c>
      <c r="AO36" t="inlineStr">
        <is>
          <t>LIMA</t>
        </is>
      </c>
      <c r="AP36" t="inlineStr">
        <is>
          <t>BREÑA</t>
        </is>
      </c>
      <c r="AQ36" s="75" t="n">
        <v>45477</v>
      </c>
      <c r="AR36" s="75" t="n">
        <v>45477</v>
      </c>
      <c r="AS36" t="inlineStr">
        <is>
          <t>SEPARACION</t>
        </is>
      </c>
      <c r="AT36" t="n">
        <v>1</v>
      </c>
      <c r="AU36" t="n">
        <v>3000</v>
      </c>
      <c r="AV36" t="n">
        <v>0</v>
      </c>
      <c r="AW36" t="n">
        <v>0</v>
      </c>
      <c r="AX36" s="39" t="n">
        <v>3000</v>
      </c>
      <c r="AY36" s="39" t="n">
        <v>3000</v>
      </c>
      <c r="AZ36" s="39" t="n">
        <v>0</v>
      </c>
      <c r="BA36" t="n">
        <v>0</v>
      </c>
      <c r="BB36" t="inlineStr">
        <is>
          <t>Ahorro</t>
        </is>
      </c>
      <c r="BC36" t="inlineStr">
        <is>
          <t>Scotiabank Perú</t>
        </is>
      </c>
      <c r="BD36" t="inlineStr">
        <is>
          <t>000-2768484</t>
        </is>
      </c>
      <c r="BE36" t="inlineStr">
        <is>
          <t>TRANSFERENCIA BANCARIA</t>
        </is>
      </c>
      <c r="BG36" t="inlineStr">
        <is>
          <t>901866</t>
        </is>
      </c>
      <c r="BH36" t="inlineStr">
        <is>
          <t>No</t>
        </is>
      </c>
      <c r="BJ36" t="n">
        <v>4</v>
      </c>
      <c r="BK36" t="inlineStr">
        <is>
          <t>CANCELADO</t>
        </is>
      </c>
      <c r="BV36" t="inlineStr">
        <is>
          <t>Si</t>
        </is>
      </c>
      <c r="BW36" s="76" t="n">
        <v>45567.69444444445</v>
      </c>
      <c r="BX36" t="inlineStr">
        <is>
          <t>Carla Michue M</t>
        </is>
      </c>
      <c r="BZ36" t="n">
        <v>11</v>
      </c>
      <c r="CA36" t="inlineStr">
        <is>
          <t>07/07/2026 10:58</t>
        </is>
      </c>
      <c r="CB36" t="n">
        <v>0</v>
      </c>
      <c r="CF36" t="inlineStr">
        <is>
          <t>Cobranzas_2024.csv</t>
        </is>
      </c>
      <c r="CG36" t="n">
        <v>2024</v>
      </c>
      <c r="CH36" t="inlineStr">
        <is>
          <t>01/01/2024</t>
        </is>
      </c>
      <c r="CI36" t="inlineStr">
        <is>
          <t>24/08/2031</t>
        </is>
      </c>
    </row>
    <row r="37">
      <c r="A37" t="inlineStr">
        <is>
          <t>RESIDENCIAL PRADA</t>
        </is>
      </c>
      <c r="B37" t="inlineStr">
        <is>
          <t>Etapa 1</t>
        </is>
      </c>
      <c r="C37" t="inlineStr">
        <is>
          <t>Edificio</t>
        </is>
      </c>
      <c r="D37" t="inlineStr">
        <is>
          <t>A</t>
        </is>
      </c>
      <c r="E37" t="inlineStr">
        <is>
          <t>Departamento</t>
        </is>
      </c>
      <c r="F37" t="inlineStr">
        <is>
          <t>603</t>
        </is>
      </c>
      <c r="G37" t="n">
        <v>88.27</v>
      </c>
      <c r="H37" t="n">
        <v>0</v>
      </c>
      <c r="I37" s="39" t="n">
        <v>654000</v>
      </c>
      <c r="J37" s="39" t="n">
        <v>654000</v>
      </c>
      <c r="Q37" s="39" t="n"/>
      <c r="R37" s="39" t="n"/>
      <c r="Y37" s="39" t="n"/>
      <c r="Z37" s="39" t="n"/>
      <c r="AG37" s="39" t="n"/>
      <c r="AH37" s="39" t="n"/>
      <c r="AI37" t="inlineStr">
        <is>
          <t>Luis Alberto Ovalle Huamanguilla</t>
        </is>
      </c>
      <c r="AJ37" t="inlineStr">
        <is>
          <t>43953371</t>
        </is>
      </c>
      <c r="AK37" t="inlineStr">
        <is>
          <t>JR. NAPO NRO. 821</t>
        </is>
      </c>
      <c r="AM37" t="inlineStr">
        <is>
          <t>992764943</t>
        </is>
      </c>
      <c r="AN37" t="inlineStr">
        <is>
          <t>aovalle2212@gmail.com</t>
        </is>
      </c>
      <c r="AO37" t="inlineStr">
        <is>
          <t>LIMA</t>
        </is>
      </c>
      <c r="AP37" t="inlineStr">
        <is>
          <t>BREÑA</t>
        </is>
      </c>
      <c r="AQ37" s="75" t="n">
        <v>45656</v>
      </c>
      <c r="AR37" s="75" t="n">
        <v>45567</v>
      </c>
      <c r="AS37" t="inlineStr">
        <is>
          <t>SEPARACION</t>
        </is>
      </c>
      <c r="AT37" t="n">
        <v>5</v>
      </c>
      <c r="AU37" t="n">
        <v>5000</v>
      </c>
      <c r="AV37" t="n">
        <v>0</v>
      </c>
      <c r="AW37" t="n">
        <v>0</v>
      </c>
      <c r="AX37" s="39" t="n">
        <v>5000</v>
      </c>
      <c r="AY37" s="39" t="n">
        <v>5000</v>
      </c>
      <c r="AZ37" s="39" t="n">
        <v>0</v>
      </c>
      <c r="BA37" t="n">
        <v>0</v>
      </c>
      <c r="BB37" t="inlineStr">
        <is>
          <t>Ahorro</t>
        </is>
      </c>
      <c r="BC37" t="inlineStr">
        <is>
          <t>Scotiabank Perú</t>
        </is>
      </c>
      <c r="BD37" t="inlineStr">
        <is>
          <t>000-2768484</t>
        </is>
      </c>
      <c r="BE37" t="inlineStr">
        <is>
          <t>TRANSFERENCIA BANCARIA</t>
        </is>
      </c>
      <c r="BG37" t="inlineStr">
        <is>
          <t>06056215</t>
        </is>
      </c>
      <c r="BH37" t="inlineStr">
        <is>
          <t>No</t>
        </is>
      </c>
      <c r="BJ37" t="n">
        <v>4</v>
      </c>
      <c r="BK37" t="inlineStr">
        <is>
          <t>CANCELADO</t>
        </is>
      </c>
      <c r="BV37" t="inlineStr">
        <is>
          <t>Si</t>
        </is>
      </c>
      <c r="BW37" s="76" t="n">
        <v>45567.69444444445</v>
      </c>
      <c r="BX37" t="inlineStr">
        <is>
          <t>Carla Michue M</t>
        </is>
      </c>
      <c r="BZ37" t="n">
        <v>11</v>
      </c>
      <c r="CA37" t="inlineStr">
        <is>
          <t>07/07/2026 11:03</t>
        </is>
      </c>
      <c r="CB37" t="n">
        <v>0</v>
      </c>
      <c r="CF37" t="inlineStr">
        <is>
          <t>Cobranzas_2024.csv</t>
        </is>
      </c>
      <c r="CG37" t="n">
        <v>2024</v>
      </c>
      <c r="CH37" t="inlineStr">
        <is>
          <t>01/01/2024</t>
        </is>
      </c>
      <c r="CI37" t="inlineStr">
        <is>
          <t>24/08/2031</t>
        </is>
      </c>
    </row>
    <row r="38">
      <c r="A38" t="inlineStr">
        <is>
          <t>RESIDENCIAL PRADA</t>
        </is>
      </c>
      <c r="B38" t="inlineStr">
        <is>
          <t>Etapa 1</t>
        </is>
      </c>
      <c r="C38" t="inlineStr">
        <is>
          <t>Edificio</t>
        </is>
      </c>
      <c r="D38" t="inlineStr">
        <is>
          <t>A</t>
        </is>
      </c>
      <c r="E38" t="inlineStr">
        <is>
          <t>Departamento</t>
        </is>
      </c>
      <c r="F38" t="inlineStr">
        <is>
          <t>603</t>
        </is>
      </c>
      <c r="G38" t="n">
        <v>88.27</v>
      </c>
      <c r="H38" t="n">
        <v>0</v>
      </c>
      <c r="I38" s="39" t="n">
        <v>654000</v>
      </c>
      <c r="J38" s="39" t="n">
        <v>654000</v>
      </c>
      <c r="Q38" s="39" t="n"/>
      <c r="R38" s="39" t="n"/>
      <c r="Y38" s="39" t="n"/>
      <c r="Z38" s="39" t="n"/>
      <c r="AG38" s="39" t="n"/>
      <c r="AH38" s="39" t="n"/>
      <c r="AI38" t="inlineStr">
        <is>
          <t>Luis Alberto Ovalle Huamanguilla</t>
        </is>
      </c>
      <c r="AJ38" t="inlineStr">
        <is>
          <t>43953371</t>
        </is>
      </c>
      <c r="AK38" t="inlineStr">
        <is>
          <t>JR. NAPO NRO. 821</t>
        </is>
      </c>
      <c r="AM38" t="inlineStr">
        <is>
          <t>992764943</t>
        </is>
      </c>
      <c r="AN38" t="inlineStr">
        <is>
          <t>aovalle2212@gmail.com</t>
        </is>
      </c>
      <c r="AO38" t="inlineStr">
        <is>
          <t>LIMA</t>
        </is>
      </c>
      <c r="AP38" t="inlineStr">
        <is>
          <t>BREÑA</t>
        </is>
      </c>
      <c r="AQ38" s="75" t="n">
        <v>45656</v>
      </c>
      <c r="AR38" s="75" t="n">
        <v>45567</v>
      </c>
      <c r="AS38" t="inlineStr">
        <is>
          <t>CUOTA INICIAL</t>
        </is>
      </c>
      <c r="AT38" t="n">
        <v>1</v>
      </c>
      <c r="AU38" t="n">
        <v>57400</v>
      </c>
      <c r="AV38" t="n">
        <v>0</v>
      </c>
      <c r="AW38" t="n">
        <v>0</v>
      </c>
      <c r="AX38" s="39" t="n">
        <v>57400</v>
      </c>
      <c r="AY38" s="39" t="n">
        <v>20000</v>
      </c>
      <c r="AZ38" s="39" t="n">
        <v>0</v>
      </c>
      <c r="BA38" t="n">
        <v>0</v>
      </c>
      <c r="BB38" t="inlineStr">
        <is>
          <t>Ahorro</t>
        </is>
      </c>
      <c r="BC38" t="inlineStr">
        <is>
          <t>Scotiabank Perú</t>
        </is>
      </c>
      <c r="BD38" t="inlineStr">
        <is>
          <t>000-2768484</t>
        </is>
      </c>
      <c r="BE38" t="inlineStr">
        <is>
          <t>TRANSFERENCIA BANCARIA</t>
        </is>
      </c>
      <c r="BG38" t="inlineStr">
        <is>
          <t>06056215</t>
        </is>
      </c>
      <c r="BH38" t="inlineStr">
        <is>
          <t>No</t>
        </is>
      </c>
      <c r="BJ38" t="n">
        <v>4</v>
      </c>
      <c r="BK38" t="inlineStr">
        <is>
          <t>CANCELADO</t>
        </is>
      </c>
      <c r="BV38" t="inlineStr">
        <is>
          <t>Si</t>
        </is>
      </c>
      <c r="BW38" s="76" t="n">
        <v>45567.69444444445</v>
      </c>
      <c r="BX38" t="inlineStr">
        <is>
          <t>Carla Michue M</t>
        </is>
      </c>
      <c r="BZ38" t="n">
        <v>11</v>
      </c>
      <c r="CA38" t="inlineStr">
        <is>
          <t>07/07/2026 11:03</t>
        </is>
      </c>
      <c r="CB38" t="n">
        <v>0</v>
      </c>
      <c r="CF38" t="inlineStr">
        <is>
          <t>Cobranzas_2024.csv</t>
        </is>
      </c>
      <c r="CG38" t="n">
        <v>2024</v>
      </c>
      <c r="CH38" t="inlineStr">
        <is>
          <t>01/01/2024</t>
        </is>
      </c>
      <c r="CI38" t="inlineStr">
        <is>
          <t>24/08/2031</t>
        </is>
      </c>
    </row>
    <row r="39">
      <c r="A39" t="inlineStr">
        <is>
          <t>RESIDENCIAL PRADA</t>
        </is>
      </c>
      <c r="B39" t="inlineStr">
        <is>
          <t>Etapa 1</t>
        </is>
      </c>
      <c r="C39" t="inlineStr">
        <is>
          <t>Edificio</t>
        </is>
      </c>
      <c r="D39" t="inlineStr">
        <is>
          <t>A</t>
        </is>
      </c>
      <c r="E39" t="inlineStr">
        <is>
          <t>Departamento</t>
        </is>
      </c>
      <c r="F39" t="inlineStr">
        <is>
          <t>603</t>
        </is>
      </c>
      <c r="G39" t="n">
        <v>88.27</v>
      </c>
      <c r="H39" t="n">
        <v>0</v>
      </c>
      <c r="I39" s="39" t="n">
        <v>654000</v>
      </c>
      <c r="J39" s="39" t="n">
        <v>654000</v>
      </c>
      <c r="Q39" s="39" t="n"/>
      <c r="R39" s="39" t="n"/>
      <c r="Y39" s="39" t="n"/>
      <c r="Z39" s="39" t="n"/>
      <c r="AG39" s="39" t="n"/>
      <c r="AH39" s="39" t="n"/>
      <c r="AI39" t="inlineStr">
        <is>
          <t>Luis Alberto Ovalle Huamanguilla</t>
        </is>
      </c>
      <c r="AJ39" t="inlineStr">
        <is>
          <t>43953371</t>
        </is>
      </c>
      <c r="AK39" t="inlineStr">
        <is>
          <t>JR. NAPO NRO. 821</t>
        </is>
      </c>
      <c r="AM39" t="inlineStr">
        <is>
          <t>992764943</t>
        </is>
      </c>
      <c r="AN39" t="inlineStr">
        <is>
          <t>aovalle2212@gmail.com</t>
        </is>
      </c>
      <c r="AO39" t="inlineStr">
        <is>
          <t>LIMA</t>
        </is>
      </c>
      <c r="AP39" t="inlineStr">
        <is>
          <t>BREÑA</t>
        </is>
      </c>
      <c r="AQ39" s="75" t="n">
        <v>45656</v>
      </c>
      <c r="AR39" s="75" t="n">
        <v>45723</v>
      </c>
      <c r="AS39" t="inlineStr">
        <is>
          <t>CUOTA INICIAL</t>
        </is>
      </c>
      <c r="AT39" t="n">
        <v>1</v>
      </c>
      <c r="AU39" t="n">
        <v>0</v>
      </c>
      <c r="AV39" t="n">
        <v>0</v>
      </c>
      <c r="AW39" t="n">
        <v>0</v>
      </c>
      <c r="AX39" s="39" t="n">
        <v>0</v>
      </c>
      <c r="AY39" s="39" t="n">
        <v>37400</v>
      </c>
      <c r="AZ39" s="39" t="n">
        <v>0</v>
      </c>
      <c r="BA39" t="n">
        <v>0</v>
      </c>
      <c r="BB39" t="inlineStr">
        <is>
          <t>Ahorro</t>
        </is>
      </c>
      <c r="BC39" t="inlineStr">
        <is>
          <t>Scotiabank Perú</t>
        </is>
      </c>
      <c r="BD39" t="inlineStr">
        <is>
          <t>000-2768484</t>
        </is>
      </c>
      <c r="BE39" t="inlineStr">
        <is>
          <t>TRANSFERENCIA BANCARIA</t>
        </is>
      </c>
      <c r="BG39" t="inlineStr">
        <is>
          <t>U26926</t>
        </is>
      </c>
      <c r="BH39" t="inlineStr">
        <is>
          <t>No</t>
        </is>
      </c>
      <c r="BJ39" t="n">
        <v>4</v>
      </c>
      <c r="BK39" t="inlineStr">
        <is>
          <t>CANCELADO</t>
        </is>
      </c>
      <c r="BV39" t="inlineStr">
        <is>
          <t>Si</t>
        </is>
      </c>
      <c r="BW39" s="76" t="n">
        <v>45567.69444444445</v>
      </c>
      <c r="BX39" t="inlineStr">
        <is>
          <t>Carla Michue M</t>
        </is>
      </c>
      <c r="BZ39" t="n">
        <v>11</v>
      </c>
      <c r="CA39" t="inlineStr">
        <is>
          <t>07/07/2026 11:04</t>
        </is>
      </c>
      <c r="CB39" t="n">
        <v>0</v>
      </c>
      <c r="CF39" t="inlineStr">
        <is>
          <t>Cobranzas_2024.csv</t>
        </is>
      </c>
      <c r="CG39" t="n">
        <v>2024</v>
      </c>
      <c r="CH39" t="inlineStr">
        <is>
          <t>01/01/2024</t>
        </is>
      </c>
      <c r="CI39" t="inlineStr">
        <is>
          <t>24/08/2031</t>
        </is>
      </c>
    </row>
    <row r="40">
      <c r="A40" t="inlineStr">
        <is>
          <t>RESIDENCIAL PRADA</t>
        </is>
      </c>
      <c r="B40" t="inlineStr">
        <is>
          <t>Etapa 1</t>
        </is>
      </c>
      <c r="C40" t="inlineStr">
        <is>
          <t>Edificio</t>
        </is>
      </c>
      <c r="D40" t="inlineStr">
        <is>
          <t>A</t>
        </is>
      </c>
      <c r="E40" t="inlineStr">
        <is>
          <t>Departamento</t>
        </is>
      </c>
      <c r="F40" t="inlineStr">
        <is>
          <t>202</t>
        </is>
      </c>
      <c r="G40" t="n">
        <v>56</v>
      </c>
      <c r="H40" t="n">
        <v>0</v>
      </c>
      <c r="I40" s="39" t="n">
        <v>446900</v>
      </c>
      <c r="J40" s="39" t="n">
        <v>446900</v>
      </c>
      <c r="Q40" s="39" t="n"/>
      <c r="R40" s="39" t="n"/>
      <c r="Y40" s="39" t="n"/>
      <c r="Z40" s="39" t="n"/>
      <c r="AG40" s="39" t="n"/>
      <c r="AH40" s="39" t="n"/>
      <c r="AI40" t="inlineStr">
        <is>
          <t>María Cristina Collazos Romero</t>
        </is>
      </c>
      <c r="AJ40" t="inlineStr">
        <is>
          <t>31676885</t>
        </is>
      </c>
      <c r="AK40" t="inlineStr">
        <is>
          <t>Jr. Huandoy 242</t>
        </is>
      </c>
      <c r="AL40" t="n">
        <v>969870030</v>
      </c>
      <c r="AM40" t="inlineStr">
        <is>
          <t>969870030</t>
        </is>
      </c>
      <c r="AN40" t="inlineStr">
        <is>
          <t>gerenciasnacks1@gmail.com</t>
        </is>
      </c>
      <c r="AO40" t="inlineStr">
        <is>
          <t>HUARAZ</t>
        </is>
      </c>
      <c r="AP40" t="inlineStr">
        <is>
          <t>HUARAZ</t>
        </is>
      </c>
      <c r="AQ40" s="75" t="n">
        <v>45526</v>
      </c>
      <c r="AR40" s="75" t="n">
        <v>45526</v>
      </c>
      <c r="AS40" t="inlineStr">
        <is>
          <t>SEPARACION</t>
        </is>
      </c>
      <c r="AT40" t="n">
        <v>1</v>
      </c>
      <c r="AU40" t="n">
        <v>3000</v>
      </c>
      <c r="AV40" t="n">
        <v>0</v>
      </c>
      <c r="AW40" t="n">
        <v>0</v>
      </c>
      <c r="AX40" s="39" t="n">
        <v>3000</v>
      </c>
      <c r="AY40" s="39" t="n">
        <v>3000</v>
      </c>
      <c r="AZ40" s="39" t="n">
        <v>0</v>
      </c>
      <c r="BA40" t="n">
        <v>0</v>
      </c>
      <c r="BB40" t="inlineStr">
        <is>
          <t>Crédito Hipotecario</t>
        </is>
      </c>
      <c r="BC40" t="inlineStr">
        <is>
          <t>Scotiabank Perú</t>
        </is>
      </c>
      <c r="BD40" t="inlineStr">
        <is>
          <t>000-2768484</t>
        </is>
      </c>
      <c r="BE40" t="inlineStr">
        <is>
          <t>TRANSFERENCIA BANCARIA</t>
        </is>
      </c>
      <c r="BF40" t="inlineStr">
        <is>
          <t>31676885</t>
        </is>
      </c>
      <c r="BG40" t="inlineStr">
        <is>
          <t>0500010101</t>
        </is>
      </c>
      <c r="BH40" t="inlineStr">
        <is>
          <t>No</t>
        </is>
      </c>
      <c r="BI40" t="inlineStr">
        <is>
          <t>NO PRECISA</t>
        </is>
      </c>
      <c r="BJ40" t="n">
        <v>4</v>
      </c>
      <c r="BK40" t="inlineStr">
        <is>
          <t>CANCELADO</t>
        </is>
      </c>
      <c r="BV40" t="inlineStr">
        <is>
          <t>Si</t>
        </is>
      </c>
      <c r="BW40" s="76" t="n">
        <v>45911.60694444444</v>
      </c>
      <c r="BX40" t="inlineStr">
        <is>
          <t>Kenny Salazar S</t>
        </is>
      </c>
      <c r="BZ40" t="n">
        <v>33</v>
      </c>
      <c r="CA40" t="inlineStr">
        <is>
          <t>02/06/2026 15:10</t>
        </is>
      </c>
      <c r="CB40" t="n">
        <v>0</v>
      </c>
      <c r="CF40" t="inlineStr">
        <is>
          <t>Cobranzas_2024.csv</t>
        </is>
      </c>
      <c r="CG40" t="n">
        <v>2024</v>
      </c>
      <c r="CH40" t="inlineStr">
        <is>
          <t>01/01/2024</t>
        </is>
      </c>
      <c r="CI40" t="inlineStr">
        <is>
          <t>24/08/2031</t>
        </is>
      </c>
    </row>
    <row r="41">
      <c r="A41" t="inlineStr">
        <is>
          <t>RESIDENCIAL PRADA</t>
        </is>
      </c>
      <c r="B41" t="inlineStr">
        <is>
          <t>Etapa 1</t>
        </is>
      </c>
      <c r="C41" t="inlineStr">
        <is>
          <t>Edificio</t>
        </is>
      </c>
      <c r="D41" t="inlineStr">
        <is>
          <t>A</t>
        </is>
      </c>
      <c r="E41" t="inlineStr">
        <is>
          <t>Departamento</t>
        </is>
      </c>
      <c r="F41" t="inlineStr">
        <is>
          <t>505</t>
        </is>
      </c>
      <c r="G41" t="n">
        <v>68.72</v>
      </c>
      <c r="H41" t="n">
        <v>0</v>
      </c>
      <c r="I41" s="39" t="n">
        <v>490000</v>
      </c>
      <c r="J41" s="39" t="n">
        <v>490000</v>
      </c>
      <c r="Q41" s="39" t="n"/>
      <c r="R41" s="39" t="n"/>
      <c r="Y41" s="39" t="n"/>
      <c r="Z41" s="39" t="n"/>
      <c r="AG41" s="39" t="n"/>
      <c r="AH41" s="39" t="n"/>
      <c r="AI41" t="inlineStr">
        <is>
          <t xml:space="preserve">Marina Francisca Vasquez Samaniego </t>
        </is>
      </c>
      <c r="AJ41" t="inlineStr">
        <is>
          <t>19907001</t>
        </is>
      </c>
      <c r="AK41" t="inlineStr">
        <is>
          <t>Huandoy 887</t>
        </is>
      </c>
      <c r="AL41" t="n">
        <v>964247615</v>
      </c>
      <c r="AM41" t="inlineStr">
        <is>
          <t>964247615</t>
        </is>
      </c>
      <c r="AN41" t="inlineStr">
        <is>
          <t>francisca4547@hotmail.com</t>
        </is>
      </c>
      <c r="AO41" t="inlineStr">
        <is>
          <t>LIMA</t>
        </is>
      </c>
      <c r="AP41" t="inlineStr">
        <is>
          <t>SAN MIGUEL</t>
        </is>
      </c>
      <c r="AQ41" s="75" t="n">
        <v>45617</v>
      </c>
      <c r="AR41" s="75" t="n">
        <v>45617</v>
      </c>
      <c r="AS41" t="inlineStr">
        <is>
          <t>SEPARACION</t>
        </is>
      </c>
      <c r="AT41" t="n">
        <v>1</v>
      </c>
      <c r="AU41" t="n">
        <v>3000</v>
      </c>
      <c r="AV41" t="n">
        <v>0</v>
      </c>
      <c r="AW41" t="n">
        <v>0</v>
      </c>
      <c r="AX41" s="39" t="n">
        <v>3000</v>
      </c>
      <c r="AY41" s="39" t="n">
        <v>3000</v>
      </c>
      <c r="AZ41" s="39" t="n">
        <v>0</v>
      </c>
      <c r="BA41" t="n">
        <v>0</v>
      </c>
      <c r="BB41" t="inlineStr">
        <is>
          <t>Crédito Hipotecario</t>
        </is>
      </c>
      <c r="BC41" t="inlineStr">
        <is>
          <t>Scotiabank Perú</t>
        </is>
      </c>
      <c r="BD41" t="inlineStr">
        <is>
          <t>000-2768484</t>
        </is>
      </c>
      <c r="BE41" t="inlineStr">
        <is>
          <t>TRANSFERENCIA BANCARIA</t>
        </is>
      </c>
      <c r="BF41" t="inlineStr">
        <is>
          <t>19907001</t>
        </is>
      </c>
      <c r="BG41" t="inlineStr">
        <is>
          <t>00951165</t>
        </is>
      </c>
      <c r="BH41" t="inlineStr">
        <is>
          <t>No</t>
        </is>
      </c>
      <c r="BI41" t="inlineStr">
        <is>
          <t>NO PRECISA</t>
        </is>
      </c>
      <c r="BJ41" t="n">
        <v>4</v>
      </c>
      <c r="BK41" t="inlineStr">
        <is>
          <t>CANCELADO</t>
        </is>
      </c>
      <c r="BV41" t="inlineStr">
        <is>
          <t>Si</t>
        </is>
      </c>
      <c r="BW41" s="76" t="n">
        <v>45652.61666666667</v>
      </c>
      <c r="BX41" t="inlineStr">
        <is>
          <t>Carla Michue M</t>
        </is>
      </c>
      <c r="BZ41" t="n">
        <v>37</v>
      </c>
      <c r="CA41" t="inlineStr">
        <is>
          <t>02/06/2026 17:25</t>
        </is>
      </c>
      <c r="CB41" t="n">
        <v>0</v>
      </c>
      <c r="CF41" t="inlineStr">
        <is>
          <t>Cobranzas_2024.csv</t>
        </is>
      </c>
      <c r="CG41" t="n">
        <v>2024</v>
      </c>
      <c r="CH41" t="inlineStr">
        <is>
          <t>01/01/2024</t>
        </is>
      </c>
      <c r="CI41" t="inlineStr">
        <is>
          <t>24/08/2031</t>
        </is>
      </c>
    </row>
    <row r="42">
      <c r="A42" t="inlineStr">
        <is>
          <t>RESIDENCIAL PRADA</t>
        </is>
      </c>
      <c r="B42" t="inlineStr">
        <is>
          <t>Etapa 1</t>
        </is>
      </c>
      <c r="C42" t="inlineStr">
        <is>
          <t>Edificio</t>
        </is>
      </c>
      <c r="D42" t="inlineStr">
        <is>
          <t>A</t>
        </is>
      </c>
      <c r="E42" t="inlineStr">
        <is>
          <t>Departamento</t>
        </is>
      </c>
      <c r="F42" t="inlineStr">
        <is>
          <t>505</t>
        </is>
      </c>
      <c r="G42" t="n">
        <v>68.72</v>
      </c>
      <c r="H42" t="n">
        <v>0</v>
      </c>
      <c r="I42" s="39" t="n">
        <v>490000</v>
      </c>
      <c r="J42" s="39" t="n">
        <v>490000</v>
      </c>
      <c r="Q42" s="39" t="n"/>
      <c r="R42" s="39" t="n"/>
      <c r="Y42" s="39" t="n"/>
      <c r="Z42" s="39" t="n"/>
      <c r="AG42" s="39" t="n"/>
      <c r="AH42" s="39" t="n"/>
      <c r="AI42" t="inlineStr">
        <is>
          <t xml:space="preserve">Marina Francisca Vasquez Samaniego </t>
        </is>
      </c>
      <c r="AJ42" t="inlineStr">
        <is>
          <t>19907001</t>
        </is>
      </c>
      <c r="AK42" t="inlineStr">
        <is>
          <t>Huandoy 887</t>
        </is>
      </c>
      <c r="AL42" t="n">
        <v>964247615</v>
      </c>
      <c r="AM42" t="inlineStr">
        <is>
          <t>964247615</t>
        </is>
      </c>
      <c r="AN42" t="inlineStr">
        <is>
          <t>francisca4547@hotmail.com</t>
        </is>
      </c>
      <c r="AO42" t="inlineStr">
        <is>
          <t>LIMA</t>
        </is>
      </c>
      <c r="AP42" t="inlineStr">
        <is>
          <t>SAN MIGUEL</t>
        </is>
      </c>
      <c r="AQ42" s="75" t="n">
        <v>45652</v>
      </c>
      <c r="AR42" s="75" t="n">
        <v>45652</v>
      </c>
      <c r="AS42" t="inlineStr">
        <is>
          <t>CUOTA INICIAL</t>
        </is>
      </c>
      <c r="AT42" t="n">
        <v>1</v>
      </c>
      <c r="AU42" t="n">
        <v>20000</v>
      </c>
      <c r="AV42" t="n">
        <v>0</v>
      </c>
      <c r="AW42" t="n">
        <v>0</v>
      </c>
      <c r="AX42" s="39" t="n">
        <v>20000</v>
      </c>
      <c r="AY42" s="39" t="n">
        <v>20000</v>
      </c>
      <c r="AZ42" s="39" t="n">
        <v>0</v>
      </c>
      <c r="BA42" t="n">
        <v>0</v>
      </c>
      <c r="BB42" t="inlineStr">
        <is>
          <t>Crédito Hipotecario</t>
        </is>
      </c>
      <c r="BC42" t="inlineStr">
        <is>
          <t>Scotiabank Perú</t>
        </is>
      </c>
      <c r="BD42" t="inlineStr">
        <is>
          <t>000-2768484</t>
        </is>
      </c>
      <c r="BE42" t="inlineStr">
        <is>
          <t>TRANSFERENCIA BANCARIA</t>
        </is>
      </c>
      <c r="BG42" t="inlineStr">
        <is>
          <t>6204304</t>
        </is>
      </c>
      <c r="BH42" t="inlineStr">
        <is>
          <t>No</t>
        </is>
      </c>
      <c r="BJ42" t="n">
        <v>4</v>
      </c>
      <c r="BK42" t="inlineStr">
        <is>
          <t>CANCELADO</t>
        </is>
      </c>
      <c r="BV42" t="inlineStr">
        <is>
          <t>Si</t>
        </is>
      </c>
      <c r="BW42" s="76" t="n">
        <v>45652.61666666667</v>
      </c>
      <c r="BX42" t="inlineStr">
        <is>
          <t>Carla Michue M</t>
        </is>
      </c>
      <c r="BZ42" t="n">
        <v>37</v>
      </c>
      <c r="CA42" t="inlineStr">
        <is>
          <t>07/07/2026 10:35</t>
        </is>
      </c>
      <c r="CB42" t="n">
        <v>0</v>
      </c>
      <c r="CF42" t="inlineStr">
        <is>
          <t>Cobranzas_2024.csv</t>
        </is>
      </c>
      <c r="CG42" t="n">
        <v>2024</v>
      </c>
      <c r="CH42" t="inlineStr">
        <is>
          <t>01/01/2024</t>
        </is>
      </c>
      <c r="CI42" t="inlineStr">
        <is>
          <t>24/08/2031</t>
        </is>
      </c>
    </row>
    <row r="43">
      <c r="A43" t="inlineStr">
        <is>
          <t>RESIDENCIAL PRADA</t>
        </is>
      </c>
      <c r="B43" t="inlineStr">
        <is>
          <t>Etapa 1</t>
        </is>
      </c>
      <c r="C43" t="inlineStr">
        <is>
          <t>Edificio</t>
        </is>
      </c>
      <c r="D43" t="inlineStr">
        <is>
          <t>A</t>
        </is>
      </c>
      <c r="E43" t="inlineStr">
        <is>
          <t>Departamento</t>
        </is>
      </c>
      <c r="F43" t="inlineStr">
        <is>
          <t>701</t>
        </is>
      </c>
      <c r="G43" t="n">
        <v>84</v>
      </c>
      <c r="H43" t="n">
        <v>0</v>
      </c>
      <c r="I43" s="39" t="n">
        <v>592500</v>
      </c>
      <c r="J43" s="39" t="n">
        <v>592500</v>
      </c>
      <c r="Q43" s="39" t="n"/>
      <c r="R43" s="39" t="n"/>
      <c r="Y43" s="39" t="n"/>
      <c r="Z43" s="39" t="n"/>
      <c r="AG43" s="39" t="n"/>
      <c r="AH43" s="39" t="n"/>
      <c r="AI43" t="inlineStr">
        <is>
          <t>Richard Humberto Lima Garcia</t>
        </is>
      </c>
      <c r="AJ43" t="inlineStr">
        <is>
          <t>10606793</t>
        </is>
      </c>
      <c r="AK43" t="inlineStr">
        <is>
          <t>Mz E2 lote 10 Urb Coovitiomar - Ancón</t>
        </is>
      </c>
      <c r="AM43" t="inlineStr">
        <is>
          <t>940170759</t>
        </is>
      </c>
      <c r="AN43" t="inlineStr">
        <is>
          <t>richard_13_312@hotmail.com</t>
        </is>
      </c>
      <c r="AO43" t="inlineStr">
        <is>
          <t>LIMA</t>
        </is>
      </c>
      <c r="AP43" t="inlineStr">
        <is>
          <t>SANTA ROSA</t>
        </is>
      </c>
      <c r="AQ43" s="75" t="n">
        <v>45593</v>
      </c>
      <c r="AR43" s="75" t="n">
        <v>45593</v>
      </c>
      <c r="AS43" t="inlineStr">
        <is>
          <t>SEPARACION</t>
        </is>
      </c>
      <c r="AT43" t="n">
        <v>1</v>
      </c>
      <c r="AU43" t="n">
        <v>3000</v>
      </c>
      <c r="AV43" t="n">
        <v>0</v>
      </c>
      <c r="AW43" t="n">
        <v>0</v>
      </c>
      <c r="AX43" s="39" t="n">
        <v>3000</v>
      </c>
      <c r="AY43" s="39" t="n">
        <v>3000</v>
      </c>
      <c r="AZ43" s="39" t="n">
        <v>0</v>
      </c>
      <c r="BA43" t="n">
        <v>0</v>
      </c>
      <c r="BB43" t="inlineStr">
        <is>
          <t>Crédito Hipotecario</t>
        </is>
      </c>
      <c r="BC43" t="inlineStr">
        <is>
          <t>Scotiabank Perú</t>
        </is>
      </c>
      <c r="BD43" t="inlineStr">
        <is>
          <t>000-2768484</t>
        </is>
      </c>
      <c r="BE43" t="inlineStr">
        <is>
          <t>TRANSFERENCIA BANCARIA</t>
        </is>
      </c>
      <c r="BF43" t="inlineStr">
        <is>
          <t>10606793</t>
        </is>
      </c>
      <c r="BG43" t="inlineStr">
        <is>
          <t>01525977</t>
        </is>
      </c>
      <c r="BH43" t="inlineStr">
        <is>
          <t>No</t>
        </is>
      </c>
      <c r="BI43" t="inlineStr">
        <is>
          <t>NO PRECISA</t>
        </is>
      </c>
      <c r="BJ43" t="n">
        <v>1</v>
      </c>
      <c r="BK43" t="inlineStr">
        <is>
          <t>CANCELADO</t>
        </is>
      </c>
      <c r="BV43" t="inlineStr">
        <is>
          <t>Si</t>
        </is>
      </c>
      <c r="BW43" s="76" t="n">
        <v>45638.38819444444</v>
      </c>
      <c r="BX43" t="inlineStr">
        <is>
          <t>Carla Michue M</t>
        </is>
      </c>
      <c r="BZ43" t="n">
        <v>3</v>
      </c>
      <c r="CA43" t="inlineStr">
        <is>
          <t>29/05/2026 12:21</t>
        </is>
      </c>
      <c r="CB43" t="n">
        <v>0</v>
      </c>
      <c r="CF43" t="inlineStr">
        <is>
          <t>Cobranzas_2024.csv</t>
        </is>
      </c>
      <c r="CG43" t="n">
        <v>2024</v>
      </c>
      <c r="CH43" t="inlineStr">
        <is>
          <t>01/01/2024</t>
        </is>
      </c>
      <c r="CI43" t="inlineStr">
        <is>
          <t>24/08/2031</t>
        </is>
      </c>
    </row>
    <row r="44">
      <c r="A44" t="inlineStr">
        <is>
          <t>RESIDENCIAL PRADA</t>
        </is>
      </c>
      <c r="B44" t="inlineStr">
        <is>
          <t>Etapa 1</t>
        </is>
      </c>
      <c r="C44" t="inlineStr">
        <is>
          <t>Edificio</t>
        </is>
      </c>
      <c r="D44" t="inlineStr">
        <is>
          <t>A</t>
        </is>
      </c>
      <c r="E44" t="inlineStr">
        <is>
          <t>Departamento</t>
        </is>
      </c>
      <c r="F44" t="inlineStr">
        <is>
          <t>701</t>
        </is>
      </c>
      <c r="G44" t="n">
        <v>84</v>
      </c>
      <c r="H44" t="n">
        <v>0</v>
      </c>
      <c r="I44" s="39" t="n">
        <v>592500</v>
      </c>
      <c r="J44" s="39" t="n">
        <v>592500</v>
      </c>
      <c r="Q44" s="39" t="n"/>
      <c r="R44" s="39" t="n"/>
      <c r="Y44" s="39" t="n"/>
      <c r="Z44" s="39" t="n"/>
      <c r="AG44" s="39" t="n"/>
      <c r="AH44" s="39" t="n"/>
      <c r="AI44" t="inlineStr">
        <is>
          <t>Richard Humberto Lima Garcia</t>
        </is>
      </c>
      <c r="AJ44" t="inlineStr">
        <is>
          <t>10606793</t>
        </is>
      </c>
      <c r="AK44" t="inlineStr">
        <is>
          <t>Mz E2 lote 10 Urb Coovitiomar - Ancón</t>
        </is>
      </c>
      <c r="AM44" t="inlineStr">
        <is>
          <t>940170759</t>
        </is>
      </c>
      <c r="AN44" t="inlineStr">
        <is>
          <t>richard_13_312@hotmail.com</t>
        </is>
      </c>
      <c r="AO44" t="inlineStr">
        <is>
          <t>LIMA</t>
        </is>
      </c>
      <c r="AP44" t="inlineStr">
        <is>
          <t>SANTA ROSA</t>
        </is>
      </c>
      <c r="AQ44" s="75" t="n">
        <v>45618</v>
      </c>
      <c r="AR44" s="75" t="n">
        <v>45618</v>
      </c>
      <c r="AS44" t="inlineStr">
        <is>
          <t>CUOTA INICIAL</t>
        </is>
      </c>
      <c r="AT44" t="n">
        <v>2</v>
      </c>
      <c r="AU44" t="n">
        <v>48000</v>
      </c>
      <c r="AV44" t="n">
        <v>0</v>
      </c>
      <c r="AW44" t="n">
        <v>0</v>
      </c>
      <c r="AX44" s="39" t="n">
        <v>48000</v>
      </c>
      <c r="AY44" s="39" t="n">
        <v>48000</v>
      </c>
      <c r="AZ44" s="39" t="n">
        <v>0</v>
      </c>
      <c r="BA44" t="n">
        <v>0</v>
      </c>
      <c r="BB44" t="inlineStr">
        <is>
          <t>Crédito Hipotecario</t>
        </is>
      </c>
      <c r="BC44" t="inlineStr">
        <is>
          <t>Scotiabank Perú</t>
        </is>
      </c>
      <c r="BD44" t="inlineStr">
        <is>
          <t>000-2768484</t>
        </is>
      </c>
      <c r="BE44" t="inlineStr">
        <is>
          <t>TRANSFERENCIA BANCARIA</t>
        </is>
      </c>
      <c r="BG44" t="inlineStr">
        <is>
          <t>0144739</t>
        </is>
      </c>
      <c r="BH44" t="inlineStr">
        <is>
          <t>No</t>
        </is>
      </c>
      <c r="BJ44" t="n">
        <v>4</v>
      </c>
      <c r="BK44" t="inlineStr">
        <is>
          <t>CANCELADO</t>
        </is>
      </c>
      <c r="BV44" t="inlineStr">
        <is>
          <t>Si</t>
        </is>
      </c>
      <c r="BW44" s="76" t="n">
        <v>45638.38819444444</v>
      </c>
      <c r="BX44" t="inlineStr">
        <is>
          <t>Carla Michue M</t>
        </is>
      </c>
      <c r="BZ44" t="n">
        <v>3</v>
      </c>
      <c r="CA44" t="inlineStr">
        <is>
          <t>14/07/2026 09:05</t>
        </is>
      </c>
      <c r="CB44" t="n">
        <v>0</v>
      </c>
      <c r="CF44" t="inlineStr">
        <is>
          <t>Cobranzas_2024.csv</t>
        </is>
      </c>
      <c r="CG44" t="n">
        <v>2024</v>
      </c>
      <c r="CH44" t="inlineStr">
        <is>
          <t>01/01/2024</t>
        </is>
      </c>
      <c r="CI44" t="inlineStr">
        <is>
          <t>24/08/2031</t>
        </is>
      </c>
    </row>
    <row r="45">
      <c r="A45" t="inlineStr">
        <is>
          <t>RESIDENCIAL PRADA</t>
        </is>
      </c>
      <c r="B45" t="inlineStr">
        <is>
          <t>Etapa 1</t>
        </is>
      </c>
      <c r="C45" t="inlineStr">
        <is>
          <t>Edificio</t>
        </is>
      </c>
      <c r="D45" t="inlineStr">
        <is>
          <t>A</t>
        </is>
      </c>
      <c r="E45" t="inlineStr">
        <is>
          <t>Departamento</t>
        </is>
      </c>
      <c r="F45" t="inlineStr">
        <is>
          <t>701</t>
        </is>
      </c>
      <c r="G45" t="n">
        <v>84</v>
      </c>
      <c r="H45" t="n">
        <v>0</v>
      </c>
      <c r="I45" s="39" t="n">
        <v>592500</v>
      </c>
      <c r="J45" s="39" t="n">
        <v>592500</v>
      </c>
      <c r="Q45" s="39" t="n"/>
      <c r="R45" s="39" t="n"/>
      <c r="Y45" s="39" t="n"/>
      <c r="Z45" s="39" t="n"/>
      <c r="AG45" s="39" t="n"/>
      <c r="AH45" s="39" t="n"/>
      <c r="AI45" t="inlineStr">
        <is>
          <t>Richard Humberto Lima Garcia</t>
        </is>
      </c>
      <c r="AJ45" t="inlineStr">
        <is>
          <t>10606793</t>
        </is>
      </c>
      <c r="AK45" t="inlineStr">
        <is>
          <t>Mz E2 lote 10 Urb Coovitiomar - Ancón</t>
        </is>
      </c>
      <c r="AM45" t="inlineStr">
        <is>
          <t>940170759</t>
        </is>
      </c>
      <c r="AN45" t="inlineStr">
        <is>
          <t>richard_13_312@hotmail.com</t>
        </is>
      </c>
      <c r="AO45" t="inlineStr">
        <is>
          <t>LIMA</t>
        </is>
      </c>
      <c r="AP45" t="inlineStr">
        <is>
          <t>SANTA ROSA</t>
        </is>
      </c>
      <c r="AQ45" s="75" t="n">
        <v>45638</v>
      </c>
      <c r="AR45" s="75" t="n">
        <v>45638</v>
      </c>
      <c r="AS45" t="inlineStr">
        <is>
          <t>CUOTA INICIAL</t>
        </is>
      </c>
      <c r="AT45" t="n">
        <v>3</v>
      </c>
      <c r="AU45" t="n">
        <v>8250</v>
      </c>
      <c r="AV45" t="n">
        <v>0</v>
      </c>
      <c r="AW45" t="n">
        <v>0</v>
      </c>
      <c r="AX45" s="39" t="n">
        <v>8250</v>
      </c>
      <c r="AY45" s="39" t="n">
        <v>8250</v>
      </c>
      <c r="AZ45" s="39" t="n">
        <v>0</v>
      </c>
      <c r="BA45" t="n">
        <v>0</v>
      </c>
      <c r="BB45" t="inlineStr">
        <is>
          <t>Crédito Hipotecario</t>
        </is>
      </c>
      <c r="BC45" t="inlineStr">
        <is>
          <t>Scotiabank Perú</t>
        </is>
      </c>
      <c r="BD45" t="inlineStr">
        <is>
          <t>000-2768484</t>
        </is>
      </c>
      <c r="BE45" t="inlineStr">
        <is>
          <t>TRANSFERENCIA BANCARIA</t>
        </is>
      </c>
      <c r="BF45" t="inlineStr">
        <is>
          <t>10606793</t>
        </is>
      </c>
      <c r="BG45" t="inlineStr">
        <is>
          <t>02209753</t>
        </is>
      </c>
      <c r="BH45" t="inlineStr">
        <is>
          <t>No</t>
        </is>
      </c>
      <c r="BI45" t="inlineStr">
        <is>
          <t>NO PRECISA</t>
        </is>
      </c>
      <c r="BJ45" t="n">
        <v>1</v>
      </c>
      <c r="BK45" t="inlineStr">
        <is>
          <t>CANCELADO</t>
        </is>
      </c>
      <c r="BV45" t="inlineStr">
        <is>
          <t>Si</t>
        </is>
      </c>
      <c r="BW45" s="76" t="n">
        <v>45638.38819444444</v>
      </c>
      <c r="BX45" t="inlineStr">
        <is>
          <t>Carla Michue M</t>
        </is>
      </c>
      <c r="BZ45" t="n">
        <v>3</v>
      </c>
      <c r="CA45" t="inlineStr">
        <is>
          <t>29/05/2026 12:21</t>
        </is>
      </c>
      <c r="CB45" t="n">
        <v>0</v>
      </c>
      <c r="CF45" t="inlineStr">
        <is>
          <t>Cobranzas_2024.csv</t>
        </is>
      </c>
      <c r="CG45" t="n">
        <v>2024</v>
      </c>
      <c r="CH45" t="inlineStr">
        <is>
          <t>01/01/2024</t>
        </is>
      </c>
      <c r="CI45" t="inlineStr">
        <is>
          <t>24/08/2031</t>
        </is>
      </c>
    </row>
    <row r="46">
      <c r="A46" t="inlineStr">
        <is>
          <t>RESIDENCIAL PRADA</t>
        </is>
      </c>
      <c r="B46" t="inlineStr">
        <is>
          <t>Etapa 1</t>
        </is>
      </c>
      <c r="C46" t="inlineStr">
        <is>
          <t>Edificio</t>
        </is>
      </c>
      <c r="D46" t="inlineStr">
        <is>
          <t>A</t>
        </is>
      </c>
      <c r="E46" t="inlineStr">
        <is>
          <t>Departamento</t>
        </is>
      </c>
      <c r="F46" t="inlineStr">
        <is>
          <t>705</t>
        </is>
      </c>
      <c r="G46" t="n">
        <v>68.72</v>
      </c>
      <c r="H46" t="n">
        <v>0</v>
      </c>
      <c r="I46" s="39" t="n">
        <v>496000</v>
      </c>
      <c r="J46" s="39" t="n">
        <v>496000</v>
      </c>
      <c r="Q46" s="39" t="n"/>
      <c r="R46" s="39" t="n"/>
      <c r="Y46" s="39" t="n"/>
      <c r="Z46" s="39" t="n"/>
      <c r="AG46" s="39" t="n"/>
      <c r="AH46" s="39" t="n"/>
      <c r="AI46" t="inlineStr">
        <is>
          <t>Sthefany Carolina Rodriguez Huamán</t>
        </is>
      </c>
      <c r="AJ46" t="inlineStr">
        <is>
          <t>70270427</t>
        </is>
      </c>
      <c r="AK46" t="inlineStr">
        <is>
          <t>-</t>
        </is>
      </c>
      <c r="AM46" t="inlineStr">
        <is>
          <t>989492681</t>
        </is>
      </c>
      <c r="AN46" t="inlineStr">
        <is>
          <t>sthefany.rodriguez2207@gmail.com</t>
        </is>
      </c>
      <c r="AO46" t="inlineStr">
        <is>
          <t>LIMA</t>
        </is>
      </c>
      <c r="AP46" t="inlineStr">
        <is>
          <t>CERCADO DE LIMA</t>
        </is>
      </c>
      <c r="AQ46" s="75" t="n">
        <v>45586</v>
      </c>
      <c r="AR46" s="75" t="n">
        <v>45586</v>
      </c>
      <c r="AS46" t="inlineStr">
        <is>
          <t>SEPARACION</t>
        </is>
      </c>
      <c r="AT46" t="n">
        <v>1</v>
      </c>
      <c r="AU46" t="n">
        <v>200</v>
      </c>
      <c r="AV46" t="n">
        <v>0</v>
      </c>
      <c r="AW46" t="n">
        <v>0</v>
      </c>
      <c r="AX46" s="39" t="n">
        <v>200</v>
      </c>
      <c r="AY46" s="39" t="n">
        <v>200</v>
      </c>
      <c r="AZ46" s="39" t="n">
        <v>0</v>
      </c>
      <c r="BA46" t="n">
        <v>0</v>
      </c>
      <c r="BB46" t="inlineStr">
        <is>
          <t>Ahorro</t>
        </is>
      </c>
      <c r="BC46" t="inlineStr">
        <is>
          <t>Scotiabank Perú</t>
        </is>
      </c>
      <c r="BD46" t="inlineStr">
        <is>
          <t>000-2768484</t>
        </is>
      </c>
      <c r="BE46" t="inlineStr">
        <is>
          <t>TRANSFERENCIA BANCARIA</t>
        </is>
      </c>
      <c r="BF46" t="inlineStr">
        <is>
          <t>70270427</t>
        </is>
      </c>
      <c r="BG46" t="inlineStr">
        <is>
          <t>7844655610334</t>
        </is>
      </c>
      <c r="BH46" t="inlineStr">
        <is>
          <t>No</t>
        </is>
      </c>
      <c r="BI46" t="inlineStr">
        <is>
          <t>NO PRECISA</t>
        </is>
      </c>
      <c r="BJ46" t="n">
        <v>1</v>
      </c>
      <c r="BK46" t="inlineStr">
        <is>
          <t>CANCELADO</t>
        </is>
      </c>
      <c r="BV46" t="inlineStr">
        <is>
          <t>Si</t>
        </is>
      </c>
      <c r="BW46" s="76" t="n">
        <v>45829.38958333333</v>
      </c>
      <c r="BX46" t="inlineStr">
        <is>
          <t>Carla Michue M</t>
        </is>
      </c>
      <c r="BZ46" t="n">
        <v>2</v>
      </c>
      <c r="CA46" t="inlineStr">
        <is>
          <t>29/05/2026 12:20</t>
        </is>
      </c>
      <c r="CB46" t="n">
        <v>0</v>
      </c>
      <c r="CF46" t="inlineStr">
        <is>
          <t>Cobranzas_2024.csv</t>
        </is>
      </c>
      <c r="CG46" t="n">
        <v>2024</v>
      </c>
      <c r="CH46" t="inlineStr">
        <is>
          <t>01/01/2024</t>
        </is>
      </c>
      <c r="CI46" t="inlineStr">
        <is>
          <t>24/08/2031</t>
        </is>
      </c>
    </row>
    <row r="47">
      <c r="A47" t="inlineStr">
        <is>
          <t>RESIDENCIAL PRADA</t>
        </is>
      </c>
      <c r="B47" t="inlineStr">
        <is>
          <t>Etapa 1</t>
        </is>
      </c>
      <c r="C47" t="inlineStr">
        <is>
          <t>Edificio</t>
        </is>
      </c>
      <c r="D47" t="inlineStr">
        <is>
          <t>A</t>
        </is>
      </c>
      <c r="E47" t="inlineStr">
        <is>
          <t>Departamento</t>
        </is>
      </c>
      <c r="F47" t="inlineStr">
        <is>
          <t>705</t>
        </is>
      </c>
      <c r="G47" t="n">
        <v>68.72</v>
      </c>
      <c r="H47" t="n">
        <v>0</v>
      </c>
      <c r="I47" s="39" t="n">
        <v>496000</v>
      </c>
      <c r="J47" s="39" t="n">
        <v>496000</v>
      </c>
      <c r="Q47" s="39" t="n"/>
      <c r="R47" s="39" t="n"/>
      <c r="Y47" s="39" t="n"/>
      <c r="Z47" s="39" t="n"/>
      <c r="AG47" s="39" t="n"/>
      <c r="AH47" s="39" t="n"/>
      <c r="AI47" t="inlineStr">
        <is>
          <t>Sthefany Carolina Rodriguez Huamán</t>
        </is>
      </c>
      <c r="AJ47" t="inlineStr">
        <is>
          <t>70270427</t>
        </is>
      </c>
      <c r="AK47" t="inlineStr">
        <is>
          <t>-</t>
        </is>
      </c>
      <c r="AM47" t="inlineStr">
        <is>
          <t>989492681</t>
        </is>
      </c>
      <c r="AN47" t="inlineStr">
        <is>
          <t>sthefany.rodriguez2207@gmail.com</t>
        </is>
      </c>
      <c r="AO47" t="inlineStr">
        <is>
          <t>LIMA</t>
        </is>
      </c>
      <c r="AP47" t="inlineStr">
        <is>
          <t>CERCADO DE LIMA</t>
        </is>
      </c>
      <c r="AQ47" s="75" t="n">
        <v>45587</v>
      </c>
      <c r="AR47" s="75" t="n">
        <v>45587</v>
      </c>
      <c r="AS47" t="inlineStr">
        <is>
          <t>SEPARACION</t>
        </is>
      </c>
      <c r="AT47" t="n">
        <v>2</v>
      </c>
      <c r="AU47" t="n">
        <v>2800</v>
      </c>
      <c r="AV47" t="n">
        <v>0</v>
      </c>
      <c r="AW47" t="n">
        <v>0</v>
      </c>
      <c r="AX47" s="39" t="n">
        <v>2800</v>
      </c>
      <c r="AY47" s="39" t="n">
        <v>2800</v>
      </c>
      <c r="AZ47" s="39" t="n">
        <v>0</v>
      </c>
      <c r="BA47" t="n">
        <v>0</v>
      </c>
      <c r="BB47" t="inlineStr">
        <is>
          <t>Ahorro</t>
        </is>
      </c>
      <c r="BC47" t="inlineStr">
        <is>
          <t>Scotiabank Perú</t>
        </is>
      </c>
      <c r="BD47" t="inlineStr">
        <is>
          <t>000-2768484</t>
        </is>
      </c>
      <c r="BE47" t="inlineStr">
        <is>
          <t>EFECTIVO</t>
        </is>
      </c>
      <c r="BF47" t="inlineStr">
        <is>
          <t>70270427</t>
        </is>
      </c>
      <c r="BG47" t="inlineStr">
        <is>
          <t>0500010021</t>
        </is>
      </c>
      <c r="BH47" t="inlineStr">
        <is>
          <t>No</t>
        </is>
      </c>
      <c r="BI47" t="inlineStr">
        <is>
          <t>NO PRECISA</t>
        </is>
      </c>
      <c r="BJ47" t="n">
        <v>1</v>
      </c>
      <c r="BK47" t="inlineStr">
        <is>
          <t>CANCELADO</t>
        </is>
      </c>
      <c r="BV47" t="inlineStr">
        <is>
          <t>Si</t>
        </is>
      </c>
      <c r="BW47" s="76" t="n">
        <v>45829.38958333333</v>
      </c>
      <c r="BX47" t="inlineStr">
        <is>
          <t>Carla Michue M</t>
        </is>
      </c>
      <c r="BZ47" t="n">
        <v>2</v>
      </c>
      <c r="CA47" t="inlineStr">
        <is>
          <t>29/05/2026 12:20</t>
        </is>
      </c>
      <c r="CB47" t="n">
        <v>0</v>
      </c>
      <c r="CF47" t="inlineStr">
        <is>
          <t>Cobranzas_2024.csv</t>
        </is>
      </c>
      <c r="CG47" t="n">
        <v>2024</v>
      </c>
      <c r="CH47" t="inlineStr">
        <is>
          <t>01/01/2024</t>
        </is>
      </c>
      <c r="CI47" t="inlineStr">
        <is>
          <t>24/08/2031</t>
        </is>
      </c>
    </row>
    <row r="48">
      <c r="A48" t="inlineStr">
        <is>
          <t>RESIDENCIAL BEYOND</t>
        </is>
      </c>
      <c r="B48" t="inlineStr">
        <is>
          <t>Etapa 1</t>
        </is>
      </c>
      <c r="C48" t="inlineStr">
        <is>
          <t>Edificio</t>
        </is>
      </c>
      <c r="D48" t="inlineStr">
        <is>
          <t>A</t>
        </is>
      </c>
      <c r="E48" t="inlineStr">
        <is>
          <t>Departamento</t>
        </is>
      </c>
      <c r="F48" t="inlineStr">
        <is>
          <t>205</t>
        </is>
      </c>
      <c r="G48" t="n">
        <v>72</v>
      </c>
      <c r="H48" t="n">
        <v>16</v>
      </c>
      <c r="I48" s="39" t="n">
        <v>587000</v>
      </c>
      <c r="J48" s="39" t="n">
        <v>577000</v>
      </c>
      <c r="Q48" s="39" t="n"/>
      <c r="R48" s="39" t="n"/>
      <c r="Y48" s="39" t="n"/>
      <c r="Z48" s="39" t="n"/>
      <c r="AG48" s="39" t="n"/>
      <c r="AH48" s="39" t="n"/>
      <c r="AI48" t="inlineStr">
        <is>
          <t>Tania Milagros Cotrina Vara</t>
        </is>
      </c>
      <c r="AJ48" t="inlineStr">
        <is>
          <t>10140034</t>
        </is>
      </c>
      <c r="AK48" t="inlineStr">
        <is>
          <t>Av. Arnaldo Marquez 1526 Dpto. 26</t>
        </is>
      </c>
      <c r="AL48" t="n">
        <v>0</v>
      </c>
      <c r="AM48" t="inlineStr">
        <is>
          <t>941461159</t>
        </is>
      </c>
      <c r="AN48" t="inlineStr">
        <is>
          <t>tamicov@hotmail.com</t>
        </is>
      </c>
      <c r="AO48" t="inlineStr">
        <is>
          <t>LIMA</t>
        </is>
      </c>
      <c r="AP48" t="inlineStr">
        <is>
          <t>JESUS MARIA</t>
        </is>
      </c>
      <c r="AQ48" s="75" t="n">
        <v>45641</v>
      </c>
      <c r="AR48" s="75" t="n">
        <v>45641</v>
      </c>
      <c r="AS48" t="inlineStr">
        <is>
          <t>SEPARACION</t>
        </is>
      </c>
      <c r="AT48" t="n">
        <v>1</v>
      </c>
      <c r="AU48" t="n">
        <v>3000</v>
      </c>
      <c r="AV48" t="n">
        <v>0</v>
      </c>
      <c r="AW48" t="n">
        <v>0</v>
      </c>
      <c r="AX48" s="39" t="n">
        <v>3000</v>
      </c>
      <c r="AY48" s="39" t="n">
        <v>3000</v>
      </c>
      <c r="AZ48" s="39" t="n">
        <v>0</v>
      </c>
      <c r="BA48" t="n">
        <v>0</v>
      </c>
      <c r="BB48" t="inlineStr">
        <is>
          <t>Ahorro</t>
        </is>
      </c>
      <c r="BC48" t="inlineStr">
        <is>
          <t>Banco de Credito del Perú</t>
        </is>
      </c>
      <c r="BD48" t="inlineStr">
        <is>
          <t>194-7325779-0-65</t>
        </is>
      </c>
      <c r="BE48" t="inlineStr">
        <is>
          <t>POS VISA</t>
        </is>
      </c>
      <c r="BF48" t="inlineStr">
        <is>
          <t>10140034</t>
        </is>
      </c>
      <c r="BG48" t="inlineStr">
        <is>
          <t>594693007</t>
        </is>
      </c>
      <c r="BH48" t="inlineStr">
        <is>
          <t>No</t>
        </is>
      </c>
      <c r="BI48" t="inlineStr">
        <is>
          <t>NO PRECISA</t>
        </is>
      </c>
      <c r="BJ48" t="n">
        <v>4</v>
      </c>
      <c r="BK48" t="inlineStr">
        <is>
          <t>CANCELADO</t>
        </is>
      </c>
      <c r="BV48" t="inlineStr">
        <is>
          <t>Si</t>
        </is>
      </c>
      <c r="BW48" s="76" t="n">
        <v>45918.41597222222</v>
      </c>
      <c r="BX48" t="inlineStr">
        <is>
          <t>Magaly Guevara Perez</t>
        </is>
      </c>
      <c r="BZ48" t="n">
        <v>4</v>
      </c>
      <c r="CA48" t="inlineStr">
        <is>
          <t>01/05/2026 11:00</t>
        </is>
      </c>
      <c r="CB48" t="n">
        <v>0</v>
      </c>
      <c r="CF48" t="inlineStr">
        <is>
          <t>Cobranzas_2024.csv</t>
        </is>
      </c>
      <c r="CG48" t="n">
        <v>2024</v>
      </c>
      <c r="CH48" t="inlineStr">
        <is>
          <t>01/01/2024</t>
        </is>
      </c>
      <c r="CI48" t="inlineStr">
        <is>
          <t>24/08/2031</t>
        </is>
      </c>
    </row>
    <row r="49">
      <c r="A49" t="inlineStr">
        <is>
          <t>RESIDENCIAL BEYOND</t>
        </is>
      </c>
      <c r="B49" t="inlineStr">
        <is>
          <t>Etapa 1</t>
        </is>
      </c>
      <c r="C49" t="inlineStr">
        <is>
          <t>Edificio</t>
        </is>
      </c>
      <c r="D49" t="inlineStr">
        <is>
          <t>A</t>
        </is>
      </c>
      <c r="E49" t="inlineStr">
        <is>
          <t>Departamento</t>
        </is>
      </c>
      <c r="F49" t="inlineStr">
        <is>
          <t>1306</t>
        </is>
      </c>
      <c r="G49" t="n">
        <v>40</v>
      </c>
      <c r="H49" t="n">
        <v>0</v>
      </c>
      <c r="I49" s="39" t="n">
        <v>312500</v>
      </c>
      <c r="J49" s="39" t="n">
        <v>265000</v>
      </c>
      <c r="Q49" s="39" t="n"/>
      <c r="R49" s="39" t="n"/>
      <c r="Y49" s="39" t="n"/>
      <c r="Z49" s="39" t="n"/>
      <c r="AG49" s="39" t="n"/>
      <c r="AH49" s="39" t="n"/>
      <c r="AI49" t="inlineStr">
        <is>
          <t>Alejandra Leslye Solorio Peña</t>
        </is>
      </c>
      <c r="AJ49" t="inlineStr">
        <is>
          <t>75021688</t>
        </is>
      </c>
      <c r="AK49" t="inlineStr">
        <is>
          <t>Jr. Santiago Wagner 2264</t>
        </is>
      </c>
      <c r="AL49" t="n">
        <v>0</v>
      </c>
      <c r="AM49" t="inlineStr">
        <is>
          <t>984934286</t>
        </is>
      </c>
      <c r="AN49" t="inlineStr">
        <is>
          <t>aleslye3@gamil.com</t>
        </is>
      </c>
      <c r="AO49" t="inlineStr">
        <is>
          <t>LIMA</t>
        </is>
      </c>
      <c r="AP49" t="inlineStr">
        <is>
          <t>CERCADO DE LIMA</t>
        </is>
      </c>
      <c r="AQ49" s="75" t="n">
        <v>45919</v>
      </c>
      <c r="AR49" s="75" t="n">
        <v>45919</v>
      </c>
      <c r="AS49" t="inlineStr">
        <is>
          <t>SEPARACION</t>
        </is>
      </c>
      <c r="AT49" t="n">
        <v>1</v>
      </c>
      <c r="AU49" t="n">
        <v>3000</v>
      </c>
      <c r="AV49" t="n">
        <v>0</v>
      </c>
      <c r="AW49" t="n">
        <v>0</v>
      </c>
      <c r="AX49" s="39" t="n">
        <v>3000</v>
      </c>
      <c r="AY49" s="39" t="n">
        <v>3000</v>
      </c>
      <c r="AZ49" s="39" t="n">
        <v>0</v>
      </c>
      <c r="BA49" t="n">
        <v>0</v>
      </c>
      <c r="BB49" t="inlineStr">
        <is>
          <t>Ahorro</t>
        </is>
      </c>
      <c r="BC49" t="inlineStr">
        <is>
          <t>Banco de Credito del Perú</t>
        </is>
      </c>
      <c r="BD49" t="inlineStr">
        <is>
          <t>194-7325779-0-65</t>
        </is>
      </c>
      <c r="BE49" t="inlineStr">
        <is>
          <t>TRANSFERENCIA BANCARIA</t>
        </is>
      </c>
      <c r="BG49" t="inlineStr">
        <is>
          <t>017776200</t>
        </is>
      </c>
      <c r="BH49" t="inlineStr">
        <is>
          <t>No</t>
        </is>
      </c>
      <c r="BJ49" t="n">
        <v>4</v>
      </c>
      <c r="BK49" t="inlineStr">
        <is>
          <t>CANCELADO</t>
        </is>
      </c>
      <c r="BV49" t="inlineStr">
        <is>
          <t>Si</t>
        </is>
      </c>
      <c r="BW49" s="76" t="n">
        <v>45904.80555555555</v>
      </c>
      <c r="BX49" t="inlineStr">
        <is>
          <t>Carla Michue M</t>
        </is>
      </c>
      <c r="BZ49" t="n">
        <v>11</v>
      </c>
      <c r="CA49" t="inlineStr">
        <is>
          <t>23/05/2026 19:16</t>
        </is>
      </c>
      <c r="CB49" t="n">
        <v>0</v>
      </c>
      <c r="CF49" t="inlineStr">
        <is>
          <t>Cobranzas_2025.csv</t>
        </is>
      </c>
      <c r="CG49" t="n">
        <v>2025</v>
      </c>
      <c r="CH49" t="inlineStr">
        <is>
          <t>01/01/2024</t>
        </is>
      </c>
      <c r="CI49" t="inlineStr">
        <is>
          <t>24/08/2031</t>
        </is>
      </c>
    </row>
    <row r="50">
      <c r="A50" t="inlineStr">
        <is>
          <t>RESIDENCIAL BEYOND</t>
        </is>
      </c>
      <c r="B50" t="inlineStr">
        <is>
          <t>Etapa 1</t>
        </is>
      </c>
      <c r="C50" t="inlineStr">
        <is>
          <t>Edificio</t>
        </is>
      </c>
      <c r="D50" t="inlineStr">
        <is>
          <t>A</t>
        </is>
      </c>
      <c r="E50" t="inlineStr">
        <is>
          <t>Departamento</t>
        </is>
      </c>
      <c r="F50" t="inlineStr">
        <is>
          <t>1306</t>
        </is>
      </c>
      <c r="G50" t="n">
        <v>40</v>
      </c>
      <c r="H50" t="n">
        <v>0</v>
      </c>
      <c r="I50" s="39" t="n">
        <v>312500</v>
      </c>
      <c r="J50" s="39" t="n">
        <v>265000</v>
      </c>
      <c r="Q50" s="39" t="n"/>
      <c r="R50" s="39" t="n"/>
      <c r="Y50" s="39" t="n"/>
      <c r="Z50" s="39" t="n"/>
      <c r="AG50" s="39" t="n"/>
      <c r="AH50" s="39" t="n"/>
      <c r="AI50" t="inlineStr">
        <is>
          <t>Alejandra Leslye Solorio Peña</t>
        </is>
      </c>
      <c r="AJ50" t="inlineStr">
        <is>
          <t>75021688</t>
        </is>
      </c>
      <c r="AK50" t="inlineStr">
        <is>
          <t>Jr. Santiago Wagner 2264</t>
        </is>
      </c>
      <c r="AL50" t="n">
        <v>0</v>
      </c>
      <c r="AM50" t="inlineStr">
        <is>
          <t>984934286</t>
        </is>
      </c>
      <c r="AN50" t="inlineStr">
        <is>
          <t>aleslye3@gamil.com</t>
        </is>
      </c>
      <c r="AO50" t="inlineStr">
        <is>
          <t>LIMA</t>
        </is>
      </c>
      <c r="AP50" t="inlineStr">
        <is>
          <t>CERCADO DE LIMA</t>
        </is>
      </c>
      <c r="AQ50" s="75" t="n">
        <v>45904</v>
      </c>
      <c r="AR50" s="75" t="n">
        <v>45904</v>
      </c>
      <c r="AS50" t="inlineStr">
        <is>
          <t>CUOTA INICIAL</t>
        </is>
      </c>
      <c r="AT50" t="n">
        <v>1</v>
      </c>
      <c r="AU50" t="n">
        <v>65600</v>
      </c>
      <c r="AV50" t="n">
        <v>0</v>
      </c>
      <c r="AW50" t="n">
        <v>0</v>
      </c>
      <c r="AX50" s="39" t="n">
        <v>65600</v>
      </c>
      <c r="AY50" s="39" t="n">
        <v>65600</v>
      </c>
      <c r="AZ50" s="39" t="n">
        <v>0</v>
      </c>
      <c r="BA50" t="n">
        <v>0</v>
      </c>
      <c r="BB50" t="inlineStr">
        <is>
          <t>Ahorro</t>
        </is>
      </c>
      <c r="BC50" t="inlineStr">
        <is>
          <t>Banco de Credito del Perú</t>
        </is>
      </c>
      <c r="BD50" t="inlineStr">
        <is>
          <t>194-7325779-0-65</t>
        </is>
      </c>
      <c r="BE50" t="inlineStr">
        <is>
          <t>TRANSFERENCIA BANCARIA</t>
        </is>
      </c>
      <c r="BG50" t="inlineStr">
        <is>
          <t>0833282</t>
        </is>
      </c>
      <c r="BH50" t="inlineStr">
        <is>
          <t>No</t>
        </is>
      </c>
      <c r="BJ50" t="n">
        <v>4</v>
      </c>
      <c r="BK50" t="inlineStr">
        <is>
          <t>CANCELADO</t>
        </is>
      </c>
      <c r="BV50" t="inlineStr">
        <is>
          <t>Si</t>
        </is>
      </c>
      <c r="BW50" s="76" t="n">
        <v>45904.80555555555</v>
      </c>
      <c r="BX50" t="inlineStr">
        <is>
          <t>Carla Michue M</t>
        </is>
      </c>
      <c r="BZ50" t="n">
        <v>11</v>
      </c>
      <c r="CA50" t="inlineStr">
        <is>
          <t>23/05/2026 19:22</t>
        </is>
      </c>
      <c r="CB50" t="n">
        <v>0</v>
      </c>
      <c r="CF50" t="inlineStr">
        <is>
          <t>Cobranzas_2025.csv</t>
        </is>
      </c>
      <c r="CG50" t="n">
        <v>2025</v>
      </c>
      <c r="CH50" t="inlineStr">
        <is>
          <t>01/01/2024</t>
        </is>
      </c>
      <c r="CI50" t="inlineStr">
        <is>
          <t>24/08/2031</t>
        </is>
      </c>
    </row>
    <row r="51">
      <c r="A51" t="inlineStr">
        <is>
          <t>RESIDENCIAL PRADA</t>
        </is>
      </c>
      <c r="B51" t="inlineStr">
        <is>
          <t>Etapa 1</t>
        </is>
      </c>
      <c r="C51" t="inlineStr">
        <is>
          <t>Edificio</t>
        </is>
      </c>
      <c r="D51" t="inlineStr">
        <is>
          <t>A</t>
        </is>
      </c>
      <c r="E51" t="inlineStr">
        <is>
          <t>Departamento</t>
        </is>
      </c>
      <c r="F51" t="inlineStr">
        <is>
          <t>301</t>
        </is>
      </c>
      <c r="G51" t="n">
        <v>84</v>
      </c>
      <c r="H51" t="n">
        <v>0</v>
      </c>
      <c r="I51" s="39" t="n">
        <v>630000</v>
      </c>
      <c r="J51" s="39" t="n">
        <v>630000</v>
      </c>
      <c r="Q51" s="39" t="n"/>
      <c r="R51" s="39" t="n"/>
      <c r="Y51" s="39" t="n"/>
      <c r="Z51" s="39" t="n"/>
      <c r="AG51" s="39" t="n"/>
      <c r="AH51" s="39" t="n"/>
      <c r="AI51" t="inlineStr">
        <is>
          <t>Alejandro Jose Navarrete Maldonado</t>
        </is>
      </c>
      <c r="AJ51" t="inlineStr">
        <is>
          <t>46304395</t>
        </is>
      </c>
      <c r="AK51" t="inlineStr">
        <is>
          <t xml:space="preserve">Calle Jose Mariano Arce 139 – Dpto. 202 </t>
        </is>
      </c>
      <c r="AM51" t="inlineStr">
        <is>
          <t>956466496</t>
        </is>
      </c>
      <c r="AN51" t="inlineStr">
        <is>
          <t>anavarrete@nmabogados.com.pe</t>
        </is>
      </c>
      <c r="AO51" t="inlineStr">
        <is>
          <t>LIMA</t>
        </is>
      </c>
      <c r="AP51" t="inlineStr">
        <is>
          <t>PUEBLO LIBRE</t>
        </is>
      </c>
      <c r="AQ51" s="75" t="n">
        <v>45754</v>
      </c>
      <c r="AR51" s="75" t="n">
        <v>45754</v>
      </c>
      <c r="AS51" t="inlineStr">
        <is>
          <t>SEPARACION</t>
        </is>
      </c>
      <c r="AT51" t="n">
        <v>1</v>
      </c>
      <c r="AU51" t="n">
        <v>3000</v>
      </c>
      <c r="AV51" t="n">
        <v>0</v>
      </c>
      <c r="AW51" t="n">
        <v>0</v>
      </c>
      <c r="AX51" s="39" t="n">
        <v>3000</v>
      </c>
      <c r="AY51" s="39" t="n">
        <v>3000</v>
      </c>
      <c r="AZ51" s="39" t="n">
        <v>0</v>
      </c>
      <c r="BA51" t="n">
        <v>0</v>
      </c>
      <c r="BB51" t="inlineStr">
        <is>
          <t>Crédito Hipotecario</t>
        </is>
      </c>
      <c r="BC51" t="inlineStr">
        <is>
          <t>Scotiabank Perú</t>
        </is>
      </c>
      <c r="BD51" t="inlineStr">
        <is>
          <t>000-2768484</t>
        </is>
      </c>
      <c r="BE51" t="inlineStr">
        <is>
          <t>TRANSFERENCIA BANCARIA</t>
        </is>
      </c>
      <c r="BF51" t="inlineStr">
        <is>
          <t>46304395</t>
        </is>
      </c>
      <c r="BG51" t="inlineStr">
        <is>
          <t>2715</t>
        </is>
      </c>
      <c r="BH51" t="inlineStr">
        <is>
          <t>No</t>
        </is>
      </c>
      <c r="BI51" t="inlineStr">
        <is>
          <t>NO PRECISA</t>
        </is>
      </c>
      <c r="BJ51" t="n">
        <v>1</v>
      </c>
      <c r="BK51" t="inlineStr">
        <is>
          <t>CANCELADO</t>
        </is>
      </c>
      <c r="BV51" t="inlineStr">
        <is>
          <t>Si</t>
        </is>
      </c>
      <c r="BW51" s="76" t="n">
        <v>45775.39097222222</v>
      </c>
      <c r="BX51" t="inlineStr">
        <is>
          <t>Carla Michue M</t>
        </is>
      </c>
      <c r="BZ51" t="n">
        <v>8</v>
      </c>
      <c r="CA51" t="inlineStr">
        <is>
          <t>29/05/2026 12:21</t>
        </is>
      </c>
      <c r="CB51" t="n">
        <v>0</v>
      </c>
      <c r="CF51" t="inlineStr">
        <is>
          <t>Cobranzas_2025.csv</t>
        </is>
      </c>
      <c r="CG51" t="n">
        <v>2025</v>
      </c>
      <c r="CH51" t="inlineStr">
        <is>
          <t>01/01/2024</t>
        </is>
      </c>
      <c r="CI51" t="inlineStr">
        <is>
          <t>24/08/2031</t>
        </is>
      </c>
    </row>
    <row r="52">
      <c r="A52" t="inlineStr">
        <is>
          <t>RESIDENCIAL PRADA</t>
        </is>
      </c>
      <c r="B52" t="inlineStr">
        <is>
          <t>Etapa 1</t>
        </is>
      </c>
      <c r="C52" t="inlineStr">
        <is>
          <t>Edificio</t>
        </is>
      </c>
      <c r="D52" t="inlineStr">
        <is>
          <t>A</t>
        </is>
      </c>
      <c r="E52" t="inlineStr">
        <is>
          <t>Departamento</t>
        </is>
      </c>
      <c r="F52" t="inlineStr">
        <is>
          <t>301</t>
        </is>
      </c>
      <c r="G52" t="n">
        <v>84</v>
      </c>
      <c r="H52" t="n">
        <v>0</v>
      </c>
      <c r="I52" s="39" t="n">
        <v>630000</v>
      </c>
      <c r="J52" s="39" t="n">
        <v>630000</v>
      </c>
      <c r="Q52" s="39" t="n"/>
      <c r="R52" s="39" t="n"/>
      <c r="Y52" s="39" t="n"/>
      <c r="Z52" s="39" t="n"/>
      <c r="AG52" s="39" t="n"/>
      <c r="AH52" s="39" t="n"/>
      <c r="AI52" t="inlineStr">
        <is>
          <t>Alejandro Jose Navarrete Maldonado</t>
        </is>
      </c>
      <c r="AJ52" t="inlineStr">
        <is>
          <t>46304395</t>
        </is>
      </c>
      <c r="AK52" t="inlineStr">
        <is>
          <t xml:space="preserve">Calle Jose Mariano Arce 139 – Dpto. 202 </t>
        </is>
      </c>
      <c r="AM52" t="inlineStr">
        <is>
          <t>956466496</t>
        </is>
      </c>
      <c r="AN52" t="inlineStr">
        <is>
          <t>anavarrete@nmabogados.com.pe</t>
        </is>
      </c>
      <c r="AO52" t="inlineStr">
        <is>
          <t>LIMA</t>
        </is>
      </c>
      <c r="AP52" t="inlineStr">
        <is>
          <t>PUEBLO LIBRE</t>
        </is>
      </c>
      <c r="AQ52" s="75" t="n">
        <v>45775</v>
      </c>
      <c r="AR52" s="75" t="n">
        <v>45775</v>
      </c>
      <c r="AS52" t="inlineStr">
        <is>
          <t>SEPARACION</t>
        </is>
      </c>
      <c r="AT52" t="n">
        <v>6</v>
      </c>
      <c r="AU52" t="n">
        <v>10000</v>
      </c>
      <c r="AV52" t="n">
        <v>0</v>
      </c>
      <c r="AW52" t="n">
        <v>0</v>
      </c>
      <c r="AX52" s="39" t="n">
        <v>10000</v>
      </c>
      <c r="AY52" s="39" t="n">
        <v>10000</v>
      </c>
      <c r="AZ52" s="39" t="n">
        <v>0</v>
      </c>
      <c r="BA52" t="n">
        <v>0</v>
      </c>
      <c r="BB52" t="inlineStr">
        <is>
          <t>Crédito Hipotecario</t>
        </is>
      </c>
      <c r="BC52" t="inlineStr">
        <is>
          <t>Scotiabank Perú</t>
        </is>
      </c>
      <c r="BD52" t="inlineStr">
        <is>
          <t>000-2768484</t>
        </is>
      </c>
      <c r="BE52" t="inlineStr">
        <is>
          <t>TRANSFERENCIA BANCARIA</t>
        </is>
      </c>
      <c r="BG52" t="inlineStr">
        <is>
          <t>8240169</t>
        </is>
      </c>
      <c r="BH52" t="inlineStr">
        <is>
          <t>No</t>
        </is>
      </c>
      <c r="BJ52" t="n">
        <v>4</v>
      </c>
      <c r="BK52" t="inlineStr">
        <is>
          <t>CANCELADO</t>
        </is>
      </c>
      <c r="BV52" t="inlineStr">
        <is>
          <t>Si</t>
        </is>
      </c>
      <c r="BW52" s="76" t="n">
        <v>45775.39097222222</v>
      </c>
      <c r="BX52" t="inlineStr">
        <is>
          <t>Carla Michue M</t>
        </is>
      </c>
      <c r="BZ52" t="n">
        <v>8</v>
      </c>
      <c r="CA52" t="inlineStr">
        <is>
          <t>03/07/2026 10:54</t>
        </is>
      </c>
      <c r="CB52" t="n">
        <v>0</v>
      </c>
      <c r="CF52" t="inlineStr">
        <is>
          <t>Cobranzas_2025.csv</t>
        </is>
      </c>
      <c r="CG52" t="n">
        <v>2025</v>
      </c>
      <c r="CH52" t="inlineStr">
        <is>
          <t>01/01/2024</t>
        </is>
      </c>
      <c r="CI52" t="inlineStr">
        <is>
          <t>24/08/2031</t>
        </is>
      </c>
    </row>
    <row r="53">
      <c r="A53" t="inlineStr">
        <is>
          <t>RESIDENCIAL PRADA</t>
        </is>
      </c>
      <c r="B53" t="inlineStr">
        <is>
          <t>Etapa 1</t>
        </is>
      </c>
      <c r="C53" t="inlineStr">
        <is>
          <t>Edificio</t>
        </is>
      </c>
      <c r="D53" t="inlineStr">
        <is>
          <t>A</t>
        </is>
      </c>
      <c r="E53" t="inlineStr">
        <is>
          <t>Departamento</t>
        </is>
      </c>
      <c r="F53" t="inlineStr">
        <is>
          <t>301</t>
        </is>
      </c>
      <c r="G53" t="n">
        <v>84</v>
      </c>
      <c r="H53" t="n">
        <v>0</v>
      </c>
      <c r="I53" s="39" t="n">
        <v>630000</v>
      </c>
      <c r="J53" s="39" t="n">
        <v>630000</v>
      </c>
      <c r="Q53" s="39" t="n"/>
      <c r="R53" s="39" t="n"/>
      <c r="Y53" s="39" t="n"/>
      <c r="Z53" s="39" t="n"/>
      <c r="AG53" s="39" t="n"/>
      <c r="AH53" s="39" t="n"/>
      <c r="AI53" t="inlineStr">
        <is>
          <t>Alejandro Jose Navarrete Maldonado</t>
        </is>
      </c>
      <c r="AJ53" t="inlineStr">
        <is>
          <t>46304395</t>
        </is>
      </c>
      <c r="AK53" t="inlineStr">
        <is>
          <t xml:space="preserve">Calle Jose Mariano Arce 139 – Dpto. 202 </t>
        </is>
      </c>
      <c r="AM53" t="inlineStr">
        <is>
          <t>956466496</t>
        </is>
      </c>
      <c r="AN53" t="inlineStr">
        <is>
          <t>anavarrete@nmabogados.com.pe</t>
        </is>
      </c>
      <c r="AO53" t="inlineStr">
        <is>
          <t>LIMA</t>
        </is>
      </c>
      <c r="AP53" t="inlineStr">
        <is>
          <t>PUEBLO LIBRE</t>
        </is>
      </c>
      <c r="AQ53" s="75" t="n">
        <v>45775</v>
      </c>
      <c r="AR53" s="75" t="n">
        <v>45775</v>
      </c>
      <c r="AS53" t="inlineStr">
        <is>
          <t>CUOTA INICIAL</t>
        </is>
      </c>
      <c r="AT53" t="n">
        <v>1</v>
      </c>
      <c r="AU53" t="n">
        <v>45000</v>
      </c>
      <c r="AV53" t="n">
        <v>0</v>
      </c>
      <c r="AW53" t="n">
        <v>0</v>
      </c>
      <c r="AX53" s="39" t="n">
        <v>45000</v>
      </c>
      <c r="AY53" s="39" t="n">
        <v>45000</v>
      </c>
      <c r="AZ53" s="39" t="n">
        <v>0</v>
      </c>
      <c r="BA53" t="n">
        <v>0</v>
      </c>
      <c r="BB53" t="inlineStr">
        <is>
          <t>Crédito Hipotecario</t>
        </is>
      </c>
      <c r="BC53" t="inlineStr">
        <is>
          <t>Scotiabank Perú</t>
        </is>
      </c>
      <c r="BD53" t="inlineStr">
        <is>
          <t>000-2768484</t>
        </is>
      </c>
      <c r="BE53" t="inlineStr">
        <is>
          <t>TRANSFERENCIA BANCARIA</t>
        </is>
      </c>
      <c r="BG53" t="inlineStr">
        <is>
          <t>8240169</t>
        </is>
      </c>
      <c r="BH53" t="inlineStr">
        <is>
          <t>No</t>
        </is>
      </c>
      <c r="BJ53" t="n">
        <v>4</v>
      </c>
      <c r="BK53" t="inlineStr">
        <is>
          <t>CANCELADO</t>
        </is>
      </c>
      <c r="BV53" t="inlineStr">
        <is>
          <t>Si</t>
        </is>
      </c>
      <c r="BW53" s="76" t="n">
        <v>45775.39097222222</v>
      </c>
      <c r="BX53" t="inlineStr">
        <is>
          <t>Carla Michue M</t>
        </is>
      </c>
      <c r="BZ53" t="n">
        <v>8</v>
      </c>
      <c r="CA53" t="inlineStr">
        <is>
          <t>03/07/2026 10:54</t>
        </is>
      </c>
      <c r="CB53" t="n">
        <v>0</v>
      </c>
      <c r="CF53" t="inlineStr">
        <is>
          <t>Cobranzas_2025.csv</t>
        </is>
      </c>
      <c r="CG53" t="n">
        <v>2025</v>
      </c>
      <c r="CH53" t="inlineStr">
        <is>
          <t>01/01/2024</t>
        </is>
      </c>
      <c r="CI53" t="inlineStr">
        <is>
          <t>24/08/2031</t>
        </is>
      </c>
    </row>
    <row r="54">
      <c r="A54" t="inlineStr">
        <is>
          <t>RESIDENCIAL PRADA</t>
        </is>
      </c>
      <c r="B54" t="inlineStr">
        <is>
          <t>Etapa 1</t>
        </is>
      </c>
      <c r="C54" t="inlineStr">
        <is>
          <t>Edificio</t>
        </is>
      </c>
      <c r="D54" t="inlineStr">
        <is>
          <t>A</t>
        </is>
      </c>
      <c r="E54" t="inlineStr">
        <is>
          <t>Departamento</t>
        </is>
      </c>
      <c r="F54" t="inlineStr">
        <is>
          <t>301</t>
        </is>
      </c>
      <c r="G54" t="n">
        <v>84</v>
      </c>
      <c r="H54" t="n">
        <v>0</v>
      </c>
      <c r="I54" s="39" t="n">
        <v>630000</v>
      </c>
      <c r="J54" s="39" t="n">
        <v>630000</v>
      </c>
      <c r="Q54" s="39" t="n"/>
      <c r="R54" s="39" t="n"/>
      <c r="Y54" s="39" t="n"/>
      <c r="Z54" s="39" t="n"/>
      <c r="AG54" s="39" t="n"/>
      <c r="AH54" s="39" t="n"/>
      <c r="AI54" t="inlineStr">
        <is>
          <t>Alejandro Jose Navarrete Maldonado</t>
        </is>
      </c>
      <c r="AJ54" t="inlineStr">
        <is>
          <t>46304395</t>
        </is>
      </c>
      <c r="AK54" t="inlineStr">
        <is>
          <t xml:space="preserve">Calle Jose Mariano Arce 139 – Dpto. 202 </t>
        </is>
      </c>
      <c r="AM54" t="inlineStr">
        <is>
          <t>956466496</t>
        </is>
      </c>
      <c r="AN54" t="inlineStr">
        <is>
          <t>anavarrete@nmabogados.com.pe</t>
        </is>
      </c>
      <c r="AO54" t="inlineStr">
        <is>
          <t>LIMA</t>
        </is>
      </c>
      <c r="AP54" t="inlineStr">
        <is>
          <t>PUEBLO LIBRE</t>
        </is>
      </c>
      <c r="AQ54" s="75" t="n">
        <v>45833</v>
      </c>
      <c r="AR54" s="75" t="n">
        <v>45833</v>
      </c>
      <c r="AS54" t="inlineStr">
        <is>
          <t>CUOTA INICIAL</t>
        </is>
      </c>
      <c r="AT54" t="n">
        <v>2</v>
      </c>
      <c r="AU54" t="n">
        <v>44000</v>
      </c>
      <c r="AV54" t="n">
        <v>0</v>
      </c>
      <c r="AW54" t="n">
        <v>0</v>
      </c>
      <c r="AX54" s="39" t="n">
        <v>44000</v>
      </c>
      <c r="AY54" s="39" t="n">
        <v>44000</v>
      </c>
      <c r="AZ54" s="39" t="n">
        <v>0</v>
      </c>
      <c r="BA54" t="n">
        <v>0</v>
      </c>
      <c r="BB54" t="inlineStr">
        <is>
          <t>Crédito Hipotecario</t>
        </is>
      </c>
      <c r="BC54" t="inlineStr">
        <is>
          <t>Scotiabank Perú</t>
        </is>
      </c>
      <c r="BD54" t="inlineStr">
        <is>
          <t>000-2768484</t>
        </is>
      </c>
      <c r="BE54" t="inlineStr">
        <is>
          <t>TRANSFERENCIA BANCARIA</t>
        </is>
      </c>
      <c r="BG54" t="inlineStr">
        <is>
          <t>006190692</t>
        </is>
      </c>
      <c r="BH54" t="inlineStr">
        <is>
          <t>No</t>
        </is>
      </c>
      <c r="BJ54" t="n">
        <v>4</v>
      </c>
      <c r="BK54" t="inlineStr">
        <is>
          <t>CANCELADO</t>
        </is>
      </c>
      <c r="BV54" t="inlineStr">
        <is>
          <t>Si</t>
        </is>
      </c>
      <c r="BW54" s="76" t="n">
        <v>45775.39097222222</v>
      </c>
      <c r="BX54" t="inlineStr">
        <is>
          <t>Carla Michue M</t>
        </is>
      </c>
      <c r="BZ54" t="n">
        <v>8</v>
      </c>
      <c r="CA54" t="inlineStr">
        <is>
          <t>03/07/2026 10:56</t>
        </is>
      </c>
      <c r="CB54" t="n">
        <v>0</v>
      </c>
      <c r="CF54" t="inlineStr">
        <is>
          <t>Cobranzas_2025.csv</t>
        </is>
      </c>
      <c r="CG54" t="n">
        <v>2025</v>
      </c>
      <c r="CH54" t="inlineStr">
        <is>
          <t>01/01/2024</t>
        </is>
      </c>
      <c r="CI54" t="inlineStr">
        <is>
          <t>24/08/2031</t>
        </is>
      </c>
    </row>
    <row r="55">
      <c r="A55" t="inlineStr">
        <is>
          <t>RESIDENCIAL PRADA</t>
        </is>
      </c>
      <c r="B55" t="inlineStr">
        <is>
          <t>Etapa 1</t>
        </is>
      </c>
      <c r="C55" t="inlineStr">
        <is>
          <t>Edificio</t>
        </is>
      </c>
      <c r="D55" t="inlineStr">
        <is>
          <t>A</t>
        </is>
      </c>
      <c r="E55" t="inlineStr">
        <is>
          <t>Departamento</t>
        </is>
      </c>
      <c r="F55" t="inlineStr">
        <is>
          <t>301</t>
        </is>
      </c>
      <c r="G55" t="n">
        <v>84</v>
      </c>
      <c r="H55" t="n">
        <v>0</v>
      </c>
      <c r="I55" s="39" t="n">
        <v>630000</v>
      </c>
      <c r="J55" s="39" t="n">
        <v>630000</v>
      </c>
      <c r="Q55" s="39" t="n"/>
      <c r="R55" s="39" t="n"/>
      <c r="Y55" s="39" t="n"/>
      <c r="Z55" s="39" t="n"/>
      <c r="AG55" s="39" t="n"/>
      <c r="AH55" s="39" t="n"/>
      <c r="AI55" t="inlineStr">
        <is>
          <t>Alejandro Jose Navarrete Maldonado</t>
        </is>
      </c>
      <c r="AJ55" t="inlineStr">
        <is>
          <t>46304395</t>
        </is>
      </c>
      <c r="AK55" t="inlineStr">
        <is>
          <t xml:space="preserve">Calle Jose Mariano Arce 139 – Dpto. 202 </t>
        </is>
      </c>
      <c r="AM55" t="inlineStr">
        <is>
          <t>956466496</t>
        </is>
      </c>
      <c r="AN55" t="inlineStr">
        <is>
          <t>anavarrete@nmabogados.com.pe</t>
        </is>
      </c>
      <c r="AO55" t="inlineStr">
        <is>
          <t>LIMA</t>
        </is>
      </c>
      <c r="AP55" t="inlineStr">
        <is>
          <t>PUEBLO LIBRE</t>
        </is>
      </c>
      <c r="AQ55" s="75" t="n">
        <v>45869</v>
      </c>
      <c r="AR55" s="75" t="n">
        <v>45833</v>
      </c>
      <c r="AS55" t="inlineStr">
        <is>
          <t>SALDO FINANCIAR</t>
        </is>
      </c>
      <c r="AT55" t="n">
        <v>1</v>
      </c>
      <c r="AU55" t="n">
        <v>528000</v>
      </c>
      <c r="AV55" t="n">
        <v>0</v>
      </c>
      <c r="AW55" t="n">
        <v>0</v>
      </c>
      <c r="AX55" s="39" t="n">
        <v>528000</v>
      </c>
      <c r="AY55" s="39" t="n">
        <v>68000</v>
      </c>
      <c r="AZ55" s="39" t="n">
        <v>0</v>
      </c>
      <c r="BA55" t="n">
        <v>0</v>
      </c>
      <c r="BB55" t="inlineStr">
        <is>
          <t>Crédito Hipotecario</t>
        </is>
      </c>
      <c r="BC55" t="inlineStr">
        <is>
          <t>Scotiabank Perú</t>
        </is>
      </c>
      <c r="BD55" t="inlineStr">
        <is>
          <t>000-2768484</t>
        </is>
      </c>
      <c r="BE55" t="inlineStr">
        <is>
          <t>TRANSFERENCIA BANCARIA</t>
        </is>
      </c>
      <c r="BG55" t="inlineStr">
        <is>
          <t>1141936</t>
        </is>
      </c>
      <c r="BH55" t="inlineStr">
        <is>
          <t>No</t>
        </is>
      </c>
      <c r="BJ55" t="n">
        <v>4</v>
      </c>
      <c r="BK55" t="inlineStr">
        <is>
          <t>CANCELADO</t>
        </is>
      </c>
      <c r="BV55" t="inlineStr">
        <is>
          <t>Si</t>
        </is>
      </c>
      <c r="BW55" s="76" t="n">
        <v>45775.39097222222</v>
      </c>
      <c r="BX55" t="inlineStr">
        <is>
          <t>Carla Michue M</t>
        </is>
      </c>
      <c r="BZ55" t="n">
        <v>8</v>
      </c>
      <c r="CA55" t="inlineStr">
        <is>
          <t>03/07/2026 11:00</t>
        </is>
      </c>
      <c r="CB55" t="n">
        <v>0</v>
      </c>
      <c r="CF55" t="inlineStr">
        <is>
          <t>Cobranzas_2025.csv</t>
        </is>
      </c>
      <c r="CG55" t="n">
        <v>2025</v>
      </c>
      <c r="CH55" t="inlineStr">
        <is>
          <t>01/01/2024</t>
        </is>
      </c>
      <c r="CI55" t="inlineStr">
        <is>
          <t>24/08/2031</t>
        </is>
      </c>
    </row>
    <row r="56">
      <c r="A56" t="inlineStr">
        <is>
          <t>RESIDENCIAL PRADA</t>
        </is>
      </c>
      <c r="B56" t="inlineStr">
        <is>
          <t>Etapa 1</t>
        </is>
      </c>
      <c r="C56" t="inlineStr">
        <is>
          <t>Edificio</t>
        </is>
      </c>
      <c r="D56" t="inlineStr">
        <is>
          <t>A</t>
        </is>
      </c>
      <c r="E56" t="inlineStr">
        <is>
          <t>Departamento</t>
        </is>
      </c>
      <c r="F56" t="inlineStr">
        <is>
          <t>301</t>
        </is>
      </c>
      <c r="G56" t="n">
        <v>84</v>
      </c>
      <c r="H56" t="n">
        <v>0</v>
      </c>
      <c r="I56" s="39" t="n">
        <v>630000</v>
      </c>
      <c r="J56" s="39" t="n">
        <v>630000</v>
      </c>
      <c r="Q56" s="39" t="n"/>
      <c r="R56" s="39" t="n"/>
      <c r="Y56" s="39" t="n"/>
      <c r="Z56" s="39" t="n"/>
      <c r="AG56" s="39" t="n"/>
      <c r="AH56" s="39" t="n"/>
      <c r="AI56" t="inlineStr">
        <is>
          <t>Alejandro Jose Navarrete Maldonado</t>
        </is>
      </c>
      <c r="AJ56" t="inlineStr">
        <is>
          <t>46304395</t>
        </is>
      </c>
      <c r="AK56" t="inlineStr">
        <is>
          <t xml:space="preserve">Calle Jose Mariano Arce 139 – Dpto. 202 </t>
        </is>
      </c>
      <c r="AM56" t="inlineStr">
        <is>
          <t>956466496</t>
        </is>
      </c>
      <c r="AN56" t="inlineStr">
        <is>
          <t>anavarrete@nmabogados.com.pe</t>
        </is>
      </c>
      <c r="AO56" t="inlineStr">
        <is>
          <t>LIMA</t>
        </is>
      </c>
      <c r="AP56" t="inlineStr">
        <is>
          <t>PUEBLO LIBRE</t>
        </is>
      </c>
      <c r="AQ56" s="75" t="n">
        <v>45869</v>
      </c>
      <c r="AR56" s="75" t="n">
        <v>45868</v>
      </c>
      <c r="AS56" t="inlineStr">
        <is>
          <t>SALDO FINANCIAR</t>
        </is>
      </c>
      <c r="AT56" t="n">
        <v>1</v>
      </c>
      <c r="AU56" t="n">
        <v>0</v>
      </c>
      <c r="AV56" t="n">
        <v>0</v>
      </c>
      <c r="AW56" t="n">
        <v>0</v>
      </c>
      <c r="AX56" s="39" t="n">
        <v>0</v>
      </c>
      <c r="AY56" s="39" t="n">
        <v>460000</v>
      </c>
      <c r="AZ56" s="39" t="n">
        <v>0</v>
      </c>
      <c r="BA56" t="n">
        <v>0</v>
      </c>
      <c r="BB56" t="inlineStr">
        <is>
          <t>Crédito Hipotecario</t>
        </is>
      </c>
      <c r="BC56" t="inlineStr">
        <is>
          <t>Scotiabank Perú</t>
        </is>
      </c>
      <c r="BD56" t="inlineStr">
        <is>
          <t>000-2768484</t>
        </is>
      </c>
      <c r="BE56" t="inlineStr">
        <is>
          <t>TRANSFERENCIA BANCARIA</t>
        </is>
      </c>
      <c r="BG56" t="inlineStr">
        <is>
          <t>02708000009</t>
        </is>
      </c>
      <c r="BH56" t="inlineStr">
        <is>
          <t>No</t>
        </is>
      </c>
      <c r="BJ56" t="n">
        <v>4</v>
      </c>
      <c r="BK56" t="inlineStr">
        <is>
          <t>CANCELADO</t>
        </is>
      </c>
      <c r="BV56" t="inlineStr">
        <is>
          <t>Si</t>
        </is>
      </c>
      <c r="BW56" s="76" t="n">
        <v>45775.39097222222</v>
      </c>
      <c r="BX56" t="inlineStr">
        <is>
          <t>Carla Michue M</t>
        </is>
      </c>
      <c r="BZ56" t="n">
        <v>8</v>
      </c>
      <c r="CA56" t="inlineStr">
        <is>
          <t>03/07/2026 11:02</t>
        </is>
      </c>
      <c r="CB56" t="n">
        <v>0</v>
      </c>
      <c r="CF56" t="inlineStr">
        <is>
          <t>Cobranzas_2025.csv</t>
        </is>
      </c>
      <c r="CG56" t="n">
        <v>2025</v>
      </c>
      <c r="CH56" t="inlineStr">
        <is>
          <t>01/01/2024</t>
        </is>
      </c>
      <c r="CI56" t="inlineStr">
        <is>
          <t>24/08/2031</t>
        </is>
      </c>
    </row>
    <row r="57">
      <c r="A57" t="inlineStr">
        <is>
          <t>RESIDENCIAL PRADA</t>
        </is>
      </c>
      <c r="B57" t="inlineStr">
        <is>
          <t>Etapa 1</t>
        </is>
      </c>
      <c r="C57" t="inlineStr">
        <is>
          <t>Edificio</t>
        </is>
      </c>
      <c r="D57" t="inlineStr">
        <is>
          <t>A</t>
        </is>
      </c>
      <c r="E57" t="inlineStr">
        <is>
          <t>Estacionamiento</t>
        </is>
      </c>
      <c r="F57" t="inlineStr">
        <is>
          <t>E 23 - D 17</t>
        </is>
      </c>
      <c r="G57" t="n">
        <v>12.49</v>
      </c>
      <c r="H57" t="n">
        <v>1.83</v>
      </c>
      <c r="I57" s="39" t="n">
        <v>52000</v>
      </c>
      <c r="J57" s="39" t="n">
        <v>52000</v>
      </c>
      <c r="Q57" s="39" t="n"/>
      <c r="R57" s="39" t="n"/>
      <c r="Y57" s="39" t="n"/>
      <c r="Z57" s="39" t="n"/>
      <c r="AG57" s="39" t="n"/>
      <c r="AH57" s="39" t="n"/>
      <c r="AI57" t="inlineStr">
        <is>
          <t>Alejandro Jose Navarrete Maldonado</t>
        </is>
      </c>
      <c r="AJ57" t="inlineStr">
        <is>
          <t>46304395</t>
        </is>
      </c>
      <c r="AK57" t="inlineStr">
        <is>
          <t xml:space="preserve">Calle Jose Mariano Arce 139 – Dpto. 202 </t>
        </is>
      </c>
      <c r="AL57" t="n">
        <v>0</v>
      </c>
      <c r="AM57" t="inlineStr">
        <is>
          <t>956466496</t>
        </is>
      </c>
      <c r="AN57" t="inlineStr">
        <is>
          <t>anavarrete@nmabogados.com.pe</t>
        </is>
      </c>
      <c r="AO57" t="inlineStr">
        <is>
          <t>LIMA</t>
        </is>
      </c>
      <c r="AP57" t="inlineStr">
        <is>
          <t>PUEBLO LIBRE</t>
        </is>
      </c>
      <c r="AQ57" s="75" t="n">
        <v>45877</v>
      </c>
      <c r="AR57" s="75" t="n">
        <v>45873</v>
      </c>
      <c r="AS57" t="inlineStr">
        <is>
          <t>SEPARACION</t>
        </is>
      </c>
      <c r="AT57" t="n">
        <v>1</v>
      </c>
      <c r="AU57" t="n">
        <v>3000</v>
      </c>
      <c r="AV57" t="n">
        <v>0</v>
      </c>
      <c r="AW57" t="n">
        <v>0</v>
      </c>
      <c r="AX57" s="39" t="n">
        <v>3000</v>
      </c>
      <c r="AY57" s="39" t="n">
        <v>3000</v>
      </c>
      <c r="AZ57" s="39" t="n">
        <v>0</v>
      </c>
      <c r="BA57" t="n">
        <v>0</v>
      </c>
      <c r="BB57" t="inlineStr">
        <is>
          <t>Crédito Directo</t>
        </is>
      </c>
      <c r="BC57" t="inlineStr">
        <is>
          <t>Scotiabank Perú</t>
        </is>
      </c>
      <c r="BD57" t="inlineStr">
        <is>
          <t>000-2768484</t>
        </is>
      </c>
      <c r="BE57" t="inlineStr">
        <is>
          <t>TRANSFERENCIA BANCARIA</t>
        </is>
      </c>
      <c r="BG57" t="inlineStr">
        <is>
          <t>2636117</t>
        </is>
      </c>
      <c r="BH57" t="inlineStr">
        <is>
          <t>No</t>
        </is>
      </c>
      <c r="BJ57" t="n">
        <v>4</v>
      </c>
      <c r="BK57" t="inlineStr">
        <is>
          <t>CANCELADO</t>
        </is>
      </c>
      <c r="BV57" t="inlineStr">
        <is>
          <t>Si</t>
        </is>
      </c>
      <c r="BW57" s="76" t="n">
        <v>45961.43263888889</v>
      </c>
      <c r="BX57" t="inlineStr">
        <is>
          <t>Magaly Guevara Perez</t>
        </is>
      </c>
      <c r="BZ57" t="n">
        <v>54</v>
      </c>
      <c r="CA57" t="inlineStr">
        <is>
          <t>14/07/2026 10:02</t>
        </is>
      </c>
      <c r="CB57" t="n">
        <v>0</v>
      </c>
      <c r="CF57" t="inlineStr">
        <is>
          <t>Cobranzas_2025.csv</t>
        </is>
      </c>
      <c r="CG57" t="n">
        <v>2025</v>
      </c>
      <c r="CH57" t="inlineStr">
        <is>
          <t>01/01/2024</t>
        </is>
      </c>
      <c r="CI57" t="inlineStr">
        <is>
          <t>24/08/2031</t>
        </is>
      </c>
    </row>
    <row r="58">
      <c r="A58" t="inlineStr">
        <is>
          <t>RESIDENCIAL PRADA</t>
        </is>
      </c>
      <c r="B58" t="inlineStr">
        <is>
          <t>Etapa 1</t>
        </is>
      </c>
      <c r="C58" t="inlineStr">
        <is>
          <t>Edificio</t>
        </is>
      </c>
      <c r="D58" t="inlineStr">
        <is>
          <t>A</t>
        </is>
      </c>
      <c r="E58" t="inlineStr">
        <is>
          <t>Estacionamiento</t>
        </is>
      </c>
      <c r="F58" t="inlineStr">
        <is>
          <t>E 23 - D 17</t>
        </is>
      </c>
      <c r="G58" t="n">
        <v>12.49</v>
      </c>
      <c r="H58" t="n">
        <v>1.83</v>
      </c>
      <c r="I58" s="39" t="n">
        <v>52000</v>
      </c>
      <c r="J58" s="39" t="n">
        <v>52000</v>
      </c>
      <c r="Q58" s="39" t="n"/>
      <c r="R58" s="39" t="n"/>
      <c r="Y58" s="39" t="n"/>
      <c r="Z58" s="39" t="n"/>
      <c r="AG58" s="39" t="n"/>
      <c r="AH58" s="39" t="n"/>
      <c r="AI58" t="inlineStr">
        <is>
          <t>Alejandro Jose Navarrete Maldonado</t>
        </is>
      </c>
      <c r="AJ58" t="inlineStr">
        <is>
          <t>46304395</t>
        </is>
      </c>
      <c r="AK58" t="inlineStr">
        <is>
          <t xml:space="preserve">Calle Jose Mariano Arce 139 – Dpto. 202 </t>
        </is>
      </c>
      <c r="AL58" t="n">
        <v>0</v>
      </c>
      <c r="AM58" t="inlineStr">
        <is>
          <t>956466496</t>
        </is>
      </c>
      <c r="AN58" t="inlineStr">
        <is>
          <t>anavarrete@nmabogados.com.pe</t>
        </is>
      </c>
      <c r="AO58" t="inlineStr">
        <is>
          <t>LIMA</t>
        </is>
      </c>
      <c r="AP58" t="inlineStr">
        <is>
          <t>PUEBLO LIBRE</t>
        </is>
      </c>
      <c r="AQ58" s="75" t="n">
        <v>45877</v>
      </c>
      <c r="AR58" s="75" t="n">
        <v>45873</v>
      </c>
      <c r="AS58" t="inlineStr">
        <is>
          <t>CUOTA INICIAL</t>
        </is>
      </c>
      <c r="AT58" t="n">
        <v>1</v>
      </c>
      <c r="AU58" t="n">
        <v>7000</v>
      </c>
      <c r="AV58" t="n">
        <v>0</v>
      </c>
      <c r="AW58" t="n">
        <v>0</v>
      </c>
      <c r="AX58" s="39" t="n">
        <v>7000</v>
      </c>
      <c r="AY58" s="39" t="n">
        <v>7000</v>
      </c>
      <c r="AZ58" s="39" t="n">
        <v>0</v>
      </c>
      <c r="BA58" t="n">
        <v>0</v>
      </c>
      <c r="BB58" t="inlineStr">
        <is>
          <t>Crédito Directo</t>
        </is>
      </c>
      <c r="BC58" t="inlineStr">
        <is>
          <t>Scotiabank Perú</t>
        </is>
      </c>
      <c r="BD58" t="inlineStr">
        <is>
          <t>000-2768484</t>
        </is>
      </c>
      <c r="BE58" t="inlineStr">
        <is>
          <t>TRANSFERENCIA BANCARIA</t>
        </is>
      </c>
      <c r="BG58" t="inlineStr">
        <is>
          <t>2636117</t>
        </is>
      </c>
      <c r="BH58" t="inlineStr">
        <is>
          <t>No</t>
        </is>
      </c>
      <c r="BJ58" t="n">
        <v>4</v>
      </c>
      <c r="BK58" t="inlineStr">
        <is>
          <t>CANCELADO</t>
        </is>
      </c>
      <c r="BV58" t="inlineStr">
        <is>
          <t>Si</t>
        </is>
      </c>
      <c r="BW58" s="76" t="n">
        <v>45961.43263888889</v>
      </c>
      <c r="BX58" t="inlineStr">
        <is>
          <t>Magaly Guevara Perez</t>
        </is>
      </c>
      <c r="BZ58" t="n">
        <v>54</v>
      </c>
      <c r="CA58" t="inlineStr">
        <is>
          <t>14/07/2026 10:02</t>
        </is>
      </c>
      <c r="CB58" t="n">
        <v>0</v>
      </c>
      <c r="CF58" t="inlineStr">
        <is>
          <t>Cobranzas_2025.csv</t>
        </is>
      </c>
      <c r="CG58" t="n">
        <v>2025</v>
      </c>
      <c r="CH58" t="inlineStr">
        <is>
          <t>01/01/2024</t>
        </is>
      </c>
      <c r="CI58" t="inlineStr">
        <is>
          <t>24/08/2031</t>
        </is>
      </c>
    </row>
    <row r="59">
      <c r="A59" t="inlineStr">
        <is>
          <t>RESIDENCIAL PRADA</t>
        </is>
      </c>
      <c r="B59" t="inlineStr">
        <is>
          <t>Etapa 1</t>
        </is>
      </c>
      <c r="C59" t="inlineStr">
        <is>
          <t>Edificio</t>
        </is>
      </c>
      <c r="D59" t="inlineStr">
        <is>
          <t>A</t>
        </is>
      </c>
      <c r="E59" t="inlineStr">
        <is>
          <t>Estacionamiento</t>
        </is>
      </c>
      <c r="F59" t="inlineStr">
        <is>
          <t>E 23 - D 17</t>
        </is>
      </c>
      <c r="G59" t="n">
        <v>12.49</v>
      </c>
      <c r="H59" t="n">
        <v>1.83</v>
      </c>
      <c r="I59" s="39" t="n">
        <v>52000</v>
      </c>
      <c r="J59" s="39" t="n">
        <v>52000</v>
      </c>
      <c r="Q59" s="39" t="n"/>
      <c r="R59" s="39" t="n"/>
      <c r="Y59" s="39" t="n"/>
      <c r="Z59" s="39" t="n"/>
      <c r="AG59" s="39" t="n"/>
      <c r="AH59" s="39" t="n"/>
      <c r="AI59" t="inlineStr">
        <is>
          <t>Alejandro Jose Navarrete Maldonado</t>
        </is>
      </c>
      <c r="AJ59" t="inlineStr">
        <is>
          <t>46304395</t>
        </is>
      </c>
      <c r="AK59" t="inlineStr">
        <is>
          <t xml:space="preserve">Calle Jose Mariano Arce 139 – Dpto. 202 </t>
        </is>
      </c>
      <c r="AL59" t="n">
        <v>0</v>
      </c>
      <c r="AM59" t="inlineStr">
        <is>
          <t>956466496</t>
        </is>
      </c>
      <c r="AN59" t="inlineStr">
        <is>
          <t>anavarrete@nmabogados.com.pe</t>
        </is>
      </c>
      <c r="AO59" t="inlineStr">
        <is>
          <t>LIMA</t>
        </is>
      </c>
      <c r="AP59" t="inlineStr">
        <is>
          <t>PUEBLO LIBRE</t>
        </is>
      </c>
      <c r="AQ59" s="75" t="n">
        <v>45961</v>
      </c>
      <c r="AR59" s="75" t="n">
        <v>45961</v>
      </c>
      <c r="AS59" t="inlineStr">
        <is>
          <t>SALDO FINANCIAR</t>
        </is>
      </c>
      <c r="AT59" t="n">
        <v>1</v>
      </c>
      <c r="AU59" t="n">
        <v>14000</v>
      </c>
      <c r="AV59" t="n">
        <v>0</v>
      </c>
      <c r="AW59" t="n">
        <v>0</v>
      </c>
      <c r="AX59" s="39" t="n">
        <v>14000</v>
      </c>
      <c r="AY59" s="39" t="n">
        <v>14000</v>
      </c>
      <c r="AZ59" s="39" t="n">
        <v>0</v>
      </c>
      <c r="BA59" t="n">
        <v>0</v>
      </c>
      <c r="BB59" t="inlineStr">
        <is>
          <t>Crédito Directo</t>
        </is>
      </c>
      <c r="BC59" t="inlineStr">
        <is>
          <t>Scotiabank Perú</t>
        </is>
      </c>
      <c r="BD59" t="inlineStr">
        <is>
          <t>000-2768484</t>
        </is>
      </c>
      <c r="BE59" t="inlineStr">
        <is>
          <t>TRANSFERENCIA BANCARIA</t>
        </is>
      </c>
      <c r="BG59" t="inlineStr">
        <is>
          <t>009555099</t>
        </is>
      </c>
      <c r="BH59" t="inlineStr">
        <is>
          <t>No</t>
        </is>
      </c>
      <c r="BJ59" t="n">
        <v>4</v>
      </c>
      <c r="BK59" t="inlineStr">
        <is>
          <t>CANCELADO</t>
        </is>
      </c>
      <c r="BV59" t="inlineStr">
        <is>
          <t>Si</t>
        </is>
      </c>
      <c r="BW59" s="76" t="n">
        <v>45961.43263888889</v>
      </c>
      <c r="BX59" t="inlineStr">
        <is>
          <t>Magaly Guevara Perez</t>
        </is>
      </c>
      <c r="BZ59" t="n">
        <v>54</v>
      </c>
      <c r="CA59" t="inlineStr">
        <is>
          <t>03/07/2026 11:16</t>
        </is>
      </c>
      <c r="CB59" t="n">
        <v>0</v>
      </c>
      <c r="CF59" t="inlineStr">
        <is>
          <t>Cobranzas_2025.csv</t>
        </is>
      </c>
      <c r="CG59" t="n">
        <v>2025</v>
      </c>
      <c r="CH59" t="inlineStr">
        <is>
          <t>01/01/2024</t>
        </is>
      </c>
      <c r="CI59" t="inlineStr">
        <is>
          <t>24/08/2031</t>
        </is>
      </c>
    </row>
    <row r="60">
      <c r="A60" t="inlineStr">
        <is>
          <t>RESIDENCIAL PRADA</t>
        </is>
      </c>
      <c r="B60" t="inlineStr">
        <is>
          <t>Etapa 1</t>
        </is>
      </c>
      <c r="C60" t="inlineStr">
        <is>
          <t>Edificio</t>
        </is>
      </c>
      <c r="D60" t="inlineStr">
        <is>
          <t>A</t>
        </is>
      </c>
      <c r="E60" t="inlineStr">
        <is>
          <t>Estacionamiento</t>
        </is>
      </c>
      <c r="F60" t="inlineStr">
        <is>
          <t>E 23 - D 17</t>
        </is>
      </c>
      <c r="G60" t="n">
        <v>12.49</v>
      </c>
      <c r="H60" t="n">
        <v>1.83</v>
      </c>
      <c r="I60" s="39" t="n">
        <v>52000</v>
      </c>
      <c r="J60" s="39" t="n">
        <v>52000</v>
      </c>
      <c r="Q60" s="39" t="n"/>
      <c r="R60" s="39" t="n"/>
      <c r="Y60" s="39" t="n"/>
      <c r="Z60" s="39" t="n"/>
      <c r="AG60" s="39" t="n"/>
      <c r="AH60" s="39" t="n"/>
      <c r="AI60" t="inlineStr">
        <is>
          <t>Alejandro Jose Navarrete Maldonado</t>
        </is>
      </c>
      <c r="AJ60" t="inlineStr">
        <is>
          <t>46304395</t>
        </is>
      </c>
      <c r="AK60" t="inlineStr">
        <is>
          <t xml:space="preserve">Calle Jose Mariano Arce 139 – Dpto. 202 </t>
        </is>
      </c>
      <c r="AL60" t="n">
        <v>0</v>
      </c>
      <c r="AM60" t="inlineStr">
        <is>
          <t>956466496</t>
        </is>
      </c>
      <c r="AN60" t="inlineStr">
        <is>
          <t>anavarrete@nmabogados.com.pe</t>
        </is>
      </c>
      <c r="AO60" t="inlineStr">
        <is>
          <t>LIMA</t>
        </is>
      </c>
      <c r="AP60" t="inlineStr">
        <is>
          <t>PUEBLO LIBRE</t>
        </is>
      </c>
      <c r="AQ60" s="75" t="n">
        <v>46022</v>
      </c>
      <c r="AR60" s="75" t="n">
        <v>46022</v>
      </c>
      <c r="AS60" t="inlineStr">
        <is>
          <t>SALDO FINANCIAR</t>
        </is>
      </c>
      <c r="AT60" t="n">
        <v>2</v>
      </c>
      <c r="AU60" t="n">
        <v>14000</v>
      </c>
      <c r="AV60" t="n">
        <v>0</v>
      </c>
      <c r="AW60" t="n">
        <v>0</v>
      </c>
      <c r="AX60" s="39" t="n">
        <v>14000</v>
      </c>
      <c r="AY60" s="39" t="n">
        <v>14000</v>
      </c>
      <c r="AZ60" s="39" t="n">
        <v>0</v>
      </c>
      <c r="BA60" t="n">
        <v>0</v>
      </c>
      <c r="BB60" t="inlineStr">
        <is>
          <t>Crédito Directo</t>
        </is>
      </c>
      <c r="BC60" t="inlineStr">
        <is>
          <t>Scotiabank Perú</t>
        </is>
      </c>
      <c r="BD60" t="inlineStr">
        <is>
          <t>000-2768484</t>
        </is>
      </c>
      <c r="BE60" t="inlineStr">
        <is>
          <t>TRANSFERENCIA BANCARIA</t>
        </is>
      </c>
      <c r="BG60" t="inlineStr">
        <is>
          <t>059881</t>
        </is>
      </c>
      <c r="BH60" t="inlineStr">
        <is>
          <t>No</t>
        </is>
      </c>
      <c r="BJ60" t="n">
        <v>4</v>
      </c>
      <c r="BK60" t="inlineStr">
        <is>
          <t>CANCELADO</t>
        </is>
      </c>
      <c r="BV60" t="inlineStr">
        <is>
          <t>Si</t>
        </is>
      </c>
      <c r="BW60" s="76" t="n">
        <v>45961.43263888889</v>
      </c>
      <c r="BX60" t="inlineStr">
        <is>
          <t>Magaly Guevara Perez</t>
        </is>
      </c>
      <c r="BZ60" t="n">
        <v>54</v>
      </c>
      <c r="CA60" t="inlineStr">
        <is>
          <t>03/07/2026 11:18</t>
        </is>
      </c>
      <c r="CB60" t="n">
        <v>0</v>
      </c>
      <c r="CF60" t="inlineStr">
        <is>
          <t>Cobranzas_2025.csv</t>
        </is>
      </c>
      <c r="CG60" t="n">
        <v>2025</v>
      </c>
      <c r="CH60" t="inlineStr">
        <is>
          <t>01/01/2024</t>
        </is>
      </c>
      <c r="CI60" t="inlineStr">
        <is>
          <t>24/08/2031</t>
        </is>
      </c>
    </row>
    <row r="61">
      <c r="A61" t="inlineStr">
        <is>
          <t>RESIDENCIAL PRADA</t>
        </is>
      </c>
      <c r="B61" t="inlineStr">
        <is>
          <t>Etapa 1</t>
        </is>
      </c>
      <c r="C61" t="inlineStr">
        <is>
          <t>Edificio</t>
        </is>
      </c>
      <c r="D61" t="inlineStr">
        <is>
          <t>A</t>
        </is>
      </c>
      <c r="E61" t="inlineStr">
        <is>
          <t>Departamento</t>
        </is>
      </c>
      <c r="F61" t="inlineStr">
        <is>
          <t>504</t>
        </is>
      </c>
      <c r="G61" t="n">
        <v>60.93</v>
      </c>
      <c r="H61" t="n">
        <v>0</v>
      </c>
      <c r="I61" s="39" t="n">
        <v>417700</v>
      </c>
      <c r="J61" s="39" t="n">
        <v>417700</v>
      </c>
      <c r="Q61" s="39" t="n"/>
      <c r="R61" s="39" t="n"/>
      <c r="Y61" s="39" t="n"/>
      <c r="Z61" s="39" t="n"/>
      <c r="AG61" s="39" t="n"/>
      <c r="AH61" s="39" t="n"/>
      <c r="AI61" t="inlineStr">
        <is>
          <t>Alvaro Geanfranco Mendoza Jump</t>
        </is>
      </c>
      <c r="AJ61" t="inlineStr">
        <is>
          <t>72112648</t>
        </is>
      </c>
      <c r="AK61" t="inlineStr">
        <is>
          <t>Urb. San Francisco Mz. B Lt. 11 Departamento de Huanuco, Provincia de Huanuco, Dsitrito Amarilis</t>
        </is>
      </c>
      <c r="AL61" t="n">
        <v>938217737</v>
      </c>
      <c r="AM61" t="inlineStr">
        <is>
          <t>938217737</t>
        </is>
      </c>
      <c r="AN61" t="inlineStr">
        <is>
          <t>alvaromej17@gmail.com</t>
        </is>
      </c>
      <c r="AO61" t="inlineStr">
        <is>
          <t>HUANUCO</t>
        </is>
      </c>
      <c r="AP61" t="inlineStr">
        <is>
          <t>AMARILIS</t>
        </is>
      </c>
      <c r="AQ61" s="75" t="n">
        <v>45912</v>
      </c>
      <c r="AR61" s="75" t="n">
        <v>45912</v>
      </c>
      <c r="AS61" t="inlineStr">
        <is>
          <t>SEPARACION</t>
        </is>
      </c>
      <c r="AT61" t="n">
        <v>1</v>
      </c>
      <c r="AU61" t="n">
        <v>3000</v>
      </c>
      <c r="AV61" t="n">
        <v>0</v>
      </c>
      <c r="AW61" t="n">
        <v>0</v>
      </c>
      <c r="AX61" s="39" t="n">
        <v>3000</v>
      </c>
      <c r="AY61" s="39" t="n">
        <v>3000</v>
      </c>
      <c r="AZ61" s="39" t="n">
        <v>0</v>
      </c>
      <c r="BA61" t="n">
        <v>0</v>
      </c>
      <c r="BB61" t="inlineStr">
        <is>
          <t>Ahorro</t>
        </is>
      </c>
      <c r="BC61" t="inlineStr">
        <is>
          <t>Scotiabank Perú</t>
        </is>
      </c>
      <c r="BD61" t="inlineStr">
        <is>
          <t>000-2768484</t>
        </is>
      </c>
      <c r="BE61" t="inlineStr">
        <is>
          <t>TRANSFERENCIA BANCARIA</t>
        </is>
      </c>
      <c r="BG61" t="inlineStr">
        <is>
          <t>00673199</t>
        </is>
      </c>
      <c r="BH61" t="inlineStr">
        <is>
          <t>No</t>
        </is>
      </c>
      <c r="BJ61" t="n">
        <v>4</v>
      </c>
      <c r="BK61" t="inlineStr">
        <is>
          <t>CANCELADO</t>
        </is>
      </c>
      <c r="BV61" t="inlineStr">
        <is>
          <t>Si</t>
        </is>
      </c>
      <c r="BW61" s="76" t="n">
        <v>45919.61597222222</v>
      </c>
      <c r="BX61" t="inlineStr">
        <is>
          <t>Kenny Salazar S</t>
        </is>
      </c>
      <c r="BZ61" t="n">
        <v>36</v>
      </c>
      <c r="CA61" t="inlineStr">
        <is>
          <t>02/06/2026 17:13</t>
        </is>
      </c>
      <c r="CB61" t="n">
        <v>0</v>
      </c>
      <c r="CF61" t="inlineStr">
        <is>
          <t>Cobranzas_2025.csv</t>
        </is>
      </c>
      <c r="CG61" t="n">
        <v>2025</v>
      </c>
      <c r="CH61" t="inlineStr">
        <is>
          <t>01/01/2024</t>
        </is>
      </c>
      <c r="CI61" t="inlineStr">
        <is>
          <t>24/08/2031</t>
        </is>
      </c>
    </row>
    <row r="62">
      <c r="A62" t="inlineStr">
        <is>
          <t>RESIDENCIAL PRADA</t>
        </is>
      </c>
      <c r="B62" t="inlineStr">
        <is>
          <t>Etapa 1</t>
        </is>
      </c>
      <c r="C62" t="inlineStr">
        <is>
          <t>Edificio</t>
        </is>
      </c>
      <c r="D62" t="inlineStr">
        <is>
          <t>A</t>
        </is>
      </c>
      <c r="E62" t="inlineStr">
        <is>
          <t>Departamento</t>
        </is>
      </c>
      <c r="F62" t="inlineStr">
        <is>
          <t>504</t>
        </is>
      </c>
      <c r="G62" t="n">
        <v>60.93</v>
      </c>
      <c r="H62" t="n">
        <v>0</v>
      </c>
      <c r="I62" s="39" t="n">
        <v>417700</v>
      </c>
      <c r="J62" s="39" t="n">
        <v>417700</v>
      </c>
      <c r="Q62" s="39" t="n"/>
      <c r="R62" s="39" t="n"/>
      <c r="Y62" s="39" t="n"/>
      <c r="Z62" s="39" t="n"/>
      <c r="AG62" s="39" t="n"/>
      <c r="AH62" s="39" t="n"/>
      <c r="AI62" t="inlineStr">
        <is>
          <t>Alvaro Geanfranco Mendoza Jump</t>
        </is>
      </c>
      <c r="AJ62" t="inlineStr">
        <is>
          <t>72112648</t>
        </is>
      </c>
      <c r="AK62" t="inlineStr">
        <is>
          <t>Urb. San Francisco Mz. B Lt. 11 Departamento de Huanuco, Provincia de Huanuco, Dsitrito Amarilis</t>
        </is>
      </c>
      <c r="AL62" t="n">
        <v>938217737</v>
      </c>
      <c r="AM62" t="inlineStr">
        <is>
          <t>938217737</t>
        </is>
      </c>
      <c r="AN62" t="inlineStr">
        <is>
          <t>alvaromej17@gmail.com</t>
        </is>
      </c>
      <c r="AO62" t="inlineStr">
        <is>
          <t>HUANUCO</t>
        </is>
      </c>
      <c r="AP62" t="inlineStr">
        <is>
          <t>AMARILIS</t>
        </is>
      </c>
      <c r="AQ62" s="75" t="n">
        <v>45919</v>
      </c>
      <c r="AR62" s="75" t="n">
        <v>45919</v>
      </c>
      <c r="AS62" t="inlineStr">
        <is>
          <t>CUOTA INICIAL</t>
        </is>
      </c>
      <c r="AT62" t="n">
        <v>1</v>
      </c>
      <c r="AU62" t="n">
        <v>10000</v>
      </c>
      <c r="AV62" t="n">
        <v>0</v>
      </c>
      <c r="AW62" t="n">
        <v>0</v>
      </c>
      <c r="AX62" s="39" t="n">
        <v>10000</v>
      </c>
      <c r="AY62" s="39" t="n">
        <v>10000</v>
      </c>
      <c r="AZ62" s="39" t="n">
        <v>0</v>
      </c>
      <c r="BA62" t="n">
        <v>0</v>
      </c>
      <c r="BB62" t="inlineStr">
        <is>
          <t>Ahorro</t>
        </is>
      </c>
      <c r="BC62" t="inlineStr">
        <is>
          <t>Scotiabank Perú</t>
        </is>
      </c>
      <c r="BD62" t="inlineStr">
        <is>
          <t>000-2768484</t>
        </is>
      </c>
      <c r="BE62" t="inlineStr">
        <is>
          <t>TRANSFERENCIA BANCARIA</t>
        </is>
      </c>
      <c r="BG62" t="inlineStr">
        <is>
          <t>02785402</t>
        </is>
      </c>
      <c r="BH62" t="inlineStr">
        <is>
          <t>No</t>
        </is>
      </c>
      <c r="BJ62" t="n">
        <v>4</v>
      </c>
      <c r="BK62" t="inlineStr">
        <is>
          <t>CANCELADO</t>
        </is>
      </c>
      <c r="BV62" t="inlineStr">
        <is>
          <t>Si</t>
        </is>
      </c>
      <c r="BW62" s="76" t="n">
        <v>45919.61597222222</v>
      </c>
      <c r="BX62" t="inlineStr">
        <is>
          <t>Kenny Salazar S</t>
        </is>
      </c>
      <c r="BZ62" t="n">
        <v>36</v>
      </c>
      <c r="CA62" t="inlineStr">
        <is>
          <t>23/06/2026 15:59</t>
        </is>
      </c>
      <c r="CB62" t="n">
        <v>0</v>
      </c>
      <c r="CF62" t="inlineStr">
        <is>
          <t>Cobranzas_2025.csv</t>
        </is>
      </c>
      <c r="CG62" t="n">
        <v>2025</v>
      </c>
      <c r="CH62" t="inlineStr">
        <is>
          <t>01/01/2024</t>
        </is>
      </c>
      <c r="CI62" t="inlineStr">
        <is>
          <t>24/08/2031</t>
        </is>
      </c>
    </row>
    <row r="63">
      <c r="A63" t="inlineStr">
        <is>
          <t>RESIDENCIAL PRADA</t>
        </is>
      </c>
      <c r="B63" t="inlineStr">
        <is>
          <t>Etapa 1</t>
        </is>
      </c>
      <c r="C63" t="inlineStr">
        <is>
          <t>Edificio</t>
        </is>
      </c>
      <c r="D63" t="inlineStr">
        <is>
          <t>A</t>
        </is>
      </c>
      <c r="E63" t="inlineStr">
        <is>
          <t>Departamento</t>
        </is>
      </c>
      <c r="F63" t="inlineStr">
        <is>
          <t>1104</t>
        </is>
      </c>
      <c r="G63" t="n">
        <v>54.26</v>
      </c>
      <c r="H63" t="n">
        <v>0</v>
      </c>
      <c r="I63" s="39" t="n">
        <v>397000</v>
      </c>
      <c r="J63" s="39" t="n">
        <v>397000</v>
      </c>
      <c r="Q63" s="39" t="n"/>
      <c r="R63" s="39" t="n"/>
      <c r="Y63" s="39" t="n"/>
      <c r="Z63" s="39" t="n"/>
      <c r="AG63" s="39" t="n"/>
      <c r="AH63" s="39" t="n"/>
      <c r="AI63" t="inlineStr">
        <is>
          <t>Ana Fabiola Alvarez Elias</t>
        </is>
      </c>
      <c r="AJ63" t="inlineStr">
        <is>
          <t>06789211</t>
        </is>
      </c>
      <c r="AK63" t="inlineStr">
        <is>
          <t>Jr. Caraveli 968 Interior 103</t>
        </is>
      </c>
      <c r="AL63" t="n">
        <v>991502978</v>
      </c>
      <c r="AM63" t="inlineStr">
        <is>
          <t>986642025</t>
        </is>
      </c>
      <c r="AN63" t="inlineStr">
        <is>
          <t>anafabiola1@hotmail.com</t>
        </is>
      </c>
      <c r="AO63" t="inlineStr">
        <is>
          <t>LIMA</t>
        </is>
      </c>
      <c r="AP63" t="inlineStr">
        <is>
          <t>BREÑA</t>
        </is>
      </c>
      <c r="AQ63" s="75" t="n">
        <v>45703</v>
      </c>
      <c r="AR63" s="75" t="n">
        <v>45703</v>
      </c>
      <c r="AS63" t="inlineStr">
        <is>
          <t>SEPARACION</t>
        </is>
      </c>
      <c r="AT63" t="n">
        <v>1</v>
      </c>
      <c r="AU63" t="n">
        <v>3000</v>
      </c>
      <c r="AV63" t="n">
        <v>0</v>
      </c>
      <c r="AW63" t="n">
        <v>0</v>
      </c>
      <c r="AX63" s="39" t="n">
        <v>3000</v>
      </c>
      <c r="AY63" s="39" t="n">
        <v>3000</v>
      </c>
      <c r="AZ63" s="39" t="n">
        <v>0</v>
      </c>
      <c r="BA63" t="n">
        <v>0</v>
      </c>
      <c r="BB63" t="inlineStr">
        <is>
          <t>Crédito Hipotecario</t>
        </is>
      </c>
      <c r="BC63" t="inlineStr">
        <is>
          <t>Scotiabank Perú</t>
        </is>
      </c>
      <c r="BD63" t="inlineStr">
        <is>
          <t>000-2768484</t>
        </is>
      </c>
      <c r="BE63" t="inlineStr">
        <is>
          <t>POS VISA</t>
        </is>
      </c>
      <c r="BF63" t="inlineStr">
        <is>
          <t>06789211</t>
        </is>
      </c>
      <c r="BG63" t="inlineStr">
        <is>
          <t>31010</t>
        </is>
      </c>
      <c r="BH63" t="inlineStr">
        <is>
          <t>No</t>
        </is>
      </c>
      <c r="BI63" t="inlineStr">
        <is>
          <t>NO PRECISA</t>
        </is>
      </c>
      <c r="BJ63" t="n">
        <v>1</v>
      </c>
      <c r="BK63" t="inlineStr">
        <is>
          <t>CANCELADO</t>
        </is>
      </c>
      <c r="BV63" t="inlineStr">
        <is>
          <t>Si</t>
        </is>
      </c>
      <c r="BW63" s="76" t="n">
        <v>45730.74097222222</v>
      </c>
      <c r="BX63" t="inlineStr">
        <is>
          <t>Carla Michue M</t>
        </is>
      </c>
      <c r="BZ63" t="n">
        <v>9</v>
      </c>
      <c r="CA63" t="inlineStr">
        <is>
          <t>29/05/2026 12:21</t>
        </is>
      </c>
      <c r="CB63" t="n">
        <v>0</v>
      </c>
      <c r="CF63" t="inlineStr">
        <is>
          <t>Cobranzas_2025.csv</t>
        </is>
      </c>
      <c r="CG63" t="n">
        <v>2025</v>
      </c>
      <c r="CH63" t="inlineStr">
        <is>
          <t>01/01/2024</t>
        </is>
      </c>
      <c r="CI63" t="inlineStr">
        <is>
          <t>24/08/2031</t>
        </is>
      </c>
    </row>
    <row r="64">
      <c r="A64" t="inlineStr">
        <is>
          <t>RESIDENCIAL PRADA</t>
        </is>
      </c>
      <c r="B64" t="inlineStr">
        <is>
          <t>Etapa 1</t>
        </is>
      </c>
      <c r="C64" t="inlineStr">
        <is>
          <t>Edificio</t>
        </is>
      </c>
      <c r="D64" t="inlineStr">
        <is>
          <t>A</t>
        </is>
      </c>
      <c r="E64" t="inlineStr">
        <is>
          <t>Departamento</t>
        </is>
      </c>
      <c r="F64" t="inlineStr">
        <is>
          <t>1104</t>
        </is>
      </c>
      <c r="G64" t="n">
        <v>54.26</v>
      </c>
      <c r="H64" t="n">
        <v>0</v>
      </c>
      <c r="I64" s="39" t="n">
        <v>397000</v>
      </c>
      <c r="J64" s="39" t="n">
        <v>397000</v>
      </c>
      <c r="Q64" s="39" t="n"/>
      <c r="R64" s="39" t="n"/>
      <c r="Y64" s="39" t="n"/>
      <c r="Z64" s="39" t="n"/>
      <c r="AG64" s="39" t="n"/>
      <c r="AH64" s="39" t="n"/>
      <c r="AI64" t="inlineStr">
        <is>
          <t>Ana Fabiola Alvarez Elias</t>
        </is>
      </c>
      <c r="AJ64" t="inlineStr">
        <is>
          <t>06789211</t>
        </is>
      </c>
      <c r="AK64" t="inlineStr">
        <is>
          <t>Jr. Caraveli 968 Interior 103</t>
        </is>
      </c>
      <c r="AL64" t="n">
        <v>991502978</v>
      </c>
      <c r="AM64" t="inlineStr">
        <is>
          <t>986642025</t>
        </is>
      </c>
      <c r="AN64" t="inlineStr">
        <is>
          <t>anafabiola1@hotmail.com</t>
        </is>
      </c>
      <c r="AO64" t="inlineStr">
        <is>
          <t>LIMA</t>
        </is>
      </c>
      <c r="AP64" t="inlineStr">
        <is>
          <t>BREÑA</t>
        </is>
      </c>
      <c r="AQ64" s="75" t="n">
        <v>45730</v>
      </c>
      <c r="AR64" s="75" t="n">
        <v>45730</v>
      </c>
      <c r="AS64" t="inlineStr">
        <is>
          <t>CUOTA INICIAL</t>
        </is>
      </c>
      <c r="AT64" t="n">
        <v>2</v>
      </c>
      <c r="AU64" t="n">
        <v>23450</v>
      </c>
      <c r="AV64" t="n">
        <v>0</v>
      </c>
      <c r="AW64" t="n">
        <v>0</v>
      </c>
      <c r="AX64" s="39" t="n">
        <v>23450</v>
      </c>
      <c r="AY64" s="39" t="n">
        <v>23450</v>
      </c>
      <c r="AZ64" s="39" t="n">
        <v>0</v>
      </c>
      <c r="BA64" t="n">
        <v>0</v>
      </c>
      <c r="BB64" t="inlineStr">
        <is>
          <t>Crédito Hipotecario</t>
        </is>
      </c>
      <c r="BC64" t="inlineStr">
        <is>
          <t>Scotiabank Perú</t>
        </is>
      </c>
      <c r="BD64" t="inlineStr">
        <is>
          <t>000-2768484</t>
        </is>
      </c>
      <c r="BE64" t="inlineStr">
        <is>
          <t>TRANSFERENCIA BANCARIA</t>
        </is>
      </c>
      <c r="BF64" t="inlineStr">
        <is>
          <t>06789211</t>
        </is>
      </c>
      <c r="BG64" t="inlineStr">
        <is>
          <t>281328</t>
        </is>
      </c>
      <c r="BH64" t="inlineStr">
        <is>
          <t>No</t>
        </is>
      </c>
      <c r="BI64" t="inlineStr">
        <is>
          <t>NO PRECISA</t>
        </is>
      </c>
      <c r="BJ64" t="n">
        <v>1</v>
      </c>
      <c r="BK64" t="inlineStr">
        <is>
          <t>CANCELADO</t>
        </is>
      </c>
      <c r="BV64" t="inlineStr">
        <is>
          <t>Si</t>
        </is>
      </c>
      <c r="BW64" s="76" t="n">
        <v>45730.74097222222</v>
      </c>
      <c r="BX64" t="inlineStr">
        <is>
          <t>Carla Michue M</t>
        </is>
      </c>
      <c r="BZ64" t="n">
        <v>9</v>
      </c>
      <c r="CA64" t="inlineStr">
        <is>
          <t>29/05/2026 12:21</t>
        </is>
      </c>
      <c r="CB64" t="n">
        <v>0</v>
      </c>
      <c r="CF64" t="inlineStr">
        <is>
          <t>Cobranzas_2025.csv</t>
        </is>
      </c>
      <c r="CG64" t="n">
        <v>2025</v>
      </c>
      <c r="CH64" t="inlineStr">
        <is>
          <t>01/01/2024</t>
        </is>
      </c>
      <c r="CI64" t="inlineStr">
        <is>
          <t>24/08/2031</t>
        </is>
      </c>
    </row>
    <row r="65">
      <c r="A65" t="inlineStr">
        <is>
          <t>RESIDENCIAL PRADA</t>
        </is>
      </c>
      <c r="B65" t="inlineStr">
        <is>
          <t>Etapa 1</t>
        </is>
      </c>
      <c r="C65" t="inlineStr">
        <is>
          <t>Edificio</t>
        </is>
      </c>
      <c r="D65" t="inlineStr">
        <is>
          <t>A</t>
        </is>
      </c>
      <c r="E65" t="inlineStr">
        <is>
          <t>Departamento</t>
        </is>
      </c>
      <c r="F65" t="inlineStr">
        <is>
          <t>1104</t>
        </is>
      </c>
      <c r="G65" t="n">
        <v>54.26</v>
      </c>
      <c r="H65" t="n">
        <v>0</v>
      </c>
      <c r="I65" s="39" t="n">
        <v>397000</v>
      </c>
      <c r="J65" s="39" t="n">
        <v>397000</v>
      </c>
      <c r="Q65" s="39" t="n"/>
      <c r="R65" s="39" t="n"/>
      <c r="Y65" s="39" t="n"/>
      <c r="Z65" s="39" t="n"/>
      <c r="AG65" s="39" t="n"/>
      <c r="AH65" s="39" t="n"/>
      <c r="AI65" t="inlineStr">
        <is>
          <t>Ana Fabiola Alvarez Elias</t>
        </is>
      </c>
      <c r="AJ65" t="inlineStr">
        <is>
          <t>06789211</t>
        </is>
      </c>
      <c r="AK65" t="inlineStr">
        <is>
          <t>Jr. Caraveli 968 Interior 103</t>
        </is>
      </c>
      <c r="AL65" t="n">
        <v>991502978</v>
      </c>
      <c r="AM65" t="inlineStr">
        <is>
          <t>986642025</t>
        </is>
      </c>
      <c r="AN65" t="inlineStr">
        <is>
          <t>anafabiola1@hotmail.com</t>
        </is>
      </c>
      <c r="AO65" t="inlineStr">
        <is>
          <t>LIMA</t>
        </is>
      </c>
      <c r="AP65" t="inlineStr">
        <is>
          <t>BREÑA</t>
        </is>
      </c>
      <c r="AQ65" s="75" t="n">
        <v>45730</v>
      </c>
      <c r="AR65" s="75" t="n">
        <v>45730</v>
      </c>
      <c r="AS65" t="inlineStr">
        <is>
          <t>CUOTA INICIAL</t>
        </is>
      </c>
      <c r="AT65" t="n">
        <v>3</v>
      </c>
      <c r="AU65" t="n">
        <v>78000</v>
      </c>
      <c r="AV65" t="n">
        <v>0</v>
      </c>
      <c r="AW65" t="n">
        <v>0</v>
      </c>
      <c r="AX65" s="39" t="n">
        <v>78000</v>
      </c>
      <c r="AY65" s="39" t="n">
        <v>78000</v>
      </c>
      <c r="AZ65" s="39" t="n">
        <v>0</v>
      </c>
      <c r="BA65" t="n">
        <v>0</v>
      </c>
      <c r="BB65" t="inlineStr">
        <is>
          <t>Crédito Hipotecario</t>
        </is>
      </c>
      <c r="BC65" t="inlineStr">
        <is>
          <t>Scotiabank Perú</t>
        </is>
      </c>
      <c r="BD65" t="inlineStr">
        <is>
          <t>000-2768484</t>
        </is>
      </c>
      <c r="BE65" t="inlineStr">
        <is>
          <t>TRANSFERENCIA BANCARIA</t>
        </is>
      </c>
      <c r="BF65" t="inlineStr">
        <is>
          <t>06789211</t>
        </is>
      </c>
      <c r="BG65" t="inlineStr">
        <is>
          <t>7502425</t>
        </is>
      </c>
      <c r="BH65" t="inlineStr">
        <is>
          <t>No</t>
        </is>
      </c>
      <c r="BI65" t="inlineStr">
        <is>
          <t>NO PRECISA</t>
        </is>
      </c>
      <c r="BJ65" t="n">
        <v>1</v>
      </c>
      <c r="BK65" t="inlineStr">
        <is>
          <t>CANCELADO</t>
        </is>
      </c>
      <c r="BV65" t="inlineStr">
        <is>
          <t>Si</t>
        </is>
      </c>
      <c r="BW65" s="76" t="n">
        <v>45730.74097222222</v>
      </c>
      <c r="BX65" t="inlineStr">
        <is>
          <t>Carla Michue M</t>
        </is>
      </c>
      <c r="BZ65" t="n">
        <v>9</v>
      </c>
      <c r="CA65" t="inlineStr">
        <is>
          <t>29/05/2026 12:21</t>
        </is>
      </c>
      <c r="CB65" t="n">
        <v>0</v>
      </c>
      <c r="CF65" t="inlineStr">
        <is>
          <t>Cobranzas_2025.csv</t>
        </is>
      </c>
      <c r="CG65" t="n">
        <v>2025</v>
      </c>
      <c r="CH65" t="inlineStr">
        <is>
          <t>01/01/2024</t>
        </is>
      </c>
      <c r="CI65" t="inlineStr">
        <is>
          <t>24/08/2031</t>
        </is>
      </c>
    </row>
    <row r="66">
      <c r="A66" t="inlineStr">
        <is>
          <t>RESIDENCIAL PRADA</t>
        </is>
      </c>
      <c r="B66" t="inlineStr">
        <is>
          <t>Etapa 1</t>
        </is>
      </c>
      <c r="C66" t="inlineStr">
        <is>
          <t>Edificio</t>
        </is>
      </c>
      <c r="D66" t="inlineStr">
        <is>
          <t>A</t>
        </is>
      </c>
      <c r="E66" t="inlineStr">
        <is>
          <t>Departamento</t>
        </is>
      </c>
      <c r="F66" t="inlineStr">
        <is>
          <t>1104</t>
        </is>
      </c>
      <c r="G66" t="n">
        <v>54.26</v>
      </c>
      <c r="H66" t="n">
        <v>0</v>
      </c>
      <c r="I66" s="39" t="n">
        <v>397000</v>
      </c>
      <c r="J66" s="39" t="n">
        <v>397000</v>
      </c>
      <c r="Q66" s="39" t="n"/>
      <c r="R66" s="39" t="n"/>
      <c r="Y66" s="39" t="n"/>
      <c r="Z66" s="39" t="n"/>
      <c r="AG66" s="39" t="n"/>
      <c r="AH66" s="39" t="n"/>
      <c r="AI66" t="inlineStr">
        <is>
          <t>Ana Fabiola Alvarez Elias</t>
        </is>
      </c>
      <c r="AJ66" t="inlineStr">
        <is>
          <t>06789211</t>
        </is>
      </c>
      <c r="AK66" t="inlineStr">
        <is>
          <t>Jr. Caraveli 968 Interior 103</t>
        </is>
      </c>
      <c r="AL66" t="n">
        <v>991502978</v>
      </c>
      <c r="AM66" t="inlineStr">
        <is>
          <t>986642025</t>
        </is>
      </c>
      <c r="AN66" t="inlineStr">
        <is>
          <t>anafabiola1@hotmail.com</t>
        </is>
      </c>
      <c r="AO66" t="inlineStr">
        <is>
          <t>LIMA</t>
        </is>
      </c>
      <c r="AP66" t="inlineStr">
        <is>
          <t>BREÑA</t>
        </is>
      </c>
      <c r="AQ66" s="75" t="n">
        <v>45746</v>
      </c>
      <c r="AR66" s="75" t="n">
        <v>45747</v>
      </c>
      <c r="AS66" t="inlineStr">
        <is>
          <t>SALDO FINANCIAR</t>
        </is>
      </c>
      <c r="AT66" t="n">
        <v>1</v>
      </c>
      <c r="AU66" t="n">
        <v>292550</v>
      </c>
      <c r="AV66" t="n">
        <v>0</v>
      </c>
      <c r="AW66" t="n">
        <v>0</v>
      </c>
      <c r="AX66" s="39" t="n">
        <v>292550</v>
      </c>
      <c r="AY66" s="39" t="n">
        <v>34500</v>
      </c>
      <c r="AZ66" s="39" t="n">
        <v>0</v>
      </c>
      <c r="BA66" t="n">
        <v>0</v>
      </c>
      <c r="BB66" t="inlineStr">
        <is>
          <t>Crédito Hipotecario</t>
        </is>
      </c>
      <c r="BC66" t="inlineStr">
        <is>
          <t>Scotiabank Perú</t>
        </is>
      </c>
      <c r="BD66" t="inlineStr">
        <is>
          <t>000-2768484</t>
        </is>
      </c>
      <c r="BE66" t="inlineStr">
        <is>
          <t>DEPOSITO EN CUENTA</t>
        </is>
      </c>
      <c r="BG66" t="inlineStr">
        <is>
          <t>23022025</t>
        </is>
      </c>
      <c r="BH66" t="inlineStr">
        <is>
          <t>No</t>
        </is>
      </c>
      <c r="BJ66" t="n">
        <v>4</v>
      </c>
      <c r="BK66" t="inlineStr">
        <is>
          <t>CANCELADO</t>
        </is>
      </c>
      <c r="BV66" t="inlineStr">
        <is>
          <t>Si</t>
        </is>
      </c>
      <c r="BW66" s="76" t="n">
        <v>45730.74097222222</v>
      </c>
      <c r="BX66" t="inlineStr">
        <is>
          <t>Carla Michue M</t>
        </is>
      </c>
      <c r="BZ66" t="n">
        <v>9</v>
      </c>
      <c r="CA66" t="inlineStr">
        <is>
          <t>07/07/2026 14:22</t>
        </is>
      </c>
      <c r="CB66" t="n">
        <v>0</v>
      </c>
      <c r="CF66" t="inlineStr">
        <is>
          <t>Cobranzas_2025.csv</t>
        </is>
      </c>
      <c r="CG66" t="n">
        <v>2025</v>
      </c>
      <c r="CH66" t="inlineStr">
        <is>
          <t>01/01/2024</t>
        </is>
      </c>
      <c r="CI66" t="inlineStr">
        <is>
          <t>24/08/2031</t>
        </is>
      </c>
    </row>
    <row r="67">
      <c r="A67" t="inlineStr">
        <is>
          <t>RESIDENCIAL PRADA</t>
        </is>
      </c>
      <c r="B67" t="inlineStr">
        <is>
          <t>Etapa 1</t>
        </is>
      </c>
      <c r="C67" t="inlineStr">
        <is>
          <t>Edificio</t>
        </is>
      </c>
      <c r="D67" t="inlineStr">
        <is>
          <t>A</t>
        </is>
      </c>
      <c r="E67" t="inlineStr">
        <is>
          <t>Departamento</t>
        </is>
      </c>
      <c r="F67" t="inlineStr">
        <is>
          <t>1104</t>
        </is>
      </c>
      <c r="G67" t="n">
        <v>54.26</v>
      </c>
      <c r="H67" t="n">
        <v>0</v>
      </c>
      <c r="I67" s="39" t="n">
        <v>397000</v>
      </c>
      <c r="J67" s="39" t="n">
        <v>397000</v>
      </c>
      <c r="Q67" s="39" t="n"/>
      <c r="R67" s="39" t="n"/>
      <c r="Y67" s="39" t="n"/>
      <c r="Z67" s="39" t="n"/>
      <c r="AG67" s="39" t="n"/>
      <c r="AH67" s="39" t="n"/>
      <c r="AI67" t="inlineStr">
        <is>
          <t>Ana Fabiola Alvarez Elias</t>
        </is>
      </c>
      <c r="AJ67" t="inlineStr">
        <is>
          <t>06789211</t>
        </is>
      </c>
      <c r="AK67" t="inlineStr">
        <is>
          <t>Jr. Caraveli 968 Interior 103</t>
        </is>
      </c>
      <c r="AL67" t="n">
        <v>991502978</v>
      </c>
      <c r="AM67" t="inlineStr">
        <is>
          <t>986642025</t>
        </is>
      </c>
      <c r="AN67" t="inlineStr">
        <is>
          <t>anafabiola1@hotmail.com</t>
        </is>
      </c>
      <c r="AO67" t="inlineStr">
        <is>
          <t>LIMA</t>
        </is>
      </c>
      <c r="AP67" t="inlineStr">
        <is>
          <t>BREÑA</t>
        </is>
      </c>
      <c r="AQ67" s="75" t="n">
        <v>45746</v>
      </c>
      <c r="AR67" s="75" t="n">
        <v>45747</v>
      </c>
      <c r="AS67" t="inlineStr">
        <is>
          <t>SALDO FINANCIAR</t>
        </is>
      </c>
      <c r="AT67" t="n">
        <v>1</v>
      </c>
      <c r="AU67" t="n">
        <v>0</v>
      </c>
      <c r="AV67" t="n">
        <v>0</v>
      </c>
      <c r="AW67" t="n">
        <v>0</v>
      </c>
      <c r="AX67" s="39" t="n">
        <v>0</v>
      </c>
      <c r="AY67" s="39" t="n">
        <v>258050</v>
      </c>
      <c r="AZ67" s="39" t="n">
        <v>0</v>
      </c>
      <c r="BA67" t="n">
        <v>0</v>
      </c>
      <c r="BB67" t="inlineStr">
        <is>
          <t>Crédito Hipotecario</t>
        </is>
      </c>
      <c r="BC67" t="inlineStr">
        <is>
          <t>Scotiabank Perú</t>
        </is>
      </c>
      <c r="BD67" t="inlineStr">
        <is>
          <t>000-2768484</t>
        </is>
      </c>
      <c r="BE67" t="inlineStr">
        <is>
          <t>TRANSFERENCIA BANCARIA</t>
        </is>
      </c>
      <c r="BG67" t="inlineStr">
        <is>
          <t>30032025</t>
        </is>
      </c>
      <c r="BH67" t="inlineStr">
        <is>
          <t>No</t>
        </is>
      </c>
      <c r="BJ67" t="n">
        <v>4</v>
      </c>
      <c r="BK67" t="inlineStr">
        <is>
          <t>CANCELADO</t>
        </is>
      </c>
      <c r="BV67" t="inlineStr">
        <is>
          <t>Si</t>
        </is>
      </c>
      <c r="BW67" s="76" t="n">
        <v>45730.74097222222</v>
      </c>
      <c r="BX67" t="inlineStr">
        <is>
          <t>Carla Michue M</t>
        </is>
      </c>
      <c r="BZ67" t="n">
        <v>9</v>
      </c>
      <c r="CA67" t="inlineStr">
        <is>
          <t>07/07/2026 14:23</t>
        </is>
      </c>
      <c r="CB67" t="n">
        <v>0</v>
      </c>
      <c r="CF67" t="inlineStr">
        <is>
          <t>Cobranzas_2025.csv</t>
        </is>
      </c>
      <c r="CG67" t="n">
        <v>2025</v>
      </c>
      <c r="CH67" t="inlineStr">
        <is>
          <t>01/01/2024</t>
        </is>
      </c>
      <c r="CI67" t="inlineStr">
        <is>
          <t>24/08/2031</t>
        </is>
      </c>
    </row>
    <row r="68">
      <c r="A68" t="inlineStr">
        <is>
          <t>RESIDENCIAL PRADA</t>
        </is>
      </c>
      <c r="B68" t="inlineStr">
        <is>
          <t>Etapa 1</t>
        </is>
      </c>
      <c r="C68" t="inlineStr">
        <is>
          <t>Edificio</t>
        </is>
      </c>
      <c r="D68" t="inlineStr">
        <is>
          <t>A</t>
        </is>
      </c>
      <c r="E68" t="inlineStr">
        <is>
          <t>Estacionamiento</t>
        </is>
      </c>
      <c r="F68" t="inlineStr">
        <is>
          <t>E 15</t>
        </is>
      </c>
      <c r="G68" t="n">
        <v>13.27</v>
      </c>
      <c r="H68" t="n">
        <v>0</v>
      </c>
      <c r="I68" s="39" t="n">
        <v>50500</v>
      </c>
      <c r="J68" s="39" t="n">
        <v>50500</v>
      </c>
      <c r="Q68" s="39" t="n"/>
      <c r="R68" s="39" t="n"/>
      <c r="Y68" s="39" t="n"/>
      <c r="Z68" s="39" t="n"/>
      <c r="AG68" s="39" t="n"/>
      <c r="AH68" s="39" t="n"/>
      <c r="AI68" t="inlineStr">
        <is>
          <t>Ana Fabiola Alvarez Elias</t>
        </is>
      </c>
      <c r="AJ68" t="inlineStr">
        <is>
          <t>06789211</t>
        </is>
      </c>
      <c r="AK68" t="inlineStr">
        <is>
          <t>Jr. Caraveli 968 Interior 103</t>
        </is>
      </c>
      <c r="AL68" t="n">
        <v>0</v>
      </c>
      <c r="AM68" t="inlineStr">
        <is>
          <t>986642025</t>
        </is>
      </c>
      <c r="AN68" t="inlineStr">
        <is>
          <t>anafabiola1@hotmail.com</t>
        </is>
      </c>
      <c r="AO68" t="inlineStr">
        <is>
          <t>LIMA</t>
        </is>
      </c>
      <c r="AP68" t="inlineStr">
        <is>
          <t>BREÑA</t>
        </is>
      </c>
      <c r="AQ68" s="75" t="n">
        <v>45824</v>
      </c>
      <c r="AR68" s="75" t="n">
        <v>45824</v>
      </c>
      <c r="AS68" t="inlineStr">
        <is>
          <t>SEPARACION</t>
        </is>
      </c>
      <c r="AT68" t="n">
        <v>1</v>
      </c>
      <c r="AU68" t="n">
        <v>3000</v>
      </c>
      <c r="AV68" t="n">
        <v>0</v>
      </c>
      <c r="AW68" t="n">
        <v>0</v>
      </c>
      <c r="AX68" s="39" t="n">
        <v>3000</v>
      </c>
      <c r="AY68" s="39" t="n">
        <v>3000</v>
      </c>
      <c r="AZ68" s="39" t="n">
        <v>0</v>
      </c>
      <c r="BA68" t="n">
        <v>0</v>
      </c>
      <c r="BB68" t="inlineStr">
        <is>
          <t>Crédito Directo</t>
        </is>
      </c>
      <c r="BC68" t="inlineStr">
        <is>
          <t>Scotiabank Perú</t>
        </is>
      </c>
      <c r="BD68" t="inlineStr">
        <is>
          <t>000-2768484</t>
        </is>
      </c>
      <c r="BE68" t="inlineStr">
        <is>
          <t>DEPOSITO EN CUENTA</t>
        </is>
      </c>
      <c r="BG68" t="inlineStr">
        <is>
          <t>005993292</t>
        </is>
      </c>
      <c r="BH68" t="inlineStr">
        <is>
          <t>No</t>
        </is>
      </c>
      <c r="BJ68" t="n">
        <v>4</v>
      </c>
      <c r="BK68" t="inlineStr">
        <is>
          <t>CANCELADO</t>
        </is>
      </c>
      <c r="BV68" t="inlineStr">
        <is>
          <t>Si</t>
        </is>
      </c>
      <c r="BW68" s="76" t="n">
        <v>45868.49166666667</v>
      </c>
      <c r="BX68" t="inlineStr">
        <is>
          <t>Magaly Guevara Perez</t>
        </is>
      </c>
      <c r="BZ68" t="n">
        <v>62</v>
      </c>
      <c r="CA68" t="inlineStr">
        <is>
          <t>18/08/2026 11:26</t>
        </is>
      </c>
      <c r="CB68" t="n">
        <v>0</v>
      </c>
      <c r="CF68" t="inlineStr">
        <is>
          <t>Cobranzas_2025.csv</t>
        </is>
      </c>
      <c r="CG68" t="n">
        <v>2025</v>
      </c>
      <c r="CH68" t="inlineStr">
        <is>
          <t>01/01/2024</t>
        </is>
      </c>
      <c r="CI68" t="inlineStr">
        <is>
          <t>24/08/2031</t>
        </is>
      </c>
    </row>
    <row r="69">
      <c r="A69" t="inlineStr">
        <is>
          <t>RESIDENCIAL PRADA</t>
        </is>
      </c>
      <c r="B69" t="inlineStr">
        <is>
          <t>Etapa 1</t>
        </is>
      </c>
      <c r="C69" t="inlineStr">
        <is>
          <t>Edificio</t>
        </is>
      </c>
      <c r="D69" t="inlineStr">
        <is>
          <t>A</t>
        </is>
      </c>
      <c r="E69" t="inlineStr">
        <is>
          <t>Estacionamiento</t>
        </is>
      </c>
      <c r="F69" t="inlineStr">
        <is>
          <t>E 15</t>
        </is>
      </c>
      <c r="G69" t="n">
        <v>13.27</v>
      </c>
      <c r="H69" t="n">
        <v>0</v>
      </c>
      <c r="I69" s="39" t="n">
        <v>50500</v>
      </c>
      <c r="J69" s="39" t="n">
        <v>50500</v>
      </c>
      <c r="Q69" s="39" t="n"/>
      <c r="R69" s="39" t="n"/>
      <c r="Y69" s="39" t="n"/>
      <c r="Z69" s="39" t="n"/>
      <c r="AG69" s="39" t="n"/>
      <c r="AH69" s="39" t="n"/>
      <c r="AI69" t="inlineStr">
        <is>
          <t>Ana Fabiola Alvarez Elias</t>
        </is>
      </c>
      <c r="AJ69" t="inlineStr">
        <is>
          <t>06789211</t>
        </is>
      </c>
      <c r="AK69" t="inlineStr">
        <is>
          <t>Jr. Caraveli 968 Interior 103</t>
        </is>
      </c>
      <c r="AL69" t="n">
        <v>0</v>
      </c>
      <c r="AM69" t="inlineStr">
        <is>
          <t>986642025</t>
        </is>
      </c>
      <c r="AN69" t="inlineStr">
        <is>
          <t>anafabiola1@hotmail.com</t>
        </is>
      </c>
      <c r="AO69" t="inlineStr">
        <is>
          <t>LIMA</t>
        </is>
      </c>
      <c r="AP69" t="inlineStr">
        <is>
          <t>BREÑA</t>
        </is>
      </c>
      <c r="AQ69" s="75" t="n">
        <v>45824</v>
      </c>
      <c r="AR69" s="75" t="n">
        <v>45824</v>
      </c>
      <c r="AS69" t="inlineStr">
        <is>
          <t>CUOTA INICIAL</t>
        </is>
      </c>
      <c r="AT69" t="n">
        <v>1</v>
      </c>
      <c r="AU69" t="n">
        <v>7000</v>
      </c>
      <c r="AV69" t="n">
        <v>0</v>
      </c>
      <c r="AW69" t="n">
        <v>0</v>
      </c>
      <c r="AX69" s="39" t="n">
        <v>7000</v>
      </c>
      <c r="AY69" s="39" t="n">
        <v>7000</v>
      </c>
      <c r="AZ69" s="39" t="n">
        <v>0</v>
      </c>
      <c r="BA69" t="n">
        <v>0</v>
      </c>
      <c r="BB69" t="inlineStr">
        <is>
          <t>Crédito Directo</t>
        </is>
      </c>
      <c r="BC69" t="inlineStr">
        <is>
          <t>Scotiabank Perú</t>
        </is>
      </c>
      <c r="BD69" t="inlineStr">
        <is>
          <t>000-2768484</t>
        </is>
      </c>
      <c r="BE69" t="inlineStr">
        <is>
          <t>TRANSFERENCIA BANCARIA</t>
        </is>
      </c>
      <c r="BG69" t="inlineStr">
        <is>
          <t>0005993292</t>
        </is>
      </c>
      <c r="BH69" t="inlineStr">
        <is>
          <t>No</t>
        </is>
      </c>
      <c r="BJ69" t="n">
        <v>4</v>
      </c>
      <c r="BK69" t="inlineStr">
        <is>
          <t>CANCELADO</t>
        </is>
      </c>
      <c r="BV69" t="inlineStr">
        <is>
          <t>Si</t>
        </is>
      </c>
      <c r="BW69" s="76" t="n">
        <v>45868.49166666667</v>
      </c>
      <c r="BX69" t="inlineStr">
        <is>
          <t>Magaly Guevara Perez</t>
        </is>
      </c>
      <c r="BZ69" t="n">
        <v>62</v>
      </c>
      <c r="CA69" t="inlineStr">
        <is>
          <t>18/08/2026 11:27</t>
        </is>
      </c>
      <c r="CB69" t="n">
        <v>0</v>
      </c>
      <c r="CF69" t="inlineStr">
        <is>
          <t>Cobranzas_2025.csv</t>
        </is>
      </c>
      <c r="CG69" t="n">
        <v>2025</v>
      </c>
      <c r="CH69" t="inlineStr">
        <is>
          <t>01/01/2024</t>
        </is>
      </c>
      <c r="CI69" t="inlineStr">
        <is>
          <t>24/08/2031</t>
        </is>
      </c>
    </row>
    <row r="70">
      <c r="A70" t="inlineStr">
        <is>
          <t>RESIDENCIAL PRADA</t>
        </is>
      </c>
      <c r="B70" t="inlineStr">
        <is>
          <t>Etapa 1</t>
        </is>
      </c>
      <c r="C70" t="inlineStr">
        <is>
          <t>Edificio</t>
        </is>
      </c>
      <c r="D70" t="inlineStr">
        <is>
          <t>A</t>
        </is>
      </c>
      <c r="E70" t="inlineStr">
        <is>
          <t>Estacionamiento</t>
        </is>
      </c>
      <c r="F70" t="inlineStr">
        <is>
          <t>E 15</t>
        </is>
      </c>
      <c r="G70" t="n">
        <v>13.27</v>
      </c>
      <c r="H70" t="n">
        <v>0</v>
      </c>
      <c r="I70" s="39" t="n">
        <v>50500</v>
      </c>
      <c r="J70" s="39" t="n">
        <v>50500</v>
      </c>
      <c r="Q70" s="39" t="n"/>
      <c r="R70" s="39" t="n"/>
      <c r="Y70" s="39" t="n"/>
      <c r="Z70" s="39" t="n"/>
      <c r="AG70" s="39" t="n"/>
      <c r="AH70" s="39" t="n"/>
      <c r="AI70" t="inlineStr">
        <is>
          <t>Ana Fabiola Alvarez Elias</t>
        </is>
      </c>
      <c r="AJ70" t="inlineStr">
        <is>
          <t>06789211</t>
        </is>
      </c>
      <c r="AK70" t="inlineStr">
        <is>
          <t>Jr. Caraveli 968 Interior 103</t>
        </is>
      </c>
      <c r="AL70" t="n">
        <v>0</v>
      </c>
      <c r="AM70" t="inlineStr">
        <is>
          <t>986642025</t>
        </is>
      </c>
      <c r="AN70" t="inlineStr">
        <is>
          <t>anafabiola1@hotmail.com</t>
        </is>
      </c>
      <c r="AO70" t="inlineStr">
        <is>
          <t>LIMA</t>
        </is>
      </c>
      <c r="AP70" t="inlineStr">
        <is>
          <t>BREÑA</t>
        </is>
      </c>
      <c r="AQ70" s="75" t="n">
        <v>45868</v>
      </c>
      <c r="AR70" s="75" t="n">
        <v>45868</v>
      </c>
      <c r="AS70" t="inlineStr">
        <is>
          <t>SALDO FINANCIAR</t>
        </is>
      </c>
      <c r="AT70" t="n">
        <v>1</v>
      </c>
      <c r="AU70" t="n">
        <v>3000</v>
      </c>
      <c r="AV70" t="n">
        <v>0</v>
      </c>
      <c r="AW70" t="n">
        <v>0</v>
      </c>
      <c r="AX70" s="39" t="n">
        <v>3000</v>
      </c>
      <c r="AY70" s="39" t="n">
        <v>3000</v>
      </c>
      <c r="AZ70" s="39" t="n">
        <v>0</v>
      </c>
      <c r="BA70" t="n">
        <v>0</v>
      </c>
      <c r="BB70" t="inlineStr">
        <is>
          <t>Crédito Directo</t>
        </is>
      </c>
      <c r="BC70" t="inlineStr">
        <is>
          <t>Scotiabank Perú</t>
        </is>
      </c>
      <c r="BD70" t="inlineStr">
        <is>
          <t>000-2768484</t>
        </is>
      </c>
      <c r="BE70" t="inlineStr">
        <is>
          <t>TRANSFERENCIA BANCARIA</t>
        </is>
      </c>
      <c r="BG70" t="inlineStr">
        <is>
          <t>009170000000276848424</t>
        </is>
      </c>
      <c r="BH70" t="inlineStr">
        <is>
          <t>No</t>
        </is>
      </c>
      <c r="BJ70" t="n">
        <v>4</v>
      </c>
      <c r="BK70" t="inlineStr">
        <is>
          <t>CANCELADO</t>
        </is>
      </c>
      <c r="BV70" t="inlineStr">
        <is>
          <t>Si</t>
        </is>
      </c>
      <c r="BW70" s="76" t="n">
        <v>45868.49166666667</v>
      </c>
      <c r="BX70" t="inlineStr">
        <is>
          <t>Magaly Guevara Perez</t>
        </is>
      </c>
      <c r="BZ70" t="n">
        <v>62</v>
      </c>
      <c r="CA70" t="inlineStr">
        <is>
          <t>18/08/2026 11:28</t>
        </is>
      </c>
      <c r="CB70" t="n">
        <v>0</v>
      </c>
      <c r="CF70" t="inlineStr">
        <is>
          <t>Cobranzas_2025.csv</t>
        </is>
      </c>
      <c r="CG70" t="n">
        <v>2025</v>
      </c>
      <c r="CH70" t="inlineStr">
        <is>
          <t>01/01/2024</t>
        </is>
      </c>
      <c r="CI70" t="inlineStr">
        <is>
          <t>24/08/2031</t>
        </is>
      </c>
    </row>
    <row r="71">
      <c r="A71" t="inlineStr">
        <is>
          <t>RESIDENCIAL PRADA</t>
        </is>
      </c>
      <c r="B71" t="inlineStr">
        <is>
          <t>Etapa 1</t>
        </is>
      </c>
      <c r="C71" t="inlineStr">
        <is>
          <t>Edificio</t>
        </is>
      </c>
      <c r="D71" t="inlineStr">
        <is>
          <t>A</t>
        </is>
      </c>
      <c r="E71" t="inlineStr">
        <is>
          <t>Estacionamiento</t>
        </is>
      </c>
      <c r="F71" t="inlineStr">
        <is>
          <t>E 15</t>
        </is>
      </c>
      <c r="G71" t="n">
        <v>13.27</v>
      </c>
      <c r="H71" t="n">
        <v>0</v>
      </c>
      <c r="I71" s="39" t="n">
        <v>50500</v>
      </c>
      <c r="J71" s="39" t="n">
        <v>50500</v>
      </c>
      <c r="Q71" s="39" t="n"/>
      <c r="R71" s="39" t="n"/>
      <c r="Y71" s="39" t="n"/>
      <c r="Z71" s="39" t="n"/>
      <c r="AG71" s="39" t="n"/>
      <c r="AH71" s="39" t="n"/>
      <c r="AI71" t="inlineStr">
        <is>
          <t>Ana Fabiola Alvarez Elias</t>
        </is>
      </c>
      <c r="AJ71" t="inlineStr">
        <is>
          <t>06789211</t>
        </is>
      </c>
      <c r="AK71" t="inlineStr">
        <is>
          <t>Jr. Caraveli 968 Interior 103</t>
        </is>
      </c>
      <c r="AL71" t="n">
        <v>0</v>
      </c>
      <c r="AM71" t="inlineStr">
        <is>
          <t>986642025</t>
        </is>
      </c>
      <c r="AN71" t="inlineStr">
        <is>
          <t>anafabiola1@hotmail.com</t>
        </is>
      </c>
      <c r="AO71" t="inlineStr">
        <is>
          <t>LIMA</t>
        </is>
      </c>
      <c r="AP71" t="inlineStr">
        <is>
          <t>BREÑA</t>
        </is>
      </c>
      <c r="AQ71" s="75" t="n">
        <v>45901</v>
      </c>
      <c r="AR71" s="75" t="n">
        <v>45901</v>
      </c>
      <c r="AS71" t="inlineStr">
        <is>
          <t>SALDO FINANCIAR</t>
        </is>
      </c>
      <c r="AT71" t="n">
        <v>2</v>
      </c>
      <c r="AU71" t="n">
        <v>3000</v>
      </c>
      <c r="AV71" t="n">
        <v>0</v>
      </c>
      <c r="AW71" t="n">
        <v>0</v>
      </c>
      <c r="AX71" s="39" t="n">
        <v>3000</v>
      </c>
      <c r="AY71" s="39" t="n">
        <v>3000</v>
      </c>
      <c r="AZ71" s="39" t="n">
        <v>0</v>
      </c>
      <c r="BA71" t="n">
        <v>0</v>
      </c>
      <c r="BB71" t="inlineStr">
        <is>
          <t>Crédito Directo</t>
        </is>
      </c>
      <c r="BC71" t="inlineStr">
        <is>
          <t>Scotiabank Perú</t>
        </is>
      </c>
      <c r="BD71" t="inlineStr">
        <is>
          <t>00917000000276848424</t>
        </is>
      </c>
      <c r="BE71" t="inlineStr">
        <is>
          <t>TRANSFERENCIA BANCARIA</t>
        </is>
      </c>
      <c r="BG71" t="inlineStr">
        <is>
          <t>00000031360000003138</t>
        </is>
      </c>
      <c r="BH71" t="inlineStr">
        <is>
          <t>No</t>
        </is>
      </c>
      <c r="BJ71" t="n">
        <v>4</v>
      </c>
      <c r="BK71" t="inlineStr">
        <is>
          <t>CANCELADO</t>
        </is>
      </c>
      <c r="BV71" t="inlineStr">
        <is>
          <t>Si</t>
        </is>
      </c>
      <c r="BW71" s="76" t="n">
        <v>45868.49166666667</v>
      </c>
      <c r="BX71" t="inlineStr">
        <is>
          <t>Magaly Guevara Perez</t>
        </is>
      </c>
      <c r="BZ71" t="n">
        <v>62</v>
      </c>
      <c r="CA71" t="inlineStr">
        <is>
          <t>18/08/2026 11:29</t>
        </is>
      </c>
      <c r="CB71" t="n">
        <v>0</v>
      </c>
      <c r="CF71" t="inlineStr">
        <is>
          <t>Cobranzas_2025.csv</t>
        </is>
      </c>
      <c r="CG71" t="n">
        <v>2025</v>
      </c>
      <c r="CH71" t="inlineStr">
        <is>
          <t>01/01/2024</t>
        </is>
      </c>
      <c r="CI71" t="inlineStr">
        <is>
          <t>24/08/2031</t>
        </is>
      </c>
    </row>
    <row r="72">
      <c r="A72" t="inlineStr">
        <is>
          <t>RESIDENCIAL PRADA</t>
        </is>
      </c>
      <c r="B72" t="inlineStr">
        <is>
          <t>Etapa 1</t>
        </is>
      </c>
      <c r="C72" t="inlineStr">
        <is>
          <t>Edificio</t>
        </is>
      </c>
      <c r="D72" t="inlineStr">
        <is>
          <t>A</t>
        </is>
      </c>
      <c r="E72" t="inlineStr">
        <is>
          <t>Estacionamiento</t>
        </is>
      </c>
      <c r="F72" t="inlineStr">
        <is>
          <t>E 15</t>
        </is>
      </c>
      <c r="G72" t="n">
        <v>13.27</v>
      </c>
      <c r="H72" t="n">
        <v>0</v>
      </c>
      <c r="I72" s="39" t="n">
        <v>50500</v>
      </c>
      <c r="J72" s="39" t="n">
        <v>50500</v>
      </c>
      <c r="Q72" s="39" t="n"/>
      <c r="R72" s="39" t="n"/>
      <c r="Y72" s="39" t="n"/>
      <c r="Z72" s="39" t="n"/>
      <c r="AG72" s="39" t="n"/>
      <c r="AH72" s="39" t="n"/>
      <c r="AI72" t="inlineStr">
        <is>
          <t>Ana Fabiola Alvarez Elias</t>
        </is>
      </c>
      <c r="AJ72" t="inlineStr">
        <is>
          <t>06789211</t>
        </is>
      </c>
      <c r="AK72" t="inlineStr">
        <is>
          <t>Jr. Caraveli 968 Interior 103</t>
        </is>
      </c>
      <c r="AL72" t="n">
        <v>0</v>
      </c>
      <c r="AM72" t="inlineStr">
        <is>
          <t>986642025</t>
        </is>
      </c>
      <c r="AN72" t="inlineStr">
        <is>
          <t>anafabiola1@hotmail.com</t>
        </is>
      </c>
      <c r="AO72" t="inlineStr">
        <is>
          <t>LIMA</t>
        </is>
      </c>
      <c r="AP72" t="inlineStr">
        <is>
          <t>BREÑA</t>
        </is>
      </c>
      <c r="AQ72" s="75" t="n">
        <v>45931</v>
      </c>
      <c r="AR72" s="75" t="n">
        <v>45931</v>
      </c>
      <c r="AS72" t="inlineStr">
        <is>
          <t>SALDO FINANCIAR</t>
        </is>
      </c>
      <c r="AT72" t="n">
        <v>3</v>
      </c>
      <c r="AU72" t="n">
        <v>3000</v>
      </c>
      <c r="AV72" t="n">
        <v>0</v>
      </c>
      <c r="AW72" t="n">
        <v>0</v>
      </c>
      <c r="AX72" s="39" t="n">
        <v>3000</v>
      </c>
      <c r="AY72" s="39" t="n">
        <v>3000</v>
      </c>
      <c r="AZ72" s="39" t="n">
        <v>0</v>
      </c>
      <c r="BA72" t="n">
        <v>0</v>
      </c>
      <c r="BB72" t="inlineStr">
        <is>
          <t>Crédito Directo</t>
        </is>
      </c>
      <c r="BC72" t="inlineStr">
        <is>
          <t>Scotiabank Perú</t>
        </is>
      </c>
      <c r="BD72" t="inlineStr">
        <is>
          <t>00917000000276848424</t>
        </is>
      </c>
      <c r="BE72" t="inlineStr">
        <is>
          <t>TRANSFERENCIA BANCARIA</t>
        </is>
      </c>
      <c r="BG72" t="inlineStr">
        <is>
          <t>0000320400003206</t>
        </is>
      </c>
      <c r="BH72" t="inlineStr">
        <is>
          <t>No</t>
        </is>
      </c>
      <c r="BJ72" t="n">
        <v>4</v>
      </c>
      <c r="BK72" t="inlineStr">
        <is>
          <t>CANCELADO</t>
        </is>
      </c>
      <c r="BV72" t="inlineStr">
        <is>
          <t>Si</t>
        </is>
      </c>
      <c r="BW72" s="76" t="n">
        <v>45868.49166666667</v>
      </c>
      <c r="BX72" t="inlineStr">
        <is>
          <t>Magaly Guevara Perez</t>
        </is>
      </c>
      <c r="BZ72" t="n">
        <v>62</v>
      </c>
      <c r="CA72" t="inlineStr">
        <is>
          <t>18/08/2026 11:30</t>
        </is>
      </c>
      <c r="CB72" t="n">
        <v>0</v>
      </c>
      <c r="CF72" t="inlineStr">
        <is>
          <t>Cobranzas_2025.csv</t>
        </is>
      </c>
      <c r="CG72" t="n">
        <v>2025</v>
      </c>
      <c r="CH72" t="inlineStr">
        <is>
          <t>01/01/2024</t>
        </is>
      </c>
      <c r="CI72" t="inlineStr">
        <is>
          <t>24/08/2031</t>
        </is>
      </c>
    </row>
    <row r="73">
      <c r="A73" t="inlineStr">
        <is>
          <t>RESIDENCIAL PRADA</t>
        </is>
      </c>
      <c r="B73" t="inlineStr">
        <is>
          <t>Etapa 1</t>
        </is>
      </c>
      <c r="C73" t="inlineStr">
        <is>
          <t>Edificio</t>
        </is>
      </c>
      <c r="D73" t="inlineStr">
        <is>
          <t>A</t>
        </is>
      </c>
      <c r="E73" t="inlineStr">
        <is>
          <t>Estacionamiento</t>
        </is>
      </c>
      <c r="F73" t="inlineStr">
        <is>
          <t>E 15</t>
        </is>
      </c>
      <c r="G73" t="n">
        <v>13.27</v>
      </c>
      <c r="H73" t="n">
        <v>0</v>
      </c>
      <c r="I73" s="39" t="n">
        <v>50500</v>
      </c>
      <c r="J73" s="39" t="n">
        <v>50500</v>
      </c>
      <c r="Q73" s="39" t="n"/>
      <c r="R73" s="39" t="n"/>
      <c r="Y73" s="39" t="n"/>
      <c r="Z73" s="39" t="n"/>
      <c r="AG73" s="39" t="n"/>
      <c r="AH73" s="39" t="n"/>
      <c r="AI73" t="inlineStr">
        <is>
          <t>Ana Fabiola Alvarez Elias</t>
        </is>
      </c>
      <c r="AJ73" t="inlineStr">
        <is>
          <t>06789211</t>
        </is>
      </c>
      <c r="AK73" t="inlineStr">
        <is>
          <t>Jr. Caraveli 968 Interior 103</t>
        </is>
      </c>
      <c r="AL73" t="n">
        <v>0</v>
      </c>
      <c r="AM73" t="inlineStr">
        <is>
          <t>986642025</t>
        </is>
      </c>
      <c r="AN73" t="inlineStr">
        <is>
          <t>anafabiola1@hotmail.com</t>
        </is>
      </c>
      <c r="AO73" t="inlineStr">
        <is>
          <t>LIMA</t>
        </is>
      </c>
      <c r="AP73" t="inlineStr">
        <is>
          <t>BREÑA</t>
        </is>
      </c>
      <c r="AQ73" s="75" t="n">
        <v>45958</v>
      </c>
      <c r="AR73" s="75" t="n">
        <v>45958</v>
      </c>
      <c r="AS73" t="inlineStr">
        <is>
          <t>SALDO FINANCIAR</t>
        </is>
      </c>
      <c r="AT73" t="n">
        <v>4</v>
      </c>
      <c r="AU73" t="n">
        <v>3000</v>
      </c>
      <c r="AV73" t="n">
        <v>0</v>
      </c>
      <c r="AW73" t="n">
        <v>0</v>
      </c>
      <c r="AX73" s="39" t="n">
        <v>3000</v>
      </c>
      <c r="AY73" s="39" t="n">
        <v>3000</v>
      </c>
      <c r="AZ73" s="39" t="n">
        <v>0</v>
      </c>
      <c r="BA73" t="n">
        <v>0</v>
      </c>
      <c r="BB73" t="inlineStr">
        <is>
          <t>Crédito Directo</t>
        </is>
      </c>
      <c r="BC73" t="inlineStr">
        <is>
          <t>Scotiabank Perú</t>
        </is>
      </c>
      <c r="BD73" t="inlineStr">
        <is>
          <t>000-2768484</t>
        </is>
      </c>
      <c r="BE73" t="inlineStr">
        <is>
          <t>TRANSFERENCIA BANCARIA</t>
        </is>
      </c>
      <c r="BG73" t="inlineStr">
        <is>
          <t>0000326400003266</t>
        </is>
      </c>
      <c r="BH73" t="inlineStr">
        <is>
          <t>No</t>
        </is>
      </c>
      <c r="BJ73" t="n">
        <v>4</v>
      </c>
      <c r="BK73" t="inlineStr">
        <is>
          <t>CANCELADO</t>
        </is>
      </c>
      <c r="BV73" t="inlineStr">
        <is>
          <t>Si</t>
        </is>
      </c>
      <c r="BW73" s="76" t="n">
        <v>45868.49166666667</v>
      </c>
      <c r="BX73" t="inlineStr">
        <is>
          <t>Magaly Guevara Perez</t>
        </is>
      </c>
      <c r="BZ73" t="n">
        <v>62</v>
      </c>
      <c r="CA73" t="inlineStr">
        <is>
          <t>18/08/2026 11:30</t>
        </is>
      </c>
      <c r="CB73" t="n">
        <v>0</v>
      </c>
      <c r="CF73" t="inlineStr">
        <is>
          <t>Cobranzas_2025.csv</t>
        </is>
      </c>
      <c r="CG73" t="n">
        <v>2025</v>
      </c>
      <c r="CH73" t="inlineStr">
        <is>
          <t>01/01/2024</t>
        </is>
      </c>
      <c r="CI73" t="inlineStr">
        <is>
          <t>24/08/2031</t>
        </is>
      </c>
    </row>
    <row r="74">
      <c r="A74" t="inlineStr">
        <is>
          <t>RESIDENCIAL PRADA</t>
        </is>
      </c>
      <c r="B74" t="inlineStr">
        <is>
          <t>Etapa 1</t>
        </is>
      </c>
      <c r="C74" t="inlineStr">
        <is>
          <t>Edificio</t>
        </is>
      </c>
      <c r="D74" t="inlineStr">
        <is>
          <t>A</t>
        </is>
      </c>
      <c r="E74" t="inlineStr">
        <is>
          <t>Estacionamiento</t>
        </is>
      </c>
      <c r="F74" t="inlineStr">
        <is>
          <t>E 15</t>
        </is>
      </c>
      <c r="G74" t="n">
        <v>13.27</v>
      </c>
      <c r="H74" t="n">
        <v>0</v>
      </c>
      <c r="I74" s="39" t="n">
        <v>50500</v>
      </c>
      <c r="J74" s="39" t="n">
        <v>50500</v>
      </c>
      <c r="Q74" s="39" t="n"/>
      <c r="R74" s="39" t="n"/>
      <c r="Y74" s="39" t="n"/>
      <c r="Z74" s="39" t="n"/>
      <c r="AG74" s="39" t="n"/>
      <c r="AH74" s="39" t="n"/>
      <c r="AI74" t="inlineStr">
        <is>
          <t>Ana Fabiola Alvarez Elias</t>
        </is>
      </c>
      <c r="AJ74" t="inlineStr">
        <is>
          <t>06789211</t>
        </is>
      </c>
      <c r="AK74" t="inlineStr">
        <is>
          <t>Jr. Caraveli 968 Interior 103</t>
        </is>
      </c>
      <c r="AL74" t="n">
        <v>0</v>
      </c>
      <c r="AM74" t="inlineStr">
        <is>
          <t>986642025</t>
        </is>
      </c>
      <c r="AN74" t="inlineStr">
        <is>
          <t>anafabiola1@hotmail.com</t>
        </is>
      </c>
      <c r="AO74" t="inlineStr">
        <is>
          <t>LIMA</t>
        </is>
      </c>
      <c r="AP74" t="inlineStr">
        <is>
          <t>BREÑA</t>
        </is>
      </c>
      <c r="AQ74" s="75" t="n">
        <v>45992</v>
      </c>
      <c r="AR74" s="75" t="n">
        <v>45992</v>
      </c>
      <c r="AS74" t="inlineStr">
        <is>
          <t>SALDO FINANCIAR</t>
        </is>
      </c>
      <c r="AT74" t="n">
        <v>5</v>
      </c>
      <c r="AU74" t="n">
        <v>3000</v>
      </c>
      <c r="AV74" t="n">
        <v>0</v>
      </c>
      <c r="AW74" t="n">
        <v>0</v>
      </c>
      <c r="AX74" s="39" t="n">
        <v>3000</v>
      </c>
      <c r="AY74" s="39" t="n">
        <v>3000</v>
      </c>
      <c r="AZ74" s="39" t="n">
        <v>0</v>
      </c>
      <c r="BA74" t="n">
        <v>0</v>
      </c>
      <c r="BB74" t="inlineStr">
        <is>
          <t>Crédito Directo</t>
        </is>
      </c>
      <c r="BC74" t="inlineStr">
        <is>
          <t>Scotiabank Perú</t>
        </is>
      </c>
      <c r="BD74" t="inlineStr">
        <is>
          <t>00917000000276848424</t>
        </is>
      </c>
      <c r="BE74" t="inlineStr">
        <is>
          <t>TRANSFERENCIA BANCARIA</t>
        </is>
      </c>
      <c r="BG74" t="inlineStr">
        <is>
          <t>00003352000003354</t>
        </is>
      </c>
      <c r="BH74" t="inlineStr">
        <is>
          <t>No</t>
        </is>
      </c>
      <c r="BJ74" t="n">
        <v>4</v>
      </c>
      <c r="BK74" t="inlineStr">
        <is>
          <t>CANCELADO</t>
        </is>
      </c>
      <c r="BV74" t="inlineStr">
        <is>
          <t>Si</t>
        </is>
      </c>
      <c r="BW74" s="76" t="n">
        <v>45868.49166666667</v>
      </c>
      <c r="BX74" t="inlineStr">
        <is>
          <t>Magaly Guevara Perez</t>
        </is>
      </c>
      <c r="BZ74" t="n">
        <v>62</v>
      </c>
      <c r="CA74" t="inlineStr">
        <is>
          <t>18/08/2026 11:31</t>
        </is>
      </c>
      <c r="CB74" t="n">
        <v>0</v>
      </c>
      <c r="CF74" t="inlineStr">
        <is>
          <t>Cobranzas_2025.csv</t>
        </is>
      </c>
      <c r="CG74" t="n">
        <v>2025</v>
      </c>
      <c r="CH74" t="inlineStr">
        <is>
          <t>01/01/2024</t>
        </is>
      </c>
      <c r="CI74" t="inlineStr">
        <is>
          <t>24/08/2031</t>
        </is>
      </c>
    </row>
    <row r="75">
      <c r="A75" t="inlineStr">
        <is>
          <t>RESIDENCIAL PRADA</t>
        </is>
      </c>
      <c r="B75" t="inlineStr">
        <is>
          <t>Etapa 1</t>
        </is>
      </c>
      <c r="C75" t="inlineStr">
        <is>
          <t>Edificio</t>
        </is>
      </c>
      <c r="D75" t="inlineStr">
        <is>
          <t>A</t>
        </is>
      </c>
      <c r="E75" t="inlineStr">
        <is>
          <t>Estacionamiento</t>
        </is>
      </c>
      <c r="F75" t="inlineStr">
        <is>
          <t>E 15</t>
        </is>
      </c>
      <c r="G75" t="n">
        <v>13.27</v>
      </c>
      <c r="H75" t="n">
        <v>0</v>
      </c>
      <c r="I75" s="39" t="n">
        <v>50500</v>
      </c>
      <c r="J75" s="39" t="n">
        <v>50500</v>
      </c>
      <c r="Q75" s="39" t="n"/>
      <c r="R75" s="39" t="n"/>
      <c r="Y75" s="39" t="n"/>
      <c r="Z75" s="39" t="n"/>
      <c r="AG75" s="39" t="n"/>
      <c r="AH75" s="39" t="n"/>
      <c r="AI75" t="inlineStr">
        <is>
          <t>Ana Fabiola Alvarez Elias</t>
        </is>
      </c>
      <c r="AJ75" t="inlineStr">
        <is>
          <t>06789211</t>
        </is>
      </c>
      <c r="AK75" t="inlineStr">
        <is>
          <t>Jr. Caraveli 968 Interior 103</t>
        </is>
      </c>
      <c r="AL75" t="n">
        <v>0</v>
      </c>
      <c r="AM75" t="inlineStr">
        <is>
          <t>986642025</t>
        </is>
      </c>
      <c r="AN75" t="inlineStr">
        <is>
          <t>anafabiola1@hotmail.com</t>
        </is>
      </c>
      <c r="AO75" t="inlineStr">
        <is>
          <t>LIMA</t>
        </is>
      </c>
      <c r="AP75" t="inlineStr">
        <is>
          <t>BREÑA</t>
        </is>
      </c>
      <c r="AQ75" s="75" t="n">
        <v>46020</v>
      </c>
      <c r="AR75" s="75" t="n">
        <v>46020</v>
      </c>
      <c r="AS75" t="inlineStr">
        <is>
          <t>SALDO FINANCIAR</t>
        </is>
      </c>
      <c r="AT75" t="n">
        <v>6</v>
      </c>
      <c r="AU75" t="n">
        <v>3000</v>
      </c>
      <c r="AV75" t="n">
        <v>0</v>
      </c>
      <c r="AW75" t="n">
        <v>0</v>
      </c>
      <c r="AX75" s="39" t="n">
        <v>3000</v>
      </c>
      <c r="AY75" s="39" t="n">
        <v>3000</v>
      </c>
      <c r="AZ75" s="39" t="n">
        <v>0</v>
      </c>
      <c r="BA75" t="n">
        <v>0</v>
      </c>
      <c r="BB75" t="inlineStr">
        <is>
          <t>Crédito Directo</t>
        </is>
      </c>
      <c r="BC75" t="inlineStr">
        <is>
          <t>Scotiabank Perú</t>
        </is>
      </c>
      <c r="BD75" t="inlineStr">
        <is>
          <t>00917000000407141928</t>
        </is>
      </c>
      <c r="BE75" t="inlineStr">
        <is>
          <t>TRANSFERENCIA BANCARIA</t>
        </is>
      </c>
      <c r="BG75" t="inlineStr">
        <is>
          <t>7844655577681</t>
        </is>
      </c>
      <c r="BH75" t="inlineStr">
        <is>
          <t>No</t>
        </is>
      </c>
      <c r="BJ75" t="n">
        <v>4</v>
      </c>
      <c r="BK75" t="inlineStr">
        <is>
          <t>CANCELADO</t>
        </is>
      </c>
      <c r="BV75" t="inlineStr">
        <is>
          <t>Si</t>
        </is>
      </c>
      <c r="BW75" s="76" t="n">
        <v>45868.49166666667</v>
      </c>
      <c r="BX75" t="inlineStr">
        <is>
          <t>Magaly Guevara Perez</t>
        </is>
      </c>
      <c r="BZ75" t="n">
        <v>62</v>
      </c>
      <c r="CA75" t="inlineStr">
        <is>
          <t>18/08/2026 11:38</t>
        </is>
      </c>
      <c r="CB75" t="n">
        <v>0</v>
      </c>
      <c r="CF75" t="inlineStr">
        <is>
          <t>Cobranzas_2025.csv</t>
        </is>
      </c>
      <c r="CG75" t="n">
        <v>2025</v>
      </c>
      <c r="CH75" t="inlineStr">
        <is>
          <t>01/01/2024</t>
        </is>
      </c>
      <c r="CI75" t="inlineStr">
        <is>
          <t>24/08/2031</t>
        </is>
      </c>
    </row>
    <row r="76">
      <c r="A76" t="inlineStr">
        <is>
          <t>RESIDENCIAL VENECIA</t>
        </is>
      </c>
      <c r="B76" t="inlineStr">
        <is>
          <t>Etapa 1</t>
        </is>
      </c>
      <c r="C76" t="inlineStr">
        <is>
          <t>Edificio</t>
        </is>
      </c>
      <c r="D76" t="inlineStr">
        <is>
          <t>A</t>
        </is>
      </c>
      <c r="E76" t="inlineStr">
        <is>
          <t>Departamento</t>
        </is>
      </c>
      <c r="F76" t="inlineStr">
        <is>
          <t>704</t>
        </is>
      </c>
      <c r="G76" t="n">
        <v>67</v>
      </c>
      <c r="H76" t="n">
        <v>0</v>
      </c>
      <c r="I76" s="39" t="n">
        <v>438000</v>
      </c>
      <c r="J76" s="39" t="n">
        <v>438000</v>
      </c>
      <c r="Q76" s="39" t="n"/>
      <c r="R76" s="39" t="n"/>
      <c r="Y76" s="39" t="n"/>
      <c r="Z76" s="39" t="n"/>
      <c r="AG76" s="39" t="n"/>
      <c r="AH76" s="39" t="n"/>
      <c r="AI76" t="inlineStr">
        <is>
          <t>ANAMELVA JULIETA AQUISE TIZNADO</t>
        </is>
      </c>
      <c r="AJ76" t="inlineStr">
        <is>
          <t>40917666</t>
        </is>
      </c>
      <c r="AK76" t="inlineStr">
        <is>
          <t>Urb. Aziruni Ciudad Jardin Mz. G2 Lt 04</t>
        </is>
      </c>
      <c r="AL76" t="n">
        <v>0</v>
      </c>
      <c r="AM76" t="inlineStr">
        <is>
          <t>987249596</t>
        </is>
      </c>
      <c r="AN76" t="inlineStr">
        <is>
          <t>anamelvaaquise@gmail.com</t>
        </is>
      </c>
      <c r="AO76" t="inlineStr">
        <is>
          <t>PUNO</t>
        </is>
      </c>
      <c r="AP76" t="inlineStr">
        <is>
          <t>PUNO</t>
        </is>
      </c>
      <c r="AQ76" s="75" t="n">
        <v>45972</v>
      </c>
      <c r="AR76" s="75" t="n">
        <v>45972</v>
      </c>
      <c r="AS76" t="inlineStr">
        <is>
          <t>SEPARACION</t>
        </is>
      </c>
      <c r="AT76" t="n">
        <v>1</v>
      </c>
      <c r="AU76" t="n">
        <v>3000</v>
      </c>
      <c r="AV76" t="n">
        <v>0</v>
      </c>
      <c r="AW76" t="n">
        <v>0</v>
      </c>
      <c r="AX76" s="39" t="n">
        <v>3000</v>
      </c>
      <c r="AY76" s="39" t="n">
        <v>3000</v>
      </c>
      <c r="AZ76" s="39" t="n">
        <v>0</v>
      </c>
      <c r="BA76" t="n">
        <v>0</v>
      </c>
      <c r="BB76" t="inlineStr">
        <is>
          <t>Crédito Hipotecario</t>
        </is>
      </c>
      <c r="BC76" t="inlineStr">
        <is>
          <t>Scotiabank Perú</t>
        </is>
      </c>
      <c r="BD76" t="inlineStr">
        <is>
          <t>0004071419</t>
        </is>
      </c>
      <c r="BE76" t="inlineStr">
        <is>
          <t>TRANSFERENCIA BANCARIA</t>
        </is>
      </c>
      <c r="BG76" t="inlineStr">
        <is>
          <t>5516474</t>
        </is>
      </c>
      <c r="BH76" t="inlineStr">
        <is>
          <t>No</t>
        </is>
      </c>
      <c r="BJ76" t="n">
        <v>4</v>
      </c>
      <c r="BK76" t="inlineStr">
        <is>
          <t>CANCELADO</t>
        </is>
      </c>
      <c r="BV76" t="inlineStr">
        <is>
          <t>Si</t>
        </is>
      </c>
      <c r="BW76" s="76" t="n">
        <v>46178.35069444445</v>
      </c>
      <c r="BX76" t="inlineStr">
        <is>
          <t>Magaly Guevara Perez</t>
        </is>
      </c>
      <c r="BZ76" t="n">
        <v>14</v>
      </c>
      <c r="CA76" t="inlineStr">
        <is>
          <t>24/05/2026 21:14</t>
        </is>
      </c>
      <c r="CB76" t="n">
        <v>0</v>
      </c>
      <c r="CF76" t="inlineStr">
        <is>
          <t>Cobranzas_2025.csv</t>
        </is>
      </c>
      <c r="CG76" t="n">
        <v>2025</v>
      </c>
      <c r="CH76" t="inlineStr">
        <is>
          <t>01/01/2024</t>
        </is>
      </c>
      <c r="CI76" t="inlineStr">
        <is>
          <t>24/08/2031</t>
        </is>
      </c>
    </row>
    <row r="77">
      <c r="A77" t="inlineStr">
        <is>
          <t>RESIDENCIAL VENECIA</t>
        </is>
      </c>
      <c r="B77" t="inlineStr">
        <is>
          <t>Etapa 1</t>
        </is>
      </c>
      <c r="C77" t="inlineStr">
        <is>
          <t>Edificio</t>
        </is>
      </c>
      <c r="D77" t="inlineStr">
        <is>
          <t>A</t>
        </is>
      </c>
      <c r="E77" t="inlineStr">
        <is>
          <t>Departamento</t>
        </is>
      </c>
      <c r="F77" t="inlineStr">
        <is>
          <t>704</t>
        </is>
      </c>
      <c r="G77" t="n">
        <v>67</v>
      </c>
      <c r="H77" t="n">
        <v>0</v>
      </c>
      <c r="I77" s="39" t="n">
        <v>438000</v>
      </c>
      <c r="J77" s="39" t="n">
        <v>438000</v>
      </c>
      <c r="Q77" s="39" t="n"/>
      <c r="R77" s="39" t="n"/>
      <c r="Y77" s="39" t="n"/>
      <c r="Z77" s="39" t="n"/>
      <c r="AG77" s="39" t="n"/>
      <c r="AH77" s="39" t="n"/>
      <c r="AI77" t="inlineStr">
        <is>
          <t>ANAMELVA JULIETA AQUISE TIZNADO</t>
        </is>
      </c>
      <c r="AJ77" t="inlineStr">
        <is>
          <t>40917666</t>
        </is>
      </c>
      <c r="AK77" t="inlineStr">
        <is>
          <t>Urb. Aziruni Ciudad Jardin Mz. G2 Lt 04</t>
        </is>
      </c>
      <c r="AL77" t="n">
        <v>0</v>
      </c>
      <c r="AM77" t="inlineStr">
        <is>
          <t>987249596</t>
        </is>
      </c>
      <c r="AN77" t="inlineStr">
        <is>
          <t>anamelvaaquise@gmail.com</t>
        </is>
      </c>
      <c r="AO77" t="inlineStr">
        <is>
          <t>PUNO</t>
        </is>
      </c>
      <c r="AP77" t="inlineStr">
        <is>
          <t>PUNO</t>
        </is>
      </c>
      <c r="AQ77" s="75" t="n">
        <v>46004</v>
      </c>
      <c r="AR77" s="75" t="n">
        <v>46004</v>
      </c>
      <c r="AS77" t="inlineStr">
        <is>
          <t>CUOTA INICIAL</t>
        </is>
      </c>
      <c r="AT77" t="n">
        <v>1</v>
      </c>
      <c r="AU77" t="n">
        <v>20000</v>
      </c>
      <c r="AV77" t="n">
        <v>0</v>
      </c>
      <c r="AW77" t="n">
        <v>0</v>
      </c>
      <c r="AX77" s="39" t="n">
        <v>20000</v>
      </c>
      <c r="AY77" s="39" t="n">
        <v>20000</v>
      </c>
      <c r="AZ77" s="39" t="n">
        <v>0</v>
      </c>
      <c r="BA77" t="n">
        <v>0</v>
      </c>
      <c r="BB77" t="inlineStr">
        <is>
          <t>Crédito Hipotecario</t>
        </is>
      </c>
      <c r="BC77" t="inlineStr">
        <is>
          <t>Scotiabank Perú</t>
        </is>
      </c>
      <c r="BD77" t="inlineStr">
        <is>
          <t>0004071419</t>
        </is>
      </c>
      <c r="BE77" t="inlineStr">
        <is>
          <t>TRANSFERENCIA BANCARIA</t>
        </is>
      </c>
      <c r="BG77" t="inlineStr">
        <is>
          <t>5531532</t>
        </is>
      </c>
      <c r="BH77" t="inlineStr">
        <is>
          <t>No</t>
        </is>
      </c>
      <c r="BJ77" t="n">
        <v>4</v>
      </c>
      <c r="BK77" t="inlineStr">
        <is>
          <t>CANCELADO</t>
        </is>
      </c>
      <c r="BV77" t="inlineStr">
        <is>
          <t>Si</t>
        </is>
      </c>
      <c r="BW77" s="76" t="n">
        <v>46178.35069444445</v>
      </c>
      <c r="BX77" t="inlineStr">
        <is>
          <t>Magaly Guevara Perez</t>
        </is>
      </c>
      <c r="BZ77" t="n">
        <v>14</v>
      </c>
      <c r="CA77" t="inlineStr">
        <is>
          <t>24/05/2026 21:16</t>
        </is>
      </c>
      <c r="CB77" t="n">
        <v>0</v>
      </c>
      <c r="CF77" t="inlineStr">
        <is>
          <t>Cobranzas_2025.csv</t>
        </is>
      </c>
      <c r="CG77" t="n">
        <v>2025</v>
      </c>
      <c r="CH77" t="inlineStr">
        <is>
          <t>01/01/2024</t>
        </is>
      </c>
      <c r="CI77" t="inlineStr">
        <is>
          <t>24/08/2031</t>
        </is>
      </c>
    </row>
    <row r="78">
      <c r="A78" t="inlineStr">
        <is>
          <t>RESIDENCIAL PRADA</t>
        </is>
      </c>
      <c r="B78" t="inlineStr">
        <is>
          <t>Etapa 1</t>
        </is>
      </c>
      <c r="C78" t="inlineStr">
        <is>
          <t>Edificio</t>
        </is>
      </c>
      <c r="D78" t="inlineStr">
        <is>
          <t>A</t>
        </is>
      </c>
      <c r="E78" t="inlineStr">
        <is>
          <t>Departamento</t>
        </is>
      </c>
      <c r="F78" t="inlineStr">
        <is>
          <t>1003</t>
        </is>
      </c>
      <c r="G78" t="n">
        <v>88.27</v>
      </c>
      <c r="H78" t="n">
        <v>0</v>
      </c>
      <c r="I78" s="39" t="n">
        <v>675000</v>
      </c>
      <c r="J78" s="39" t="n">
        <v>675000</v>
      </c>
      <c r="K78" t="inlineStr">
        <is>
          <t>Edificio</t>
        </is>
      </c>
      <c r="L78" t="inlineStr">
        <is>
          <t>A</t>
        </is>
      </c>
      <c r="M78" t="inlineStr">
        <is>
          <t>Estacionamiento</t>
        </is>
      </c>
      <c r="N78" t="inlineStr">
        <is>
          <t>E 11 - D 08</t>
        </is>
      </c>
      <c r="O78" t="n">
        <v>12.5</v>
      </c>
      <c r="P78" t="n">
        <v>3.8</v>
      </c>
      <c r="Q78" s="39" t="n">
        <v>60400</v>
      </c>
      <c r="R78" s="39" t="n">
        <v>60400</v>
      </c>
      <c r="Y78" s="39" t="n"/>
      <c r="Z78" s="39" t="n"/>
      <c r="AG78" s="39" t="n"/>
      <c r="AH78" s="39" t="n"/>
      <c r="AI78" t="inlineStr">
        <is>
          <t>ANDEAN AYNI TRAVEL AGENCIA DE VIAJES Y TRANSPORTE EIRL</t>
        </is>
      </c>
      <c r="AJ78" t="inlineStr">
        <is>
          <t>20610697403</t>
        </is>
      </c>
      <c r="AK78" t="inlineStr">
        <is>
          <t>JR. DANTE NAVA NRO. 310 BAR. NUEVA UNVERSIDAD</t>
        </is>
      </c>
      <c r="AL78" t="n">
        <v>0</v>
      </c>
      <c r="AM78" t="inlineStr">
        <is>
          <t>951923088</t>
        </is>
      </c>
      <c r="AN78" t="inlineStr">
        <is>
          <t>operacionesjudith@gmail.com</t>
        </is>
      </c>
      <c r="AO78" t="inlineStr">
        <is>
          <t>PUNO</t>
        </is>
      </c>
      <c r="AP78" t="inlineStr">
        <is>
          <t>PUNO</t>
        </is>
      </c>
      <c r="AQ78" s="75" t="n">
        <v>45835</v>
      </c>
      <c r="AR78" s="75" t="n">
        <v>45835</v>
      </c>
      <c r="AS78" t="inlineStr">
        <is>
          <t>SEPARACION</t>
        </is>
      </c>
      <c r="AT78" t="n">
        <v>1</v>
      </c>
      <c r="AU78" t="n">
        <v>3000</v>
      </c>
      <c r="AV78" t="n">
        <v>0</v>
      </c>
      <c r="AW78" t="n">
        <v>0</v>
      </c>
      <c r="AX78" s="39" t="n">
        <v>3000</v>
      </c>
      <c r="AY78" s="39" t="n">
        <v>3000</v>
      </c>
      <c r="AZ78" s="39" t="n">
        <v>0</v>
      </c>
      <c r="BA78" t="n">
        <v>0</v>
      </c>
      <c r="BB78" t="inlineStr">
        <is>
          <t>Crédito Directo</t>
        </is>
      </c>
      <c r="BC78" t="inlineStr">
        <is>
          <t>Scotiabank Perú</t>
        </is>
      </c>
      <c r="BD78" t="inlineStr">
        <is>
          <t>000-2768484</t>
        </is>
      </c>
      <c r="BE78" t="inlineStr">
        <is>
          <t>TRANSFERENCIA BANCARIA</t>
        </is>
      </c>
      <c r="BG78" t="inlineStr">
        <is>
          <t>06083805</t>
        </is>
      </c>
      <c r="BH78" t="inlineStr">
        <is>
          <t>Si</t>
        </is>
      </c>
      <c r="BJ78" t="n">
        <v>4</v>
      </c>
      <c r="BK78" t="inlineStr">
        <is>
          <t>CANCELADO</t>
        </is>
      </c>
      <c r="BV78" t="inlineStr">
        <is>
          <t>Si</t>
        </is>
      </c>
      <c r="BW78" s="76" t="n">
        <v>45985.73819444444</v>
      </c>
      <c r="BX78" t="inlineStr">
        <is>
          <t>Magaly Guevara Perez</t>
        </is>
      </c>
      <c r="BZ78" t="n">
        <v>28</v>
      </c>
      <c r="CA78" t="inlineStr">
        <is>
          <t>09/06/2026 09:42</t>
        </is>
      </c>
      <c r="CB78" t="n">
        <v>0</v>
      </c>
      <c r="CF78" t="inlineStr">
        <is>
          <t>Cobranzas_2025.csv</t>
        </is>
      </c>
      <c r="CG78" t="n">
        <v>2025</v>
      </c>
      <c r="CH78" t="inlineStr">
        <is>
          <t>01/01/2024</t>
        </is>
      </c>
      <c r="CI78" t="inlineStr">
        <is>
          <t>24/08/2031</t>
        </is>
      </c>
    </row>
    <row r="79">
      <c r="A79" t="inlineStr">
        <is>
          <t>RESIDENCIAL PRADA</t>
        </is>
      </c>
      <c r="B79" t="inlineStr">
        <is>
          <t>Etapa 1</t>
        </is>
      </c>
      <c r="C79" t="inlineStr">
        <is>
          <t>Edificio</t>
        </is>
      </c>
      <c r="D79" t="inlineStr">
        <is>
          <t>A</t>
        </is>
      </c>
      <c r="E79" t="inlineStr">
        <is>
          <t>Departamento</t>
        </is>
      </c>
      <c r="F79" t="inlineStr">
        <is>
          <t>1003</t>
        </is>
      </c>
      <c r="G79" t="n">
        <v>88.27</v>
      </c>
      <c r="H79" t="n">
        <v>0</v>
      </c>
      <c r="I79" s="39" t="n">
        <v>675000</v>
      </c>
      <c r="J79" s="39" t="n">
        <v>675000</v>
      </c>
      <c r="K79" t="inlineStr">
        <is>
          <t>Edificio</t>
        </is>
      </c>
      <c r="L79" t="inlineStr">
        <is>
          <t>A</t>
        </is>
      </c>
      <c r="M79" t="inlineStr">
        <is>
          <t>Estacionamiento</t>
        </is>
      </c>
      <c r="N79" t="inlineStr">
        <is>
          <t>E 11 - D 08</t>
        </is>
      </c>
      <c r="O79" t="n">
        <v>12.5</v>
      </c>
      <c r="P79" t="n">
        <v>3.8</v>
      </c>
      <c r="Q79" s="39" t="n">
        <v>60400</v>
      </c>
      <c r="R79" s="39" t="n">
        <v>60400</v>
      </c>
      <c r="Y79" s="39" t="n"/>
      <c r="Z79" s="39" t="n"/>
      <c r="AG79" s="39" t="n"/>
      <c r="AH79" s="39" t="n"/>
      <c r="AI79" t="inlineStr">
        <is>
          <t>ANDEAN AYNI TRAVEL AGENCIA DE VIAJES Y TRANSPORTE EIRL</t>
        </is>
      </c>
      <c r="AJ79" t="inlineStr">
        <is>
          <t>20610697403</t>
        </is>
      </c>
      <c r="AK79" t="inlineStr">
        <is>
          <t>JR. DANTE NAVA NRO. 310 BAR. NUEVA UNVERSIDAD</t>
        </is>
      </c>
      <c r="AL79" t="n">
        <v>0</v>
      </c>
      <c r="AM79" t="inlineStr">
        <is>
          <t>951923088</t>
        </is>
      </c>
      <c r="AN79" t="inlineStr">
        <is>
          <t>operacionesjudith@gmail.com</t>
        </is>
      </c>
      <c r="AO79" t="inlineStr">
        <is>
          <t>PUNO</t>
        </is>
      </c>
      <c r="AP79" t="inlineStr">
        <is>
          <t>PUNO</t>
        </is>
      </c>
      <c r="AQ79" s="75" t="n">
        <v>45985</v>
      </c>
      <c r="AR79" s="75" t="n">
        <v>45985</v>
      </c>
      <c r="AS79" t="inlineStr">
        <is>
          <t>CUOTA INICIAL</t>
        </is>
      </c>
      <c r="AT79" t="n">
        <v>1</v>
      </c>
      <c r="AU79" t="n">
        <v>270000</v>
      </c>
      <c r="AV79" t="n">
        <v>0</v>
      </c>
      <c r="AW79" t="n">
        <v>0</v>
      </c>
      <c r="AX79" s="39" t="n">
        <v>270000</v>
      </c>
      <c r="AY79" s="39" t="n">
        <v>270000</v>
      </c>
      <c r="AZ79" s="39" t="n">
        <v>0</v>
      </c>
      <c r="BA79" t="n">
        <v>0</v>
      </c>
      <c r="BB79" t="inlineStr">
        <is>
          <t>Crédito Directo</t>
        </is>
      </c>
      <c r="BC79" t="inlineStr">
        <is>
          <t>Scotiabank Perú</t>
        </is>
      </c>
      <c r="BD79" t="inlineStr">
        <is>
          <t>000-2768484</t>
        </is>
      </c>
      <c r="BE79" t="inlineStr">
        <is>
          <t>TRANSFERENCIA BANCARIA</t>
        </is>
      </c>
      <c r="BG79" t="inlineStr">
        <is>
          <t>0349568</t>
        </is>
      </c>
      <c r="BH79" t="inlineStr">
        <is>
          <t>Si</t>
        </is>
      </c>
      <c r="BJ79" t="n">
        <v>3.38</v>
      </c>
      <c r="BK79" t="inlineStr">
        <is>
          <t>CANCELADO</t>
        </is>
      </c>
      <c r="BV79" t="inlineStr">
        <is>
          <t>Si</t>
        </is>
      </c>
      <c r="BW79" s="76" t="n">
        <v>45985.73819444444</v>
      </c>
      <c r="BX79" t="inlineStr">
        <is>
          <t>Magaly Guevara Perez</t>
        </is>
      </c>
      <c r="BZ79" t="n">
        <v>28</v>
      </c>
      <c r="CA79" t="inlineStr">
        <is>
          <t>09/06/2026 09:45</t>
        </is>
      </c>
      <c r="CB79" t="n">
        <v>0</v>
      </c>
      <c r="CF79" t="inlineStr">
        <is>
          <t>Cobranzas_2025.csv</t>
        </is>
      </c>
      <c r="CG79" t="n">
        <v>2025</v>
      </c>
      <c r="CH79" t="inlineStr">
        <is>
          <t>01/01/2024</t>
        </is>
      </c>
      <c r="CI79" t="inlineStr">
        <is>
          <t>24/08/2031</t>
        </is>
      </c>
    </row>
    <row r="80">
      <c r="A80" t="inlineStr">
        <is>
          <t>RESIDENCIAL PRADA</t>
        </is>
      </c>
      <c r="B80" t="inlineStr">
        <is>
          <t>Etapa 1</t>
        </is>
      </c>
      <c r="C80" t="inlineStr">
        <is>
          <t>Edificio</t>
        </is>
      </c>
      <c r="D80" t="inlineStr">
        <is>
          <t>A</t>
        </is>
      </c>
      <c r="E80" t="inlineStr">
        <is>
          <t>Departamento</t>
        </is>
      </c>
      <c r="F80" t="inlineStr">
        <is>
          <t>1003</t>
        </is>
      </c>
      <c r="G80" t="n">
        <v>88.27</v>
      </c>
      <c r="H80" t="n">
        <v>0</v>
      </c>
      <c r="I80" s="39" t="n">
        <v>675000</v>
      </c>
      <c r="J80" s="39" t="n">
        <v>675000</v>
      </c>
      <c r="K80" t="inlineStr">
        <is>
          <t>Edificio</t>
        </is>
      </c>
      <c r="L80" t="inlineStr">
        <is>
          <t>A</t>
        </is>
      </c>
      <c r="M80" t="inlineStr">
        <is>
          <t>Estacionamiento</t>
        </is>
      </c>
      <c r="N80" t="inlineStr">
        <is>
          <t>E 11 - D 08</t>
        </is>
      </c>
      <c r="O80" t="n">
        <v>12.5</v>
      </c>
      <c r="P80" t="n">
        <v>3.8</v>
      </c>
      <c r="Q80" s="39" t="n">
        <v>60400</v>
      </c>
      <c r="R80" s="39" t="n">
        <v>60400</v>
      </c>
      <c r="Y80" s="39" t="n"/>
      <c r="Z80" s="39" t="n"/>
      <c r="AG80" s="39" t="n"/>
      <c r="AH80" s="39" t="n"/>
      <c r="AI80" t="inlineStr">
        <is>
          <t>ANDEAN AYNI TRAVEL AGENCIA DE VIAJES Y TRANSPORTE EIRL</t>
        </is>
      </c>
      <c r="AJ80" t="inlineStr">
        <is>
          <t>20610697403</t>
        </is>
      </c>
      <c r="AK80" t="inlineStr">
        <is>
          <t>JR. DANTE NAVA NRO. 310 BAR. NUEVA UNVERSIDAD</t>
        </is>
      </c>
      <c r="AL80" t="n">
        <v>0</v>
      </c>
      <c r="AM80" t="inlineStr">
        <is>
          <t>951923088</t>
        </is>
      </c>
      <c r="AN80" t="inlineStr">
        <is>
          <t>operacionesjudith@gmail.com</t>
        </is>
      </c>
      <c r="AO80" t="inlineStr">
        <is>
          <t>PUNO</t>
        </is>
      </c>
      <c r="AP80" t="inlineStr">
        <is>
          <t>PUNO</t>
        </is>
      </c>
      <c r="AQ80" s="75" t="n">
        <v>46008</v>
      </c>
      <c r="AR80" s="75" t="n">
        <v>46010</v>
      </c>
      <c r="AS80" t="inlineStr">
        <is>
          <t>SALDO FINANCIAR</t>
        </is>
      </c>
      <c r="AT80" t="n">
        <v>1</v>
      </c>
      <c r="AU80" t="n">
        <v>66057.14</v>
      </c>
      <c r="AV80" t="n">
        <v>0</v>
      </c>
      <c r="AW80" t="n">
        <v>0</v>
      </c>
      <c r="AX80" s="39" t="n">
        <v>66057.14</v>
      </c>
      <c r="AY80" s="39" t="n">
        <v>66057.14</v>
      </c>
      <c r="AZ80" s="39" t="n">
        <v>0</v>
      </c>
      <c r="BA80" t="n">
        <v>0</v>
      </c>
      <c r="BB80" t="inlineStr">
        <is>
          <t>Crédito Directo</t>
        </is>
      </c>
      <c r="BC80" t="inlineStr">
        <is>
          <t>Scotiabank Perú</t>
        </is>
      </c>
      <c r="BD80" t="inlineStr">
        <is>
          <t>000-2768484</t>
        </is>
      </c>
      <c r="BE80" t="inlineStr">
        <is>
          <t>TRANSFERENCIA BANCARIA</t>
        </is>
      </c>
      <c r="BG80" t="inlineStr">
        <is>
          <t>0780435</t>
        </is>
      </c>
      <c r="BH80" t="inlineStr">
        <is>
          <t>Si</t>
        </is>
      </c>
      <c r="BJ80" t="n">
        <v>3.38</v>
      </c>
      <c r="BK80" t="inlineStr">
        <is>
          <t>CANCELADO</t>
        </is>
      </c>
      <c r="BV80" t="inlineStr">
        <is>
          <t>Si</t>
        </is>
      </c>
      <c r="BW80" s="76" t="n">
        <v>45985.73819444444</v>
      </c>
      <c r="BX80" t="inlineStr">
        <is>
          <t>Magaly Guevara Perez</t>
        </is>
      </c>
      <c r="BZ80" t="n">
        <v>28</v>
      </c>
      <c r="CA80" t="inlineStr">
        <is>
          <t>09/06/2026 09:47</t>
        </is>
      </c>
      <c r="CB80" t="n">
        <v>0</v>
      </c>
      <c r="CF80" t="inlineStr">
        <is>
          <t>Cobranzas_2025.csv</t>
        </is>
      </c>
      <c r="CG80" t="n">
        <v>2025</v>
      </c>
      <c r="CH80" t="inlineStr">
        <is>
          <t>01/01/2024</t>
        </is>
      </c>
      <c r="CI80" t="inlineStr">
        <is>
          <t>24/08/2031</t>
        </is>
      </c>
    </row>
    <row r="81">
      <c r="A81" t="inlineStr">
        <is>
          <t>RESIDENCIAL PRADA</t>
        </is>
      </c>
      <c r="B81" t="inlineStr">
        <is>
          <t>Etapa 1</t>
        </is>
      </c>
      <c r="C81" t="inlineStr">
        <is>
          <t>Edificio</t>
        </is>
      </c>
      <c r="D81" t="inlineStr">
        <is>
          <t>A</t>
        </is>
      </c>
      <c r="E81" t="inlineStr">
        <is>
          <t>Departamento</t>
        </is>
      </c>
      <c r="F81" t="inlineStr">
        <is>
          <t>103</t>
        </is>
      </c>
      <c r="G81" t="n">
        <v>60.94</v>
      </c>
      <c r="H81" t="n">
        <v>30.59</v>
      </c>
      <c r="I81" s="39" t="n">
        <v>520400</v>
      </c>
      <c r="J81" s="39" t="n">
        <v>520400</v>
      </c>
      <c r="Q81" s="39" t="n"/>
      <c r="R81" s="39" t="n"/>
      <c r="Y81" s="39" t="n"/>
      <c r="Z81" s="39" t="n"/>
      <c r="AG81" s="39" t="n"/>
      <c r="AH81" s="39" t="n"/>
      <c r="AI81" t="inlineStr">
        <is>
          <t>Ayleen Katia Messarina Rios</t>
        </is>
      </c>
      <c r="AJ81" t="inlineStr">
        <is>
          <t>70512701</t>
        </is>
      </c>
      <c r="AK81" t="inlineStr">
        <is>
          <t>Departamento 101 Urbanización Santa Rosa de Surco etapa 2 Mz D Lt 23</t>
        </is>
      </c>
      <c r="AL81" t="n">
        <v>978722675</v>
      </c>
      <c r="AM81" t="inlineStr">
        <is>
          <t>978722675</t>
        </is>
      </c>
      <c r="AN81" t="inlineStr">
        <is>
          <t>ayleen30mr@gmail.com</t>
        </is>
      </c>
      <c r="AO81" t="inlineStr">
        <is>
          <t>LIMA</t>
        </is>
      </c>
      <c r="AP81" t="inlineStr">
        <is>
          <t>SANTIAGO DE SURCO</t>
        </is>
      </c>
      <c r="AQ81" s="75" t="n">
        <v>45663</v>
      </c>
      <c r="AR81" s="75" t="n">
        <v>45663</v>
      </c>
      <c r="AS81" t="inlineStr">
        <is>
          <t>CUOTA INICIAL</t>
        </is>
      </c>
      <c r="AT81" t="n">
        <v>1</v>
      </c>
      <c r="AU81" t="n">
        <v>117000</v>
      </c>
      <c r="AV81" t="n">
        <v>0</v>
      </c>
      <c r="AW81" t="n">
        <v>0</v>
      </c>
      <c r="AX81" s="39" t="n">
        <v>117000</v>
      </c>
      <c r="AY81" s="39" t="n">
        <v>117000</v>
      </c>
      <c r="AZ81" s="39" t="n">
        <v>0</v>
      </c>
      <c r="BA81" t="n">
        <v>0</v>
      </c>
      <c r="BB81" t="inlineStr">
        <is>
          <t>Crédito Hipotecario</t>
        </is>
      </c>
      <c r="BC81" t="inlineStr">
        <is>
          <t>Scotiabank Perú</t>
        </is>
      </c>
      <c r="BD81" t="inlineStr">
        <is>
          <t>000-2768484</t>
        </is>
      </c>
      <c r="BE81" t="inlineStr">
        <is>
          <t>TRANSFERENCIA BANCARIA</t>
        </is>
      </c>
      <c r="BG81" t="inlineStr">
        <is>
          <t>00157</t>
        </is>
      </c>
      <c r="BH81" t="inlineStr">
        <is>
          <t>No</t>
        </is>
      </c>
      <c r="BJ81" t="n">
        <v>4</v>
      </c>
      <c r="BK81" t="inlineStr">
        <is>
          <t>CANCELADO</t>
        </is>
      </c>
      <c r="BV81" t="inlineStr">
        <is>
          <t>Si</t>
        </is>
      </c>
      <c r="BW81" s="76" t="n">
        <v>45663.58819444444</v>
      </c>
      <c r="BX81" t="inlineStr">
        <is>
          <t>Kenny Salazar S</t>
        </is>
      </c>
      <c r="BZ81" t="n">
        <v>31</v>
      </c>
      <c r="CA81" t="inlineStr">
        <is>
          <t>26/06/2026 17:23</t>
        </is>
      </c>
      <c r="CB81" t="n">
        <v>0</v>
      </c>
      <c r="CF81" t="inlineStr">
        <is>
          <t>Cobranzas_2025.csv</t>
        </is>
      </c>
      <c r="CG81" t="n">
        <v>2025</v>
      </c>
      <c r="CH81" t="inlineStr">
        <is>
          <t>01/01/2024</t>
        </is>
      </c>
      <c r="CI81" t="inlineStr">
        <is>
          <t>24/08/2031</t>
        </is>
      </c>
    </row>
    <row r="82">
      <c r="A82" t="inlineStr">
        <is>
          <t>RESIDENCIAL PRADA</t>
        </is>
      </c>
      <c r="B82" t="inlineStr">
        <is>
          <t>Etapa 1</t>
        </is>
      </c>
      <c r="C82" t="inlineStr">
        <is>
          <t>Edificio</t>
        </is>
      </c>
      <c r="D82" t="inlineStr">
        <is>
          <t>A</t>
        </is>
      </c>
      <c r="E82" t="inlineStr">
        <is>
          <t>Departamento</t>
        </is>
      </c>
      <c r="F82" t="inlineStr">
        <is>
          <t>103</t>
        </is>
      </c>
      <c r="G82" t="n">
        <v>60.94</v>
      </c>
      <c r="H82" t="n">
        <v>30.59</v>
      </c>
      <c r="I82" s="39" t="n">
        <v>520400</v>
      </c>
      <c r="J82" s="39" t="n">
        <v>520400</v>
      </c>
      <c r="Q82" s="39" t="n"/>
      <c r="R82" s="39" t="n"/>
      <c r="Y82" s="39" t="n"/>
      <c r="Z82" s="39" t="n"/>
      <c r="AG82" s="39" t="n"/>
      <c r="AH82" s="39" t="n"/>
      <c r="AI82" t="inlineStr">
        <is>
          <t>Ayleen Katia Messarina Rios</t>
        </is>
      </c>
      <c r="AJ82" t="inlineStr">
        <is>
          <t>70512701</t>
        </is>
      </c>
      <c r="AK82" t="inlineStr">
        <is>
          <t>Departamento 101 Urbanización Santa Rosa de Surco etapa 2 Mz D Lt 23</t>
        </is>
      </c>
      <c r="AL82" t="n">
        <v>978722675</v>
      </c>
      <c r="AM82" t="inlineStr">
        <is>
          <t>978722675</t>
        </is>
      </c>
      <c r="AN82" t="inlineStr">
        <is>
          <t>ayleen30mr@gmail.com</t>
        </is>
      </c>
      <c r="AO82" t="inlineStr">
        <is>
          <t>LIMA</t>
        </is>
      </c>
      <c r="AP82" t="inlineStr">
        <is>
          <t>SANTIAGO DE SURCO</t>
        </is>
      </c>
      <c r="AQ82" s="75" t="n">
        <v>45688</v>
      </c>
      <c r="AR82" s="75" t="n">
        <v>45716</v>
      </c>
      <c r="AS82" t="inlineStr">
        <is>
          <t>SALDO FINANCIAR</t>
        </is>
      </c>
      <c r="AT82" t="n">
        <v>1</v>
      </c>
      <c r="AU82" t="n">
        <v>400400</v>
      </c>
      <c r="AV82" t="n">
        <v>0</v>
      </c>
      <c r="AW82" t="n">
        <v>0</v>
      </c>
      <c r="AX82" s="39" t="n">
        <v>400400</v>
      </c>
      <c r="AY82" s="39" t="n">
        <v>400400</v>
      </c>
      <c r="AZ82" s="39" t="n">
        <v>0</v>
      </c>
      <c r="BA82" t="n">
        <v>0</v>
      </c>
      <c r="BB82" t="inlineStr">
        <is>
          <t>Crédito Hipotecario</t>
        </is>
      </c>
      <c r="BC82" t="inlineStr">
        <is>
          <t>Scotiabank Perú</t>
        </is>
      </c>
      <c r="BD82" t="inlineStr">
        <is>
          <t>000-2768484</t>
        </is>
      </c>
      <c r="BE82" t="inlineStr">
        <is>
          <t>TRANSFERENCIA BANCARIA</t>
        </is>
      </c>
      <c r="BG82" t="inlineStr">
        <is>
          <t>2612024</t>
        </is>
      </c>
      <c r="BH82" t="inlineStr">
        <is>
          <t>No</t>
        </is>
      </c>
      <c r="BJ82" t="n">
        <v>4</v>
      </c>
      <c r="BK82" t="inlineStr">
        <is>
          <t>CANCELADO</t>
        </is>
      </c>
      <c r="BV82" t="inlineStr">
        <is>
          <t>Si</t>
        </is>
      </c>
      <c r="BW82" s="76" t="n">
        <v>45663.58819444444</v>
      </c>
      <c r="BX82" t="inlineStr">
        <is>
          <t>Kenny Salazar S</t>
        </is>
      </c>
      <c r="BZ82" t="n">
        <v>31</v>
      </c>
      <c r="CA82" t="inlineStr">
        <is>
          <t>26/06/2026 17:25</t>
        </is>
      </c>
      <c r="CB82" t="n">
        <v>0</v>
      </c>
      <c r="CF82" t="inlineStr">
        <is>
          <t>Cobranzas_2025.csv</t>
        </is>
      </c>
      <c r="CG82" t="n">
        <v>2025</v>
      </c>
      <c r="CH82" t="inlineStr">
        <is>
          <t>01/01/2024</t>
        </is>
      </c>
      <c r="CI82" t="inlineStr">
        <is>
          <t>24/08/2031</t>
        </is>
      </c>
    </row>
    <row r="83">
      <c r="A83" t="inlineStr">
        <is>
          <t>RESIDENCIAL PRADA</t>
        </is>
      </c>
      <c r="B83" t="inlineStr">
        <is>
          <t>Etapa 1</t>
        </is>
      </c>
      <c r="C83" t="inlineStr">
        <is>
          <t>Edificio</t>
        </is>
      </c>
      <c r="D83" t="inlineStr">
        <is>
          <t>A</t>
        </is>
      </c>
      <c r="E83" t="inlineStr">
        <is>
          <t>Estacionamiento</t>
        </is>
      </c>
      <c r="F83" t="inlineStr">
        <is>
          <t>E 14 - D 11</t>
        </is>
      </c>
      <c r="G83" t="n">
        <v>14.63</v>
      </c>
      <c r="H83" t="n">
        <v>2.37</v>
      </c>
      <c r="I83" s="39" t="n">
        <v>56300</v>
      </c>
      <c r="J83" s="39" t="n">
        <v>56300</v>
      </c>
      <c r="Q83" s="39" t="n"/>
      <c r="R83" s="39" t="n"/>
      <c r="Y83" s="39" t="n"/>
      <c r="Z83" s="39" t="n"/>
      <c r="AG83" s="39" t="n"/>
      <c r="AH83" s="39" t="n"/>
      <c r="AI83" t="inlineStr">
        <is>
          <t>Ayleen Katia Messarina Rios</t>
        </is>
      </c>
      <c r="AJ83" t="inlineStr">
        <is>
          <t>70512701</t>
        </is>
      </c>
      <c r="AK83" t="inlineStr">
        <is>
          <t>Departamento 101 Urbanización Santa Rosa de Surco etapa 2 Mz D Lt 23</t>
        </is>
      </c>
      <c r="AL83" t="n">
        <v>978722675</v>
      </c>
      <c r="AM83" t="inlineStr">
        <is>
          <t>978722675</t>
        </is>
      </c>
      <c r="AN83" t="inlineStr">
        <is>
          <t>ayleen30mr@gmail.com</t>
        </is>
      </c>
      <c r="AO83" t="inlineStr">
        <is>
          <t>LIMA</t>
        </is>
      </c>
      <c r="AP83" t="inlineStr">
        <is>
          <t>SANTIAGO DE SURCO</t>
        </is>
      </c>
      <c r="AQ83" s="75" t="n">
        <v>45748</v>
      </c>
      <c r="AR83" s="75" t="n">
        <v>45748</v>
      </c>
      <c r="AS83" t="inlineStr">
        <is>
          <t>SALDO FINANCIAR</t>
        </is>
      </c>
      <c r="AT83" t="n">
        <v>1</v>
      </c>
      <c r="AU83" t="n">
        <v>3800</v>
      </c>
      <c r="AV83" t="n">
        <v>0</v>
      </c>
      <c r="AW83" t="n">
        <v>0</v>
      </c>
      <c r="AX83" s="39" t="n">
        <v>3800</v>
      </c>
      <c r="AY83" s="39" t="n">
        <v>3800</v>
      </c>
      <c r="AZ83" s="39" t="n">
        <v>0</v>
      </c>
      <c r="BA83" t="n">
        <v>0</v>
      </c>
      <c r="BB83" t="inlineStr">
        <is>
          <t>Crédito Directo</t>
        </is>
      </c>
      <c r="BC83" t="inlineStr">
        <is>
          <t>Scotiabank Perú</t>
        </is>
      </c>
      <c r="BD83" t="inlineStr">
        <is>
          <t>000-2768484</t>
        </is>
      </c>
      <c r="BE83" t="inlineStr">
        <is>
          <t>TRANSFERENCIA BANCARIA</t>
        </is>
      </c>
      <c r="BG83" t="inlineStr">
        <is>
          <t>01459586</t>
        </is>
      </c>
      <c r="BH83" t="inlineStr">
        <is>
          <t>No</t>
        </is>
      </c>
      <c r="BJ83" t="n">
        <v>4</v>
      </c>
      <c r="BK83" t="inlineStr">
        <is>
          <t>CANCELADO</t>
        </is>
      </c>
      <c r="BV83" t="inlineStr">
        <is>
          <t>Si</t>
        </is>
      </c>
      <c r="BW83" s="76" t="n">
        <v>45748.62986111111</v>
      </c>
      <c r="BX83" t="inlineStr">
        <is>
          <t>Magaly Guevara Perez</t>
        </is>
      </c>
      <c r="BZ83" t="n">
        <v>56</v>
      </c>
      <c r="CA83" t="inlineStr">
        <is>
          <t>28/06/2026 21:23</t>
        </is>
      </c>
      <c r="CB83" t="n">
        <v>0</v>
      </c>
      <c r="CF83" t="inlineStr">
        <is>
          <t>Cobranzas_2025.csv</t>
        </is>
      </c>
      <c r="CG83" t="n">
        <v>2025</v>
      </c>
      <c r="CH83" t="inlineStr">
        <is>
          <t>01/01/2024</t>
        </is>
      </c>
      <c r="CI83" t="inlineStr">
        <is>
          <t>24/08/2031</t>
        </is>
      </c>
    </row>
    <row r="84">
      <c r="A84" t="inlineStr">
        <is>
          <t>RESIDENCIAL PRADA</t>
        </is>
      </c>
      <c r="B84" t="inlineStr">
        <is>
          <t>Etapa 1</t>
        </is>
      </c>
      <c r="C84" t="inlineStr">
        <is>
          <t>Edificio</t>
        </is>
      </c>
      <c r="D84" t="inlineStr">
        <is>
          <t>A</t>
        </is>
      </c>
      <c r="E84" t="inlineStr">
        <is>
          <t>Estacionamiento</t>
        </is>
      </c>
      <c r="F84" t="inlineStr">
        <is>
          <t>E 14 - D 11</t>
        </is>
      </c>
      <c r="G84" t="n">
        <v>14.63</v>
      </c>
      <c r="H84" t="n">
        <v>2.37</v>
      </c>
      <c r="I84" s="39" t="n">
        <v>56300</v>
      </c>
      <c r="J84" s="39" t="n">
        <v>56300</v>
      </c>
      <c r="Q84" s="39" t="n"/>
      <c r="R84" s="39" t="n"/>
      <c r="Y84" s="39" t="n"/>
      <c r="Z84" s="39" t="n"/>
      <c r="AG84" s="39" t="n"/>
      <c r="AH84" s="39" t="n"/>
      <c r="AI84" t="inlineStr">
        <is>
          <t>Ayleen Katia Messarina Rios</t>
        </is>
      </c>
      <c r="AJ84" t="inlineStr">
        <is>
          <t>70512701</t>
        </is>
      </c>
      <c r="AK84" t="inlineStr">
        <is>
          <t>Departamento 101 Urbanización Santa Rosa de Surco etapa 2 Mz D Lt 23</t>
        </is>
      </c>
      <c r="AL84" t="n">
        <v>978722675</v>
      </c>
      <c r="AM84" t="inlineStr">
        <is>
          <t>978722675</t>
        </is>
      </c>
      <c r="AN84" t="inlineStr">
        <is>
          <t>ayleen30mr@gmail.com</t>
        </is>
      </c>
      <c r="AO84" t="inlineStr">
        <is>
          <t>LIMA</t>
        </is>
      </c>
      <c r="AP84" t="inlineStr">
        <is>
          <t>SANTIAGO DE SURCO</t>
        </is>
      </c>
      <c r="AQ84" s="75" t="n">
        <v>45778</v>
      </c>
      <c r="AR84" s="75" t="n">
        <v>45796</v>
      </c>
      <c r="AS84" t="inlineStr">
        <is>
          <t>SALDO FINANCIAR</t>
        </is>
      </c>
      <c r="AT84" t="n">
        <v>2</v>
      </c>
      <c r="AU84" t="n">
        <v>3800</v>
      </c>
      <c r="AV84" t="n">
        <v>0</v>
      </c>
      <c r="AW84" t="n">
        <v>0</v>
      </c>
      <c r="AX84" s="39" t="n">
        <v>3800</v>
      </c>
      <c r="AY84" s="39" t="n">
        <v>3800</v>
      </c>
      <c r="AZ84" s="39" t="n">
        <v>0</v>
      </c>
      <c r="BA84" t="n">
        <v>0</v>
      </c>
      <c r="BB84" t="inlineStr">
        <is>
          <t>Crédito Directo</t>
        </is>
      </c>
      <c r="BC84" t="inlineStr">
        <is>
          <t>Scotiabank Perú</t>
        </is>
      </c>
      <c r="BD84" t="inlineStr">
        <is>
          <t>000-2768484</t>
        </is>
      </c>
      <c r="BE84" t="inlineStr">
        <is>
          <t>TRANSFERENCIA BANCARIA</t>
        </is>
      </c>
      <c r="BG84" t="inlineStr">
        <is>
          <t>03388134</t>
        </is>
      </c>
      <c r="BH84" t="inlineStr">
        <is>
          <t>No</t>
        </is>
      </c>
      <c r="BJ84" t="n">
        <v>4</v>
      </c>
      <c r="BK84" t="inlineStr">
        <is>
          <t>CANCELADO</t>
        </is>
      </c>
      <c r="BV84" t="inlineStr">
        <is>
          <t>Si</t>
        </is>
      </c>
      <c r="BW84" s="76" t="n">
        <v>45748.62986111111</v>
      </c>
      <c r="BX84" t="inlineStr">
        <is>
          <t>Magaly Guevara Perez</t>
        </is>
      </c>
      <c r="BZ84" t="n">
        <v>56</v>
      </c>
      <c r="CA84" t="inlineStr">
        <is>
          <t>28/06/2026 21:24</t>
        </is>
      </c>
      <c r="CB84" t="n">
        <v>0</v>
      </c>
      <c r="CF84" t="inlineStr">
        <is>
          <t>Cobranzas_2025.csv</t>
        </is>
      </c>
      <c r="CG84" t="n">
        <v>2025</v>
      </c>
      <c r="CH84" t="inlineStr">
        <is>
          <t>01/01/2024</t>
        </is>
      </c>
      <c r="CI84" t="inlineStr">
        <is>
          <t>24/08/2031</t>
        </is>
      </c>
    </row>
    <row r="85">
      <c r="A85" t="inlineStr">
        <is>
          <t>RESIDENCIAL PRADA</t>
        </is>
      </c>
      <c r="B85" t="inlineStr">
        <is>
          <t>Etapa 1</t>
        </is>
      </c>
      <c r="C85" t="inlineStr">
        <is>
          <t>Edificio</t>
        </is>
      </c>
      <c r="D85" t="inlineStr">
        <is>
          <t>A</t>
        </is>
      </c>
      <c r="E85" t="inlineStr">
        <is>
          <t>Estacionamiento</t>
        </is>
      </c>
      <c r="F85" t="inlineStr">
        <is>
          <t>E 14 - D 11</t>
        </is>
      </c>
      <c r="G85" t="n">
        <v>14.63</v>
      </c>
      <c r="H85" t="n">
        <v>2.37</v>
      </c>
      <c r="I85" s="39" t="n">
        <v>56300</v>
      </c>
      <c r="J85" s="39" t="n">
        <v>56300</v>
      </c>
      <c r="Q85" s="39" t="n"/>
      <c r="R85" s="39" t="n"/>
      <c r="Y85" s="39" t="n"/>
      <c r="Z85" s="39" t="n"/>
      <c r="AG85" s="39" t="n"/>
      <c r="AH85" s="39" t="n"/>
      <c r="AI85" t="inlineStr">
        <is>
          <t>Ayleen Katia Messarina Rios</t>
        </is>
      </c>
      <c r="AJ85" t="inlineStr">
        <is>
          <t>70512701</t>
        </is>
      </c>
      <c r="AK85" t="inlineStr">
        <is>
          <t>Departamento 101 Urbanización Santa Rosa de Surco etapa 2 Mz D Lt 23</t>
        </is>
      </c>
      <c r="AL85" t="n">
        <v>978722675</v>
      </c>
      <c r="AM85" t="inlineStr">
        <is>
          <t>978722675</t>
        </is>
      </c>
      <c r="AN85" t="inlineStr">
        <is>
          <t>ayleen30mr@gmail.com</t>
        </is>
      </c>
      <c r="AO85" t="inlineStr">
        <is>
          <t>LIMA</t>
        </is>
      </c>
      <c r="AP85" t="inlineStr">
        <is>
          <t>SANTIAGO DE SURCO</t>
        </is>
      </c>
      <c r="AQ85" s="75" t="n">
        <v>45809</v>
      </c>
      <c r="AR85" s="75" t="n">
        <v>45810</v>
      </c>
      <c r="AS85" t="inlineStr">
        <is>
          <t>SALDO FINANCIAR</t>
        </is>
      </c>
      <c r="AT85" t="n">
        <v>3</v>
      </c>
      <c r="AU85" t="n">
        <v>3800</v>
      </c>
      <c r="AV85" t="n">
        <v>0</v>
      </c>
      <c r="AW85" t="n">
        <v>0</v>
      </c>
      <c r="AX85" s="39" t="n">
        <v>3800</v>
      </c>
      <c r="AY85" s="39" t="n">
        <v>3800</v>
      </c>
      <c r="AZ85" s="39" t="n">
        <v>0</v>
      </c>
      <c r="BA85" t="n">
        <v>0</v>
      </c>
      <c r="BB85" t="inlineStr">
        <is>
          <t>Crédito Directo</t>
        </is>
      </c>
      <c r="BC85" t="inlineStr">
        <is>
          <t>Scotiabank Perú</t>
        </is>
      </c>
      <c r="BD85" t="inlineStr">
        <is>
          <t>000-2768484</t>
        </is>
      </c>
      <c r="BE85" t="inlineStr">
        <is>
          <t>TRANSFERENCIA BANCARIA</t>
        </is>
      </c>
      <c r="BG85" t="inlineStr">
        <is>
          <t>03577668</t>
        </is>
      </c>
      <c r="BH85" t="inlineStr">
        <is>
          <t>No</t>
        </is>
      </c>
      <c r="BJ85" t="n">
        <v>4</v>
      </c>
      <c r="BK85" t="inlineStr">
        <is>
          <t>CANCELADO</t>
        </is>
      </c>
      <c r="BV85" t="inlineStr">
        <is>
          <t>Si</t>
        </is>
      </c>
      <c r="BW85" s="76" t="n">
        <v>45748.62986111111</v>
      </c>
      <c r="BX85" t="inlineStr">
        <is>
          <t>Magaly Guevara Perez</t>
        </is>
      </c>
      <c r="BZ85" t="n">
        <v>56</v>
      </c>
      <c r="CA85" t="inlineStr">
        <is>
          <t>28/06/2026 21:25</t>
        </is>
      </c>
      <c r="CB85" t="n">
        <v>0</v>
      </c>
      <c r="CF85" t="inlineStr">
        <is>
          <t>Cobranzas_2025.csv</t>
        </is>
      </c>
      <c r="CG85" t="n">
        <v>2025</v>
      </c>
      <c r="CH85" t="inlineStr">
        <is>
          <t>01/01/2024</t>
        </is>
      </c>
      <c r="CI85" t="inlineStr">
        <is>
          <t>24/08/2031</t>
        </is>
      </c>
    </row>
    <row r="86">
      <c r="A86" t="inlineStr">
        <is>
          <t>RESIDENCIAL PRADA</t>
        </is>
      </c>
      <c r="B86" t="inlineStr">
        <is>
          <t>Etapa 1</t>
        </is>
      </c>
      <c r="C86" t="inlineStr">
        <is>
          <t>Edificio</t>
        </is>
      </c>
      <c r="D86" t="inlineStr">
        <is>
          <t>A</t>
        </is>
      </c>
      <c r="E86" t="inlineStr">
        <is>
          <t>Estacionamiento</t>
        </is>
      </c>
      <c r="F86" t="inlineStr">
        <is>
          <t>E 14 - D 11</t>
        </is>
      </c>
      <c r="G86" t="n">
        <v>14.63</v>
      </c>
      <c r="H86" t="n">
        <v>2.37</v>
      </c>
      <c r="I86" s="39" t="n">
        <v>56300</v>
      </c>
      <c r="J86" s="39" t="n">
        <v>56300</v>
      </c>
      <c r="Q86" s="39" t="n"/>
      <c r="R86" s="39" t="n"/>
      <c r="Y86" s="39" t="n"/>
      <c r="Z86" s="39" t="n"/>
      <c r="AG86" s="39" t="n"/>
      <c r="AH86" s="39" t="n"/>
      <c r="AI86" t="inlineStr">
        <is>
          <t>Ayleen Katia Messarina Rios</t>
        </is>
      </c>
      <c r="AJ86" t="inlineStr">
        <is>
          <t>70512701</t>
        </is>
      </c>
      <c r="AK86" t="inlineStr">
        <is>
          <t>Departamento 101 Urbanización Santa Rosa de Surco etapa 2 Mz D Lt 23</t>
        </is>
      </c>
      <c r="AL86" t="n">
        <v>978722675</v>
      </c>
      <c r="AM86" t="inlineStr">
        <is>
          <t>978722675</t>
        </is>
      </c>
      <c r="AN86" t="inlineStr">
        <is>
          <t>ayleen30mr@gmail.com</t>
        </is>
      </c>
      <c r="AO86" t="inlineStr">
        <is>
          <t>LIMA</t>
        </is>
      </c>
      <c r="AP86" t="inlineStr">
        <is>
          <t>SANTIAGO DE SURCO</t>
        </is>
      </c>
      <c r="AQ86" s="75" t="n">
        <v>45839</v>
      </c>
      <c r="AR86" s="75" t="n">
        <v>45838</v>
      </c>
      <c r="AS86" t="inlineStr">
        <is>
          <t>SALDO FINANCIAR</t>
        </is>
      </c>
      <c r="AT86" t="n">
        <v>4</v>
      </c>
      <c r="AU86" t="n">
        <v>3800</v>
      </c>
      <c r="AV86" t="n">
        <v>0</v>
      </c>
      <c r="AW86" t="n">
        <v>0</v>
      </c>
      <c r="AX86" s="39" t="n">
        <v>3800</v>
      </c>
      <c r="AY86" s="39" t="n">
        <v>3800</v>
      </c>
      <c r="AZ86" s="39" t="n">
        <v>0</v>
      </c>
      <c r="BA86" t="n">
        <v>0</v>
      </c>
      <c r="BB86" t="inlineStr">
        <is>
          <t>Crédito Directo</t>
        </is>
      </c>
      <c r="BC86" t="inlineStr">
        <is>
          <t>Scotiabank Perú</t>
        </is>
      </c>
      <c r="BD86" t="inlineStr">
        <is>
          <t>000-2768484</t>
        </is>
      </c>
      <c r="BE86" t="inlineStr">
        <is>
          <t>TRANSFERENCIA BANCARIA</t>
        </is>
      </c>
      <c r="BG86" t="inlineStr">
        <is>
          <t>04294427</t>
        </is>
      </c>
      <c r="BH86" t="inlineStr">
        <is>
          <t>No</t>
        </is>
      </c>
      <c r="BJ86" t="n">
        <v>4</v>
      </c>
      <c r="BK86" t="inlineStr">
        <is>
          <t>CANCELADO</t>
        </is>
      </c>
      <c r="BV86" t="inlineStr">
        <is>
          <t>Si</t>
        </is>
      </c>
      <c r="BW86" s="76" t="n">
        <v>45748.62986111111</v>
      </c>
      <c r="BX86" t="inlineStr">
        <is>
          <t>Magaly Guevara Perez</t>
        </is>
      </c>
      <c r="BZ86" t="n">
        <v>56</v>
      </c>
      <c r="CA86" t="inlineStr">
        <is>
          <t>28/06/2026 21:26</t>
        </is>
      </c>
      <c r="CB86" t="n">
        <v>0</v>
      </c>
      <c r="CF86" t="inlineStr">
        <is>
          <t>Cobranzas_2025.csv</t>
        </is>
      </c>
      <c r="CG86" t="n">
        <v>2025</v>
      </c>
      <c r="CH86" t="inlineStr">
        <is>
          <t>01/01/2024</t>
        </is>
      </c>
      <c r="CI86" t="inlineStr">
        <is>
          <t>24/08/2031</t>
        </is>
      </c>
    </row>
    <row r="87">
      <c r="A87" t="inlineStr">
        <is>
          <t>RESIDENCIAL PRADA</t>
        </is>
      </c>
      <c r="B87" t="inlineStr">
        <is>
          <t>Etapa 1</t>
        </is>
      </c>
      <c r="C87" t="inlineStr">
        <is>
          <t>Edificio</t>
        </is>
      </c>
      <c r="D87" t="inlineStr">
        <is>
          <t>A</t>
        </is>
      </c>
      <c r="E87" t="inlineStr">
        <is>
          <t>Estacionamiento</t>
        </is>
      </c>
      <c r="F87" t="inlineStr">
        <is>
          <t>E 14 - D 11</t>
        </is>
      </c>
      <c r="G87" t="n">
        <v>14.63</v>
      </c>
      <c r="H87" t="n">
        <v>2.37</v>
      </c>
      <c r="I87" s="39" t="n">
        <v>56300</v>
      </c>
      <c r="J87" s="39" t="n">
        <v>56300</v>
      </c>
      <c r="Q87" s="39" t="n"/>
      <c r="R87" s="39" t="n"/>
      <c r="Y87" s="39" t="n"/>
      <c r="Z87" s="39" t="n"/>
      <c r="AG87" s="39" t="n"/>
      <c r="AH87" s="39" t="n"/>
      <c r="AI87" t="inlineStr">
        <is>
          <t>Ayleen Katia Messarina Rios</t>
        </is>
      </c>
      <c r="AJ87" t="inlineStr">
        <is>
          <t>70512701</t>
        </is>
      </c>
      <c r="AK87" t="inlineStr">
        <is>
          <t>Departamento 101 Urbanización Santa Rosa de Surco etapa 2 Mz D Lt 23</t>
        </is>
      </c>
      <c r="AL87" t="n">
        <v>978722675</v>
      </c>
      <c r="AM87" t="inlineStr">
        <is>
          <t>978722675</t>
        </is>
      </c>
      <c r="AN87" t="inlineStr">
        <is>
          <t>ayleen30mr@gmail.com</t>
        </is>
      </c>
      <c r="AO87" t="inlineStr">
        <is>
          <t>LIMA</t>
        </is>
      </c>
      <c r="AP87" t="inlineStr">
        <is>
          <t>SANTIAGO DE SURCO</t>
        </is>
      </c>
      <c r="AQ87" s="75" t="n">
        <v>45870</v>
      </c>
      <c r="AR87" s="75" t="n">
        <v>45868</v>
      </c>
      <c r="AS87" t="inlineStr">
        <is>
          <t>SALDO FINANCIAR</t>
        </is>
      </c>
      <c r="AT87" t="n">
        <v>5</v>
      </c>
      <c r="AU87" t="n">
        <v>3800</v>
      </c>
      <c r="AV87" t="n">
        <v>0</v>
      </c>
      <c r="AW87" t="n">
        <v>0</v>
      </c>
      <c r="AX87" s="39" t="n">
        <v>3800</v>
      </c>
      <c r="AY87" s="39" t="n">
        <v>3800</v>
      </c>
      <c r="AZ87" s="39" t="n">
        <v>0</v>
      </c>
      <c r="BA87" t="n">
        <v>0</v>
      </c>
      <c r="BB87" t="inlineStr">
        <is>
          <t>Crédito Directo</t>
        </is>
      </c>
      <c r="BC87" t="inlineStr">
        <is>
          <t>Scotiabank Perú</t>
        </is>
      </c>
      <c r="BD87" t="inlineStr">
        <is>
          <t>000-2768484</t>
        </is>
      </c>
      <c r="BE87" t="inlineStr">
        <is>
          <t>TRANSFERENCIA BANCARIA</t>
        </is>
      </c>
      <c r="BG87" t="inlineStr">
        <is>
          <t>05185364</t>
        </is>
      </c>
      <c r="BH87" t="inlineStr">
        <is>
          <t>No</t>
        </is>
      </c>
      <c r="BJ87" t="n">
        <v>4</v>
      </c>
      <c r="BK87" t="inlineStr">
        <is>
          <t>CANCELADO</t>
        </is>
      </c>
      <c r="BV87" t="inlineStr">
        <is>
          <t>Si</t>
        </is>
      </c>
      <c r="BW87" s="76" t="n">
        <v>45748.62986111111</v>
      </c>
      <c r="BX87" t="inlineStr">
        <is>
          <t>Magaly Guevara Perez</t>
        </is>
      </c>
      <c r="BZ87" t="n">
        <v>56</v>
      </c>
      <c r="CA87" t="inlineStr">
        <is>
          <t>28/06/2026 21:30</t>
        </is>
      </c>
      <c r="CB87" t="n">
        <v>0</v>
      </c>
      <c r="CF87" t="inlineStr">
        <is>
          <t>Cobranzas_2025.csv</t>
        </is>
      </c>
      <c r="CG87" t="n">
        <v>2025</v>
      </c>
      <c r="CH87" t="inlineStr">
        <is>
          <t>01/01/2024</t>
        </is>
      </c>
      <c r="CI87" t="inlineStr">
        <is>
          <t>24/08/2031</t>
        </is>
      </c>
    </row>
    <row r="88">
      <c r="A88" t="inlineStr">
        <is>
          <t>RESIDENCIAL PRADA</t>
        </is>
      </c>
      <c r="B88" t="inlineStr">
        <is>
          <t>Etapa 1</t>
        </is>
      </c>
      <c r="C88" t="inlineStr">
        <is>
          <t>Edificio</t>
        </is>
      </c>
      <c r="D88" t="inlineStr">
        <is>
          <t>A</t>
        </is>
      </c>
      <c r="E88" t="inlineStr">
        <is>
          <t>Estacionamiento</t>
        </is>
      </c>
      <c r="F88" t="inlineStr">
        <is>
          <t>E 14 - D 11</t>
        </is>
      </c>
      <c r="G88" t="n">
        <v>14.63</v>
      </c>
      <c r="H88" t="n">
        <v>2.37</v>
      </c>
      <c r="I88" s="39" t="n">
        <v>56300</v>
      </c>
      <c r="J88" s="39" t="n">
        <v>56300</v>
      </c>
      <c r="Q88" s="39" t="n"/>
      <c r="R88" s="39" t="n"/>
      <c r="Y88" s="39" t="n"/>
      <c r="Z88" s="39" t="n"/>
      <c r="AG88" s="39" t="n"/>
      <c r="AH88" s="39" t="n"/>
      <c r="AI88" t="inlineStr">
        <is>
          <t>Ayleen Katia Messarina Rios</t>
        </is>
      </c>
      <c r="AJ88" t="inlineStr">
        <is>
          <t>70512701</t>
        </is>
      </c>
      <c r="AK88" t="inlineStr">
        <is>
          <t>Departamento 101 Urbanización Santa Rosa de Surco etapa 2 Mz D Lt 23</t>
        </is>
      </c>
      <c r="AL88" t="n">
        <v>978722675</v>
      </c>
      <c r="AM88" t="inlineStr">
        <is>
          <t>978722675</t>
        </is>
      </c>
      <c r="AN88" t="inlineStr">
        <is>
          <t>ayleen30mr@gmail.com</t>
        </is>
      </c>
      <c r="AO88" t="inlineStr">
        <is>
          <t>LIMA</t>
        </is>
      </c>
      <c r="AP88" t="inlineStr">
        <is>
          <t>SANTIAGO DE SURCO</t>
        </is>
      </c>
      <c r="AQ88" s="75" t="n">
        <v>45901</v>
      </c>
      <c r="AR88" s="75" t="n">
        <v>45902</v>
      </c>
      <c r="AS88" t="inlineStr">
        <is>
          <t>SALDO FINANCIAR</t>
        </is>
      </c>
      <c r="AT88" t="n">
        <v>6</v>
      </c>
      <c r="AU88" t="n">
        <v>3800</v>
      </c>
      <c r="AV88" t="n">
        <v>0</v>
      </c>
      <c r="AW88" t="n">
        <v>0</v>
      </c>
      <c r="AX88" s="39" t="n">
        <v>3800</v>
      </c>
      <c r="AY88" s="39" t="n">
        <v>3800</v>
      </c>
      <c r="AZ88" s="39" t="n">
        <v>0</v>
      </c>
      <c r="BA88" t="n">
        <v>0</v>
      </c>
      <c r="BB88" t="inlineStr">
        <is>
          <t>Crédito Directo</t>
        </is>
      </c>
      <c r="BC88" t="inlineStr">
        <is>
          <t>Scotiabank Perú</t>
        </is>
      </c>
      <c r="BD88" t="inlineStr">
        <is>
          <t>000-2768484</t>
        </is>
      </c>
      <c r="BE88" t="inlineStr">
        <is>
          <t>TRANSFERENCIA BANCARIA</t>
        </is>
      </c>
      <c r="BG88" t="inlineStr">
        <is>
          <t>00510042</t>
        </is>
      </c>
      <c r="BH88" t="inlineStr">
        <is>
          <t>No</t>
        </is>
      </c>
      <c r="BJ88" t="n">
        <v>4</v>
      </c>
      <c r="BK88" t="inlineStr">
        <is>
          <t>CANCELADO</t>
        </is>
      </c>
      <c r="BV88" t="inlineStr">
        <is>
          <t>Si</t>
        </is>
      </c>
      <c r="BW88" s="76" t="n">
        <v>45748.62986111111</v>
      </c>
      <c r="BX88" t="inlineStr">
        <is>
          <t>Magaly Guevara Perez</t>
        </is>
      </c>
      <c r="BZ88" t="n">
        <v>56</v>
      </c>
      <c r="CA88" t="inlineStr">
        <is>
          <t>28/06/2026 21:31</t>
        </is>
      </c>
      <c r="CB88" t="n">
        <v>0</v>
      </c>
      <c r="CF88" t="inlineStr">
        <is>
          <t>Cobranzas_2025.csv</t>
        </is>
      </c>
      <c r="CG88" t="n">
        <v>2025</v>
      </c>
      <c r="CH88" t="inlineStr">
        <is>
          <t>01/01/2024</t>
        </is>
      </c>
      <c r="CI88" t="inlineStr">
        <is>
          <t>24/08/2031</t>
        </is>
      </c>
    </row>
    <row r="89">
      <c r="A89" t="inlineStr">
        <is>
          <t>RESIDENCIAL PRADA</t>
        </is>
      </c>
      <c r="B89" t="inlineStr">
        <is>
          <t>Etapa 1</t>
        </is>
      </c>
      <c r="C89" t="inlineStr">
        <is>
          <t>Edificio</t>
        </is>
      </c>
      <c r="D89" t="inlineStr">
        <is>
          <t>A</t>
        </is>
      </c>
      <c r="E89" t="inlineStr">
        <is>
          <t>Estacionamiento</t>
        </is>
      </c>
      <c r="F89" t="inlineStr">
        <is>
          <t>E 14 - D 11</t>
        </is>
      </c>
      <c r="G89" t="n">
        <v>14.63</v>
      </c>
      <c r="H89" t="n">
        <v>2.37</v>
      </c>
      <c r="I89" s="39" t="n">
        <v>56300</v>
      </c>
      <c r="J89" s="39" t="n">
        <v>56300</v>
      </c>
      <c r="Q89" s="39" t="n"/>
      <c r="R89" s="39" t="n"/>
      <c r="Y89" s="39" t="n"/>
      <c r="Z89" s="39" t="n"/>
      <c r="AG89" s="39" t="n"/>
      <c r="AH89" s="39" t="n"/>
      <c r="AI89" t="inlineStr">
        <is>
          <t>Ayleen Katia Messarina Rios</t>
        </is>
      </c>
      <c r="AJ89" t="inlineStr">
        <is>
          <t>70512701</t>
        </is>
      </c>
      <c r="AK89" t="inlineStr">
        <is>
          <t>Departamento 101 Urbanización Santa Rosa de Surco etapa 2 Mz D Lt 23</t>
        </is>
      </c>
      <c r="AL89" t="n">
        <v>978722675</v>
      </c>
      <c r="AM89" t="inlineStr">
        <is>
          <t>978722675</t>
        </is>
      </c>
      <c r="AN89" t="inlineStr">
        <is>
          <t>ayleen30mr@gmail.com</t>
        </is>
      </c>
      <c r="AO89" t="inlineStr">
        <is>
          <t>LIMA</t>
        </is>
      </c>
      <c r="AP89" t="inlineStr">
        <is>
          <t>SANTIAGO DE SURCO</t>
        </is>
      </c>
      <c r="AQ89" s="75" t="n">
        <v>45931</v>
      </c>
      <c r="AR89" s="75" t="n">
        <v>45942</v>
      </c>
      <c r="AS89" t="inlineStr">
        <is>
          <t>SALDO FINANCIAR</t>
        </is>
      </c>
      <c r="AT89" t="n">
        <v>7</v>
      </c>
      <c r="AU89" t="n">
        <v>3800</v>
      </c>
      <c r="AV89" t="n">
        <v>0</v>
      </c>
      <c r="AW89" t="n">
        <v>0</v>
      </c>
      <c r="AX89" s="39" t="n">
        <v>3800</v>
      </c>
      <c r="AY89" s="39" t="n">
        <v>3800</v>
      </c>
      <c r="AZ89" s="39" t="n">
        <v>0</v>
      </c>
      <c r="BA89" t="n">
        <v>0</v>
      </c>
      <c r="BB89" t="inlineStr">
        <is>
          <t>Crédito Directo</t>
        </is>
      </c>
      <c r="BC89" t="inlineStr">
        <is>
          <t>Scotiabank Perú</t>
        </is>
      </c>
      <c r="BD89" t="inlineStr">
        <is>
          <t>000-2768484</t>
        </is>
      </c>
      <c r="BE89" t="inlineStr">
        <is>
          <t>TRANSFERENCIA BANCARIA</t>
        </is>
      </c>
      <c r="BG89" t="inlineStr">
        <is>
          <t>02106124</t>
        </is>
      </c>
      <c r="BH89" t="inlineStr">
        <is>
          <t>No</t>
        </is>
      </c>
      <c r="BJ89" t="n">
        <v>4</v>
      </c>
      <c r="BK89" t="inlineStr">
        <is>
          <t>CANCELADO</t>
        </is>
      </c>
      <c r="BV89" t="inlineStr">
        <is>
          <t>Si</t>
        </is>
      </c>
      <c r="BW89" s="76" t="n">
        <v>45748.62986111111</v>
      </c>
      <c r="BX89" t="inlineStr">
        <is>
          <t>Magaly Guevara Perez</t>
        </is>
      </c>
      <c r="BZ89" t="n">
        <v>56</v>
      </c>
      <c r="CA89" t="inlineStr">
        <is>
          <t>28/06/2026 21:31</t>
        </is>
      </c>
      <c r="CB89" t="n">
        <v>0</v>
      </c>
      <c r="CF89" t="inlineStr">
        <is>
          <t>Cobranzas_2025.csv</t>
        </is>
      </c>
      <c r="CG89" t="n">
        <v>2025</v>
      </c>
      <c r="CH89" t="inlineStr">
        <is>
          <t>01/01/2024</t>
        </is>
      </c>
      <c r="CI89" t="inlineStr">
        <is>
          <t>24/08/2031</t>
        </is>
      </c>
    </row>
    <row r="90">
      <c r="A90" t="inlineStr">
        <is>
          <t>RESIDENCIAL PRADA</t>
        </is>
      </c>
      <c r="B90" t="inlineStr">
        <is>
          <t>Etapa 1</t>
        </is>
      </c>
      <c r="C90" t="inlineStr">
        <is>
          <t>Edificio</t>
        </is>
      </c>
      <c r="D90" t="inlineStr">
        <is>
          <t>A</t>
        </is>
      </c>
      <c r="E90" t="inlineStr">
        <is>
          <t>Estacionamiento</t>
        </is>
      </c>
      <c r="F90" t="inlineStr">
        <is>
          <t>E 14 - D 11</t>
        </is>
      </c>
      <c r="G90" t="n">
        <v>14.63</v>
      </c>
      <c r="H90" t="n">
        <v>2.37</v>
      </c>
      <c r="I90" s="39" t="n">
        <v>56300</v>
      </c>
      <c r="J90" s="39" t="n">
        <v>56300</v>
      </c>
      <c r="Q90" s="39" t="n"/>
      <c r="R90" s="39" t="n"/>
      <c r="Y90" s="39" t="n"/>
      <c r="Z90" s="39" t="n"/>
      <c r="AG90" s="39" t="n"/>
      <c r="AH90" s="39" t="n"/>
      <c r="AI90" t="inlineStr">
        <is>
          <t>Ayleen Katia Messarina Rios</t>
        </is>
      </c>
      <c r="AJ90" t="inlineStr">
        <is>
          <t>70512701</t>
        </is>
      </c>
      <c r="AK90" t="inlineStr">
        <is>
          <t>Departamento 101 Urbanización Santa Rosa de Surco etapa 2 Mz D Lt 23</t>
        </is>
      </c>
      <c r="AL90" t="n">
        <v>978722675</v>
      </c>
      <c r="AM90" t="inlineStr">
        <is>
          <t>978722675</t>
        </is>
      </c>
      <c r="AN90" t="inlineStr">
        <is>
          <t>ayleen30mr@gmail.com</t>
        </is>
      </c>
      <c r="AO90" t="inlineStr">
        <is>
          <t>LIMA</t>
        </is>
      </c>
      <c r="AP90" t="inlineStr">
        <is>
          <t>SANTIAGO DE SURCO</t>
        </is>
      </c>
      <c r="AQ90" s="75" t="n">
        <v>45962</v>
      </c>
      <c r="AR90" s="75" t="n">
        <v>45980</v>
      </c>
      <c r="AS90" t="inlineStr">
        <is>
          <t>SALDO FINANCIAR</t>
        </is>
      </c>
      <c r="AT90" t="n">
        <v>8</v>
      </c>
      <c r="AU90" t="n">
        <v>3800</v>
      </c>
      <c r="AV90" t="n">
        <v>0</v>
      </c>
      <c r="AW90" t="n">
        <v>0</v>
      </c>
      <c r="AX90" s="39" t="n">
        <v>3800</v>
      </c>
      <c r="AY90" s="39" t="n">
        <v>3800</v>
      </c>
      <c r="AZ90" s="39" t="n">
        <v>0</v>
      </c>
      <c r="BA90" t="n">
        <v>0</v>
      </c>
      <c r="BB90" t="inlineStr">
        <is>
          <t>Crédito Directo</t>
        </is>
      </c>
      <c r="BC90" t="inlineStr">
        <is>
          <t>Scotiabank Perú</t>
        </is>
      </c>
      <c r="BD90" t="inlineStr">
        <is>
          <t>000-2768484</t>
        </is>
      </c>
      <c r="BE90" t="inlineStr">
        <is>
          <t>TRANSFERENCIA BANCARIA</t>
        </is>
      </c>
      <c r="BG90" t="inlineStr">
        <is>
          <t>00374413</t>
        </is>
      </c>
      <c r="BH90" t="inlineStr">
        <is>
          <t>No</t>
        </is>
      </c>
      <c r="BJ90" t="n">
        <v>4</v>
      </c>
      <c r="BK90" t="inlineStr">
        <is>
          <t>CANCELADO</t>
        </is>
      </c>
      <c r="BV90" t="inlineStr">
        <is>
          <t>Si</t>
        </is>
      </c>
      <c r="BW90" s="76" t="n">
        <v>45748.62986111111</v>
      </c>
      <c r="BX90" t="inlineStr">
        <is>
          <t>Magaly Guevara Perez</t>
        </is>
      </c>
      <c r="BZ90" t="n">
        <v>56</v>
      </c>
      <c r="CA90" t="inlineStr">
        <is>
          <t>28/06/2026 21:32</t>
        </is>
      </c>
      <c r="CB90" t="n">
        <v>0</v>
      </c>
      <c r="CF90" t="inlineStr">
        <is>
          <t>Cobranzas_2025.csv</t>
        </is>
      </c>
      <c r="CG90" t="n">
        <v>2025</v>
      </c>
      <c r="CH90" t="inlineStr">
        <is>
          <t>01/01/2024</t>
        </is>
      </c>
      <c r="CI90" t="inlineStr">
        <is>
          <t>24/08/2031</t>
        </is>
      </c>
    </row>
    <row r="91">
      <c r="A91" t="inlineStr">
        <is>
          <t>RESIDENCIAL PRADA</t>
        </is>
      </c>
      <c r="B91" t="inlineStr">
        <is>
          <t>Etapa 1</t>
        </is>
      </c>
      <c r="C91" t="inlineStr">
        <is>
          <t>Edificio</t>
        </is>
      </c>
      <c r="D91" t="inlineStr">
        <is>
          <t>A</t>
        </is>
      </c>
      <c r="E91" t="inlineStr">
        <is>
          <t>Estacionamiento</t>
        </is>
      </c>
      <c r="F91" t="inlineStr">
        <is>
          <t>E 14 - D 11</t>
        </is>
      </c>
      <c r="G91" t="n">
        <v>14.63</v>
      </c>
      <c r="H91" t="n">
        <v>2.37</v>
      </c>
      <c r="I91" s="39" t="n">
        <v>56300</v>
      </c>
      <c r="J91" s="39" t="n">
        <v>56300</v>
      </c>
      <c r="Q91" s="39" t="n"/>
      <c r="R91" s="39" t="n"/>
      <c r="Y91" s="39" t="n"/>
      <c r="Z91" s="39" t="n"/>
      <c r="AG91" s="39" t="n"/>
      <c r="AH91" s="39" t="n"/>
      <c r="AI91" t="inlineStr">
        <is>
          <t>Ayleen Katia Messarina Rios</t>
        </is>
      </c>
      <c r="AJ91" t="inlineStr">
        <is>
          <t>70512701</t>
        </is>
      </c>
      <c r="AK91" t="inlineStr">
        <is>
          <t>Departamento 101 Urbanización Santa Rosa de Surco etapa 2 Mz D Lt 23</t>
        </is>
      </c>
      <c r="AL91" t="n">
        <v>978722675</v>
      </c>
      <c r="AM91" t="inlineStr">
        <is>
          <t>978722675</t>
        </is>
      </c>
      <c r="AN91" t="inlineStr">
        <is>
          <t>ayleen30mr@gmail.com</t>
        </is>
      </c>
      <c r="AO91" t="inlineStr">
        <is>
          <t>LIMA</t>
        </is>
      </c>
      <c r="AP91" t="inlineStr">
        <is>
          <t>SANTIAGO DE SURCO</t>
        </is>
      </c>
      <c r="AQ91" s="75" t="n">
        <v>45992</v>
      </c>
      <c r="AR91" s="75" t="n">
        <v>46033</v>
      </c>
      <c r="AS91" t="inlineStr">
        <is>
          <t>SALDO FINANCIAR</t>
        </is>
      </c>
      <c r="AT91" t="n">
        <v>9</v>
      </c>
      <c r="AU91" t="n">
        <v>3800</v>
      </c>
      <c r="AV91" t="n">
        <v>0</v>
      </c>
      <c r="AW91" t="n">
        <v>0</v>
      </c>
      <c r="AX91" s="39" t="n">
        <v>3800</v>
      </c>
      <c r="AY91" s="39" t="n">
        <v>3800</v>
      </c>
      <c r="AZ91" s="39" t="n">
        <v>0</v>
      </c>
      <c r="BA91" t="n">
        <v>0</v>
      </c>
      <c r="BB91" t="inlineStr">
        <is>
          <t>Crédito Directo</t>
        </is>
      </c>
      <c r="BC91" t="inlineStr">
        <is>
          <t>Scotiabank Perú</t>
        </is>
      </c>
      <c r="BD91" t="inlineStr">
        <is>
          <t>000-2768484</t>
        </is>
      </c>
      <c r="BE91" t="inlineStr">
        <is>
          <t>TRANSFERENCIA BANCARIA</t>
        </is>
      </c>
      <c r="BG91" t="inlineStr">
        <is>
          <t>01802980</t>
        </is>
      </c>
      <c r="BH91" t="inlineStr">
        <is>
          <t>No</t>
        </is>
      </c>
      <c r="BJ91" t="n">
        <v>4</v>
      </c>
      <c r="BK91" t="inlineStr">
        <is>
          <t>CANCELADO</t>
        </is>
      </c>
      <c r="BV91" t="inlineStr">
        <is>
          <t>Si</t>
        </is>
      </c>
      <c r="BW91" s="76" t="n">
        <v>45748.62986111111</v>
      </c>
      <c r="BX91" t="inlineStr">
        <is>
          <t>Magaly Guevara Perez</t>
        </is>
      </c>
      <c r="BZ91" t="n">
        <v>56</v>
      </c>
      <c r="CA91" t="inlineStr">
        <is>
          <t>28/06/2026 21:33</t>
        </is>
      </c>
      <c r="CB91" t="n">
        <v>0</v>
      </c>
      <c r="CF91" t="inlineStr">
        <is>
          <t>Cobranzas_2025.csv</t>
        </is>
      </c>
      <c r="CG91" t="n">
        <v>2025</v>
      </c>
      <c r="CH91" t="inlineStr">
        <is>
          <t>01/01/2024</t>
        </is>
      </c>
      <c r="CI91" t="inlineStr">
        <is>
          <t>24/08/2031</t>
        </is>
      </c>
    </row>
    <row r="92">
      <c r="A92" t="inlineStr">
        <is>
          <t>RESIDENCIAL VENECIA</t>
        </is>
      </c>
      <c r="B92" t="inlineStr">
        <is>
          <t>Etapa 1</t>
        </is>
      </c>
      <c r="C92" t="inlineStr">
        <is>
          <t>Edificio</t>
        </is>
      </c>
      <c r="D92" t="inlineStr">
        <is>
          <t>A</t>
        </is>
      </c>
      <c r="E92" t="inlineStr">
        <is>
          <t>Departamento</t>
        </is>
      </c>
      <c r="F92" t="inlineStr">
        <is>
          <t>204</t>
        </is>
      </c>
      <c r="G92" t="n">
        <v>67</v>
      </c>
      <c r="H92" t="n">
        <v>0</v>
      </c>
      <c r="I92" s="39" t="n">
        <v>483000</v>
      </c>
      <c r="J92" s="39" t="n">
        <v>443000</v>
      </c>
      <c r="K92" t="inlineStr">
        <is>
          <t>Edificio</t>
        </is>
      </c>
      <c r="L92" t="inlineStr">
        <is>
          <t>A</t>
        </is>
      </c>
      <c r="M92" t="inlineStr">
        <is>
          <t>Estacionamiento</t>
        </is>
      </c>
      <c r="N92" t="inlineStr">
        <is>
          <t>E 14 - D 4</t>
        </is>
      </c>
      <c r="O92" t="n">
        <v>14.5</v>
      </c>
      <c r="P92" t="n">
        <v>0</v>
      </c>
      <c r="Q92" s="39" t="n">
        <v>42800</v>
      </c>
      <c r="R92" s="39" t="n">
        <v>42800</v>
      </c>
      <c r="Y92" s="39" t="n"/>
      <c r="Z92" s="39" t="n"/>
      <c r="AG92" s="39" t="n"/>
      <c r="AH92" s="39" t="n"/>
      <c r="AI92" t="inlineStr">
        <is>
          <t>Carlos La Cruz Crespo</t>
        </is>
      </c>
      <c r="AJ92" t="inlineStr">
        <is>
          <t>09022488</t>
        </is>
      </c>
      <c r="AK92" t="inlineStr">
        <is>
          <t>comas</t>
        </is>
      </c>
      <c r="AL92" t="n">
        <v>0</v>
      </c>
      <c r="AM92" t="inlineStr">
        <is>
          <t>997009340</t>
        </is>
      </c>
      <c r="AN92" t="inlineStr">
        <is>
          <t>carlos.14lacruz@gmail.com</t>
        </is>
      </c>
      <c r="AO92" t="inlineStr">
        <is>
          <t>LIMA</t>
        </is>
      </c>
      <c r="AP92" t="inlineStr">
        <is>
          <t>COMAS</t>
        </is>
      </c>
      <c r="AQ92" s="75" t="n">
        <v>45795</v>
      </c>
      <c r="AR92" s="75" t="n">
        <v>45795</v>
      </c>
      <c r="AS92" t="inlineStr">
        <is>
          <t>SEPARACION</t>
        </is>
      </c>
      <c r="AT92" t="n">
        <v>1</v>
      </c>
      <c r="AU92" t="n">
        <v>3000</v>
      </c>
      <c r="AV92" t="n">
        <v>0</v>
      </c>
      <c r="AW92" t="n">
        <v>0</v>
      </c>
      <c r="AX92" s="39" t="n">
        <v>3000</v>
      </c>
      <c r="AY92" s="39" t="n">
        <v>1000</v>
      </c>
      <c r="AZ92" s="39" t="n">
        <v>0</v>
      </c>
      <c r="BA92" t="n">
        <v>0</v>
      </c>
      <c r="BB92" t="inlineStr">
        <is>
          <t>Crédito Directo</t>
        </is>
      </c>
      <c r="BC92" t="inlineStr">
        <is>
          <t>Scotiabank Perú</t>
        </is>
      </c>
      <c r="BD92" t="inlineStr">
        <is>
          <t>0004071419</t>
        </is>
      </c>
      <c r="BE92" t="inlineStr">
        <is>
          <t>TRANSFERENCIA BANCARIA</t>
        </is>
      </c>
      <c r="BG92" t="inlineStr">
        <is>
          <t>473500004737</t>
        </is>
      </c>
      <c r="BH92" t="inlineStr">
        <is>
          <t>No</t>
        </is>
      </c>
      <c r="BJ92" t="n">
        <v>4</v>
      </c>
      <c r="BK92" t="inlineStr">
        <is>
          <t>CANCELADO</t>
        </is>
      </c>
      <c r="BV92" t="inlineStr">
        <is>
          <t>Si</t>
        </is>
      </c>
      <c r="BW92" s="76" t="n">
        <v>45839.33541666667</v>
      </c>
      <c r="BX92" t="inlineStr">
        <is>
          <t>Magaly Guevara Perez</t>
        </is>
      </c>
      <c r="BZ92" t="n">
        <v>2</v>
      </c>
      <c r="CA92" t="inlineStr">
        <is>
          <t>18/08/2026 13:41</t>
        </is>
      </c>
      <c r="CB92" t="n">
        <v>0</v>
      </c>
      <c r="CF92" t="inlineStr">
        <is>
          <t>Cobranzas_2025.csv</t>
        </is>
      </c>
      <c r="CG92" t="n">
        <v>2025</v>
      </c>
      <c r="CH92" t="inlineStr">
        <is>
          <t>01/01/2024</t>
        </is>
      </c>
      <c r="CI92" t="inlineStr">
        <is>
          <t>24/08/2031</t>
        </is>
      </c>
    </row>
    <row r="93">
      <c r="A93" t="inlineStr">
        <is>
          <t>RESIDENCIAL VENECIA</t>
        </is>
      </c>
      <c r="B93" t="inlineStr">
        <is>
          <t>Etapa 1</t>
        </is>
      </c>
      <c r="C93" t="inlineStr">
        <is>
          <t>Edificio</t>
        </is>
      </c>
      <c r="D93" t="inlineStr">
        <is>
          <t>A</t>
        </is>
      </c>
      <c r="E93" t="inlineStr">
        <is>
          <t>Departamento</t>
        </is>
      </c>
      <c r="F93" t="inlineStr">
        <is>
          <t>204</t>
        </is>
      </c>
      <c r="G93" t="n">
        <v>67</v>
      </c>
      <c r="H93" t="n">
        <v>0</v>
      </c>
      <c r="I93" s="39" t="n">
        <v>483000</v>
      </c>
      <c r="J93" s="39" t="n">
        <v>443000</v>
      </c>
      <c r="K93" t="inlineStr">
        <is>
          <t>Edificio</t>
        </is>
      </c>
      <c r="L93" t="inlineStr">
        <is>
          <t>A</t>
        </is>
      </c>
      <c r="M93" t="inlineStr">
        <is>
          <t>Estacionamiento</t>
        </is>
      </c>
      <c r="N93" t="inlineStr">
        <is>
          <t>E 14 - D 4</t>
        </is>
      </c>
      <c r="O93" t="n">
        <v>14.5</v>
      </c>
      <c r="P93" t="n">
        <v>0</v>
      </c>
      <c r="Q93" s="39" t="n">
        <v>42800</v>
      </c>
      <c r="R93" s="39" t="n">
        <v>42800</v>
      </c>
      <c r="Y93" s="39" t="n"/>
      <c r="Z93" s="39" t="n"/>
      <c r="AG93" s="39" t="n"/>
      <c r="AH93" s="39" t="n"/>
      <c r="AI93" t="inlineStr">
        <is>
          <t>Carlos La Cruz Crespo</t>
        </is>
      </c>
      <c r="AJ93" t="inlineStr">
        <is>
          <t>09022488</t>
        </is>
      </c>
      <c r="AK93" t="inlineStr">
        <is>
          <t>comas</t>
        </is>
      </c>
      <c r="AL93" t="n">
        <v>0</v>
      </c>
      <c r="AM93" t="inlineStr">
        <is>
          <t>997009340</t>
        </is>
      </c>
      <c r="AN93" t="inlineStr">
        <is>
          <t>carlos.14lacruz@gmail.com</t>
        </is>
      </c>
      <c r="AO93" t="inlineStr">
        <is>
          <t>LIMA</t>
        </is>
      </c>
      <c r="AP93" t="inlineStr">
        <is>
          <t>COMAS</t>
        </is>
      </c>
      <c r="AQ93" s="75" t="n">
        <v>45795</v>
      </c>
      <c r="AR93" s="75" t="n">
        <v>45797</v>
      </c>
      <c r="AS93" t="inlineStr">
        <is>
          <t>SEPARACION</t>
        </is>
      </c>
      <c r="AT93" t="n">
        <v>1</v>
      </c>
      <c r="AU93" t="n">
        <v>0</v>
      </c>
      <c r="AV93" t="n">
        <v>0</v>
      </c>
      <c r="AW93" t="n">
        <v>0</v>
      </c>
      <c r="AX93" s="39" t="n">
        <v>0</v>
      </c>
      <c r="AY93" s="39" t="n">
        <v>2000</v>
      </c>
      <c r="AZ93" s="39" t="n">
        <v>0</v>
      </c>
      <c r="BA93" t="n">
        <v>0</v>
      </c>
      <c r="BB93" t="inlineStr">
        <is>
          <t>Crédito Directo</t>
        </is>
      </c>
      <c r="BC93" t="inlineStr">
        <is>
          <t>Scotiabank Perú</t>
        </is>
      </c>
      <c r="BD93" t="inlineStr">
        <is>
          <t>0004071419</t>
        </is>
      </c>
      <c r="BE93" t="inlineStr">
        <is>
          <t>TRANSFERENCIA BANCARIA</t>
        </is>
      </c>
      <c r="BG93" t="inlineStr">
        <is>
          <t>474400004746</t>
        </is>
      </c>
      <c r="BH93" t="inlineStr">
        <is>
          <t>No</t>
        </is>
      </c>
      <c r="BJ93" t="n">
        <v>4</v>
      </c>
      <c r="BK93" t="inlineStr">
        <is>
          <t>CANCELADO</t>
        </is>
      </c>
      <c r="BV93" t="inlineStr">
        <is>
          <t>Si</t>
        </is>
      </c>
      <c r="BW93" s="76" t="n">
        <v>45839.33541666667</v>
      </c>
      <c r="BX93" t="inlineStr">
        <is>
          <t>Magaly Guevara Perez</t>
        </is>
      </c>
      <c r="BZ93" t="n">
        <v>2</v>
      </c>
      <c r="CA93" t="inlineStr">
        <is>
          <t>18/08/2026 13:41</t>
        </is>
      </c>
      <c r="CB93" t="n">
        <v>0</v>
      </c>
      <c r="CF93" t="inlineStr">
        <is>
          <t>Cobranzas_2025.csv</t>
        </is>
      </c>
      <c r="CG93" t="n">
        <v>2025</v>
      </c>
      <c r="CH93" t="inlineStr">
        <is>
          <t>01/01/2024</t>
        </is>
      </c>
      <c r="CI93" t="inlineStr">
        <is>
          <t>24/08/2031</t>
        </is>
      </c>
    </row>
    <row r="94">
      <c r="A94" t="inlineStr">
        <is>
          <t>RESIDENCIAL PRADA</t>
        </is>
      </c>
      <c r="B94" t="inlineStr">
        <is>
          <t>Etapa 1</t>
        </is>
      </c>
      <c r="C94" t="inlineStr">
        <is>
          <t>Edificio</t>
        </is>
      </c>
      <c r="D94" t="inlineStr">
        <is>
          <t>A</t>
        </is>
      </c>
      <c r="E94" t="inlineStr">
        <is>
          <t>Departamento</t>
        </is>
      </c>
      <c r="F94" t="inlineStr">
        <is>
          <t>601</t>
        </is>
      </c>
      <c r="G94" t="n">
        <v>84</v>
      </c>
      <c r="H94" t="n">
        <v>0</v>
      </c>
      <c r="I94" s="39" t="n">
        <v>630000</v>
      </c>
      <c r="J94" s="39" t="n">
        <v>630000</v>
      </c>
      <c r="K94" t="inlineStr">
        <is>
          <t>Edificio</t>
        </is>
      </c>
      <c r="L94" t="inlineStr">
        <is>
          <t>A</t>
        </is>
      </c>
      <c r="M94" t="inlineStr">
        <is>
          <t>Estacionamiento</t>
        </is>
      </c>
      <c r="N94" t="inlineStr">
        <is>
          <t>E 28 - D 22</t>
        </is>
      </c>
      <c r="O94" t="n">
        <v>13</v>
      </c>
      <c r="P94" t="n">
        <v>3.89</v>
      </c>
      <c r="Q94" s="39" t="n">
        <v>60000</v>
      </c>
      <c r="R94" s="39" t="n">
        <v>60000</v>
      </c>
      <c r="Y94" s="39" t="n"/>
      <c r="Z94" s="39" t="n"/>
      <c r="AG94" s="39" t="n"/>
      <c r="AH94" s="39" t="n"/>
      <c r="AI94" t="inlineStr">
        <is>
          <t>Chistopher Omar Peña Camargo</t>
        </is>
      </c>
      <c r="AJ94" t="inlineStr">
        <is>
          <t>44062837</t>
        </is>
      </c>
      <c r="AK94" t="inlineStr">
        <is>
          <t>Av. San Felipe 351</t>
        </is>
      </c>
      <c r="AM94" t="inlineStr">
        <is>
          <t>964328569</t>
        </is>
      </c>
      <c r="AN94" t="inlineStr">
        <is>
          <t>ciruvision@gmail.com</t>
        </is>
      </c>
      <c r="AO94" t="inlineStr">
        <is>
          <t>LIMA</t>
        </is>
      </c>
      <c r="AP94" t="inlineStr">
        <is>
          <t>JESUS MARIA</t>
        </is>
      </c>
      <c r="AQ94" s="75" t="n">
        <v>45804</v>
      </c>
      <c r="AR94" s="75" t="n">
        <v>45804</v>
      </c>
      <c r="AS94" t="inlineStr">
        <is>
          <t>SEPARACION</t>
        </is>
      </c>
      <c r="AT94" t="n">
        <v>1</v>
      </c>
      <c r="AU94" t="n">
        <v>3000</v>
      </c>
      <c r="AV94" t="n">
        <v>0</v>
      </c>
      <c r="AW94" t="n">
        <v>0</v>
      </c>
      <c r="AX94" s="39" t="n">
        <v>3000</v>
      </c>
      <c r="AY94" s="39" t="n">
        <v>3000</v>
      </c>
      <c r="AZ94" s="39" t="n">
        <v>0</v>
      </c>
      <c r="BA94" t="n">
        <v>0</v>
      </c>
      <c r="BB94" t="inlineStr">
        <is>
          <t>Crédito Hipotecario</t>
        </is>
      </c>
      <c r="BC94" t="inlineStr">
        <is>
          <t>Scotiabank Perú</t>
        </is>
      </c>
      <c r="BD94" t="inlineStr">
        <is>
          <t>000-2768484</t>
        </is>
      </c>
      <c r="BE94" t="inlineStr">
        <is>
          <t>TRANSFERENCIA BANCARIA</t>
        </is>
      </c>
      <c r="BG94" t="inlineStr">
        <is>
          <t>00002220000000002222</t>
        </is>
      </c>
      <c r="BH94" t="inlineStr">
        <is>
          <t>No</t>
        </is>
      </c>
      <c r="BJ94" t="n">
        <v>4</v>
      </c>
      <c r="BK94" t="inlineStr">
        <is>
          <t>CANCELADO</t>
        </is>
      </c>
      <c r="BV94" t="inlineStr">
        <is>
          <t>Si</t>
        </is>
      </c>
      <c r="BW94" s="76" t="n">
        <v>45831.69236111111</v>
      </c>
      <c r="BX94" t="inlineStr">
        <is>
          <t>Carla Michue M</t>
        </is>
      </c>
      <c r="BZ94" t="n">
        <v>12</v>
      </c>
      <c r="CA94" t="inlineStr">
        <is>
          <t>03/07/2026 14:39</t>
        </is>
      </c>
      <c r="CB94" t="n">
        <v>0</v>
      </c>
      <c r="CF94" t="inlineStr">
        <is>
          <t>Cobranzas_2025.csv</t>
        </is>
      </c>
      <c r="CG94" t="n">
        <v>2025</v>
      </c>
      <c r="CH94" t="inlineStr">
        <is>
          <t>01/01/2024</t>
        </is>
      </c>
      <c r="CI94" t="inlineStr">
        <is>
          <t>24/08/2031</t>
        </is>
      </c>
    </row>
    <row r="95">
      <c r="A95" t="inlineStr">
        <is>
          <t>RESIDENCIAL PRADA</t>
        </is>
      </c>
      <c r="B95" t="inlineStr">
        <is>
          <t>Etapa 1</t>
        </is>
      </c>
      <c r="C95" t="inlineStr">
        <is>
          <t>Edificio</t>
        </is>
      </c>
      <c r="D95" t="inlineStr">
        <is>
          <t>A</t>
        </is>
      </c>
      <c r="E95" t="inlineStr">
        <is>
          <t>Departamento</t>
        </is>
      </c>
      <c r="F95" t="inlineStr">
        <is>
          <t>601</t>
        </is>
      </c>
      <c r="G95" t="n">
        <v>84</v>
      </c>
      <c r="H95" t="n">
        <v>0</v>
      </c>
      <c r="I95" s="39" t="n">
        <v>630000</v>
      </c>
      <c r="J95" s="39" t="n">
        <v>630000</v>
      </c>
      <c r="K95" t="inlineStr">
        <is>
          <t>Edificio</t>
        </is>
      </c>
      <c r="L95" t="inlineStr">
        <is>
          <t>A</t>
        </is>
      </c>
      <c r="M95" t="inlineStr">
        <is>
          <t>Estacionamiento</t>
        </is>
      </c>
      <c r="N95" t="inlineStr">
        <is>
          <t>E 28 - D 22</t>
        </is>
      </c>
      <c r="O95" t="n">
        <v>13</v>
      </c>
      <c r="P95" t="n">
        <v>3.89</v>
      </c>
      <c r="Q95" s="39" t="n">
        <v>60000</v>
      </c>
      <c r="R95" s="39" t="n">
        <v>60000</v>
      </c>
      <c r="Y95" s="39" t="n"/>
      <c r="Z95" s="39" t="n"/>
      <c r="AG95" s="39" t="n"/>
      <c r="AH95" s="39" t="n"/>
      <c r="AI95" t="inlineStr">
        <is>
          <t>Chistopher Omar Peña Camargo</t>
        </is>
      </c>
      <c r="AJ95" t="inlineStr">
        <is>
          <t>44062837</t>
        </is>
      </c>
      <c r="AK95" t="inlineStr">
        <is>
          <t>Av. San Felipe 351</t>
        </is>
      </c>
      <c r="AM95" t="inlineStr">
        <is>
          <t>964328569</t>
        </is>
      </c>
      <c r="AN95" t="inlineStr">
        <is>
          <t>ciruvision@gmail.com</t>
        </is>
      </c>
      <c r="AO95" t="inlineStr">
        <is>
          <t>LIMA</t>
        </is>
      </c>
      <c r="AP95" t="inlineStr">
        <is>
          <t>JESUS MARIA</t>
        </is>
      </c>
      <c r="AQ95" s="75" t="n">
        <v>45831</v>
      </c>
      <c r="AR95" s="75" t="n">
        <v>45831</v>
      </c>
      <c r="AS95" t="inlineStr">
        <is>
          <t>CUOTA INICIAL</t>
        </is>
      </c>
      <c r="AT95" t="n">
        <v>2</v>
      </c>
      <c r="AU95" t="n">
        <v>107000</v>
      </c>
      <c r="AV95" t="n">
        <v>0</v>
      </c>
      <c r="AW95" t="n">
        <v>0</v>
      </c>
      <c r="AX95" s="39" t="n">
        <v>107000</v>
      </c>
      <c r="AY95" s="39" t="n">
        <v>107000</v>
      </c>
      <c r="AZ95" s="39" t="n">
        <v>0</v>
      </c>
      <c r="BA95" t="n">
        <v>0</v>
      </c>
      <c r="BB95" t="inlineStr">
        <is>
          <t>Crédito Hipotecario</t>
        </is>
      </c>
      <c r="BC95" t="inlineStr">
        <is>
          <t>Scotiabank Perú</t>
        </is>
      </c>
      <c r="BD95" t="inlineStr">
        <is>
          <t>000-2768484</t>
        </is>
      </c>
      <c r="BE95" t="inlineStr">
        <is>
          <t>TRANSFERENCIA BANCARIA</t>
        </is>
      </c>
      <c r="BF95" t="inlineStr">
        <is>
          <t>44062837</t>
        </is>
      </c>
      <c r="BG95" t="inlineStr">
        <is>
          <t>006128332</t>
        </is>
      </c>
      <c r="BH95" t="inlineStr">
        <is>
          <t>No</t>
        </is>
      </c>
      <c r="BI95" t="inlineStr">
        <is>
          <t>NO PRECISA</t>
        </is>
      </c>
      <c r="BJ95" t="n">
        <v>1</v>
      </c>
      <c r="BK95" t="inlineStr">
        <is>
          <t>CANCELADO</t>
        </is>
      </c>
      <c r="BV95" t="inlineStr">
        <is>
          <t>Si</t>
        </is>
      </c>
      <c r="BW95" s="76" t="n">
        <v>45831.69236111111</v>
      </c>
      <c r="BX95" t="inlineStr">
        <is>
          <t>Carla Michue M</t>
        </is>
      </c>
      <c r="BZ95" t="n">
        <v>12</v>
      </c>
      <c r="CA95" t="inlineStr">
        <is>
          <t>29/05/2026 12:21</t>
        </is>
      </c>
      <c r="CB95" t="n">
        <v>0</v>
      </c>
      <c r="CF95" t="inlineStr">
        <is>
          <t>Cobranzas_2025.csv</t>
        </is>
      </c>
      <c r="CG95" t="n">
        <v>2025</v>
      </c>
      <c r="CH95" t="inlineStr">
        <is>
          <t>01/01/2024</t>
        </is>
      </c>
      <c r="CI95" t="inlineStr">
        <is>
          <t>24/08/2031</t>
        </is>
      </c>
    </row>
    <row r="96">
      <c r="A96" t="inlineStr">
        <is>
          <t>RESIDENCIAL PRADA</t>
        </is>
      </c>
      <c r="B96" t="inlineStr">
        <is>
          <t>Etapa 1</t>
        </is>
      </c>
      <c r="C96" t="inlineStr">
        <is>
          <t>Edificio</t>
        </is>
      </c>
      <c r="D96" t="inlineStr">
        <is>
          <t>A</t>
        </is>
      </c>
      <c r="E96" t="inlineStr">
        <is>
          <t>Departamento</t>
        </is>
      </c>
      <c r="F96" t="inlineStr">
        <is>
          <t>601</t>
        </is>
      </c>
      <c r="G96" t="n">
        <v>84</v>
      </c>
      <c r="H96" t="n">
        <v>0</v>
      </c>
      <c r="I96" s="39" t="n">
        <v>630000</v>
      </c>
      <c r="J96" s="39" t="n">
        <v>630000</v>
      </c>
      <c r="K96" t="inlineStr">
        <is>
          <t>Edificio</t>
        </is>
      </c>
      <c r="L96" t="inlineStr">
        <is>
          <t>A</t>
        </is>
      </c>
      <c r="M96" t="inlineStr">
        <is>
          <t>Estacionamiento</t>
        </is>
      </c>
      <c r="N96" t="inlineStr">
        <is>
          <t>E 28 - D 22</t>
        </is>
      </c>
      <c r="O96" t="n">
        <v>13</v>
      </c>
      <c r="P96" t="n">
        <v>3.89</v>
      </c>
      <c r="Q96" s="39" t="n">
        <v>60000</v>
      </c>
      <c r="R96" s="39" t="n">
        <v>60000</v>
      </c>
      <c r="Y96" s="39" t="n"/>
      <c r="Z96" s="39" t="n"/>
      <c r="AG96" s="39" t="n"/>
      <c r="AH96" s="39" t="n"/>
      <c r="AI96" t="inlineStr">
        <is>
          <t>Chistopher Omar Peña Camargo</t>
        </is>
      </c>
      <c r="AJ96" t="inlineStr">
        <is>
          <t>44062837</t>
        </is>
      </c>
      <c r="AK96" t="inlineStr">
        <is>
          <t>Av. San Felipe 351</t>
        </is>
      </c>
      <c r="AM96" t="inlineStr">
        <is>
          <t>964328569</t>
        </is>
      </c>
      <c r="AN96" t="inlineStr">
        <is>
          <t>ciruvision@gmail.com</t>
        </is>
      </c>
      <c r="AO96" t="inlineStr">
        <is>
          <t>LIMA</t>
        </is>
      </c>
      <c r="AP96" t="inlineStr">
        <is>
          <t>JESUS MARIA</t>
        </is>
      </c>
      <c r="AQ96" s="75" t="n">
        <v>45868</v>
      </c>
      <c r="AR96" s="75" t="n">
        <v>45936</v>
      </c>
      <c r="AS96" t="inlineStr">
        <is>
          <t>SALDO FINANCIAR</t>
        </is>
      </c>
      <c r="AT96" t="n">
        <v>1</v>
      </c>
      <c r="AU96" t="n">
        <v>580000</v>
      </c>
      <c r="AV96" t="n">
        <v>0</v>
      </c>
      <c r="AW96" t="n">
        <v>0</v>
      </c>
      <c r="AX96" s="39" t="n">
        <v>580000</v>
      </c>
      <c r="AY96" s="39" t="n">
        <v>580000</v>
      </c>
      <c r="AZ96" s="39" t="n">
        <v>0</v>
      </c>
      <c r="BA96" t="n">
        <v>0</v>
      </c>
      <c r="BB96" t="inlineStr">
        <is>
          <t>Crédito Hipotecario</t>
        </is>
      </c>
      <c r="BC96" t="inlineStr">
        <is>
          <t>Scotiabank Perú</t>
        </is>
      </c>
      <c r="BD96" t="inlineStr">
        <is>
          <t>000-2768484</t>
        </is>
      </c>
      <c r="BE96" t="inlineStr">
        <is>
          <t>TRANSFERENCIA BANCARIA</t>
        </is>
      </c>
      <c r="BG96" t="inlineStr">
        <is>
          <t>EB01-137</t>
        </is>
      </c>
      <c r="BH96" t="inlineStr">
        <is>
          <t>No</t>
        </is>
      </c>
      <c r="BJ96" t="n">
        <v>4</v>
      </c>
      <c r="BK96" t="inlineStr">
        <is>
          <t>CANCELADO</t>
        </is>
      </c>
      <c r="BV96" t="inlineStr">
        <is>
          <t>Si</t>
        </is>
      </c>
      <c r="BW96" s="76" t="n">
        <v>45831.69236111111</v>
      </c>
      <c r="BX96" t="inlineStr">
        <is>
          <t>Carla Michue M</t>
        </is>
      </c>
      <c r="BZ96" t="n">
        <v>12</v>
      </c>
      <c r="CA96" t="inlineStr">
        <is>
          <t>14/08/2026 11:43</t>
        </is>
      </c>
      <c r="CB96" t="n">
        <v>0</v>
      </c>
      <c r="CF96" t="inlineStr">
        <is>
          <t>Cobranzas_2025.csv</t>
        </is>
      </c>
      <c r="CG96" t="n">
        <v>2025</v>
      </c>
      <c r="CH96" t="inlineStr">
        <is>
          <t>01/01/2024</t>
        </is>
      </c>
      <c r="CI96" t="inlineStr">
        <is>
          <t>24/08/2031</t>
        </is>
      </c>
    </row>
    <row r="97">
      <c r="A97" t="inlineStr">
        <is>
          <t>RESIDENCIAL PRADA</t>
        </is>
      </c>
      <c r="B97" t="inlineStr">
        <is>
          <t>Etapa 1</t>
        </is>
      </c>
      <c r="C97" t="inlineStr">
        <is>
          <t>Edificio</t>
        </is>
      </c>
      <c r="D97" t="inlineStr">
        <is>
          <t>A</t>
        </is>
      </c>
      <c r="E97" t="inlineStr">
        <is>
          <t>Departamento</t>
        </is>
      </c>
      <c r="F97" t="inlineStr">
        <is>
          <t>302</t>
        </is>
      </c>
      <c r="G97" t="n">
        <v>55</v>
      </c>
      <c r="H97" t="n">
        <v>0</v>
      </c>
      <c r="I97" s="39" t="n">
        <v>435500</v>
      </c>
      <c r="J97" s="39" t="n">
        <v>435500</v>
      </c>
      <c r="Q97" s="39" t="n"/>
      <c r="R97" s="39" t="n"/>
      <c r="Y97" s="39" t="n"/>
      <c r="Z97" s="39" t="n"/>
      <c r="AG97" s="39" t="n"/>
      <c r="AH97" s="39" t="n"/>
      <c r="AI97" t="inlineStr">
        <is>
          <t>Cristhiam Ortiz Angeles</t>
        </is>
      </c>
      <c r="AJ97" t="inlineStr">
        <is>
          <t>45110882</t>
        </is>
      </c>
      <c r="AK97" t="inlineStr">
        <is>
          <t>Av. Olavegoya 1879 departamento 301</t>
        </is>
      </c>
      <c r="AL97" t="n">
        <v>992532732</v>
      </c>
      <c r="AM97" t="inlineStr">
        <is>
          <t>992532732</t>
        </is>
      </c>
      <c r="AN97" t="inlineStr">
        <is>
          <t>Cristhian4520@gmail.com</t>
        </is>
      </c>
      <c r="AO97" t="inlineStr">
        <is>
          <t>LIMA</t>
        </is>
      </c>
      <c r="AP97" t="inlineStr">
        <is>
          <t>JESUS MARIA</t>
        </is>
      </c>
      <c r="AQ97" s="75" t="n">
        <v>45688</v>
      </c>
      <c r="AR97" s="75" t="n">
        <v>45838</v>
      </c>
      <c r="AS97" t="inlineStr">
        <is>
          <t>SALDO FINANCIAR</t>
        </is>
      </c>
      <c r="AT97" t="n">
        <v>1</v>
      </c>
      <c r="AU97" t="n">
        <v>370950</v>
      </c>
      <c r="AV97" t="n">
        <v>0</v>
      </c>
      <c r="AW97" t="n">
        <v>0</v>
      </c>
      <c r="AX97" s="39" t="n">
        <v>370950</v>
      </c>
      <c r="AY97" s="39" t="n">
        <v>370950</v>
      </c>
      <c r="AZ97" s="39" t="n">
        <v>0</v>
      </c>
      <c r="BA97" t="n">
        <v>0</v>
      </c>
      <c r="BB97" t="inlineStr">
        <is>
          <t>Crédito Hipotecario</t>
        </is>
      </c>
      <c r="BC97" t="inlineStr">
        <is>
          <t>Scotiabank Perú</t>
        </is>
      </c>
      <c r="BD97" t="inlineStr">
        <is>
          <t>000-2768484</t>
        </is>
      </c>
      <c r="BE97" t="inlineStr">
        <is>
          <t>TRANSFERENCIA BANCARIA</t>
        </is>
      </c>
      <c r="BG97" t="inlineStr">
        <is>
          <t>EB01-76</t>
        </is>
      </c>
      <c r="BH97" t="inlineStr">
        <is>
          <t>No</t>
        </is>
      </c>
      <c r="BJ97" t="n">
        <v>4</v>
      </c>
      <c r="BK97" t="inlineStr">
        <is>
          <t>CANCELADO</t>
        </is>
      </c>
      <c r="BV97" t="inlineStr">
        <is>
          <t>Si</t>
        </is>
      </c>
      <c r="BW97" s="76" t="n">
        <v>45499.61319444444</v>
      </c>
      <c r="BX97" t="inlineStr">
        <is>
          <t>Kenny Salazar S</t>
        </is>
      </c>
      <c r="BZ97" t="n">
        <v>34</v>
      </c>
      <c r="CA97" t="inlineStr">
        <is>
          <t>07/07/2026 08:58</t>
        </is>
      </c>
      <c r="CB97" t="n">
        <v>0</v>
      </c>
      <c r="CF97" t="inlineStr">
        <is>
          <t>Cobranzas_2025.csv</t>
        </is>
      </c>
      <c r="CG97" t="n">
        <v>2025</v>
      </c>
      <c r="CH97" t="inlineStr">
        <is>
          <t>01/01/2024</t>
        </is>
      </c>
      <c r="CI97" t="inlineStr">
        <is>
          <t>24/08/2031</t>
        </is>
      </c>
    </row>
    <row r="98">
      <c r="A98" t="inlineStr">
        <is>
          <t>RESIDENCIAL PRADA</t>
        </is>
      </c>
      <c r="B98" t="inlineStr">
        <is>
          <t>Etapa 1</t>
        </is>
      </c>
      <c r="C98" t="inlineStr">
        <is>
          <t>Edificio</t>
        </is>
      </c>
      <c r="D98" t="inlineStr">
        <is>
          <t>A</t>
        </is>
      </c>
      <c r="E98" t="inlineStr">
        <is>
          <t>Departamento</t>
        </is>
      </c>
      <c r="F98" t="inlineStr">
        <is>
          <t>902</t>
        </is>
      </c>
      <c r="G98" t="n">
        <v>56</v>
      </c>
      <c r="H98" t="n">
        <v>0</v>
      </c>
      <c r="I98" s="39" t="n">
        <v>433500</v>
      </c>
      <c r="J98" s="39" t="n">
        <v>433500</v>
      </c>
      <c r="K98" t="inlineStr">
        <is>
          <t>Edificio</t>
        </is>
      </c>
      <c r="L98" t="inlineStr">
        <is>
          <t>A</t>
        </is>
      </c>
      <c r="M98" t="inlineStr">
        <is>
          <t>Estacionamiento</t>
        </is>
      </c>
      <c r="N98" t="inlineStr">
        <is>
          <t>E 43</t>
        </is>
      </c>
      <c r="O98" t="n">
        <v>13.27</v>
      </c>
      <c r="P98" t="n">
        <v>0</v>
      </c>
      <c r="Q98" s="39" t="n">
        <v>50500</v>
      </c>
      <c r="R98" s="39" t="n">
        <v>50500</v>
      </c>
      <c r="Y98" s="39" t="n"/>
      <c r="Z98" s="39" t="n"/>
      <c r="AG98" s="39" t="n"/>
      <c r="AH98" s="39" t="n"/>
      <c r="AI98" t="inlineStr">
        <is>
          <t>Daniel Alejandro Aguayo Vera</t>
        </is>
      </c>
      <c r="AJ98" t="inlineStr">
        <is>
          <t>76121899</t>
        </is>
      </c>
      <c r="AK98" t="inlineStr">
        <is>
          <t>Calle los Rosales 743 Lima- Chaclacayo.</t>
        </is>
      </c>
      <c r="AL98" t="n">
        <v>943151339</v>
      </c>
      <c r="AM98" t="inlineStr">
        <is>
          <t>943151339</t>
        </is>
      </c>
      <c r="AN98" t="inlineStr">
        <is>
          <t>daniel_aguayo25@hotmail.com</t>
        </is>
      </c>
      <c r="AO98" t="inlineStr">
        <is>
          <t>LIMA</t>
        </is>
      </c>
      <c r="AP98" t="inlineStr">
        <is>
          <t>SAN ISIDRO</t>
        </is>
      </c>
      <c r="AQ98" s="75" t="n">
        <v>45985</v>
      </c>
      <c r="AR98" s="75" t="n">
        <v>45985</v>
      </c>
      <c r="AS98" t="inlineStr">
        <is>
          <t>SEPARACION</t>
        </is>
      </c>
      <c r="AT98" t="n">
        <v>1</v>
      </c>
      <c r="AU98" t="n">
        <v>3000</v>
      </c>
      <c r="AV98" t="n">
        <v>0</v>
      </c>
      <c r="AW98" t="n">
        <v>0</v>
      </c>
      <c r="AX98" s="39" t="n">
        <v>3000</v>
      </c>
      <c r="AY98" s="39" t="n">
        <v>3000</v>
      </c>
      <c r="AZ98" s="39" t="n">
        <v>0</v>
      </c>
      <c r="BA98" t="n">
        <v>0</v>
      </c>
      <c r="BB98" t="inlineStr">
        <is>
          <t>Crédito Hipotecario</t>
        </is>
      </c>
      <c r="BC98" t="inlineStr">
        <is>
          <t>Scotiabank Perú</t>
        </is>
      </c>
      <c r="BD98" t="inlineStr">
        <is>
          <t>000-2768484</t>
        </is>
      </c>
      <c r="BE98" t="inlineStr">
        <is>
          <t>TRANSFERENCIA BANCARIA</t>
        </is>
      </c>
      <c r="BG98" t="inlineStr">
        <is>
          <t>05149943</t>
        </is>
      </c>
      <c r="BH98" t="inlineStr">
        <is>
          <t>No</t>
        </is>
      </c>
      <c r="BJ98" t="n">
        <v>4</v>
      </c>
      <c r="BK98" t="inlineStr">
        <is>
          <t>CANCELADO</t>
        </is>
      </c>
      <c r="BV98" t="inlineStr">
        <is>
          <t>Si</t>
        </is>
      </c>
      <c r="BW98" s="76" t="n">
        <v>46008.74444444444</v>
      </c>
      <c r="BX98" t="inlineStr">
        <is>
          <t>Kenny Salazar S</t>
        </is>
      </c>
      <c r="BZ98" t="n">
        <v>41</v>
      </c>
      <c r="CA98" t="inlineStr">
        <is>
          <t>03/06/2026 09:48</t>
        </is>
      </c>
      <c r="CB98" t="n">
        <v>0</v>
      </c>
      <c r="CF98" t="inlineStr">
        <is>
          <t>Cobranzas_2025.csv</t>
        </is>
      </c>
      <c r="CG98" t="n">
        <v>2025</v>
      </c>
      <c r="CH98" t="inlineStr">
        <is>
          <t>01/01/2024</t>
        </is>
      </c>
      <c r="CI98" t="inlineStr">
        <is>
          <t>24/08/2031</t>
        </is>
      </c>
    </row>
    <row r="99">
      <c r="A99" t="inlineStr">
        <is>
          <t>RESIDENCIAL PRADA</t>
        </is>
      </c>
      <c r="B99" t="inlineStr">
        <is>
          <t>Etapa 1</t>
        </is>
      </c>
      <c r="C99" t="inlineStr">
        <is>
          <t>Edificio</t>
        </is>
      </c>
      <c r="D99" t="inlineStr">
        <is>
          <t>A</t>
        </is>
      </c>
      <c r="E99" t="inlineStr">
        <is>
          <t>Departamento</t>
        </is>
      </c>
      <c r="F99" t="inlineStr">
        <is>
          <t>902</t>
        </is>
      </c>
      <c r="G99" t="n">
        <v>56</v>
      </c>
      <c r="H99" t="n">
        <v>0</v>
      </c>
      <c r="I99" s="39" t="n">
        <v>433500</v>
      </c>
      <c r="J99" s="39" t="n">
        <v>433500</v>
      </c>
      <c r="K99" t="inlineStr">
        <is>
          <t>Edificio</t>
        </is>
      </c>
      <c r="L99" t="inlineStr">
        <is>
          <t>A</t>
        </is>
      </c>
      <c r="M99" t="inlineStr">
        <is>
          <t>Estacionamiento</t>
        </is>
      </c>
      <c r="N99" t="inlineStr">
        <is>
          <t>E 43</t>
        </is>
      </c>
      <c r="O99" t="n">
        <v>13.27</v>
      </c>
      <c r="P99" t="n">
        <v>0</v>
      </c>
      <c r="Q99" s="39" t="n">
        <v>50500</v>
      </c>
      <c r="R99" s="39" t="n">
        <v>50500</v>
      </c>
      <c r="Y99" s="39" t="n"/>
      <c r="Z99" s="39" t="n"/>
      <c r="AG99" s="39" t="n"/>
      <c r="AH99" s="39" t="n"/>
      <c r="AI99" t="inlineStr">
        <is>
          <t>Daniel Alejandro Aguayo Vera</t>
        </is>
      </c>
      <c r="AJ99" t="inlineStr">
        <is>
          <t>76121899</t>
        </is>
      </c>
      <c r="AK99" t="inlineStr">
        <is>
          <t>Calle los Rosales 743 Lima- Chaclacayo.</t>
        </is>
      </c>
      <c r="AL99" t="n">
        <v>943151339</v>
      </c>
      <c r="AM99" t="inlineStr">
        <is>
          <t>943151339</t>
        </is>
      </c>
      <c r="AN99" t="inlineStr">
        <is>
          <t>daniel_aguayo25@hotmail.com</t>
        </is>
      </c>
      <c r="AO99" t="inlineStr">
        <is>
          <t>LIMA</t>
        </is>
      </c>
      <c r="AP99" t="inlineStr">
        <is>
          <t>SAN ISIDRO</t>
        </is>
      </c>
      <c r="AQ99" s="75" t="n">
        <v>46008</v>
      </c>
      <c r="AR99" s="75" t="n">
        <v>46008</v>
      </c>
      <c r="AS99" t="inlineStr">
        <is>
          <t>CUOTA INICIAL</t>
        </is>
      </c>
      <c r="AT99" t="n">
        <v>1</v>
      </c>
      <c r="AU99" t="n">
        <v>45400</v>
      </c>
      <c r="AV99" t="n">
        <v>0</v>
      </c>
      <c r="AW99" t="n">
        <v>0</v>
      </c>
      <c r="AX99" s="39" t="n">
        <v>45400</v>
      </c>
      <c r="AY99" s="39" t="n">
        <v>45400</v>
      </c>
      <c r="AZ99" s="39" t="n">
        <v>0</v>
      </c>
      <c r="BA99" t="n">
        <v>0</v>
      </c>
      <c r="BB99" t="inlineStr">
        <is>
          <t>Crédito Hipotecario</t>
        </is>
      </c>
      <c r="BC99" t="inlineStr">
        <is>
          <t>Scotiabank Perú</t>
        </is>
      </c>
      <c r="BD99" t="inlineStr">
        <is>
          <t>00917000000276848424</t>
        </is>
      </c>
      <c r="BE99" t="inlineStr">
        <is>
          <t>TRANSFERENCIA BANCARIA</t>
        </is>
      </c>
      <c r="BF99" t="inlineStr">
        <is>
          <t>76121899</t>
        </is>
      </c>
      <c r="BG99" t="inlineStr">
        <is>
          <t>0797612</t>
        </is>
      </c>
      <c r="BH99" t="inlineStr">
        <is>
          <t>No</t>
        </is>
      </c>
      <c r="BJ99" t="n">
        <v>4</v>
      </c>
      <c r="BK99" t="inlineStr">
        <is>
          <t>CANCELADO</t>
        </is>
      </c>
      <c r="BV99" t="inlineStr">
        <is>
          <t>Si</t>
        </is>
      </c>
      <c r="BW99" s="76" t="n">
        <v>46008.74444444444</v>
      </c>
      <c r="BX99" t="inlineStr">
        <is>
          <t>Kenny Salazar S</t>
        </is>
      </c>
      <c r="BZ99" t="n">
        <v>41</v>
      </c>
      <c r="CA99" t="inlineStr">
        <is>
          <t>05/06/2026 13:42</t>
        </is>
      </c>
      <c r="CB99" t="n">
        <v>0</v>
      </c>
      <c r="CF99" t="inlineStr">
        <is>
          <t>Cobranzas_2025.csv</t>
        </is>
      </c>
      <c r="CG99" t="n">
        <v>2025</v>
      </c>
      <c r="CH99" t="inlineStr">
        <is>
          <t>01/01/2024</t>
        </is>
      </c>
      <c r="CI99" t="inlineStr">
        <is>
          <t>24/08/2031</t>
        </is>
      </c>
    </row>
    <row r="100">
      <c r="A100" t="inlineStr">
        <is>
          <t>RESIDENCIAL BEYOND</t>
        </is>
      </c>
      <c r="B100" t="inlineStr">
        <is>
          <t>Etapa 1</t>
        </is>
      </c>
      <c r="C100" t="inlineStr">
        <is>
          <t>Edificio</t>
        </is>
      </c>
      <c r="D100" t="inlineStr">
        <is>
          <t>A</t>
        </is>
      </c>
      <c r="E100" t="inlineStr">
        <is>
          <t>Departamento</t>
        </is>
      </c>
      <c r="F100" t="inlineStr">
        <is>
          <t>302</t>
        </is>
      </c>
      <c r="G100" t="n">
        <v>57</v>
      </c>
      <c r="H100" t="n">
        <v>0</v>
      </c>
      <c r="I100" s="39" t="n">
        <v>430000</v>
      </c>
      <c r="J100" s="39" t="n">
        <v>381000</v>
      </c>
      <c r="Q100" s="39" t="n"/>
      <c r="R100" s="39" t="n"/>
      <c r="Y100" s="39" t="n"/>
      <c r="Z100" s="39" t="n"/>
      <c r="AG100" s="39" t="n"/>
      <c r="AH100" s="39" t="n"/>
      <c r="AI100" t="inlineStr">
        <is>
          <t>Danixa Thalia Manosalva Ameri</t>
        </is>
      </c>
      <c r="AJ100" t="inlineStr">
        <is>
          <t>48569476</t>
        </is>
      </c>
      <c r="AK100" t="inlineStr">
        <is>
          <t>Jr. Huáscar 1825 dpto.101</t>
        </is>
      </c>
      <c r="AL100" t="n">
        <v>0</v>
      </c>
      <c r="AM100" t="inlineStr">
        <is>
          <t>992382005</t>
        </is>
      </c>
      <c r="AN100" t="inlineStr">
        <is>
          <t>danixamanosalva94@gmail.com</t>
        </is>
      </c>
      <c r="AO100" t="inlineStr">
        <is>
          <t>LIMA</t>
        </is>
      </c>
      <c r="AP100" t="inlineStr">
        <is>
          <t>JESUS MARIA</t>
        </is>
      </c>
      <c r="AQ100" s="75" t="n">
        <v>45932</v>
      </c>
      <c r="AR100" s="75" t="n">
        <v>45932</v>
      </c>
      <c r="AS100" t="inlineStr">
        <is>
          <t>SEPARACION</t>
        </is>
      </c>
      <c r="AT100" t="n">
        <v>1</v>
      </c>
      <c r="AU100" t="n">
        <v>3000</v>
      </c>
      <c r="AV100" t="n">
        <v>0</v>
      </c>
      <c r="AW100" t="n">
        <v>0</v>
      </c>
      <c r="AX100" s="39" t="n">
        <v>3000</v>
      </c>
      <c r="AY100" s="39" t="n">
        <v>3000</v>
      </c>
      <c r="AZ100" s="39" t="n">
        <v>0</v>
      </c>
      <c r="BA100" t="n">
        <v>0</v>
      </c>
      <c r="BB100" t="inlineStr">
        <is>
          <t>Ahorro</t>
        </is>
      </c>
      <c r="BC100" t="inlineStr">
        <is>
          <t>Banco de Credito del Perú</t>
        </is>
      </c>
      <c r="BD100" t="inlineStr">
        <is>
          <t>194-7325779-0-65</t>
        </is>
      </c>
      <c r="BE100" t="inlineStr">
        <is>
          <t>TRANSFERENCIA BANCARIA</t>
        </is>
      </c>
      <c r="BG100" t="inlineStr">
        <is>
          <t>04998185</t>
        </is>
      </c>
      <c r="BH100" t="inlineStr">
        <is>
          <t>No</t>
        </is>
      </c>
      <c r="BJ100" t="n">
        <v>4</v>
      </c>
      <c r="BK100" t="inlineStr">
        <is>
          <t>CANCELADO</t>
        </is>
      </c>
      <c r="BV100" t="inlineStr">
        <is>
          <t>No</t>
        </is>
      </c>
      <c r="BW100" s="76" t="n">
        <v>45940.41875</v>
      </c>
      <c r="BX100" t="inlineStr">
        <is>
          <t>Magaly Guevara Perez</t>
        </is>
      </c>
      <c r="BZ100" t="n">
        <v>6</v>
      </c>
      <c r="CA100" t="inlineStr">
        <is>
          <t>01/05/2026 11:35</t>
        </is>
      </c>
      <c r="CB100" t="n">
        <v>0</v>
      </c>
      <c r="CF100" t="inlineStr">
        <is>
          <t>Cobranzas_2025.csv</t>
        </is>
      </c>
      <c r="CG100" t="n">
        <v>2025</v>
      </c>
      <c r="CH100" t="inlineStr">
        <is>
          <t>01/01/2024</t>
        </is>
      </c>
      <c r="CI100" t="inlineStr">
        <is>
          <t>24/08/2031</t>
        </is>
      </c>
    </row>
    <row r="101">
      <c r="A101" t="inlineStr">
        <is>
          <t>RESIDENCIAL BEYOND</t>
        </is>
      </c>
      <c r="B101" t="inlineStr">
        <is>
          <t>Etapa 1</t>
        </is>
      </c>
      <c r="C101" t="inlineStr">
        <is>
          <t>Edificio</t>
        </is>
      </c>
      <c r="D101" t="inlineStr">
        <is>
          <t>A</t>
        </is>
      </c>
      <c r="E101" t="inlineStr">
        <is>
          <t>Departamento</t>
        </is>
      </c>
      <c r="F101" t="inlineStr">
        <is>
          <t>302</t>
        </is>
      </c>
      <c r="G101" t="n">
        <v>57</v>
      </c>
      <c r="H101" t="n">
        <v>0</v>
      </c>
      <c r="I101" s="39" t="n">
        <v>430000</v>
      </c>
      <c r="J101" s="39" t="n">
        <v>381000</v>
      </c>
      <c r="Q101" s="39" t="n"/>
      <c r="R101" s="39" t="n"/>
      <c r="Y101" s="39" t="n"/>
      <c r="Z101" s="39" t="n"/>
      <c r="AG101" s="39" t="n"/>
      <c r="AH101" s="39" t="n"/>
      <c r="AI101" t="inlineStr">
        <is>
          <t>Danixa Thalia Manosalva Ameri</t>
        </is>
      </c>
      <c r="AJ101" t="inlineStr">
        <is>
          <t>48569476</t>
        </is>
      </c>
      <c r="AK101" t="inlineStr">
        <is>
          <t>Jr. Huáscar 1825 dpto.101</t>
        </is>
      </c>
      <c r="AL101" t="n">
        <v>0</v>
      </c>
      <c r="AM101" t="inlineStr">
        <is>
          <t>992382005</t>
        </is>
      </c>
      <c r="AN101" t="inlineStr">
        <is>
          <t>danixamanosalva94@gmail.com</t>
        </is>
      </c>
      <c r="AO101" t="inlineStr">
        <is>
          <t>LIMA</t>
        </is>
      </c>
      <c r="AP101" t="inlineStr">
        <is>
          <t>JESUS MARIA</t>
        </is>
      </c>
      <c r="AQ101" s="75" t="n">
        <v>45940</v>
      </c>
      <c r="AR101" s="75" t="n">
        <v>45940</v>
      </c>
      <c r="AS101" t="inlineStr">
        <is>
          <t>CUOTA INICIAL</t>
        </is>
      </c>
      <c r="AT101" t="n">
        <v>1</v>
      </c>
      <c r="AU101" t="n">
        <v>17000</v>
      </c>
      <c r="AV101" t="n">
        <v>0</v>
      </c>
      <c r="AW101" t="n">
        <v>0</v>
      </c>
      <c r="AX101" s="39" t="n">
        <v>17000</v>
      </c>
      <c r="AY101" s="39" t="n">
        <v>17000</v>
      </c>
      <c r="AZ101" s="39" t="n">
        <v>0</v>
      </c>
      <c r="BA101" t="n">
        <v>0</v>
      </c>
      <c r="BB101" t="inlineStr">
        <is>
          <t>Ahorro</t>
        </is>
      </c>
      <c r="BC101" t="inlineStr">
        <is>
          <t>Banco de Credito del Perú</t>
        </is>
      </c>
      <c r="BD101" t="inlineStr">
        <is>
          <t>194-7325779-0-65</t>
        </is>
      </c>
      <c r="BE101" t="inlineStr">
        <is>
          <t>TRANSFERENCIA BANCARIA</t>
        </is>
      </c>
      <c r="BG101" t="inlineStr">
        <is>
          <t>04077899</t>
        </is>
      </c>
      <c r="BH101" t="inlineStr">
        <is>
          <t>No</t>
        </is>
      </c>
      <c r="BJ101" t="n">
        <v>4</v>
      </c>
      <c r="BK101" t="inlineStr">
        <is>
          <t>CANCELADO</t>
        </is>
      </c>
      <c r="BV101" t="inlineStr">
        <is>
          <t>Si</t>
        </is>
      </c>
      <c r="BW101" s="76" t="n">
        <v>45940.41875</v>
      </c>
      <c r="BX101" t="inlineStr">
        <is>
          <t>Magaly Guevara Perez</t>
        </is>
      </c>
      <c r="BZ101" t="n">
        <v>6</v>
      </c>
      <c r="CA101" t="inlineStr">
        <is>
          <t>12/08/2026 17:43</t>
        </is>
      </c>
      <c r="CB101" t="n">
        <v>0</v>
      </c>
      <c r="CF101" t="inlineStr">
        <is>
          <t>Cobranzas_2025.csv</t>
        </is>
      </c>
      <c r="CG101" t="n">
        <v>2025</v>
      </c>
      <c r="CH101" t="inlineStr">
        <is>
          <t>01/01/2024</t>
        </is>
      </c>
      <c r="CI101" t="inlineStr">
        <is>
          <t>24/08/2031</t>
        </is>
      </c>
    </row>
    <row r="102">
      <c r="A102" t="inlineStr">
        <is>
          <t>RESIDENCIAL BEYOND</t>
        </is>
      </c>
      <c r="B102" t="inlineStr">
        <is>
          <t>Etapa 1</t>
        </is>
      </c>
      <c r="C102" t="inlineStr">
        <is>
          <t>Edificio</t>
        </is>
      </c>
      <c r="D102" t="inlineStr">
        <is>
          <t>A</t>
        </is>
      </c>
      <c r="E102" t="inlineStr">
        <is>
          <t>Departamento</t>
        </is>
      </c>
      <c r="F102" t="inlineStr">
        <is>
          <t>302</t>
        </is>
      </c>
      <c r="G102" t="n">
        <v>57</v>
      </c>
      <c r="H102" t="n">
        <v>0</v>
      </c>
      <c r="I102" s="39" t="n">
        <v>430000</v>
      </c>
      <c r="J102" s="39" t="n">
        <v>381000</v>
      </c>
      <c r="Q102" s="39" t="n"/>
      <c r="R102" s="39" t="n"/>
      <c r="Y102" s="39" t="n"/>
      <c r="Z102" s="39" t="n"/>
      <c r="AG102" s="39" t="n"/>
      <c r="AH102" s="39" t="n"/>
      <c r="AI102" t="inlineStr">
        <is>
          <t>Danixa Thalia Manosalva Ameri</t>
        </is>
      </c>
      <c r="AJ102" t="inlineStr">
        <is>
          <t>48569476</t>
        </is>
      </c>
      <c r="AK102" t="inlineStr">
        <is>
          <t>Jr. Huáscar 1825 dpto.101</t>
        </is>
      </c>
      <c r="AL102" t="n">
        <v>0</v>
      </c>
      <c r="AM102" t="inlineStr">
        <is>
          <t>992382005</t>
        </is>
      </c>
      <c r="AN102" t="inlineStr">
        <is>
          <t>danixamanosalva94@gmail.com</t>
        </is>
      </c>
      <c r="AO102" t="inlineStr">
        <is>
          <t>LIMA</t>
        </is>
      </c>
      <c r="AP102" t="inlineStr">
        <is>
          <t>JESUS MARIA</t>
        </is>
      </c>
      <c r="AQ102" s="75" t="n">
        <v>45965</v>
      </c>
      <c r="AR102" s="75" t="n">
        <v>45965</v>
      </c>
      <c r="AS102" t="inlineStr">
        <is>
          <t>CUOTA INICIAL</t>
        </is>
      </c>
      <c r="AT102" t="n">
        <v>2</v>
      </c>
      <c r="AU102" t="n">
        <v>44000</v>
      </c>
      <c r="AV102" t="n">
        <v>0</v>
      </c>
      <c r="AW102" t="n">
        <v>0</v>
      </c>
      <c r="AX102" s="39" t="n">
        <v>44000</v>
      </c>
      <c r="AY102" s="39" t="n">
        <v>22000</v>
      </c>
      <c r="AZ102" s="39" t="n">
        <v>0</v>
      </c>
      <c r="BA102" t="n">
        <v>0</v>
      </c>
      <c r="BB102" t="inlineStr">
        <is>
          <t>Ahorro</t>
        </is>
      </c>
      <c r="BC102" t="inlineStr">
        <is>
          <t>Banco de Credito del Perú</t>
        </is>
      </c>
      <c r="BD102" t="inlineStr">
        <is>
          <t>194-7325779-0-65</t>
        </is>
      </c>
      <c r="BE102" t="inlineStr">
        <is>
          <t>TRANSFERENCIA BANCARIA</t>
        </is>
      </c>
      <c r="BG102" t="inlineStr">
        <is>
          <t>04571213</t>
        </is>
      </c>
      <c r="BH102" t="inlineStr">
        <is>
          <t>No</t>
        </is>
      </c>
      <c r="BJ102" t="n">
        <v>4</v>
      </c>
      <c r="BK102" t="inlineStr">
        <is>
          <t>CANCELADO</t>
        </is>
      </c>
      <c r="BV102" t="inlineStr">
        <is>
          <t>Si</t>
        </is>
      </c>
      <c r="BW102" s="76" t="n">
        <v>45940.41875</v>
      </c>
      <c r="BX102" t="inlineStr">
        <is>
          <t>Magaly Guevara Perez</t>
        </is>
      </c>
      <c r="BZ102" t="n">
        <v>6</v>
      </c>
      <c r="CA102" t="inlineStr">
        <is>
          <t>12/08/2026 17:46</t>
        </is>
      </c>
      <c r="CB102" t="n">
        <v>0</v>
      </c>
      <c r="CF102" t="inlineStr">
        <is>
          <t>Cobranzas_2025.csv</t>
        </is>
      </c>
      <c r="CG102" t="n">
        <v>2025</v>
      </c>
      <c r="CH102" t="inlineStr">
        <is>
          <t>01/01/2024</t>
        </is>
      </c>
      <c r="CI102" t="inlineStr">
        <is>
          <t>24/08/2031</t>
        </is>
      </c>
    </row>
    <row r="103">
      <c r="A103" t="inlineStr">
        <is>
          <t>RESIDENCIAL BEYOND</t>
        </is>
      </c>
      <c r="B103" t="inlineStr">
        <is>
          <t>Etapa 1</t>
        </is>
      </c>
      <c r="C103" t="inlineStr">
        <is>
          <t>Edificio</t>
        </is>
      </c>
      <c r="D103" t="inlineStr">
        <is>
          <t>A</t>
        </is>
      </c>
      <c r="E103" t="inlineStr">
        <is>
          <t>Departamento</t>
        </is>
      </c>
      <c r="F103" t="inlineStr">
        <is>
          <t>302</t>
        </is>
      </c>
      <c r="G103" t="n">
        <v>57</v>
      </c>
      <c r="H103" t="n">
        <v>0</v>
      </c>
      <c r="I103" s="39" t="n">
        <v>430000</v>
      </c>
      <c r="J103" s="39" t="n">
        <v>381000</v>
      </c>
      <c r="Q103" s="39" t="n"/>
      <c r="R103" s="39" t="n"/>
      <c r="Y103" s="39" t="n"/>
      <c r="Z103" s="39" t="n"/>
      <c r="AG103" s="39" t="n"/>
      <c r="AH103" s="39" t="n"/>
      <c r="AI103" t="inlineStr">
        <is>
          <t>Danixa Thalia Manosalva Ameri</t>
        </is>
      </c>
      <c r="AJ103" t="inlineStr">
        <is>
          <t>48569476</t>
        </is>
      </c>
      <c r="AK103" t="inlineStr">
        <is>
          <t>Jr. Huáscar 1825 dpto.101</t>
        </is>
      </c>
      <c r="AL103" t="n">
        <v>0</v>
      </c>
      <c r="AM103" t="inlineStr">
        <is>
          <t>992382005</t>
        </is>
      </c>
      <c r="AN103" t="inlineStr">
        <is>
          <t>danixamanosalva94@gmail.com</t>
        </is>
      </c>
      <c r="AO103" t="inlineStr">
        <is>
          <t>LIMA</t>
        </is>
      </c>
      <c r="AP103" t="inlineStr">
        <is>
          <t>JESUS MARIA</t>
        </is>
      </c>
      <c r="AQ103" s="75" t="n">
        <v>45965</v>
      </c>
      <c r="AR103" s="75" t="n">
        <v>45965</v>
      </c>
      <c r="AS103" t="inlineStr">
        <is>
          <t>CUOTA INICIAL</t>
        </is>
      </c>
      <c r="AT103" t="n">
        <v>2</v>
      </c>
      <c r="AU103" t="n">
        <v>0</v>
      </c>
      <c r="AV103" t="n">
        <v>0</v>
      </c>
      <c r="AW103" t="n">
        <v>0</v>
      </c>
      <c r="AX103" s="39" t="n">
        <v>0</v>
      </c>
      <c r="AY103" s="39" t="n">
        <v>22000</v>
      </c>
      <c r="AZ103" s="39" t="n">
        <v>0</v>
      </c>
      <c r="BA103" t="n">
        <v>0</v>
      </c>
      <c r="BB103" t="inlineStr">
        <is>
          <t>Ahorro</t>
        </is>
      </c>
      <c r="BC103" t="inlineStr">
        <is>
          <t>Banco de Credito del Perú</t>
        </is>
      </c>
      <c r="BD103" t="inlineStr">
        <is>
          <t>194-7325779-0-65</t>
        </is>
      </c>
      <c r="BE103" t="inlineStr">
        <is>
          <t>TRANSFERENCIA BANCARIA</t>
        </is>
      </c>
      <c r="BG103" t="inlineStr">
        <is>
          <t>04576779</t>
        </is>
      </c>
      <c r="BH103" t="inlineStr">
        <is>
          <t>No</t>
        </is>
      </c>
      <c r="BJ103" t="n">
        <v>4</v>
      </c>
      <c r="BK103" t="inlineStr">
        <is>
          <t>CANCELADO</t>
        </is>
      </c>
      <c r="BV103" t="inlineStr">
        <is>
          <t>Si</t>
        </is>
      </c>
      <c r="BW103" s="76" t="n">
        <v>45940.41875</v>
      </c>
      <c r="BX103" t="inlineStr">
        <is>
          <t>Magaly Guevara Perez</t>
        </is>
      </c>
      <c r="BZ103" t="n">
        <v>6</v>
      </c>
      <c r="CA103" t="inlineStr">
        <is>
          <t>12/08/2026 17:46</t>
        </is>
      </c>
      <c r="CB103" t="n">
        <v>0</v>
      </c>
      <c r="CF103" t="inlineStr">
        <is>
          <t>Cobranzas_2025.csv</t>
        </is>
      </c>
      <c r="CG103" t="n">
        <v>2025</v>
      </c>
      <c r="CH103" t="inlineStr">
        <is>
          <t>01/01/2024</t>
        </is>
      </c>
      <c r="CI103" t="inlineStr">
        <is>
          <t>24/08/2031</t>
        </is>
      </c>
    </row>
    <row r="104">
      <c r="A104" t="inlineStr">
        <is>
          <t>RESIDENCIAL PRADA</t>
        </is>
      </c>
      <c r="B104" t="inlineStr">
        <is>
          <t>Etapa 1</t>
        </is>
      </c>
      <c r="C104" t="inlineStr">
        <is>
          <t>Edificio</t>
        </is>
      </c>
      <c r="D104" t="inlineStr">
        <is>
          <t>A</t>
        </is>
      </c>
      <c r="E104" t="inlineStr">
        <is>
          <t>Departamento</t>
        </is>
      </c>
      <c r="F104" t="inlineStr">
        <is>
          <t>1001</t>
        </is>
      </c>
      <c r="G104" t="n">
        <v>82.63</v>
      </c>
      <c r="H104" t="n">
        <v>0</v>
      </c>
      <c r="I104" s="39" t="n">
        <v>615000</v>
      </c>
      <c r="J104" s="39" t="n">
        <v>615000</v>
      </c>
      <c r="Q104" s="39" t="n"/>
      <c r="R104" s="39" t="n"/>
      <c r="Y104" s="39" t="n"/>
      <c r="Z104" s="39" t="n"/>
      <c r="AG104" s="39" t="n"/>
      <c r="AH104" s="39" t="n"/>
      <c r="AI104" t="inlineStr">
        <is>
          <t>Danny Romel Ore Guerreros</t>
        </is>
      </c>
      <c r="AJ104" t="inlineStr">
        <is>
          <t>47474967</t>
        </is>
      </c>
      <c r="AK104" t="inlineStr">
        <is>
          <t>Psj. Ollantay 7 Barrio Vista Alegre</t>
        </is>
      </c>
      <c r="AL104" t="n">
        <v>966327809</v>
      </c>
      <c r="AM104" t="inlineStr">
        <is>
          <t>966327809</t>
        </is>
      </c>
      <c r="AN104" t="inlineStr">
        <is>
          <t>romelore67@gmail.com</t>
        </is>
      </c>
      <c r="AO104" t="inlineStr">
        <is>
          <t>HUAMANGA</t>
        </is>
      </c>
      <c r="AP104" t="inlineStr">
        <is>
          <t>CARMEN ALTO</t>
        </is>
      </c>
      <c r="AQ104" s="75" t="n">
        <v>45867</v>
      </c>
      <c r="AR104" s="75" t="n">
        <v>45867</v>
      </c>
      <c r="AS104" t="inlineStr">
        <is>
          <t>SEPARACION</t>
        </is>
      </c>
      <c r="AT104" t="n">
        <v>1</v>
      </c>
      <c r="AU104" t="n">
        <v>3000</v>
      </c>
      <c r="AV104" t="n">
        <v>0</v>
      </c>
      <c r="AW104" t="n">
        <v>0</v>
      </c>
      <c r="AX104" s="39" t="n">
        <v>3000</v>
      </c>
      <c r="AY104" s="39" t="n">
        <v>3000</v>
      </c>
      <c r="AZ104" s="39" t="n">
        <v>0</v>
      </c>
      <c r="BA104" t="n">
        <v>0</v>
      </c>
      <c r="BB104" t="inlineStr">
        <is>
          <t>Crédito Hipotecario</t>
        </is>
      </c>
      <c r="BC104" t="inlineStr">
        <is>
          <t>Scotiabank Perú</t>
        </is>
      </c>
      <c r="BD104" t="inlineStr">
        <is>
          <t>000-2768484</t>
        </is>
      </c>
      <c r="BE104" t="inlineStr">
        <is>
          <t>TRANSFERENCIA BANCARIA</t>
        </is>
      </c>
      <c r="BF104" t="inlineStr">
        <is>
          <t>47474967</t>
        </is>
      </c>
      <c r="BG104" t="inlineStr">
        <is>
          <t>01135502</t>
        </is>
      </c>
      <c r="BH104" t="inlineStr">
        <is>
          <t>No</t>
        </is>
      </c>
      <c r="BI104" t="inlineStr">
        <is>
          <t>NO PRECISA</t>
        </is>
      </c>
      <c r="BJ104" t="n">
        <v>4</v>
      </c>
      <c r="BK104" t="inlineStr">
        <is>
          <t>CANCELADO</t>
        </is>
      </c>
      <c r="BV104" t="inlineStr">
        <is>
          <t>Si</t>
        </is>
      </c>
      <c r="BW104" s="76" t="n">
        <v>45885.58680555555</v>
      </c>
      <c r="BX104" t="inlineStr">
        <is>
          <t>Kenny Salazar S</t>
        </is>
      </c>
      <c r="BZ104" t="n">
        <v>47</v>
      </c>
      <c r="CA104" t="inlineStr">
        <is>
          <t>03/06/2026 15:03</t>
        </is>
      </c>
      <c r="CB104" t="n">
        <v>0</v>
      </c>
      <c r="CF104" t="inlineStr">
        <is>
          <t>Cobranzas_2025.csv</t>
        </is>
      </c>
      <c r="CG104" t="n">
        <v>2025</v>
      </c>
      <c r="CH104" t="inlineStr">
        <is>
          <t>01/01/2024</t>
        </is>
      </c>
      <c r="CI104" t="inlineStr">
        <is>
          <t>24/08/2031</t>
        </is>
      </c>
    </row>
    <row r="105">
      <c r="A105" t="inlineStr">
        <is>
          <t>RESIDENCIAL PRADA</t>
        </is>
      </c>
      <c r="B105" t="inlineStr">
        <is>
          <t>Etapa 1</t>
        </is>
      </c>
      <c r="C105" t="inlineStr">
        <is>
          <t>Edificio</t>
        </is>
      </c>
      <c r="D105" t="inlineStr">
        <is>
          <t>A</t>
        </is>
      </c>
      <c r="E105" t="inlineStr">
        <is>
          <t>Departamento</t>
        </is>
      </c>
      <c r="F105" t="inlineStr">
        <is>
          <t>1001</t>
        </is>
      </c>
      <c r="G105" t="n">
        <v>82.63</v>
      </c>
      <c r="H105" t="n">
        <v>0</v>
      </c>
      <c r="I105" s="39" t="n">
        <v>615000</v>
      </c>
      <c r="J105" s="39" t="n">
        <v>615000</v>
      </c>
      <c r="Q105" s="39" t="n"/>
      <c r="R105" s="39" t="n"/>
      <c r="Y105" s="39" t="n"/>
      <c r="Z105" s="39" t="n"/>
      <c r="AG105" s="39" t="n"/>
      <c r="AH105" s="39" t="n"/>
      <c r="AI105" t="inlineStr">
        <is>
          <t>Danny Romel Ore Guerreros</t>
        </is>
      </c>
      <c r="AJ105" t="inlineStr">
        <is>
          <t>47474967</t>
        </is>
      </c>
      <c r="AK105" t="inlineStr">
        <is>
          <t>Psj. Ollantay 7 Barrio Vista Alegre</t>
        </is>
      </c>
      <c r="AL105" t="n">
        <v>966327809</v>
      </c>
      <c r="AM105" t="inlineStr">
        <is>
          <t>966327809</t>
        </is>
      </c>
      <c r="AN105" t="inlineStr">
        <is>
          <t>romelore67@gmail.com</t>
        </is>
      </c>
      <c r="AO105" t="inlineStr">
        <is>
          <t>HUAMANGA</t>
        </is>
      </c>
      <c r="AP105" t="inlineStr">
        <is>
          <t>CARMEN ALTO</t>
        </is>
      </c>
      <c r="AQ105" s="75" t="n">
        <v>45885</v>
      </c>
      <c r="AR105" s="75" t="n">
        <v>45885</v>
      </c>
      <c r="AS105" t="inlineStr">
        <is>
          <t>CUOTA INICIAL</t>
        </is>
      </c>
      <c r="AT105" t="n">
        <v>1</v>
      </c>
      <c r="AU105" t="n">
        <v>10000</v>
      </c>
      <c r="AV105" t="n">
        <v>0</v>
      </c>
      <c r="AW105" t="n">
        <v>0</v>
      </c>
      <c r="AX105" s="39" t="n">
        <v>10000</v>
      </c>
      <c r="AY105" s="39" t="n">
        <v>10000</v>
      </c>
      <c r="AZ105" s="39" t="n">
        <v>0</v>
      </c>
      <c r="BA105" t="n">
        <v>0</v>
      </c>
      <c r="BB105" t="inlineStr">
        <is>
          <t>Crédito Hipotecario</t>
        </is>
      </c>
      <c r="BC105" t="inlineStr">
        <is>
          <t>Scotiabank Perú</t>
        </is>
      </c>
      <c r="BD105" t="inlineStr">
        <is>
          <t>000-2768484</t>
        </is>
      </c>
      <c r="BE105" t="inlineStr">
        <is>
          <t>TRANSFERENCIA BANCARIA</t>
        </is>
      </c>
      <c r="BF105" t="inlineStr">
        <is>
          <t>47474967</t>
        </is>
      </c>
      <c r="BG105" t="inlineStr">
        <is>
          <t>202508169074890301303</t>
        </is>
      </c>
      <c r="BH105" t="inlineStr">
        <is>
          <t>No</t>
        </is>
      </c>
      <c r="BI105" t="inlineStr">
        <is>
          <t>NO PRECISA</t>
        </is>
      </c>
      <c r="BJ105" t="n">
        <v>4</v>
      </c>
      <c r="BK105" t="inlineStr">
        <is>
          <t>CANCELADO</t>
        </is>
      </c>
      <c r="BV105" t="inlineStr">
        <is>
          <t>Si</t>
        </is>
      </c>
      <c r="BW105" s="76" t="n">
        <v>45885.58680555555</v>
      </c>
      <c r="BX105" t="inlineStr">
        <is>
          <t>Kenny Salazar S</t>
        </is>
      </c>
      <c r="BZ105" t="n">
        <v>47</v>
      </c>
      <c r="CA105" t="inlineStr">
        <is>
          <t>05/06/2026 14:08</t>
        </is>
      </c>
      <c r="CB105" t="n">
        <v>0</v>
      </c>
      <c r="CF105" t="inlineStr">
        <is>
          <t>Cobranzas_2025.csv</t>
        </is>
      </c>
      <c r="CG105" t="n">
        <v>2025</v>
      </c>
      <c r="CH105" t="inlineStr">
        <is>
          <t>01/01/2024</t>
        </is>
      </c>
      <c r="CI105" t="inlineStr">
        <is>
          <t>24/08/2031</t>
        </is>
      </c>
    </row>
    <row r="106">
      <c r="A106" t="inlineStr">
        <is>
          <t>RESIDENCIAL BEYOND</t>
        </is>
      </c>
      <c r="B106" t="inlineStr">
        <is>
          <t>Etapa 1</t>
        </is>
      </c>
      <c r="C106" t="inlineStr">
        <is>
          <t>Edificio</t>
        </is>
      </c>
      <c r="D106" t="inlineStr">
        <is>
          <t>A</t>
        </is>
      </c>
      <c r="E106" t="inlineStr">
        <is>
          <t>Departamento</t>
        </is>
      </c>
      <c r="F106" t="inlineStr">
        <is>
          <t>505</t>
        </is>
      </c>
      <c r="G106" t="n">
        <v>72</v>
      </c>
      <c r="H106" t="n">
        <v>0</v>
      </c>
      <c r="I106" s="39" t="n">
        <v>532100</v>
      </c>
      <c r="J106" s="39" t="n">
        <v>500000</v>
      </c>
      <c r="K106" t="inlineStr">
        <is>
          <t>Edificio</t>
        </is>
      </c>
      <c r="L106" t="inlineStr">
        <is>
          <t>A</t>
        </is>
      </c>
      <c r="M106" t="inlineStr">
        <is>
          <t>Estacionamiento</t>
        </is>
      </c>
      <c r="N106" t="inlineStr">
        <is>
          <t>E 05</t>
        </is>
      </c>
      <c r="O106" t="n">
        <v>12</v>
      </c>
      <c r="P106" t="n">
        <v>0</v>
      </c>
      <c r="Q106" s="39" t="n">
        <v>45600</v>
      </c>
      <c r="R106" s="39" t="n">
        <v>45600</v>
      </c>
      <c r="S106" t="inlineStr">
        <is>
          <t>Edificio</t>
        </is>
      </c>
      <c r="T106" t="inlineStr">
        <is>
          <t>A</t>
        </is>
      </c>
      <c r="U106" t="inlineStr">
        <is>
          <t>Depósito</t>
        </is>
      </c>
      <c r="V106" t="inlineStr">
        <is>
          <t>D 05</t>
        </is>
      </c>
      <c r="W106" t="n">
        <v>4.4</v>
      </c>
      <c r="X106" t="n">
        <v>0</v>
      </c>
      <c r="Y106" s="39" t="n">
        <v>15900</v>
      </c>
      <c r="Z106" s="39" t="n">
        <v>15900</v>
      </c>
      <c r="AG106" s="39" t="n"/>
      <c r="AH106" s="39" t="n"/>
      <c r="AI106" t="inlineStr">
        <is>
          <t>Dante Enrique Segura Florian</t>
        </is>
      </c>
      <c r="AJ106" t="inlineStr">
        <is>
          <t xml:space="preserve">45587286		</t>
        </is>
      </c>
      <c r="AK106" t="inlineStr">
        <is>
          <t xml:space="preserve">1845 San Andres Dr Pitsburg CA 94565 - San Francisco </t>
        </is>
      </c>
      <c r="AL106" t="n">
        <v>0</v>
      </c>
      <c r="AM106" t="inlineStr">
        <is>
          <t>+15103330517</t>
        </is>
      </c>
      <c r="AN106" t="inlineStr">
        <is>
          <t xml:space="preserve">d.segura@uaa.edu		</t>
        </is>
      </c>
      <c r="AQ106" s="75" t="n">
        <v>45743</v>
      </c>
      <c r="AR106" s="75" t="n">
        <v>45743</v>
      </c>
      <c r="AS106" t="inlineStr">
        <is>
          <t>CUOTA INICIAL</t>
        </is>
      </c>
      <c r="AT106" t="n">
        <v>1</v>
      </c>
      <c r="AU106" t="n">
        <v>217040</v>
      </c>
      <c r="AV106" t="n">
        <v>0</v>
      </c>
      <c r="AW106" t="n">
        <v>0</v>
      </c>
      <c r="AX106" s="39" t="n">
        <v>217040</v>
      </c>
      <c r="AY106" s="39" t="n">
        <v>215537.5</v>
      </c>
      <c r="AZ106" s="39" t="n">
        <v>1502.5</v>
      </c>
      <c r="BA106" t="n">
        <v>0</v>
      </c>
      <c r="BB106" t="inlineStr">
        <is>
          <t>Crédito Directo</t>
        </is>
      </c>
      <c r="BC106" t="inlineStr">
        <is>
          <t>Banco de Credito del Perú</t>
        </is>
      </c>
      <c r="BD106" t="inlineStr">
        <is>
          <t>194-7325779-0-65</t>
        </is>
      </c>
      <c r="BE106" t="inlineStr">
        <is>
          <t>TRANSFERENCIA BANCARIA</t>
        </is>
      </c>
      <c r="BG106" t="inlineStr">
        <is>
          <t>0650070207</t>
        </is>
      </c>
      <c r="BH106" t="inlineStr">
        <is>
          <t>No</t>
        </is>
      </c>
      <c r="BJ106" t="n">
        <v>3.64</v>
      </c>
      <c r="BK106" t="inlineStr">
        <is>
          <t>VENCIDO - PARC. CANCELADO</t>
        </is>
      </c>
      <c r="BV106" t="inlineStr">
        <is>
          <t>Si</t>
        </is>
      </c>
      <c r="BW106" s="76" t="n">
        <v>45386.40347222222</v>
      </c>
      <c r="BX106" t="inlineStr">
        <is>
          <t>Carla Michue M</t>
        </is>
      </c>
      <c r="BZ106" t="n">
        <v>35</v>
      </c>
      <c r="CA106" t="inlineStr">
        <is>
          <t>24/08/2026 14:30</t>
        </is>
      </c>
      <c r="CB106" t="n">
        <v>0</v>
      </c>
      <c r="CF106" t="inlineStr">
        <is>
          <t>Cobranzas_2025.csv</t>
        </is>
      </c>
      <c r="CG106" t="n">
        <v>2025</v>
      </c>
      <c r="CH106" t="inlineStr">
        <is>
          <t>01/01/2024</t>
        </is>
      </c>
      <c r="CI106" t="inlineStr">
        <is>
          <t>24/08/2031</t>
        </is>
      </c>
    </row>
    <row r="107">
      <c r="A107" t="inlineStr">
        <is>
          <t>RESIDENCIAL BEYOND</t>
        </is>
      </c>
      <c r="B107" t="inlineStr">
        <is>
          <t>Etapa 1</t>
        </is>
      </c>
      <c r="C107" t="inlineStr">
        <is>
          <t>Edificio</t>
        </is>
      </c>
      <c r="D107" t="inlineStr">
        <is>
          <t>A</t>
        </is>
      </c>
      <c r="E107" t="inlineStr">
        <is>
          <t>Departamento</t>
        </is>
      </c>
      <c r="F107" t="inlineStr">
        <is>
          <t>505</t>
        </is>
      </c>
      <c r="G107" t="n">
        <v>72</v>
      </c>
      <c r="H107" t="n">
        <v>0</v>
      </c>
      <c r="I107" s="39" t="n">
        <v>532100</v>
      </c>
      <c r="J107" s="39" t="n">
        <v>500000</v>
      </c>
      <c r="K107" t="inlineStr">
        <is>
          <t>Edificio</t>
        </is>
      </c>
      <c r="L107" t="inlineStr">
        <is>
          <t>A</t>
        </is>
      </c>
      <c r="M107" t="inlineStr">
        <is>
          <t>Estacionamiento</t>
        </is>
      </c>
      <c r="N107" t="inlineStr">
        <is>
          <t>E 05</t>
        </is>
      </c>
      <c r="O107" t="n">
        <v>12</v>
      </c>
      <c r="P107" t="n">
        <v>0</v>
      </c>
      <c r="Q107" s="39" t="n">
        <v>45600</v>
      </c>
      <c r="R107" s="39" t="n">
        <v>45600</v>
      </c>
      <c r="S107" t="inlineStr">
        <is>
          <t>Edificio</t>
        </is>
      </c>
      <c r="T107" t="inlineStr">
        <is>
          <t>A</t>
        </is>
      </c>
      <c r="U107" t="inlineStr">
        <is>
          <t>Depósito</t>
        </is>
      </c>
      <c r="V107" t="inlineStr">
        <is>
          <t>D 05</t>
        </is>
      </c>
      <c r="W107" t="n">
        <v>4.4</v>
      </c>
      <c r="X107" t="n">
        <v>0</v>
      </c>
      <c r="Y107" s="39" t="n">
        <v>15900</v>
      </c>
      <c r="Z107" s="39" t="n">
        <v>15900</v>
      </c>
      <c r="AG107" s="39" t="n"/>
      <c r="AH107" s="39" t="n"/>
      <c r="AI107" t="inlineStr">
        <is>
          <t>Dante Enrique Segura Florian</t>
        </is>
      </c>
      <c r="AJ107" t="inlineStr">
        <is>
          <t xml:space="preserve">45587286		</t>
        </is>
      </c>
      <c r="AK107" t="inlineStr">
        <is>
          <t xml:space="preserve">1845 San Andres Dr Pitsburg CA 94565 - San Francisco </t>
        </is>
      </c>
      <c r="AL107" t="n">
        <v>0</v>
      </c>
      <c r="AM107" t="inlineStr">
        <is>
          <t>+15103330517</t>
        </is>
      </c>
      <c r="AN107" t="inlineStr">
        <is>
          <t xml:space="preserve">d.segura@uaa.edu		</t>
        </is>
      </c>
      <c r="AQ107" s="75" t="n">
        <v>45772</v>
      </c>
      <c r="AR107" s="75" t="n">
        <v>46258</v>
      </c>
      <c r="AS107" t="inlineStr">
        <is>
          <t>SALDO FINANCIAR</t>
        </is>
      </c>
      <c r="AT107" t="n">
        <v>1</v>
      </c>
      <c r="AU107" t="n">
        <v>21341.25</v>
      </c>
      <c r="AV107" t="n">
        <v>0</v>
      </c>
      <c r="AW107" t="n">
        <v>0</v>
      </c>
      <c r="AX107" s="39" t="n">
        <v>21341.25</v>
      </c>
      <c r="AY107" s="39" t="n">
        <v>21152.83</v>
      </c>
      <c r="AZ107" s="39" t="n">
        <v>188.42</v>
      </c>
      <c r="BA107" t="n">
        <v>0</v>
      </c>
      <c r="BB107" t="inlineStr">
        <is>
          <t>Crédito Directo</t>
        </is>
      </c>
      <c r="BC107" t="inlineStr">
        <is>
          <t>Banco de Credito del Perú</t>
        </is>
      </c>
      <c r="BD107" t="inlineStr">
        <is>
          <t>194-7325779-0-65</t>
        </is>
      </c>
      <c r="BE107" t="inlineStr">
        <is>
          <t>TRANSFERENCIA BANCARIA</t>
        </is>
      </c>
      <c r="BG107" t="inlineStr">
        <is>
          <t>0989600306</t>
        </is>
      </c>
      <c r="BH107" t="inlineStr">
        <is>
          <t>No</t>
        </is>
      </c>
      <c r="BJ107" t="n">
        <v>3.64</v>
      </c>
      <c r="BK107" t="inlineStr">
        <is>
          <t>VENCIDO - PARC. CANCELADO</t>
        </is>
      </c>
      <c r="BV107" t="inlineStr">
        <is>
          <t>Si</t>
        </is>
      </c>
      <c r="BW107" s="76" t="n">
        <v>45386.40347222222</v>
      </c>
      <c r="BX107" t="inlineStr">
        <is>
          <t>Carla Michue M</t>
        </is>
      </c>
      <c r="BZ107" t="n">
        <v>35</v>
      </c>
      <c r="CA107" t="inlineStr">
        <is>
          <t>24/08/2026 14:32</t>
        </is>
      </c>
      <c r="CB107" t="n">
        <v>0</v>
      </c>
      <c r="CF107" t="inlineStr">
        <is>
          <t>Cobranzas_2025.csv</t>
        </is>
      </c>
      <c r="CG107" t="n">
        <v>2025</v>
      </c>
      <c r="CH107" t="inlineStr">
        <is>
          <t>01/01/2024</t>
        </is>
      </c>
      <c r="CI107" t="inlineStr">
        <is>
          <t>24/08/2031</t>
        </is>
      </c>
    </row>
    <row r="108">
      <c r="A108" t="inlineStr">
        <is>
          <t>RESIDENCIAL BEYOND</t>
        </is>
      </c>
      <c r="B108" t="inlineStr">
        <is>
          <t>Etapa 1</t>
        </is>
      </c>
      <c r="C108" t="inlineStr">
        <is>
          <t>Edificio</t>
        </is>
      </c>
      <c r="D108" t="inlineStr">
        <is>
          <t>A</t>
        </is>
      </c>
      <c r="E108" t="inlineStr">
        <is>
          <t>Departamento</t>
        </is>
      </c>
      <c r="F108" t="inlineStr">
        <is>
          <t>505</t>
        </is>
      </c>
      <c r="G108" t="n">
        <v>72</v>
      </c>
      <c r="H108" t="n">
        <v>0</v>
      </c>
      <c r="I108" s="39" t="n">
        <v>532100</v>
      </c>
      <c r="J108" s="39" t="n">
        <v>500000</v>
      </c>
      <c r="K108" t="inlineStr">
        <is>
          <t>Edificio</t>
        </is>
      </c>
      <c r="L108" t="inlineStr">
        <is>
          <t>A</t>
        </is>
      </c>
      <c r="M108" t="inlineStr">
        <is>
          <t>Estacionamiento</t>
        </is>
      </c>
      <c r="N108" t="inlineStr">
        <is>
          <t>E 05</t>
        </is>
      </c>
      <c r="O108" t="n">
        <v>12</v>
      </c>
      <c r="P108" t="n">
        <v>0</v>
      </c>
      <c r="Q108" s="39" t="n">
        <v>45600</v>
      </c>
      <c r="R108" s="39" t="n">
        <v>45600</v>
      </c>
      <c r="S108" t="inlineStr">
        <is>
          <t>Edificio</t>
        </is>
      </c>
      <c r="T108" t="inlineStr">
        <is>
          <t>A</t>
        </is>
      </c>
      <c r="U108" t="inlineStr">
        <is>
          <t>Depósito</t>
        </is>
      </c>
      <c r="V108" t="inlineStr">
        <is>
          <t>D 05</t>
        </is>
      </c>
      <c r="W108" t="n">
        <v>4.4</v>
      </c>
      <c r="X108" t="n">
        <v>0</v>
      </c>
      <c r="Y108" s="39" t="n">
        <v>15900</v>
      </c>
      <c r="Z108" s="39" t="n">
        <v>15900</v>
      </c>
      <c r="AG108" s="39" t="n"/>
      <c r="AH108" s="39" t="n"/>
      <c r="AI108" t="inlineStr">
        <is>
          <t>Dante Enrique Segura Florian</t>
        </is>
      </c>
      <c r="AJ108" t="inlineStr">
        <is>
          <t xml:space="preserve">45587286		</t>
        </is>
      </c>
      <c r="AK108" t="inlineStr">
        <is>
          <t xml:space="preserve">1845 San Andres Dr Pitsburg CA 94565 - San Francisco </t>
        </is>
      </c>
      <c r="AL108" t="n">
        <v>0</v>
      </c>
      <c r="AM108" t="inlineStr">
        <is>
          <t>+15103330517</t>
        </is>
      </c>
      <c r="AN108" t="inlineStr">
        <is>
          <t xml:space="preserve">d.segura@uaa.edu		</t>
        </is>
      </c>
      <c r="AQ108" s="75" t="n">
        <v>45802</v>
      </c>
      <c r="AR108" s="75" t="n">
        <v>45804</v>
      </c>
      <c r="AS108" t="inlineStr">
        <is>
          <t>SALDO FINANCIAR</t>
        </is>
      </c>
      <c r="AT108" t="n">
        <v>2</v>
      </c>
      <c r="AU108" t="n">
        <v>21341.25</v>
      </c>
      <c r="AV108" t="n">
        <v>0</v>
      </c>
      <c r="AW108" t="n">
        <v>0</v>
      </c>
      <c r="AX108" s="39" t="n">
        <v>21341.25</v>
      </c>
      <c r="AY108" s="39" t="n">
        <v>21152.79</v>
      </c>
      <c r="AZ108" s="39" t="n">
        <v>188.46</v>
      </c>
      <c r="BA108" t="n">
        <v>0</v>
      </c>
      <c r="BB108" t="inlineStr">
        <is>
          <t>Crédito Directo</t>
        </is>
      </c>
      <c r="BC108" t="inlineStr">
        <is>
          <t>Banco de Credito del Perú</t>
        </is>
      </c>
      <c r="BD108" t="inlineStr">
        <is>
          <t>194-7325779-0-65</t>
        </is>
      </c>
      <c r="BE108" t="inlineStr">
        <is>
          <t>TRANSFERENCIA BANCARIA</t>
        </is>
      </c>
      <c r="BG108" t="inlineStr">
        <is>
          <t>0989600574</t>
        </is>
      </c>
      <c r="BH108" t="inlineStr">
        <is>
          <t>No</t>
        </is>
      </c>
      <c r="BJ108" t="n">
        <v>3.64</v>
      </c>
      <c r="BK108" t="inlineStr">
        <is>
          <t>VENCIDO - PARC. CANCELADO</t>
        </is>
      </c>
      <c r="BV108" t="inlineStr">
        <is>
          <t>Si</t>
        </is>
      </c>
      <c r="BW108" s="76" t="n">
        <v>45386.40347222222</v>
      </c>
      <c r="BX108" t="inlineStr">
        <is>
          <t>Carla Michue M</t>
        </is>
      </c>
      <c r="BZ108" t="n">
        <v>35</v>
      </c>
      <c r="CA108" t="inlineStr">
        <is>
          <t>24/08/2026 14:34</t>
        </is>
      </c>
      <c r="CB108" t="n">
        <v>0</v>
      </c>
      <c r="CF108" t="inlineStr">
        <is>
          <t>Cobranzas_2025.csv</t>
        </is>
      </c>
      <c r="CG108" t="n">
        <v>2025</v>
      </c>
      <c r="CH108" t="inlineStr">
        <is>
          <t>01/01/2024</t>
        </is>
      </c>
      <c r="CI108" t="inlineStr">
        <is>
          <t>24/08/2031</t>
        </is>
      </c>
    </row>
    <row r="109">
      <c r="A109" t="inlineStr">
        <is>
          <t>RESIDENCIAL BEYOND</t>
        </is>
      </c>
      <c r="B109" t="inlineStr">
        <is>
          <t>Etapa 1</t>
        </is>
      </c>
      <c r="C109" t="inlineStr">
        <is>
          <t>Edificio</t>
        </is>
      </c>
      <c r="D109" t="inlineStr">
        <is>
          <t>A</t>
        </is>
      </c>
      <c r="E109" t="inlineStr">
        <is>
          <t>Departamento</t>
        </is>
      </c>
      <c r="F109" t="inlineStr">
        <is>
          <t>505</t>
        </is>
      </c>
      <c r="G109" t="n">
        <v>72</v>
      </c>
      <c r="H109" t="n">
        <v>0</v>
      </c>
      <c r="I109" s="39" t="n">
        <v>532100</v>
      </c>
      <c r="J109" s="39" t="n">
        <v>500000</v>
      </c>
      <c r="K109" t="inlineStr">
        <is>
          <t>Edificio</t>
        </is>
      </c>
      <c r="L109" t="inlineStr">
        <is>
          <t>A</t>
        </is>
      </c>
      <c r="M109" t="inlineStr">
        <is>
          <t>Estacionamiento</t>
        </is>
      </c>
      <c r="N109" t="inlineStr">
        <is>
          <t>E 05</t>
        </is>
      </c>
      <c r="O109" t="n">
        <v>12</v>
      </c>
      <c r="P109" t="n">
        <v>0</v>
      </c>
      <c r="Q109" s="39" t="n">
        <v>45600</v>
      </c>
      <c r="R109" s="39" t="n">
        <v>45600</v>
      </c>
      <c r="S109" t="inlineStr">
        <is>
          <t>Edificio</t>
        </is>
      </c>
      <c r="T109" t="inlineStr">
        <is>
          <t>A</t>
        </is>
      </c>
      <c r="U109" t="inlineStr">
        <is>
          <t>Depósito</t>
        </is>
      </c>
      <c r="V109" t="inlineStr">
        <is>
          <t>D 05</t>
        </is>
      </c>
      <c r="W109" t="n">
        <v>4.4</v>
      </c>
      <c r="X109" t="n">
        <v>0</v>
      </c>
      <c r="Y109" s="39" t="n">
        <v>15900</v>
      </c>
      <c r="Z109" s="39" t="n">
        <v>15900</v>
      </c>
      <c r="AG109" s="39" t="n"/>
      <c r="AH109" s="39" t="n"/>
      <c r="AI109" t="inlineStr">
        <is>
          <t>Dante Enrique Segura Florian</t>
        </is>
      </c>
      <c r="AJ109" t="inlineStr">
        <is>
          <t xml:space="preserve">45587286		</t>
        </is>
      </c>
      <c r="AK109" t="inlineStr">
        <is>
          <t xml:space="preserve">1845 San Andres Dr Pitsburg CA 94565 - San Francisco </t>
        </is>
      </c>
      <c r="AL109" t="n">
        <v>0</v>
      </c>
      <c r="AM109" t="inlineStr">
        <is>
          <t>+15103330517</t>
        </is>
      </c>
      <c r="AN109" t="inlineStr">
        <is>
          <t xml:space="preserve">d.segura@uaa.edu		</t>
        </is>
      </c>
      <c r="AQ109" s="75" t="n">
        <v>45833</v>
      </c>
      <c r="AR109" s="75" t="n">
        <v>45834</v>
      </c>
      <c r="AS109" t="inlineStr">
        <is>
          <t>SALDO FINANCIAR</t>
        </is>
      </c>
      <c r="AT109" t="n">
        <v>3</v>
      </c>
      <c r="AU109" t="n">
        <v>21341.25</v>
      </c>
      <c r="AV109" t="n">
        <v>0</v>
      </c>
      <c r="AW109" t="n">
        <v>0</v>
      </c>
      <c r="AX109" s="39" t="n">
        <v>21341.25</v>
      </c>
      <c r="AY109" s="39" t="n">
        <v>21152.65</v>
      </c>
      <c r="AZ109" s="39" t="n">
        <v>188.6</v>
      </c>
      <c r="BA109" t="n">
        <v>0</v>
      </c>
      <c r="BB109" t="inlineStr">
        <is>
          <t>Crédito Directo</t>
        </is>
      </c>
      <c r="BC109" t="inlineStr">
        <is>
          <t>Banco de Credito del Perú</t>
        </is>
      </c>
      <c r="BD109" t="inlineStr">
        <is>
          <t>194-7325779-0-65</t>
        </is>
      </c>
      <c r="BE109" t="inlineStr">
        <is>
          <t>TRANSFERENCIA BANCARIA</t>
        </is>
      </c>
      <c r="BG109" t="inlineStr">
        <is>
          <t>0989600451</t>
        </is>
      </c>
      <c r="BH109" t="inlineStr">
        <is>
          <t>No</t>
        </is>
      </c>
      <c r="BJ109" t="n">
        <v>3.64</v>
      </c>
      <c r="BK109" t="inlineStr">
        <is>
          <t>VENCIDO - PARC. CANCELADO</t>
        </is>
      </c>
      <c r="BV109" t="inlineStr">
        <is>
          <t>Si</t>
        </is>
      </c>
      <c r="BW109" s="76" t="n">
        <v>45386.40347222222</v>
      </c>
      <c r="BX109" t="inlineStr">
        <is>
          <t>Carla Michue M</t>
        </is>
      </c>
      <c r="BZ109" t="n">
        <v>35</v>
      </c>
      <c r="CA109" t="inlineStr">
        <is>
          <t>24/08/2026 14:35</t>
        </is>
      </c>
      <c r="CB109" t="n">
        <v>0</v>
      </c>
      <c r="CF109" t="inlineStr">
        <is>
          <t>Cobranzas_2025.csv</t>
        </is>
      </c>
      <c r="CG109" t="n">
        <v>2025</v>
      </c>
      <c r="CH109" t="inlineStr">
        <is>
          <t>01/01/2024</t>
        </is>
      </c>
      <c r="CI109" t="inlineStr">
        <is>
          <t>24/08/2031</t>
        </is>
      </c>
    </row>
    <row r="110">
      <c r="A110" t="inlineStr">
        <is>
          <t>RESIDENCIAL BEYOND</t>
        </is>
      </c>
      <c r="B110" t="inlineStr">
        <is>
          <t>Etapa 1</t>
        </is>
      </c>
      <c r="C110" t="inlineStr">
        <is>
          <t>Edificio</t>
        </is>
      </c>
      <c r="D110" t="inlineStr">
        <is>
          <t>A</t>
        </is>
      </c>
      <c r="E110" t="inlineStr">
        <is>
          <t>Departamento</t>
        </is>
      </c>
      <c r="F110" t="inlineStr">
        <is>
          <t>505</t>
        </is>
      </c>
      <c r="G110" t="n">
        <v>72</v>
      </c>
      <c r="H110" t="n">
        <v>0</v>
      </c>
      <c r="I110" s="39" t="n">
        <v>532100</v>
      </c>
      <c r="J110" s="39" t="n">
        <v>500000</v>
      </c>
      <c r="K110" t="inlineStr">
        <is>
          <t>Edificio</t>
        </is>
      </c>
      <c r="L110" t="inlineStr">
        <is>
          <t>A</t>
        </is>
      </c>
      <c r="M110" t="inlineStr">
        <is>
          <t>Estacionamiento</t>
        </is>
      </c>
      <c r="N110" t="inlineStr">
        <is>
          <t>E 05</t>
        </is>
      </c>
      <c r="O110" t="n">
        <v>12</v>
      </c>
      <c r="P110" t="n">
        <v>0</v>
      </c>
      <c r="Q110" s="39" t="n">
        <v>45600</v>
      </c>
      <c r="R110" s="39" t="n">
        <v>45600</v>
      </c>
      <c r="S110" t="inlineStr">
        <is>
          <t>Edificio</t>
        </is>
      </c>
      <c r="T110" t="inlineStr">
        <is>
          <t>A</t>
        </is>
      </c>
      <c r="U110" t="inlineStr">
        <is>
          <t>Depósito</t>
        </is>
      </c>
      <c r="V110" t="inlineStr">
        <is>
          <t>D 05</t>
        </is>
      </c>
      <c r="W110" t="n">
        <v>4.4</v>
      </c>
      <c r="X110" t="n">
        <v>0</v>
      </c>
      <c r="Y110" s="39" t="n">
        <v>15900</v>
      </c>
      <c r="Z110" s="39" t="n">
        <v>15900</v>
      </c>
      <c r="AG110" s="39" t="n"/>
      <c r="AH110" s="39" t="n"/>
      <c r="AI110" t="inlineStr">
        <is>
          <t>Dante Enrique Segura Florian</t>
        </is>
      </c>
      <c r="AJ110" t="inlineStr">
        <is>
          <t xml:space="preserve">45587286		</t>
        </is>
      </c>
      <c r="AK110" t="inlineStr">
        <is>
          <t xml:space="preserve">1845 San Andres Dr Pitsburg CA 94565 - San Francisco </t>
        </is>
      </c>
      <c r="AL110" t="n">
        <v>0</v>
      </c>
      <c r="AM110" t="inlineStr">
        <is>
          <t>+15103330517</t>
        </is>
      </c>
      <c r="AN110" t="inlineStr">
        <is>
          <t xml:space="preserve">d.segura@uaa.edu		</t>
        </is>
      </c>
      <c r="AQ110" s="75" t="n">
        <v>45863</v>
      </c>
      <c r="AR110" s="75" t="n">
        <v>45862</v>
      </c>
      <c r="AS110" t="inlineStr">
        <is>
          <t>SALDO FINANCIAR</t>
        </is>
      </c>
      <c r="AT110" t="n">
        <v>4</v>
      </c>
      <c r="AU110" t="n">
        <v>21341.25</v>
      </c>
      <c r="AV110" t="n">
        <v>0</v>
      </c>
      <c r="AW110" t="n">
        <v>0</v>
      </c>
      <c r="AX110" s="39" t="n">
        <v>21341.25</v>
      </c>
      <c r="AY110" s="39" t="n">
        <v>21152.61</v>
      </c>
      <c r="AZ110" s="39" t="n">
        <v>188.64</v>
      </c>
      <c r="BA110" t="n">
        <v>0</v>
      </c>
      <c r="BB110" t="inlineStr">
        <is>
          <t>Crédito Directo</t>
        </is>
      </c>
      <c r="BC110" t="inlineStr">
        <is>
          <t>Banco de Credito del Perú</t>
        </is>
      </c>
      <c r="BD110" t="inlineStr">
        <is>
          <t>194-7325779-0-65</t>
        </is>
      </c>
      <c r="BE110" t="inlineStr">
        <is>
          <t>TRANSFERENCIA BANCARIA</t>
        </is>
      </c>
      <c r="BG110" t="inlineStr">
        <is>
          <t>0989600596</t>
        </is>
      </c>
      <c r="BH110" t="inlineStr">
        <is>
          <t>No</t>
        </is>
      </c>
      <c r="BJ110" t="n">
        <v>3.64</v>
      </c>
      <c r="BK110" t="inlineStr">
        <is>
          <t>VENCIDO - PARC. CANCELADO</t>
        </is>
      </c>
      <c r="BV110" t="inlineStr">
        <is>
          <t>Si</t>
        </is>
      </c>
      <c r="BW110" s="76" t="n">
        <v>45386.40347222222</v>
      </c>
      <c r="BX110" t="inlineStr">
        <is>
          <t>Carla Michue M</t>
        </is>
      </c>
      <c r="BZ110" t="n">
        <v>35</v>
      </c>
      <c r="CA110" t="inlineStr">
        <is>
          <t>24/08/2026 14:37</t>
        </is>
      </c>
      <c r="CB110" t="n">
        <v>0</v>
      </c>
      <c r="CF110" t="inlineStr">
        <is>
          <t>Cobranzas_2025.csv</t>
        </is>
      </c>
      <c r="CG110" t="n">
        <v>2025</v>
      </c>
      <c r="CH110" t="inlineStr">
        <is>
          <t>01/01/2024</t>
        </is>
      </c>
      <c r="CI110" t="inlineStr">
        <is>
          <t>24/08/2031</t>
        </is>
      </c>
    </row>
    <row r="111">
      <c r="A111" t="inlineStr">
        <is>
          <t>RESIDENCIAL BEYOND</t>
        </is>
      </c>
      <c r="B111" t="inlineStr">
        <is>
          <t>Etapa 1</t>
        </is>
      </c>
      <c r="C111" t="inlineStr">
        <is>
          <t>Edificio</t>
        </is>
      </c>
      <c r="D111" t="inlineStr">
        <is>
          <t>A</t>
        </is>
      </c>
      <c r="E111" t="inlineStr">
        <is>
          <t>Departamento</t>
        </is>
      </c>
      <c r="F111" t="inlineStr">
        <is>
          <t>505</t>
        </is>
      </c>
      <c r="G111" t="n">
        <v>72</v>
      </c>
      <c r="H111" t="n">
        <v>0</v>
      </c>
      <c r="I111" s="39" t="n">
        <v>532100</v>
      </c>
      <c r="J111" s="39" t="n">
        <v>500000</v>
      </c>
      <c r="K111" t="inlineStr">
        <is>
          <t>Edificio</t>
        </is>
      </c>
      <c r="L111" t="inlineStr">
        <is>
          <t>A</t>
        </is>
      </c>
      <c r="M111" t="inlineStr">
        <is>
          <t>Estacionamiento</t>
        </is>
      </c>
      <c r="N111" t="inlineStr">
        <is>
          <t>E 05</t>
        </is>
      </c>
      <c r="O111" t="n">
        <v>12</v>
      </c>
      <c r="P111" t="n">
        <v>0</v>
      </c>
      <c r="Q111" s="39" t="n">
        <v>45600</v>
      </c>
      <c r="R111" s="39" t="n">
        <v>45600</v>
      </c>
      <c r="S111" t="inlineStr">
        <is>
          <t>Edificio</t>
        </is>
      </c>
      <c r="T111" t="inlineStr">
        <is>
          <t>A</t>
        </is>
      </c>
      <c r="U111" t="inlineStr">
        <is>
          <t>Depósito</t>
        </is>
      </c>
      <c r="V111" t="inlineStr">
        <is>
          <t>D 05</t>
        </is>
      </c>
      <c r="W111" t="n">
        <v>4.4</v>
      </c>
      <c r="X111" t="n">
        <v>0</v>
      </c>
      <c r="Y111" s="39" t="n">
        <v>15900</v>
      </c>
      <c r="Z111" s="39" t="n">
        <v>15900</v>
      </c>
      <c r="AG111" s="39" t="n"/>
      <c r="AH111" s="39" t="n"/>
      <c r="AI111" t="inlineStr">
        <is>
          <t>Dante Enrique Segura Florian</t>
        </is>
      </c>
      <c r="AJ111" t="inlineStr">
        <is>
          <t xml:space="preserve">45587286		</t>
        </is>
      </c>
      <c r="AK111" t="inlineStr">
        <is>
          <t xml:space="preserve">1845 San Andres Dr Pitsburg CA 94565 - San Francisco </t>
        </is>
      </c>
      <c r="AL111" t="n">
        <v>0</v>
      </c>
      <c r="AM111" t="inlineStr">
        <is>
          <t>+15103330517</t>
        </is>
      </c>
      <c r="AN111" t="inlineStr">
        <is>
          <t xml:space="preserve">d.segura@uaa.edu		</t>
        </is>
      </c>
      <c r="AQ111" s="75" t="n">
        <v>45894</v>
      </c>
      <c r="AR111" s="75" t="n">
        <v>45895</v>
      </c>
      <c r="AS111" t="inlineStr">
        <is>
          <t>SALDO FINANCIAR</t>
        </is>
      </c>
      <c r="AT111" t="n">
        <v>5</v>
      </c>
      <c r="AU111" t="n">
        <v>21341.25</v>
      </c>
      <c r="AV111" t="n">
        <v>0</v>
      </c>
      <c r="AW111" t="n">
        <v>0</v>
      </c>
      <c r="AX111" s="39" t="n">
        <v>21341.25</v>
      </c>
      <c r="AY111" s="39" t="n">
        <v>21152.57</v>
      </c>
      <c r="AZ111" s="39" t="n">
        <v>188.68</v>
      </c>
      <c r="BA111" t="n">
        <v>0</v>
      </c>
      <c r="BB111" t="inlineStr">
        <is>
          <t>Crédito Directo</t>
        </is>
      </c>
      <c r="BC111" t="inlineStr">
        <is>
          <t>Banco de Credito del Perú</t>
        </is>
      </c>
      <c r="BD111" t="inlineStr">
        <is>
          <t>194-7325779-0-65</t>
        </is>
      </c>
      <c r="BE111" t="inlineStr">
        <is>
          <t>TRANSFERENCIA BANCARIA</t>
        </is>
      </c>
      <c r="BG111" t="inlineStr">
        <is>
          <t>0989600340</t>
        </is>
      </c>
      <c r="BH111" t="inlineStr">
        <is>
          <t>No</t>
        </is>
      </c>
      <c r="BJ111" t="n">
        <v>3.64</v>
      </c>
      <c r="BK111" t="inlineStr">
        <is>
          <t>VENCIDO - PARC. CANCELADO</t>
        </is>
      </c>
      <c r="BV111" t="inlineStr">
        <is>
          <t>Si</t>
        </is>
      </c>
      <c r="BW111" s="76" t="n">
        <v>45386.40347222222</v>
      </c>
      <c r="BX111" t="inlineStr">
        <is>
          <t>Carla Michue M</t>
        </is>
      </c>
      <c r="BZ111" t="n">
        <v>35</v>
      </c>
      <c r="CA111" t="inlineStr">
        <is>
          <t>24/08/2026 14:39</t>
        </is>
      </c>
      <c r="CB111" t="n">
        <v>0</v>
      </c>
      <c r="CF111" t="inlineStr">
        <is>
          <t>Cobranzas_2025.csv</t>
        </is>
      </c>
      <c r="CG111" t="n">
        <v>2025</v>
      </c>
      <c r="CH111" t="inlineStr">
        <is>
          <t>01/01/2024</t>
        </is>
      </c>
      <c r="CI111" t="inlineStr">
        <is>
          <t>24/08/2031</t>
        </is>
      </c>
    </row>
    <row r="112">
      <c r="A112" t="inlineStr">
        <is>
          <t>RESIDENCIAL BEYOND</t>
        </is>
      </c>
      <c r="B112" t="inlineStr">
        <is>
          <t>Etapa 1</t>
        </is>
      </c>
      <c r="C112" t="inlineStr">
        <is>
          <t>Edificio</t>
        </is>
      </c>
      <c r="D112" t="inlineStr">
        <is>
          <t>A</t>
        </is>
      </c>
      <c r="E112" t="inlineStr">
        <is>
          <t>Departamento</t>
        </is>
      </c>
      <c r="F112" t="inlineStr">
        <is>
          <t>505</t>
        </is>
      </c>
      <c r="G112" t="n">
        <v>72</v>
      </c>
      <c r="H112" t="n">
        <v>0</v>
      </c>
      <c r="I112" s="39" t="n">
        <v>532100</v>
      </c>
      <c r="J112" s="39" t="n">
        <v>500000</v>
      </c>
      <c r="K112" t="inlineStr">
        <is>
          <t>Edificio</t>
        </is>
      </c>
      <c r="L112" t="inlineStr">
        <is>
          <t>A</t>
        </is>
      </c>
      <c r="M112" t="inlineStr">
        <is>
          <t>Estacionamiento</t>
        </is>
      </c>
      <c r="N112" t="inlineStr">
        <is>
          <t>E 05</t>
        </is>
      </c>
      <c r="O112" t="n">
        <v>12</v>
      </c>
      <c r="P112" t="n">
        <v>0</v>
      </c>
      <c r="Q112" s="39" t="n">
        <v>45600</v>
      </c>
      <c r="R112" s="39" t="n">
        <v>45600</v>
      </c>
      <c r="S112" t="inlineStr">
        <is>
          <t>Edificio</t>
        </is>
      </c>
      <c r="T112" t="inlineStr">
        <is>
          <t>A</t>
        </is>
      </c>
      <c r="U112" t="inlineStr">
        <is>
          <t>Depósito</t>
        </is>
      </c>
      <c r="V112" t="inlineStr">
        <is>
          <t>D 05</t>
        </is>
      </c>
      <c r="W112" t="n">
        <v>4.4</v>
      </c>
      <c r="X112" t="n">
        <v>0</v>
      </c>
      <c r="Y112" s="39" t="n">
        <v>15900</v>
      </c>
      <c r="Z112" s="39" t="n">
        <v>15900</v>
      </c>
      <c r="AG112" s="39" t="n"/>
      <c r="AH112" s="39" t="n"/>
      <c r="AI112" t="inlineStr">
        <is>
          <t>Dante Enrique Segura Florian</t>
        </is>
      </c>
      <c r="AJ112" t="inlineStr">
        <is>
          <t xml:space="preserve">45587286		</t>
        </is>
      </c>
      <c r="AK112" t="inlineStr">
        <is>
          <t xml:space="preserve">1845 San Andres Dr Pitsburg CA 94565 - San Francisco </t>
        </is>
      </c>
      <c r="AL112" t="n">
        <v>0</v>
      </c>
      <c r="AM112" t="inlineStr">
        <is>
          <t>+15103330517</t>
        </is>
      </c>
      <c r="AN112" t="inlineStr">
        <is>
          <t xml:space="preserve">d.segura@uaa.edu		</t>
        </is>
      </c>
      <c r="AQ112" s="75" t="n">
        <v>45925</v>
      </c>
      <c r="AR112" s="75" t="n">
        <v>45926</v>
      </c>
      <c r="AS112" t="inlineStr">
        <is>
          <t>SALDO FINANCIAR</t>
        </is>
      </c>
      <c r="AT112" t="n">
        <v>6</v>
      </c>
      <c r="AU112" t="n">
        <v>21341.25</v>
      </c>
      <c r="AV112" t="n">
        <v>0</v>
      </c>
      <c r="AW112" t="n">
        <v>0</v>
      </c>
      <c r="AX112" s="39" t="n">
        <v>21341.25</v>
      </c>
      <c r="AY112" s="39" t="n">
        <v>21152.5</v>
      </c>
      <c r="AZ112" s="39" t="n">
        <v>188.75</v>
      </c>
      <c r="BA112" t="n">
        <v>0</v>
      </c>
      <c r="BB112" t="inlineStr">
        <is>
          <t>Crédito Directo</t>
        </is>
      </c>
      <c r="BC112" t="inlineStr">
        <is>
          <t>Banco de Credito del Perú</t>
        </is>
      </c>
      <c r="BD112" t="inlineStr">
        <is>
          <t>194-7325779-0-65</t>
        </is>
      </c>
      <c r="BE112" t="inlineStr">
        <is>
          <t>TRANSFERENCIA BANCARIA</t>
        </is>
      </c>
      <c r="BG112" t="inlineStr">
        <is>
          <t>0989600435</t>
        </is>
      </c>
      <c r="BH112" t="inlineStr">
        <is>
          <t>No</t>
        </is>
      </c>
      <c r="BJ112" t="n">
        <v>3.64</v>
      </c>
      <c r="BK112" t="inlineStr">
        <is>
          <t>VENCIDO - PARC. CANCELADO</t>
        </is>
      </c>
      <c r="BV112" t="inlineStr">
        <is>
          <t>Si</t>
        </is>
      </c>
      <c r="BW112" s="76" t="n">
        <v>45386.40347222222</v>
      </c>
      <c r="BX112" t="inlineStr">
        <is>
          <t>Carla Michue M</t>
        </is>
      </c>
      <c r="BZ112" t="n">
        <v>35</v>
      </c>
      <c r="CA112" t="inlineStr">
        <is>
          <t>24/08/2026 14:40</t>
        </is>
      </c>
      <c r="CB112" t="n">
        <v>0</v>
      </c>
      <c r="CF112" t="inlineStr">
        <is>
          <t>Cobranzas_2025.csv</t>
        </is>
      </c>
      <c r="CG112" t="n">
        <v>2025</v>
      </c>
      <c r="CH112" t="inlineStr">
        <is>
          <t>01/01/2024</t>
        </is>
      </c>
      <c r="CI112" t="inlineStr">
        <is>
          <t>24/08/2031</t>
        </is>
      </c>
    </row>
    <row r="113">
      <c r="A113" t="inlineStr">
        <is>
          <t>RESIDENCIAL BEYOND</t>
        </is>
      </c>
      <c r="B113" t="inlineStr">
        <is>
          <t>Etapa 1</t>
        </is>
      </c>
      <c r="C113" t="inlineStr">
        <is>
          <t>Edificio</t>
        </is>
      </c>
      <c r="D113" t="inlineStr">
        <is>
          <t>A</t>
        </is>
      </c>
      <c r="E113" t="inlineStr">
        <is>
          <t>Departamento</t>
        </is>
      </c>
      <c r="F113" t="inlineStr">
        <is>
          <t>505</t>
        </is>
      </c>
      <c r="G113" t="n">
        <v>72</v>
      </c>
      <c r="H113" t="n">
        <v>0</v>
      </c>
      <c r="I113" s="39" t="n">
        <v>532100</v>
      </c>
      <c r="J113" s="39" t="n">
        <v>500000</v>
      </c>
      <c r="K113" t="inlineStr">
        <is>
          <t>Edificio</t>
        </is>
      </c>
      <c r="L113" t="inlineStr">
        <is>
          <t>A</t>
        </is>
      </c>
      <c r="M113" t="inlineStr">
        <is>
          <t>Estacionamiento</t>
        </is>
      </c>
      <c r="N113" t="inlineStr">
        <is>
          <t>E 05</t>
        </is>
      </c>
      <c r="O113" t="n">
        <v>12</v>
      </c>
      <c r="P113" t="n">
        <v>0</v>
      </c>
      <c r="Q113" s="39" t="n">
        <v>45600</v>
      </c>
      <c r="R113" s="39" t="n">
        <v>45600</v>
      </c>
      <c r="S113" t="inlineStr">
        <is>
          <t>Edificio</t>
        </is>
      </c>
      <c r="T113" t="inlineStr">
        <is>
          <t>A</t>
        </is>
      </c>
      <c r="U113" t="inlineStr">
        <is>
          <t>Depósito</t>
        </is>
      </c>
      <c r="V113" t="inlineStr">
        <is>
          <t>D 05</t>
        </is>
      </c>
      <c r="W113" t="n">
        <v>4.4</v>
      </c>
      <c r="X113" t="n">
        <v>0</v>
      </c>
      <c r="Y113" s="39" t="n">
        <v>15900</v>
      </c>
      <c r="Z113" s="39" t="n">
        <v>15900</v>
      </c>
      <c r="AG113" s="39" t="n"/>
      <c r="AH113" s="39" t="n"/>
      <c r="AI113" t="inlineStr">
        <is>
          <t>Dante Enrique Segura Florian</t>
        </is>
      </c>
      <c r="AJ113" t="inlineStr">
        <is>
          <t xml:space="preserve">45587286		</t>
        </is>
      </c>
      <c r="AK113" t="inlineStr">
        <is>
          <t xml:space="preserve">1845 San Andres Dr Pitsburg CA 94565 - San Francisco </t>
        </is>
      </c>
      <c r="AL113" t="n">
        <v>0</v>
      </c>
      <c r="AM113" t="inlineStr">
        <is>
          <t>+15103330517</t>
        </is>
      </c>
      <c r="AN113" t="inlineStr">
        <is>
          <t xml:space="preserve">d.segura@uaa.edu		</t>
        </is>
      </c>
      <c r="AQ113" s="75" t="n">
        <v>45955</v>
      </c>
      <c r="AR113" s="75" t="n">
        <v>45957</v>
      </c>
      <c r="AS113" t="inlineStr">
        <is>
          <t>SALDO FINANCIAR</t>
        </is>
      </c>
      <c r="AT113" t="n">
        <v>7</v>
      </c>
      <c r="AU113" t="n">
        <v>21341.25</v>
      </c>
      <c r="AV113" t="n">
        <v>0</v>
      </c>
      <c r="AW113" t="n">
        <v>0</v>
      </c>
      <c r="AX113" s="39" t="n">
        <v>21341.25</v>
      </c>
      <c r="AY113" s="39" t="n">
        <v>21152.25</v>
      </c>
      <c r="AZ113" s="39" t="n">
        <v>189</v>
      </c>
      <c r="BA113" t="n">
        <v>0</v>
      </c>
      <c r="BB113" t="inlineStr">
        <is>
          <t>Crédito Directo</t>
        </is>
      </c>
      <c r="BC113" t="inlineStr">
        <is>
          <t>Banco de Credito del Perú</t>
        </is>
      </c>
      <c r="BD113" t="inlineStr">
        <is>
          <t>194-7325779-0-65</t>
        </is>
      </c>
      <c r="BE113" t="inlineStr">
        <is>
          <t>TRANSFERENCIA BANCARIA</t>
        </is>
      </c>
      <c r="BG113" t="inlineStr">
        <is>
          <t>0989600349</t>
        </is>
      </c>
      <c r="BH113" t="inlineStr">
        <is>
          <t>No</t>
        </is>
      </c>
      <c r="BJ113" t="n">
        <v>3.64</v>
      </c>
      <c r="BK113" t="inlineStr">
        <is>
          <t>VENCIDO - PARC. CANCELADO</t>
        </is>
      </c>
      <c r="BV113" t="inlineStr">
        <is>
          <t>Si</t>
        </is>
      </c>
      <c r="BW113" s="76" t="n">
        <v>45386.40347222222</v>
      </c>
      <c r="BX113" t="inlineStr">
        <is>
          <t>Carla Michue M</t>
        </is>
      </c>
      <c r="BZ113" t="n">
        <v>35</v>
      </c>
      <c r="CA113" t="inlineStr">
        <is>
          <t>24/08/2026 14:42</t>
        </is>
      </c>
      <c r="CB113" t="n">
        <v>0</v>
      </c>
      <c r="CF113" t="inlineStr">
        <is>
          <t>Cobranzas_2025.csv</t>
        </is>
      </c>
      <c r="CG113" t="n">
        <v>2025</v>
      </c>
      <c r="CH113" t="inlineStr">
        <is>
          <t>01/01/2024</t>
        </is>
      </c>
      <c r="CI113" t="inlineStr">
        <is>
          <t>24/08/2031</t>
        </is>
      </c>
    </row>
    <row r="114">
      <c r="A114" t="inlineStr">
        <is>
          <t>RESIDENCIAL BEYOND</t>
        </is>
      </c>
      <c r="B114" t="inlineStr">
        <is>
          <t>Etapa 1</t>
        </is>
      </c>
      <c r="C114" t="inlineStr">
        <is>
          <t>Edificio</t>
        </is>
      </c>
      <c r="D114" t="inlineStr">
        <is>
          <t>A</t>
        </is>
      </c>
      <c r="E114" t="inlineStr">
        <is>
          <t>Departamento</t>
        </is>
      </c>
      <c r="F114" t="inlineStr">
        <is>
          <t>505</t>
        </is>
      </c>
      <c r="G114" t="n">
        <v>72</v>
      </c>
      <c r="H114" t="n">
        <v>0</v>
      </c>
      <c r="I114" s="39" t="n">
        <v>532100</v>
      </c>
      <c r="J114" s="39" t="n">
        <v>500000</v>
      </c>
      <c r="K114" t="inlineStr">
        <is>
          <t>Edificio</t>
        </is>
      </c>
      <c r="L114" t="inlineStr">
        <is>
          <t>A</t>
        </is>
      </c>
      <c r="M114" t="inlineStr">
        <is>
          <t>Estacionamiento</t>
        </is>
      </c>
      <c r="N114" t="inlineStr">
        <is>
          <t>E 05</t>
        </is>
      </c>
      <c r="O114" t="n">
        <v>12</v>
      </c>
      <c r="P114" t="n">
        <v>0</v>
      </c>
      <c r="Q114" s="39" t="n">
        <v>45600</v>
      </c>
      <c r="R114" s="39" t="n">
        <v>45600</v>
      </c>
      <c r="S114" t="inlineStr">
        <is>
          <t>Edificio</t>
        </is>
      </c>
      <c r="T114" t="inlineStr">
        <is>
          <t>A</t>
        </is>
      </c>
      <c r="U114" t="inlineStr">
        <is>
          <t>Depósito</t>
        </is>
      </c>
      <c r="V114" t="inlineStr">
        <is>
          <t>D 05</t>
        </is>
      </c>
      <c r="W114" t="n">
        <v>4.4</v>
      </c>
      <c r="X114" t="n">
        <v>0</v>
      </c>
      <c r="Y114" s="39" t="n">
        <v>15900</v>
      </c>
      <c r="Z114" s="39" t="n">
        <v>15900</v>
      </c>
      <c r="AG114" s="39" t="n"/>
      <c r="AH114" s="39" t="n"/>
      <c r="AI114" t="inlineStr">
        <is>
          <t>Dante Enrique Segura Florian</t>
        </is>
      </c>
      <c r="AJ114" t="inlineStr">
        <is>
          <t xml:space="preserve">45587286		</t>
        </is>
      </c>
      <c r="AK114" t="inlineStr">
        <is>
          <t xml:space="preserve">1845 San Andres Dr Pitsburg CA 94565 - San Francisco </t>
        </is>
      </c>
      <c r="AL114" t="n">
        <v>0</v>
      </c>
      <c r="AM114" t="inlineStr">
        <is>
          <t>+15103330517</t>
        </is>
      </c>
      <c r="AN114" t="inlineStr">
        <is>
          <t xml:space="preserve">d.segura@uaa.edu		</t>
        </is>
      </c>
      <c r="AQ114" s="75" t="n">
        <v>45986</v>
      </c>
      <c r="AR114" s="75" t="n"/>
      <c r="AS114" t="inlineStr">
        <is>
          <t>SALDO FINANCIAR</t>
        </is>
      </c>
      <c r="AT114" t="n">
        <v>8</v>
      </c>
      <c r="AU114" t="n">
        <v>21341.25</v>
      </c>
      <c r="AV114" t="n">
        <v>0</v>
      </c>
      <c r="AW114" t="n">
        <v>0</v>
      </c>
      <c r="AX114" s="39" t="n">
        <v>21341.25</v>
      </c>
      <c r="AY114" s="39" t="n">
        <v>0</v>
      </c>
      <c r="AZ114" s="39" t="n">
        <v>21341.25</v>
      </c>
      <c r="BB114" t="inlineStr">
        <is>
          <t>Crédito Directo</t>
        </is>
      </c>
      <c r="BH114" t="inlineStr">
        <is>
          <t>No</t>
        </is>
      </c>
      <c r="BK114" t="inlineStr">
        <is>
          <t>VENCIDO</t>
        </is>
      </c>
      <c r="BV114" t="inlineStr">
        <is>
          <t>No</t>
        </is>
      </c>
      <c r="BW114" s="76" t="n">
        <v>45386.40347222222</v>
      </c>
      <c r="BX114" t="inlineStr">
        <is>
          <t>Carla Michue M</t>
        </is>
      </c>
      <c r="BZ114" t="n">
        <v>35</v>
      </c>
      <c r="CB114" t="n">
        <v>0</v>
      </c>
      <c r="CF114" t="inlineStr">
        <is>
          <t>Cobranzas_2025.csv</t>
        </is>
      </c>
      <c r="CG114" t="n">
        <v>2025</v>
      </c>
      <c r="CH114" t="inlineStr">
        <is>
          <t>01/01/2024</t>
        </is>
      </c>
      <c r="CI114" t="inlineStr">
        <is>
          <t>24/08/2031</t>
        </is>
      </c>
    </row>
    <row r="115">
      <c r="A115" t="inlineStr">
        <is>
          <t>RESIDENCIAL BEYOND</t>
        </is>
      </c>
      <c r="B115" t="inlineStr">
        <is>
          <t>Etapa 1</t>
        </is>
      </c>
      <c r="C115" t="inlineStr">
        <is>
          <t>Edificio</t>
        </is>
      </c>
      <c r="D115" t="inlineStr">
        <is>
          <t>A</t>
        </is>
      </c>
      <c r="E115" t="inlineStr">
        <is>
          <t>Departamento</t>
        </is>
      </c>
      <c r="F115" t="inlineStr">
        <is>
          <t>505</t>
        </is>
      </c>
      <c r="G115" t="n">
        <v>72</v>
      </c>
      <c r="H115" t="n">
        <v>0</v>
      </c>
      <c r="I115" s="39" t="n">
        <v>532100</v>
      </c>
      <c r="J115" s="39" t="n">
        <v>500000</v>
      </c>
      <c r="K115" t="inlineStr">
        <is>
          <t>Edificio</t>
        </is>
      </c>
      <c r="L115" t="inlineStr">
        <is>
          <t>A</t>
        </is>
      </c>
      <c r="M115" t="inlineStr">
        <is>
          <t>Estacionamiento</t>
        </is>
      </c>
      <c r="N115" t="inlineStr">
        <is>
          <t>E 05</t>
        </is>
      </c>
      <c r="O115" t="n">
        <v>12</v>
      </c>
      <c r="P115" t="n">
        <v>0</v>
      </c>
      <c r="Q115" s="39" t="n">
        <v>45600</v>
      </c>
      <c r="R115" s="39" t="n">
        <v>45600</v>
      </c>
      <c r="S115" t="inlineStr">
        <is>
          <t>Edificio</t>
        </is>
      </c>
      <c r="T115" t="inlineStr">
        <is>
          <t>A</t>
        </is>
      </c>
      <c r="U115" t="inlineStr">
        <is>
          <t>Depósito</t>
        </is>
      </c>
      <c r="V115" t="inlineStr">
        <is>
          <t>D 05</t>
        </is>
      </c>
      <c r="W115" t="n">
        <v>4.4</v>
      </c>
      <c r="X115" t="n">
        <v>0</v>
      </c>
      <c r="Y115" s="39" t="n">
        <v>15900</v>
      </c>
      <c r="Z115" s="39" t="n">
        <v>15900</v>
      </c>
      <c r="AG115" s="39" t="n"/>
      <c r="AH115" s="39" t="n"/>
      <c r="AI115" t="inlineStr">
        <is>
          <t>Dante Enrique Segura Florian</t>
        </is>
      </c>
      <c r="AJ115" t="inlineStr">
        <is>
          <t xml:space="preserve">45587286		</t>
        </is>
      </c>
      <c r="AK115" t="inlineStr">
        <is>
          <t xml:space="preserve">1845 San Andres Dr Pitsburg CA 94565 - San Francisco </t>
        </is>
      </c>
      <c r="AL115" t="n">
        <v>0</v>
      </c>
      <c r="AM115" t="inlineStr">
        <is>
          <t>+15103330517</t>
        </is>
      </c>
      <c r="AN115" t="inlineStr">
        <is>
          <t xml:space="preserve">d.segura@uaa.edu		</t>
        </is>
      </c>
      <c r="AQ115" s="75" t="n">
        <v>46016</v>
      </c>
      <c r="AR115" s="75" t="n"/>
      <c r="AS115" t="inlineStr">
        <is>
          <t>SALDO FINANCIAR</t>
        </is>
      </c>
      <c r="AT115" t="n">
        <v>9</v>
      </c>
      <c r="AU115" t="n">
        <v>21341.25</v>
      </c>
      <c r="AV115" t="n">
        <v>0</v>
      </c>
      <c r="AW115" t="n">
        <v>0</v>
      </c>
      <c r="AX115" s="39" t="n">
        <v>21341.25</v>
      </c>
      <c r="AY115" s="39" t="n">
        <v>0</v>
      </c>
      <c r="AZ115" s="39" t="n">
        <v>21341.25</v>
      </c>
      <c r="BB115" t="inlineStr">
        <is>
          <t>Crédito Directo</t>
        </is>
      </c>
      <c r="BH115" t="inlineStr">
        <is>
          <t>No</t>
        </is>
      </c>
      <c r="BK115" t="inlineStr">
        <is>
          <t>VENCIDO</t>
        </is>
      </c>
      <c r="BV115" t="inlineStr">
        <is>
          <t>No</t>
        </is>
      </c>
      <c r="BW115" s="76" t="n">
        <v>45386.40347222222</v>
      </c>
      <c r="BX115" t="inlineStr">
        <is>
          <t>Carla Michue M</t>
        </is>
      </c>
      <c r="BZ115" t="n">
        <v>35</v>
      </c>
      <c r="CB115" t="n">
        <v>0</v>
      </c>
      <c r="CF115" t="inlineStr">
        <is>
          <t>Cobranzas_2025.csv</t>
        </is>
      </c>
      <c r="CG115" t="n">
        <v>2025</v>
      </c>
      <c r="CH115" t="inlineStr">
        <is>
          <t>01/01/2024</t>
        </is>
      </c>
      <c r="CI115" t="inlineStr">
        <is>
          <t>24/08/2031</t>
        </is>
      </c>
    </row>
    <row r="116">
      <c r="A116" t="inlineStr">
        <is>
          <t>RESIDENCIAL PRADA</t>
        </is>
      </c>
      <c r="B116" t="inlineStr">
        <is>
          <t>Etapa 1</t>
        </is>
      </c>
      <c r="C116" t="inlineStr">
        <is>
          <t>Edificio</t>
        </is>
      </c>
      <c r="D116" t="inlineStr">
        <is>
          <t>A</t>
        </is>
      </c>
      <c r="E116" t="inlineStr">
        <is>
          <t>Departamento</t>
        </is>
      </c>
      <c r="F116" t="inlineStr">
        <is>
          <t>703</t>
        </is>
      </c>
      <c r="G116" t="n">
        <v>88.27</v>
      </c>
      <c r="H116" t="n">
        <v>0</v>
      </c>
      <c r="I116" s="39" t="n">
        <v>654000</v>
      </c>
      <c r="J116" s="39" t="n">
        <v>654000</v>
      </c>
      <c r="K116" t="inlineStr">
        <is>
          <t>Edificio</t>
        </is>
      </c>
      <c r="L116" t="inlineStr">
        <is>
          <t>A</t>
        </is>
      </c>
      <c r="M116" t="inlineStr">
        <is>
          <t>Estacionamiento</t>
        </is>
      </c>
      <c r="N116" t="inlineStr">
        <is>
          <t>E 06 - D 04</t>
        </is>
      </c>
      <c r="O116" t="n">
        <v>15.9</v>
      </c>
      <c r="P116" t="n">
        <v>2.26</v>
      </c>
      <c r="Q116" s="39" t="n">
        <v>57500</v>
      </c>
      <c r="R116" s="39" t="n">
        <v>57500</v>
      </c>
      <c r="Y116" s="39" t="n"/>
      <c r="Z116" s="39" t="n"/>
      <c r="AG116" s="39" t="n"/>
      <c r="AH116" s="39" t="n"/>
      <c r="AI116" t="inlineStr">
        <is>
          <t>David Edgar Valencia Cordova</t>
        </is>
      </c>
      <c r="AJ116" t="inlineStr">
        <is>
          <t>41844906</t>
        </is>
      </c>
      <c r="AK116" t="inlineStr">
        <is>
          <t>P. Joven Año Nuevo Jr. Montero Rosas 860</t>
        </is>
      </c>
      <c r="AL116" t="n">
        <v>991846561</v>
      </c>
      <c r="AM116" t="inlineStr">
        <is>
          <t>991846561</t>
        </is>
      </c>
      <c r="AN116" t="inlineStr">
        <is>
          <t>davico29@gmail.com</t>
        </is>
      </c>
      <c r="AO116" t="inlineStr">
        <is>
          <t>LIMA</t>
        </is>
      </c>
      <c r="AP116" t="inlineStr">
        <is>
          <t>COMAS</t>
        </is>
      </c>
      <c r="AQ116" s="75" t="n">
        <v>45687</v>
      </c>
      <c r="AR116" s="75" t="n">
        <v>45687</v>
      </c>
      <c r="AS116" t="inlineStr">
        <is>
          <t>CUOTA INICIAL</t>
        </is>
      </c>
      <c r="AT116" t="n">
        <v>1</v>
      </c>
      <c r="AU116" t="n">
        <v>291500</v>
      </c>
      <c r="AV116" t="n">
        <v>0</v>
      </c>
      <c r="AW116" t="n">
        <v>0</v>
      </c>
      <c r="AX116" s="39" t="n">
        <v>291500</v>
      </c>
      <c r="AY116" s="39" t="n">
        <v>291500</v>
      </c>
      <c r="AZ116" s="39" t="n">
        <v>0</v>
      </c>
      <c r="BA116" t="n">
        <v>0</v>
      </c>
      <c r="BB116" t="inlineStr">
        <is>
          <t>Crédito Hipotecario</t>
        </is>
      </c>
      <c r="BC116" t="inlineStr">
        <is>
          <t>Scotiabank Perú</t>
        </is>
      </c>
      <c r="BD116" t="inlineStr">
        <is>
          <t>000-2768484</t>
        </is>
      </c>
      <c r="BE116" t="inlineStr">
        <is>
          <t>TRANSFERENCIA BANCARIA</t>
        </is>
      </c>
      <c r="BF116" t="inlineStr">
        <is>
          <t>41844906</t>
        </is>
      </c>
      <c r="BG116" t="inlineStr">
        <is>
          <t>09599714</t>
        </is>
      </c>
      <c r="BH116" t="inlineStr">
        <is>
          <t>No</t>
        </is>
      </c>
      <c r="BI116" t="inlineStr">
        <is>
          <t>NO PRECISA</t>
        </is>
      </c>
      <c r="BJ116" t="n">
        <v>4</v>
      </c>
      <c r="BK116" t="inlineStr">
        <is>
          <t>CANCELADO</t>
        </is>
      </c>
      <c r="BV116" t="inlineStr">
        <is>
          <t>Si</t>
        </is>
      </c>
      <c r="BW116" s="76" t="n">
        <v>45687.61736111111</v>
      </c>
      <c r="BX116" t="inlineStr">
        <is>
          <t>Carla Michue M</t>
        </is>
      </c>
      <c r="BZ116" t="n">
        <v>38</v>
      </c>
      <c r="CA116" t="inlineStr">
        <is>
          <t>05/06/2026 10:49</t>
        </is>
      </c>
      <c r="CB116" t="n">
        <v>0</v>
      </c>
      <c r="CF116" t="inlineStr">
        <is>
          <t>Cobranzas_2025.csv</t>
        </is>
      </c>
      <c r="CG116" t="n">
        <v>2025</v>
      </c>
      <c r="CH116" t="inlineStr">
        <is>
          <t>01/01/2024</t>
        </is>
      </c>
      <c r="CI116" t="inlineStr">
        <is>
          <t>24/08/2031</t>
        </is>
      </c>
    </row>
    <row r="117">
      <c r="A117" t="inlineStr">
        <is>
          <t>RESIDENCIAL PRADA</t>
        </is>
      </c>
      <c r="B117" t="inlineStr">
        <is>
          <t>Etapa 1</t>
        </is>
      </c>
      <c r="C117" t="inlineStr">
        <is>
          <t>Edificio</t>
        </is>
      </c>
      <c r="D117" t="inlineStr">
        <is>
          <t>A</t>
        </is>
      </c>
      <c r="E117" t="inlineStr">
        <is>
          <t>Departamento</t>
        </is>
      </c>
      <c r="F117" t="inlineStr">
        <is>
          <t>703</t>
        </is>
      </c>
      <c r="G117" t="n">
        <v>88.27</v>
      </c>
      <c r="H117" t="n">
        <v>0</v>
      </c>
      <c r="I117" s="39" t="n">
        <v>654000</v>
      </c>
      <c r="J117" s="39" t="n">
        <v>654000</v>
      </c>
      <c r="K117" t="inlineStr">
        <is>
          <t>Edificio</t>
        </is>
      </c>
      <c r="L117" t="inlineStr">
        <is>
          <t>A</t>
        </is>
      </c>
      <c r="M117" t="inlineStr">
        <is>
          <t>Estacionamiento</t>
        </is>
      </c>
      <c r="N117" t="inlineStr">
        <is>
          <t>E 06 - D 04</t>
        </is>
      </c>
      <c r="O117" t="n">
        <v>15.9</v>
      </c>
      <c r="P117" t="n">
        <v>2.26</v>
      </c>
      <c r="Q117" s="39" t="n">
        <v>57500</v>
      </c>
      <c r="R117" s="39" t="n">
        <v>57500</v>
      </c>
      <c r="Y117" s="39" t="n"/>
      <c r="Z117" s="39" t="n"/>
      <c r="AG117" s="39" t="n"/>
      <c r="AH117" s="39" t="n"/>
      <c r="AI117" t="inlineStr">
        <is>
          <t>David Edgar Valencia Cordova</t>
        </is>
      </c>
      <c r="AJ117" t="inlineStr">
        <is>
          <t>41844906</t>
        </is>
      </c>
      <c r="AK117" t="inlineStr">
        <is>
          <t>P. Joven Año Nuevo Jr. Montero Rosas 860</t>
        </is>
      </c>
      <c r="AL117" t="n">
        <v>991846561</v>
      </c>
      <c r="AM117" t="inlineStr">
        <is>
          <t>991846561</t>
        </is>
      </c>
      <c r="AN117" t="inlineStr">
        <is>
          <t>davico29@gmail.com</t>
        </is>
      </c>
      <c r="AO117" t="inlineStr">
        <is>
          <t>LIMA</t>
        </is>
      </c>
      <c r="AP117" t="inlineStr">
        <is>
          <t>COMAS</t>
        </is>
      </c>
      <c r="AQ117" s="75" t="n">
        <v>45716</v>
      </c>
      <c r="AR117" s="75" t="n">
        <v>45712</v>
      </c>
      <c r="AS117" t="inlineStr">
        <is>
          <t>SALDO FINANCIAR</t>
        </is>
      </c>
      <c r="AT117" t="n">
        <v>1</v>
      </c>
      <c r="AU117" t="n">
        <v>34750</v>
      </c>
      <c r="AV117" t="n">
        <v>0</v>
      </c>
      <c r="AW117" t="n">
        <v>0</v>
      </c>
      <c r="AX117" s="39" t="n">
        <v>34750</v>
      </c>
      <c r="AY117" s="39" t="n">
        <v>34750</v>
      </c>
      <c r="AZ117" s="39" t="n">
        <v>0</v>
      </c>
      <c r="BA117" t="n">
        <v>0</v>
      </c>
      <c r="BB117" t="inlineStr">
        <is>
          <t>Crédito Hipotecario</t>
        </is>
      </c>
      <c r="BC117" t="inlineStr">
        <is>
          <t>Scotiabank Perú</t>
        </is>
      </c>
      <c r="BD117" t="inlineStr">
        <is>
          <t>000-2768484</t>
        </is>
      </c>
      <c r="BE117" t="inlineStr">
        <is>
          <t>TRANSFERENCIA BANCARIA</t>
        </is>
      </c>
      <c r="BF117" t="inlineStr">
        <is>
          <t>41844906</t>
        </is>
      </c>
      <c r="BG117" t="inlineStr">
        <is>
          <t>2026083000000000028370</t>
        </is>
      </c>
      <c r="BH117" t="inlineStr">
        <is>
          <t>No</t>
        </is>
      </c>
      <c r="BI117" t="inlineStr">
        <is>
          <t>NO PRECISA</t>
        </is>
      </c>
      <c r="BJ117" t="n">
        <v>4</v>
      </c>
      <c r="BK117" t="inlineStr">
        <is>
          <t>CANCELADO</t>
        </is>
      </c>
      <c r="BV117" t="inlineStr">
        <is>
          <t>Si</t>
        </is>
      </c>
      <c r="BW117" s="76" t="n">
        <v>45687.61736111111</v>
      </c>
      <c r="BX117" t="inlineStr">
        <is>
          <t>Carla Michue M</t>
        </is>
      </c>
      <c r="BZ117" t="n">
        <v>38</v>
      </c>
      <c r="CA117" t="inlineStr">
        <is>
          <t>05/06/2026 10:52</t>
        </is>
      </c>
      <c r="CB117" t="n">
        <v>0</v>
      </c>
      <c r="CF117" t="inlineStr">
        <is>
          <t>Cobranzas_2025.csv</t>
        </is>
      </c>
      <c r="CG117" t="n">
        <v>2025</v>
      </c>
      <c r="CH117" t="inlineStr">
        <is>
          <t>01/01/2024</t>
        </is>
      </c>
      <c r="CI117" t="inlineStr">
        <is>
          <t>24/08/2031</t>
        </is>
      </c>
    </row>
    <row r="118">
      <c r="A118" t="inlineStr">
        <is>
          <t>RESIDENCIAL PRADA</t>
        </is>
      </c>
      <c r="B118" t="inlineStr">
        <is>
          <t>Etapa 1</t>
        </is>
      </c>
      <c r="C118" t="inlineStr">
        <is>
          <t>Edificio</t>
        </is>
      </c>
      <c r="D118" t="inlineStr">
        <is>
          <t>A</t>
        </is>
      </c>
      <c r="E118" t="inlineStr">
        <is>
          <t>Departamento</t>
        </is>
      </c>
      <c r="F118" t="inlineStr">
        <is>
          <t>703</t>
        </is>
      </c>
      <c r="G118" t="n">
        <v>88.27</v>
      </c>
      <c r="H118" t="n">
        <v>0</v>
      </c>
      <c r="I118" s="39" t="n">
        <v>654000</v>
      </c>
      <c r="J118" s="39" t="n">
        <v>654000</v>
      </c>
      <c r="K118" t="inlineStr">
        <is>
          <t>Edificio</t>
        </is>
      </c>
      <c r="L118" t="inlineStr">
        <is>
          <t>A</t>
        </is>
      </c>
      <c r="M118" t="inlineStr">
        <is>
          <t>Estacionamiento</t>
        </is>
      </c>
      <c r="N118" t="inlineStr">
        <is>
          <t>E 06 - D 04</t>
        </is>
      </c>
      <c r="O118" t="n">
        <v>15.9</v>
      </c>
      <c r="P118" t="n">
        <v>2.26</v>
      </c>
      <c r="Q118" s="39" t="n">
        <v>57500</v>
      </c>
      <c r="R118" s="39" t="n">
        <v>57500</v>
      </c>
      <c r="Y118" s="39" t="n"/>
      <c r="Z118" s="39" t="n"/>
      <c r="AG118" s="39" t="n"/>
      <c r="AH118" s="39" t="n"/>
      <c r="AI118" t="inlineStr">
        <is>
          <t>David Edgar Valencia Cordova</t>
        </is>
      </c>
      <c r="AJ118" t="inlineStr">
        <is>
          <t>41844906</t>
        </is>
      </c>
      <c r="AK118" t="inlineStr">
        <is>
          <t>P. Joven Año Nuevo Jr. Montero Rosas 860</t>
        </is>
      </c>
      <c r="AL118" t="n">
        <v>991846561</v>
      </c>
      <c r="AM118" t="inlineStr">
        <is>
          <t>991846561</t>
        </is>
      </c>
      <c r="AN118" t="inlineStr">
        <is>
          <t>davico29@gmail.com</t>
        </is>
      </c>
      <c r="AO118" t="inlineStr">
        <is>
          <t>LIMA</t>
        </is>
      </c>
      <c r="AP118" t="inlineStr">
        <is>
          <t>COMAS</t>
        </is>
      </c>
      <c r="AQ118" s="75" t="n">
        <v>45746</v>
      </c>
      <c r="AR118" s="75" t="n">
        <v>45743</v>
      </c>
      <c r="AS118" t="inlineStr">
        <is>
          <t>SALDO FINANCIAR</t>
        </is>
      </c>
      <c r="AT118" t="n">
        <v>2</v>
      </c>
      <c r="AU118" t="n">
        <v>34750</v>
      </c>
      <c r="AV118" t="n">
        <v>0</v>
      </c>
      <c r="AW118" t="n">
        <v>0</v>
      </c>
      <c r="AX118" s="39" t="n">
        <v>34750</v>
      </c>
      <c r="AY118" s="39" t="n">
        <v>34750</v>
      </c>
      <c r="AZ118" s="39" t="n">
        <v>0</v>
      </c>
      <c r="BA118" t="n">
        <v>0</v>
      </c>
      <c r="BB118" t="inlineStr">
        <is>
          <t>Crédito Hipotecario</t>
        </is>
      </c>
      <c r="BC118" t="inlineStr">
        <is>
          <t>Scotiabank Perú</t>
        </is>
      </c>
      <c r="BD118" t="inlineStr">
        <is>
          <t>000-2768484</t>
        </is>
      </c>
      <c r="BE118" t="inlineStr">
        <is>
          <t>TRANSFERENCIA BANCARIA</t>
        </is>
      </c>
      <c r="BF118" t="inlineStr">
        <is>
          <t>41844906</t>
        </is>
      </c>
      <c r="BG118" t="inlineStr">
        <is>
          <t>50325</t>
        </is>
      </c>
      <c r="BH118" t="inlineStr">
        <is>
          <t>No</t>
        </is>
      </c>
      <c r="BI118" t="inlineStr">
        <is>
          <t>NO PRECISA</t>
        </is>
      </c>
      <c r="BJ118" t="n">
        <v>4</v>
      </c>
      <c r="BK118" t="inlineStr">
        <is>
          <t>CANCELADO</t>
        </is>
      </c>
      <c r="BV118" t="inlineStr">
        <is>
          <t>Si</t>
        </is>
      </c>
      <c r="BW118" s="76" t="n">
        <v>45687.61736111111</v>
      </c>
      <c r="BX118" t="inlineStr">
        <is>
          <t>Carla Michue M</t>
        </is>
      </c>
      <c r="BZ118" t="n">
        <v>38</v>
      </c>
      <c r="CA118" t="inlineStr">
        <is>
          <t>05/06/2026 10:54</t>
        </is>
      </c>
      <c r="CB118" t="n">
        <v>0</v>
      </c>
      <c r="CF118" t="inlineStr">
        <is>
          <t>Cobranzas_2025.csv</t>
        </is>
      </c>
      <c r="CG118" t="n">
        <v>2025</v>
      </c>
      <c r="CH118" t="inlineStr">
        <is>
          <t>01/01/2024</t>
        </is>
      </c>
      <c r="CI118" t="inlineStr">
        <is>
          <t>24/08/2031</t>
        </is>
      </c>
    </row>
    <row r="119">
      <c r="A119" t="inlineStr">
        <is>
          <t>RESIDENCIAL PRADA</t>
        </is>
      </c>
      <c r="B119" t="inlineStr">
        <is>
          <t>Etapa 1</t>
        </is>
      </c>
      <c r="C119" t="inlineStr">
        <is>
          <t>Edificio</t>
        </is>
      </c>
      <c r="D119" t="inlineStr">
        <is>
          <t>A</t>
        </is>
      </c>
      <c r="E119" t="inlineStr">
        <is>
          <t>Departamento</t>
        </is>
      </c>
      <c r="F119" t="inlineStr">
        <is>
          <t>703</t>
        </is>
      </c>
      <c r="G119" t="n">
        <v>88.27</v>
      </c>
      <c r="H119" t="n">
        <v>0</v>
      </c>
      <c r="I119" s="39" t="n">
        <v>654000</v>
      </c>
      <c r="J119" s="39" t="n">
        <v>654000</v>
      </c>
      <c r="K119" t="inlineStr">
        <is>
          <t>Edificio</t>
        </is>
      </c>
      <c r="L119" t="inlineStr">
        <is>
          <t>A</t>
        </is>
      </c>
      <c r="M119" t="inlineStr">
        <is>
          <t>Estacionamiento</t>
        </is>
      </c>
      <c r="N119" t="inlineStr">
        <is>
          <t>E 06 - D 04</t>
        </is>
      </c>
      <c r="O119" t="n">
        <v>15.9</v>
      </c>
      <c r="P119" t="n">
        <v>2.26</v>
      </c>
      <c r="Q119" s="39" t="n">
        <v>57500</v>
      </c>
      <c r="R119" s="39" t="n">
        <v>57500</v>
      </c>
      <c r="Y119" s="39" t="n"/>
      <c r="Z119" s="39" t="n"/>
      <c r="AG119" s="39" t="n"/>
      <c r="AH119" s="39" t="n"/>
      <c r="AI119" t="inlineStr">
        <is>
          <t>David Edgar Valencia Cordova</t>
        </is>
      </c>
      <c r="AJ119" t="inlineStr">
        <is>
          <t>41844906</t>
        </is>
      </c>
      <c r="AK119" t="inlineStr">
        <is>
          <t>P. Joven Año Nuevo Jr. Montero Rosas 860</t>
        </is>
      </c>
      <c r="AL119" t="n">
        <v>991846561</v>
      </c>
      <c r="AM119" t="inlineStr">
        <is>
          <t>991846561</t>
        </is>
      </c>
      <c r="AN119" t="inlineStr">
        <is>
          <t>davico29@gmail.com</t>
        </is>
      </c>
      <c r="AO119" t="inlineStr">
        <is>
          <t>LIMA</t>
        </is>
      </c>
      <c r="AP119" t="inlineStr">
        <is>
          <t>COMAS</t>
        </is>
      </c>
      <c r="AQ119" s="75" t="n">
        <v>45777</v>
      </c>
      <c r="AR119" s="75" t="n">
        <v>45771</v>
      </c>
      <c r="AS119" t="inlineStr">
        <is>
          <t>SALDO FINANCIAR</t>
        </is>
      </c>
      <c r="AT119" t="n">
        <v>3</v>
      </c>
      <c r="AU119" t="n">
        <v>34750</v>
      </c>
      <c r="AV119" t="n">
        <v>0</v>
      </c>
      <c r="AW119" t="n">
        <v>0</v>
      </c>
      <c r="AX119" s="39" t="n">
        <v>34750</v>
      </c>
      <c r="AY119" s="39" t="n">
        <v>34750</v>
      </c>
      <c r="AZ119" s="39" t="n">
        <v>0</v>
      </c>
      <c r="BA119" t="n">
        <v>0</v>
      </c>
      <c r="BB119" t="inlineStr">
        <is>
          <t>Crédito Hipotecario</t>
        </is>
      </c>
      <c r="BC119" t="inlineStr">
        <is>
          <t>Scotiabank Perú</t>
        </is>
      </c>
      <c r="BD119" t="inlineStr">
        <is>
          <t>000-2768484</t>
        </is>
      </c>
      <c r="BE119" t="inlineStr">
        <is>
          <t>TRANSFERENCIA BANCARIA</t>
        </is>
      </c>
      <c r="BF119" t="inlineStr">
        <is>
          <t>41844906</t>
        </is>
      </c>
      <c r="BG119" t="inlineStr">
        <is>
          <t>503253</t>
        </is>
      </c>
      <c r="BH119" t="inlineStr">
        <is>
          <t>No</t>
        </is>
      </c>
      <c r="BI119" t="inlineStr">
        <is>
          <t>NO PRECISA</t>
        </is>
      </c>
      <c r="BJ119" t="n">
        <v>4</v>
      </c>
      <c r="BK119" t="inlineStr">
        <is>
          <t>CANCELADO</t>
        </is>
      </c>
      <c r="BV119" t="inlineStr">
        <is>
          <t>Si</t>
        </is>
      </c>
      <c r="BW119" s="76" t="n">
        <v>45687.61736111111</v>
      </c>
      <c r="BX119" t="inlineStr">
        <is>
          <t>Carla Michue M</t>
        </is>
      </c>
      <c r="BZ119" t="n">
        <v>38</v>
      </c>
      <c r="CA119" t="inlineStr">
        <is>
          <t>05/06/2026 10:58</t>
        </is>
      </c>
      <c r="CB119" t="n">
        <v>0</v>
      </c>
      <c r="CF119" t="inlineStr">
        <is>
          <t>Cobranzas_2025.csv</t>
        </is>
      </c>
      <c r="CG119" t="n">
        <v>2025</v>
      </c>
      <c r="CH119" t="inlineStr">
        <is>
          <t>01/01/2024</t>
        </is>
      </c>
      <c r="CI119" t="inlineStr">
        <is>
          <t>24/08/2031</t>
        </is>
      </c>
    </row>
    <row r="120">
      <c r="A120" t="inlineStr">
        <is>
          <t>RESIDENCIAL PRADA</t>
        </is>
      </c>
      <c r="B120" t="inlineStr">
        <is>
          <t>Etapa 1</t>
        </is>
      </c>
      <c r="C120" t="inlineStr">
        <is>
          <t>Edificio</t>
        </is>
      </c>
      <c r="D120" t="inlineStr">
        <is>
          <t>A</t>
        </is>
      </c>
      <c r="E120" t="inlineStr">
        <is>
          <t>Departamento</t>
        </is>
      </c>
      <c r="F120" t="inlineStr">
        <is>
          <t>703</t>
        </is>
      </c>
      <c r="G120" t="n">
        <v>88.27</v>
      </c>
      <c r="H120" t="n">
        <v>0</v>
      </c>
      <c r="I120" s="39" t="n">
        <v>654000</v>
      </c>
      <c r="J120" s="39" t="n">
        <v>654000</v>
      </c>
      <c r="K120" t="inlineStr">
        <is>
          <t>Edificio</t>
        </is>
      </c>
      <c r="L120" t="inlineStr">
        <is>
          <t>A</t>
        </is>
      </c>
      <c r="M120" t="inlineStr">
        <is>
          <t>Estacionamiento</t>
        </is>
      </c>
      <c r="N120" t="inlineStr">
        <is>
          <t>E 06 - D 04</t>
        </is>
      </c>
      <c r="O120" t="n">
        <v>15.9</v>
      </c>
      <c r="P120" t="n">
        <v>2.26</v>
      </c>
      <c r="Q120" s="39" t="n">
        <v>57500</v>
      </c>
      <c r="R120" s="39" t="n">
        <v>57500</v>
      </c>
      <c r="Y120" s="39" t="n"/>
      <c r="Z120" s="39" t="n"/>
      <c r="AG120" s="39" t="n"/>
      <c r="AH120" s="39" t="n"/>
      <c r="AI120" t="inlineStr">
        <is>
          <t>David Edgar Valencia Cordova</t>
        </is>
      </c>
      <c r="AJ120" t="inlineStr">
        <is>
          <t>41844906</t>
        </is>
      </c>
      <c r="AK120" t="inlineStr">
        <is>
          <t>P. Joven Año Nuevo Jr. Montero Rosas 860</t>
        </is>
      </c>
      <c r="AL120" t="n">
        <v>991846561</v>
      </c>
      <c r="AM120" t="inlineStr">
        <is>
          <t>991846561</t>
        </is>
      </c>
      <c r="AN120" t="inlineStr">
        <is>
          <t>davico29@gmail.com</t>
        </is>
      </c>
      <c r="AO120" t="inlineStr">
        <is>
          <t>LIMA</t>
        </is>
      </c>
      <c r="AP120" t="inlineStr">
        <is>
          <t>COMAS</t>
        </is>
      </c>
      <c r="AQ120" s="75" t="n">
        <v>45807</v>
      </c>
      <c r="AR120" s="75" t="n">
        <v>45799</v>
      </c>
      <c r="AS120" t="inlineStr">
        <is>
          <t>SALDO FINANCIAR</t>
        </is>
      </c>
      <c r="AT120" t="n">
        <v>4</v>
      </c>
      <c r="AU120" t="n">
        <v>34750</v>
      </c>
      <c r="AV120" t="n">
        <v>0</v>
      </c>
      <c r="AW120" t="n">
        <v>0</v>
      </c>
      <c r="AX120" s="39" t="n">
        <v>34750</v>
      </c>
      <c r="AY120" s="39" t="n">
        <v>34750</v>
      </c>
      <c r="AZ120" s="39" t="n">
        <v>0</v>
      </c>
      <c r="BA120" t="n">
        <v>0</v>
      </c>
      <c r="BB120" t="inlineStr">
        <is>
          <t>Crédito Hipotecario</t>
        </is>
      </c>
      <c r="BC120" t="inlineStr">
        <is>
          <t>Scotiabank Perú</t>
        </is>
      </c>
      <c r="BD120" t="inlineStr">
        <is>
          <t>000-2768484</t>
        </is>
      </c>
      <c r="BE120" t="inlineStr">
        <is>
          <t>TRANSFERENCIA BANCARIA</t>
        </is>
      </c>
      <c r="BF120" t="inlineStr">
        <is>
          <t>41844906</t>
        </is>
      </c>
      <c r="BG120" t="inlineStr">
        <is>
          <t>503253</t>
        </is>
      </c>
      <c r="BH120" t="inlineStr">
        <is>
          <t>No</t>
        </is>
      </c>
      <c r="BI120" t="inlineStr">
        <is>
          <t>NO PRECISA</t>
        </is>
      </c>
      <c r="BJ120" t="n">
        <v>4</v>
      </c>
      <c r="BK120" t="inlineStr">
        <is>
          <t>CANCELADO</t>
        </is>
      </c>
      <c r="BV120" t="inlineStr">
        <is>
          <t>Si</t>
        </is>
      </c>
      <c r="BW120" s="76" t="n">
        <v>45687.61736111111</v>
      </c>
      <c r="BX120" t="inlineStr">
        <is>
          <t>Carla Michue M</t>
        </is>
      </c>
      <c r="BZ120" t="n">
        <v>38</v>
      </c>
      <c r="CA120" t="inlineStr">
        <is>
          <t>05/06/2026 11:01</t>
        </is>
      </c>
      <c r="CB120" t="n">
        <v>0</v>
      </c>
      <c r="CF120" t="inlineStr">
        <is>
          <t>Cobranzas_2025.csv</t>
        </is>
      </c>
      <c r="CG120" t="n">
        <v>2025</v>
      </c>
      <c r="CH120" t="inlineStr">
        <is>
          <t>01/01/2024</t>
        </is>
      </c>
      <c r="CI120" t="inlineStr">
        <is>
          <t>24/08/2031</t>
        </is>
      </c>
    </row>
    <row r="121">
      <c r="A121" t="inlineStr">
        <is>
          <t>RESIDENCIAL PRADA</t>
        </is>
      </c>
      <c r="B121" t="inlineStr">
        <is>
          <t>Etapa 1</t>
        </is>
      </c>
      <c r="C121" t="inlineStr">
        <is>
          <t>Edificio</t>
        </is>
      </c>
      <c r="D121" t="inlineStr">
        <is>
          <t>A</t>
        </is>
      </c>
      <c r="E121" t="inlineStr">
        <is>
          <t>Departamento</t>
        </is>
      </c>
      <c r="F121" t="inlineStr">
        <is>
          <t>703</t>
        </is>
      </c>
      <c r="G121" t="n">
        <v>88.27</v>
      </c>
      <c r="H121" t="n">
        <v>0</v>
      </c>
      <c r="I121" s="39" t="n">
        <v>654000</v>
      </c>
      <c r="J121" s="39" t="n">
        <v>654000</v>
      </c>
      <c r="K121" t="inlineStr">
        <is>
          <t>Edificio</t>
        </is>
      </c>
      <c r="L121" t="inlineStr">
        <is>
          <t>A</t>
        </is>
      </c>
      <c r="M121" t="inlineStr">
        <is>
          <t>Estacionamiento</t>
        </is>
      </c>
      <c r="N121" t="inlineStr">
        <is>
          <t>E 06 - D 04</t>
        </is>
      </c>
      <c r="O121" t="n">
        <v>15.9</v>
      </c>
      <c r="P121" t="n">
        <v>2.26</v>
      </c>
      <c r="Q121" s="39" t="n">
        <v>57500</v>
      </c>
      <c r="R121" s="39" t="n">
        <v>57500</v>
      </c>
      <c r="Y121" s="39" t="n"/>
      <c r="Z121" s="39" t="n"/>
      <c r="AG121" s="39" t="n"/>
      <c r="AH121" s="39" t="n"/>
      <c r="AI121" t="inlineStr">
        <is>
          <t>David Edgar Valencia Cordova</t>
        </is>
      </c>
      <c r="AJ121" t="inlineStr">
        <is>
          <t>41844906</t>
        </is>
      </c>
      <c r="AK121" t="inlineStr">
        <is>
          <t>P. Joven Año Nuevo Jr. Montero Rosas 860</t>
        </is>
      </c>
      <c r="AL121" t="n">
        <v>991846561</v>
      </c>
      <c r="AM121" t="inlineStr">
        <is>
          <t>991846561</t>
        </is>
      </c>
      <c r="AN121" t="inlineStr">
        <is>
          <t>davico29@gmail.com</t>
        </is>
      </c>
      <c r="AO121" t="inlineStr">
        <is>
          <t>LIMA</t>
        </is>
      </c>
      <c r="AP121" t="inlineStr">
        <is>
          <t>COMAS</t>
        </is>
      </c>
      <c r="AQ121" s="75" t="n">
        <v>45838</v>
      </c>
      <c r="AR121" s="75" t="n">
        <v>45804</v>
      </c>
      <c r="AS121" t="inlineStr">
        <is>
          <t>SALDO FINANCIAR</t>
        </is>
      </c>
      <c r="AT121" t="n">
        <v>5</v>
      </c>
      <c r="AU121" t="n">
        <v>34750</v>
      </c>
      <c r="AV121" t="n">
        <v>0</v>
      </c>
      <c r="AW121" t="n">
        <v>0</v>
      </c>
      <c r="AX121" s="39" t="n">
        <v>34750</v>
      </c>
      <c r="AY121" s="39" t="n">
        <v>34750</v>
      </c>
      <c r="AZ121" s="39" t="n">
        <v>0</v>
      </c>
      <c r="BA121" t="n">
        <v>0</v>
      </c>
      <c r="BB121" t="inlineStr">
        <is>
          <t>Crédito Hipotecario</t>
        </is>
      </c>
      <c r="BC121" t="inlineStr">
        <is>
          <t>Scotiabank Perú</t>
        </is>
      </c>
      <c r="BD121" t="inlineStr">
        <is>
          <t>000-2768484</t>
        </is>
      </c>
      <c r="BE121" t="inlineStr">
        <is>
          <t>TRANSFERENCIA BANCARIA</t>
        </is>
      </c>
      <c r="BF121" t="inlineStr">
        <is>
          <t>41844906</t>
        </is>
      </c>
      <c r="BH121" t="inlineStr">
        <is>
          <t>No</t>
        </is>
      </c>
      <c r="BI121" t="inlineStr">
        <is>
          <t>NO PRECISA</t>
        </is>
      </c>
      <c r="BJ121" t="n">
        <v>4</v>
      </c>
      <c r="BK121" t="inlineStr">
        <is>
          <t>CANCELADO</t>
        </is>
      </c>
      <c r="BV121" t="inlineStr">
        <is>
          <t>Si</t>
        </is>
      </c>
      <c r="BW121" s="76" t="n">
        <v>45687.61736111111</v>
      </c>
      <c r="BX121" t="inlineStr">
        <is>
          <t>Carla Michue M</t>
        </is>
      </c>
      <c r="BZ121" t="n">
        <v>38</v>
      </c>
      <c r="CA121" t="inlineStr">
        <is>
          <t>05/06/2026 11:03</t>
        </is>
      </c>
      <c r="CB121" t="n">
        <v>0</v>
      </c>
      <c r="CF121" t="inlineStr">
        <is>
          <t>Cobranzas_2025.csv</t>
        </is>
      </c>
      <c r="CG121" t="n">
        <v>2025</v>
      </c>
      <c r="CH121" t="inlineStr">
        <is>
          <t>01/01/2024</t>
        </is>
      </c>
      <c r="CI121" t="inlineStr">
        <is>
          <t>24/08/2031</t>
        </is>
      </c>
    </row>
    <row r="122">
      <c r="A122" t="inlineStr">
        <is>
          <t>RESIDENCIAL PRADA</t>
        </is>
      </c>
      <c r="B122" t="inlineStr">
        <is>
          <t>Etapa 1</t>
        </is>
      </c>
      <c r="C122" t="inlineStr">
        <is>
          <t>Edificio</t>
        </is>
      </c>
      <c r="D122" t="inlineStr">
        <is>
          <t>A</t>
        </is>
      </c>
      <c r="E122" t="inlineStr">
        <is>
          <t>Departamento</t>
        </is>
      </c>
      <c r="F122" t="inlineStr">
        <is>
          <t>703</t>
        </is>
      </c>
      <c r="G122" t="n">
        <v>88.27</v>
      </c>
      <c r="H122" t="n">
        <v>0</v>
      </c>
      <c r="I122" s="39" t="n">
        <v>654000</v>
      </c>
      <c r="J122" s="39" t="n">
        <v>654000</v>
      </c>
      <c r="K122" t="inlineStr">
        <is>
          <t>Edificio</t>
        </is>
      </c>
      <c r="L122" t="inlineStr">
        <is>
          <t>A</t>
        </is>
      </c>
      <c r="M122" t="inlineStr">
        <is>
          <t>Estacionamiento</t>
        </is>
      </c>
      <c r="N122" t="inlineStr">
        <is>
          <t>E 06 - D 04</t>
        </is>
      </c>
      <c r="O122" t="n">
        <v>15.9</v>
      </c>
      <c r="P122" t="n">
        <v>2.26</v>
      </c>
      <c r="Q122" s="39" t="n">
        <v>57500</v>
      </c>
      <c r="R122" s="39" t="n">
        <v>57500</v>
      </c>
      <c r="Y122" s="39" t="n"/>
      <c r="Z122" s="39" t="n"/>
      <c r="AG122" s="39" t="n"/>
      <c r="AH122" s="39" t="n"/>
      <c r="AI122" t="inlineStr">
        <is>
          <t>David Edgar Valencia Cordova</t>
        </is>
      </c>
      <c r="AJ122" t="inlineStr">
        <is>
          <t>41844906</t>
        </is>
      </c>
      <c r="AK122" t="inlineStr">
        <is>
          <t>P. Joven Año Nuevo Jr. Montero Rosas 860</t>
        </is>
      </c>
      <c r="AL122" t="n">
        <v>991846561</v>
      </c>
      <c r="AM122" t="inlineStr">
        <is>
          <t>991846561</t>
        </is>
      </c>
      <c r="AN122" t="inlineStr">
        <is>
          <t>davico29@gmail.com</t>
        </is>
      </c>
      <c r="AO122" t="inlineStr">
        <is>
          <t>LIMA</t>
        </is>
      </c>
      <c r="AP122" t="inlineStr">
        <is>
          <t>COMAS</t>
        </is>
      </c>
      <c r="AQ122" s="75" t="n">
        <v>45868</v>
      </c>
      <c r="AR122" s="75" t="n">
        <v>45862</v>
      </c>
      <c r="AS122" t="inlineStr">
        <is>
          <t>SALDO FINANCIAR</t>
        </is>
      </c>
      <c r="AT122" t="n">
        <v>6</v>
      </c>
      <c r="AU122" t="n">
        <v>34750</v>
      </c>
      <c r="AV122" t="n">
        <v>0</v>
      </c>
      <c r="AW122" t="n">
        <v>0</v>
      </c>
      <c r="AX122" s="39" t="n">
        <v>34750</v>
      </c>
      <c r="AY122" s="39" t="n">
        <v>34750</v>
      </c>
      <c r="AZ122" s="39" t="n">
        <v>0</v>
      </c>
      <c r="BA122" t="n">
        <v>0</v>
      </c>
      <c r="BB122" t="inlineStr">
        <is>
          <t>Crédito Hipotecario</t>
        </is>
      </c>
      <c r="BC122" t="inlineStr">
        <is>
          <t>Scotiabank Perú</t>
        </is>
      </c>
      <c r="BD122" t="inlineStr">
        <is>
          <t>000-2768484</t>
        </is>
      </c>
      <c r="BE122" t="inlineStr">
        <is>
          <t>TRANSFERENCIA BANCARIA</t>
        </is>
      </c>
      <c r="BG122" t="inlineStr">
        <is>
          <t>U26325</t>
        </is>
      </c>
      <c r="BH122" t="inlineStr">
        <is>
          <t>No</t>
        </is>
      </c>
      <c r="BJ122" t="n">
        <v>4</v>
      </c>
      <c r="BK122" t="inlineStr">
        <is>
          <t>CANCELADO</t>
        </is>
      </c>
      <c r="BV122" t="inlineStr">
        <is>
          <t>Si</t>
        </is>
      </c>
      <c r="BW122" s="76" t="n">
        <v>45687.61736111111</v>
      </c>
      <c r="BX122" t="inlineStr">
        <is>
          <t>Carla Michue M</t>
        </is>
      </c>
      <c r="BZ122" t="n">
        <v>38</v>
      </c>
      <c r="CA122" t="inlineStr">
        <is>
          <t>07/07/2026 11:48</t>
        </is>
      </c>
      <c r="CB122" t="n">
        <v>0</v>
      </c>
      <c r="CF122" t="inlineStr">
        <is>
          <t>Cobranzas_2025.csv</t>
        </is>
      </c>
      <c r="CG122" t="n">
        <v>2025</v>
      </c>
      <c r="CH122" t="inlineStr">
        <is>
          <t>01/01/2024</t>
        </is>
      </c>
      <c r="CI122" t="inlineStr">
        <is>
          <t>24/08/2031</t>
        </is>
      </c>
    </row>
    <row r="123">
      <c r="A123" t="inlineStr">
        <is>
          <t>RESIDENCIAL PRADA</t>
        </is>
      </c>
      <c r="B123" t="inlineStr">
        <is>
          <t>Etapa 1</t>
        </is>
      </c>
      <c r="C123" t="inlineStr">
        <is>
          <t>Edificio</t>
        </is>
      </c>
      <c r="D123" t="inlineStr">
        <is>
          <t>A</t>
        </is>
      </c>
      <c r="E123" t="inlineStr">
        <is>
          <t>Departamento</t>
        </is>
      </c>
      <c r="F123" t="inlineStr">
        <is>
          <t>703</t>
        </is>
      </c>
      <c r="G123" t="n">
        <v>88.27</v>
      </c>
      <c r="H123" t="n">
        <v>0</v>
      </c>
      <c r="I123" s="39" t="n">
        <v>654000</v>
      </c>
      <c r="J123" s="39" t="n">
        <v>654000</v>
      </c>
      <c r="K123" t="inlineStr">
        <is>
          <t>Edificio</t>
        </is>
      </c>
      <c r="L123" t="inlineStr">
        <is>
          <t>A</t>
        </is>
      </c>
      <c r="M123" t="inlineStr">
        <is>
          <t>Estacionamiento</t>
        </is>
      </c>
      <c r="N123" t="inlineStr">
        <is>
          <t>E 06 - D 04</t>
        </is>
      </c>
      <c r="O123" t="n">
        <v>15.9</v>
      </c>
      <c r="P123" t="n">
        <v>2.26</v>
      </c>
      <c r="Q123" s="39" t="n">
        <v>57500</v>
      </c>
      <c r="R123" s="39" t="n">
        <v>57500</v>
      </c>
      <c r="Y123" s="39" t="n"/>
      <c r="Z123" s="39" t="n"/>
      <c r="AG123" s="39" t="n"/>
      <c r="AH123" s="39" t="n"/>
      <c r="AI123" t="inlineStr">
        <is>
          <t>David Edgar Valencia Cordova</t>
        </is>
      </c>
      <c r="AJ123" t="inlineStr">
        <is>
          <t>41844906</t>
        </is>
      </c>
      <c r="AK123" t="inlineStr">
        <is>
          <t>P. Joven Año Nuevo Jr. Montero Rosas 860</t>
        </is>
      </c>
      <c r="AL123" t="n">
        <v>991846561</v>
      </c>
      <c r="AM123" t="inlineStr">
        <is>
          <t>991846561</t>
        </is>
      </c>
      <c r="AN123" t="inlineStr">
        <is>
          <t>davico29@gmail.com</t>
        </is>
      </c>
      <c r="AO123" t="inlineStr">
        <is>
          <t>LIMA</t>
        </is>
      </c>
      <c r="AP123" t="inlineStr">
        <is>
          <t>COMAS</t>
        </is>
      </c>
      <c r="AQ123" s="75" t="n">
        <v>45899</v>
      </c>
      <c r="AR123" s="75" t="n">
        <v>45895</v>
      </c>
      <c r="AS123" t="inlineStr">
        <is>
          <t>SALDO FINANCIAR</t>
        </is>
      </c>
      <c r="AT123" t="n">
        <v>7</v>
      </c>
      <c r="AU123" t="n">
        <v>34750</v>
      </c>
      <c r="AV123" t="n">
        <v>0</v>
      </c>
      <c r="AW123" t="n">
        <v>0</v>
      </c>
      <c r="AX123" s="39" t="n">
        <v>34750</v>
      </c>
      <c r="AY123" s="39" t="n">
        <v>34750</v>
      </c>
      <c r="AZ123" s="39" t="n">
        <v>0</v>
      </c>
      <c r="BA123" t="n">
        <v>0</v>
      </c>
      <c r="BB123" t="inlineStr">
        <is>
          <t>Crédito Hipotecario</t>
        </is>
      </c>
      <c r="BC123" t="inlineStr">
        <is>
          <t>Scotiabank Perú</t>
        </is>
      </c>
      <c r="BD123" t="inlineStr">
        <is>
          <t>000-2768484</t>
        </is>
      </c>
      <c r="BE123" t="inlineStr">
        <is>
          <t>TRANSFERENCIA BANCARIA</t>
        </is>
      </c>
      <c r="BG123" t="inlineStr">
        <is>
          <t>U27621</t>
        </is>
      </c>
      <c r="BH123" t="inlineStr">
        <is>
          <t>No</t>
        </is>
      </c>
      <c r="BJ123" t="n">
        <v>4</v>
      </c>
      <c r="BK123" t="inlineStr">
        <is>
          <t>CANCELADO</t>
        </is>
      </c>
      <c r="BV123" t="inlineStr">
        <is>
          <t>Si</t>
        </is>
      </c>
      <c r="BW123" s="76" t="n">
        <v>45687.61736111111</v>
      </c>
      <c r="BX123" t="inlineStr">
        <is>
          <t>Carla Michue M</t>
        </is>
      </c>
      <c r="BZ123" t="n">
        <v>38</v>
      </c>
      <c r="CA123" t="inlineStr">
        <is>
          <t>07/07/2026 11:49</t>
        </is>
      </c>
      <c r="CB123" t="n">
        <v>0</v>
      </c>
      <c r="CF123" t="inlineStr">
        <is>
          <t>Cobranzas_2025.csv</t>
        </is>
      </c>
      <c r="CG123" t="n">
        <v>2025</v>
      </c>
      <c r="CH123" t="inlineStr">
        <is>
          <t>01/01/2024</t>
        </is>
      </c>
      <c r="CI123" t="inlineStr">
        <is>
          <t>24/08/2031</t>
        </is>
      </c>
    </row>
    <row r="124">
      <c r="A124" t="inlineStr">
        <is>
          <t>RESIDENCIAL PRADA</t>
        </is>
      </c>
      <c r="B124" t="inlineStr">
        <is>
          <t>Etapa 1</t>
        </is>
      </c>
      <c r="C124" t="inlineStr">
        <is>
          <t>Edificio</t>
        </is>
      </c>
      <c r="D124" t="inlineStr">
        <is>
          <t>A</t>
        </is>
      </c>
      <c r="E124" t="inlineStr">
        <is>
          <t>Departamento</t>
        </is>
      </c>
      <c r="F124" t="inlineStr">
        <is>
          <t>703</t>
        </is>
      </c>
      <c r="G124" t="n">
        <v>88.27</v>
      </c>
      <c r="H124" t="n">
        <v>0</v>
      </c>
      <c r="I124" s="39" t="n">
        <v>654000</v>
      </c>
      <c r="J124" s="39" t="n">
        <v>654000</v>
      </c>
      <c r="K124" t="inlineStr">
        <is>
          <t>Edificio</t>
        </is>
      </c>
      <c r="L124" t="inlineStr">
        <is>
          <t>A</t>
        </is>
      </c>
      <c r="M124" t="inlineStr">
        <is>
          <t>Estacionamiento</t>
        </is>
      </c>
      <c r="N124" t="inlineStr">
        <is>
          <t>E 06 - D 04</t>
        </is>
      </c>
      <c r="O124" t="n">
        <v>15.9</v>
      </c>
      <c r="P124" t="n">
        <v>2.26</v>
      </c>
      <c r="Q124" s="39" t="n">
        <v>57500</v>
      </c>
      <c r="R124" s="39" t="n">
        <v>57500</v>
      </c>
      <c r="Y124" s="39" t="n"/>
      <c r="Z124" s="39" t="n"/>
      <c r="AG124" s="39" t="n"/>
      <c r="AH124" s="39" t="n"/>
      <c r="AI124" t="inlineStr">
        <is>
          <t>David Edgar Valencia Cordova</t>
        </is>
      </c>
      <c r="AJ124" t="inlineStr">
        <is>
          <t>41844906</t>
        </is>
      </c>
      <c r="AK124" t="inlineStr">
        <is>
          <t>P. Joven Año Nuevo Jr. Montero Rosas 860</t>
        </is>
      </c>
      <c r="AL124" t="n">
        <v>991846561</v>
      </c>
      <c r="AM124" t="inlineStr">
        <is>
          <t>991846561</t>
        </is>
      </c>
      <c r="AN124" t="inlineStr">
        <is>
          <t>davico29@gmail.com</t>
        </is>
      </c>
      <c r="AO124" t="inlineStr">
        <is>
          <t>LIMA</t>
        </is>
      </c>
      <c r="AP124" t="inlineStr">
        <is>
          <t>COMAS</t>
        </is>
      </c>
      <c r="AQ124" s="75" t="n">
        <v>45930</v>
      </c>
      <c r="AR124" s="75" t="n">
        <v>45930</v>
      </c>
      <c r="AS124" t="inlineStr">
        <is>
          <t>SALDO FINANCIAR</t>
        </is>
      </c>
      <c r="AT124" t="n">
        <v>8</v>
      </c>
      <c r="AU124" t="n">
        <v>34750</v>
      </c>
      <c r="AV124" t="n">
        <v>0</v>
      </c>
      <c r="AW124" t="n">
        <v>0</v>
      </c>
      <c r="AX124" s="39" t="n">
        <v>34750</v>
      </c>
      <c r="AY124" s="39" t="n">
        <v>34750</v>
      </c>
      <c r="AZ124" s="39" t="n">
        <v>0</v>
      </c>
      <c r="BA124" t="n">
        <v>0</v>
      </c>
      <c r="BB124" t="inlineStr">
        <is>
          <t>Crédito Hipotecario</t>
        </is>
      </c>
      <c r="BC124" t="inlineStr">
        <is>
          <t>Scotiabank Perú</t>
        </is>
      </c>
      <c r="BD124" t="inlineStr">
        <is>
          <t>000-2768484</t>
        </is>
      </c>
      <c r="BE124" t="inlineStr">
        <is>
          <t>TRANSFERENCIA BANCARIA</t>
        </is>
      </c>
      <c r="BF124" t="inlineStr">
        <is>
          <t>41844906</t>
        </is>
      </c>
      <c r="BG124" t="inlineStr">
        <is>
          <t>503251</t>
        </is>
      </c>
      <c r="BH124" t="inlineStr">
        <is>
          <t>No</t>
        </is>
      </c>
      <c r="BI124" t="inlineStr">
        <is>
          <t>NO PRECISA</t>
        </is>
      </c>
      <c r="BJ124" t="n">
        <v>4</v>
      </c>
      <c r="BK124" t="inlineStr">
        <is>
          <t>CANCELADO</t>
        </is>
      </c>
      <c r="BV124" t="inlineStr">
        <is>
          <t>Si</t>
        </is>
      </c>
      <c r="BW124" s="76" t="n">
        <v>45687.61736111111</v>
      </c>
      <c r="BX124" t="inlineStr">
        <is>
          <t>Carla Michue M</t>
        </is>
      </c>
      <c r="BZ124" t="n">
        <v>38</v>
      </c>
      <c r="CA124" t="inlineStr">
        <is>
          <t>05/06/2026 11:05</t>
        </is>
      </c>
      <c r="CB124" t="n">
        <v>0</v>
      </c>
      <c r="CF124" t="inlineStr">
        <is>
          <t>Cobranzas_2025.csv</t>
        </is>
      </c>
      <c r="CG124" t="n">
        <v>2025</v>
      </c>
      <c r="CH124" t="inlineStr">
        <is>
          <t>01/01/2024</t>
        </is>
      </c>
      <c r="CI124" t="inlineStr">
        <is>
          <t>24/08/2031</t>
        </is>
      </c>
    </row>
    <row r="125">
      <c r="A125" t="inlineStr">
        <is>
          <t>RESIDENCIAL PRADA</t>
        </is>
      </c>
      <c r="B125" t="inlineStr">
        <is>
          <t>Etapa 1</t>
        </is>
      </c>
      <c r="C125" t="inlineStr">
        <is>
          <t>Edificio</t>
        </is>
      </c>
      <c r="D125" t="inlineStr">
        <is>
          <t>A</t>
        </is>
      </c>
      <c r="E125" t="inlineStr">
        <is>
          <t>Departamento</t>
        </is>
      </c>
      <c r="F125" t="inlineStr">
        <is>
          <t>703</t>
        </is>
      </c>
      <c r="G125" t="n">
        <v>88.27</v>
      </c>
      <c r="H125" t="n">
        <v>0</v>
      </c>
      <c r="I125" s="39" t="n">
        <v>654000</v>
      </c>
      <c r="J125" s="39" t="n">
        <v>654000</v>
      </c>
      <c r="K125" t="inlineStr">
        <is>
          <t>Edificio</t>
        </is>
      </c>
      <c r="L125" t="inlineStr">
        <is>
          <t>A</t>
        </is>
      </c>
      <c r="M125" t="inlineStr">
        <is>
          <t>Estacionamiento</t>
        </is>
      </c>
      <c r="N125" t="inlineStr">
        <is>
          <t>E 06 - D 04</t>
        </is>
      </c>
      <c r="O125" t="n">
        <v>15.9</v>
      </c>
      <c r="P125" t="n">
        <v>2.26</v>
      </c>
      <c r="Q125" s="39" t="n">
        <v>57500</v>
      </c>
      <c r="R125" s="39" t="n">
        <v>57500</v>
      </c>
      <c r="Y125" s="39" t="n"/>
      <c r="Z125" s="39" t="n"/>
      <c r="AG125" s="39" t="n"/>
      <c r="AH125" s="39" t="n"/>
      <c r="AI125" t="inlineStr">
        <is>
          <t>David Edgar Valencia Cordova</t>
        </is>
      </c>
      <c r="AJ125" t="inlineStr">
        <is>
          <t>41844906</t>
        </is>
      </c>
      <c r="AK125" t="inlineStr">
        <is>
          <t>P. Joven Año Nuevo Jr. Montero Rosas 860</t>
        </is>
      </c>
      <c r="AL125" t="n">
        <v>991846561</v>
      </c>
      <c r="AM125" t="inlineStr">
        <is>
          <t>991846561</t>
        </is>
      </c>
      <c r="AN125" t="inlineStr">
        <is>
          <t>davico29@gmail.com</t>
        </is>
      </c>
      <c r="AO125" t="inlineStr">
        <is>
          <t>LIMA</t>
        </is>
      </c>
      <c r="AP125" t="inlineStr">
        <is>
          <t>COMAS</t>
        </is>
      </c>
      <c r="AQ125" s="75" t="n">
        <v>45960</v>
      </c>
      <c r="AR125" s="75" t="n">
        <v>45959</v>
      </c>
      <c r="AS125" t="inlineStr">
        <is>
          <t>SALDO FINANCIAR</t>
        </is>
      </c>
      <c r="AT125" t="n">
        <v>9</v>
      </c>
      <c r="AU125" t="n">
        <v>34750</v>
      </c>
      <c r="AV125" t="n">
        <v>0</v>
      </c>
      <c r="AW125" t="n">
        <v>0</v>
      </c>
      <c r="AX125" s="39" t="n">
        <v>34750</v>
      </c>
      <c r="AY125" s="39" t="n">
        <v>34750</v>
      </c>
      <c r="AZ125" s="39" t="n">
        <v>0</v>
      </c>
      <c r="BA125" t="n">
        <v>0</v>
      </c>
      <c r="BB125" t="inlineStr">
        <is>
          <t>Crédito Hipotecario</t>
        </is>
      </c>
      <c r="BC125" t="inlineStr">
        <is>
          <t>Scotiabank Perú</t>
        </is>
      </c>
      <c r="BD125" t="inlineStr">
        <is>
          <t>000-2768484</t>
        </is>
      </c>
      <c r="BE125" t="inlineStr">
        <is>
          <t>TRANSFERENCIA BANCARIA</t>
        </is>
      </c>
      <c r="BF125" t="inlineStr">
        <is>
          <t>41844906</t>
        </is>
      </c>
      <c r="BG125" t="inlineStr">
        <is>
          <t>0500010053</t>
        </is>
      </c>
      <c r="BH125" t="inlineStr">
        <is>
          <t>No</t>
        </is>
      </c>
      <c r="BI125" t="inlineStr">
        <is>
          <t>NO PRECISA</t>
        </is>
      </c>
      <c r="BJ125" t="n">
        <v>4</v>
      </c>
      <c r="BK125" t="inlineStr">
        <is>
          <t>CANCELADO</t>
        </is>
      </c>
      <c r="BV125" t="inlineStr">
        <is>
          <t>Si</t>
        </is>
      </c>
      <c r="BW125" s="76" t="n">
        <v>45687.61736111111</v>
      </c>
      <c r="BX125" t="inlineStr">
        <is>
          <t>Carla Michue M</t>
        </is>
      </c>
      <c r="BZ125" t="n">
        <v>38</v>
      </c>
      <c r="CA125" t="inlineStr">
        <is>
          <t>05/06/2026 11:09</t>
        </is>
      </c>
      <c r="CB125" t="n">
        <v>0</v>
      </c>
      <c r="CF125" t="inlineStr">
        <is>
          <t>Cobranzas_2025.csv</t>
        </is>
      </c>
      <c r="CG125" t="n">
        <v>2025</v>
      </c>
      <c r="CH125" t="inlineStr">
        <is>
          <t>01/01/2024</t>
        </is>
      </c>
      <c r="CI125" t="inlineStr">
        <is>
          <t>24/08/2031</t>
        </is>
      </c>
    </row>
    <row r="126">
      <c r="A126" t="inlineStr">
        <is>
          <t>RESIDENCIAL PRADA</t>
        </is>
      </c>
      <c r="B126" t="inlineStr">
        <is>
          <t>Etapa 1</t>
        </is>
      </c>
      <c r="C126" t="inlineStr">
        <is>
          <t>Edificio</t>
        </is>
      </c>
      <c r="D126" t="inlineStr">
        <is>
          <t>A</t>
        </is>
      </c>
      <c r="E126" t="inlineStr">
        <is>
          <t>Departamento</t>
        </is>
      </c>
      <c r="F126" t="inlineStr">
        <is>
          <t>703</t>
        </is>
      </c>
      <c r="G126" t="n">
        <v>88.27</v>
      </c>
      <c r="H126" t="n">
        <v>0</v>
      </c>
      <c r="I126" s="39" t="n">
        <v>654000</v>
      </c>
      <c r="J126" s="39" t="n">
        <v>654000</v>
      </c>
      <c r="K126" t="inlineStr">
        <is>
          <t>Edificio</t>
        </is>
      </c>
      <c r="L126" t="inlineStr">
        <is>
          <t>A</t>
        </is>
      </c>
      <c r="M126" t="inlineStr">
        <is>
          <t>Estacionamiento</t>
        </is>
      </c>
      <c r="N126" t="inlineStr">
        <is>
          <t>E 06 - D 04</t>
        </is>
      </c>
      <c r="O126" t="n">
        <v>15.9</v>
      </c>
      <c r="P126" t="n">
        <v>2.26</v>
      </c>
      <c r="Q126" s="39" t="n">
        <v>57500</v>
      </c>
      <c r="R126" s="39" t="n">
        <v>57500</v>
      </c>
      <c r="Y126" s="39" t="n"/>
      <c r="Z126" s="39" t="n"/>
      <c r="AG126" s="39" t="n"/>
      <c r="AH126" s="39" t="n"/>
      <c r="AI126" t="inlineStr">
        <is>
          <t>David Edgar Valencia Cordova</t>
        </is>
      </c>
      <c r="AJ126" t="inlineStr">
        <is>
          <t>41844906</t>
        </is>
      </c>
      <c r="AK126" t="inlineStr">
        <is>
          <t>P. Joven Año Nuevo Jr. Montero Rosas 860</t>
        </is>
      </c>
      <c r="AL126" t="n">
        <v>991846561</v>
      </c>
      <c r="AM126" t="inlineStr">
        <is>
          <t>991846561</t>
        </is>
      </c>
      <c r="AN126" t="inlineStr">
        <is>
          <t>davico29@gmail.com</t>
        </is>
      </c>
      <c r="AO126" t="inlineStr">
        <is>
          <t>LIMA</t>
        </is>
      </c>
      <c r="AP126" t="inlineStr">
        <is>
          <t>COMAS</t>
        </is>
      </c>
      <c r="AQ126" s="75" t="n">
        <v>45991</v>
      </c>
      <c r="AR126" s="75" t="n">
        <v>45988</v>
      </c>
      <c r="AS126" t="inlineStr">
        <is>
          <t>SALDO FINANCIAR</t>
        </is>
      </c>
      <c r="AT126" t="n">
        <v>10</v>
      </c>
      <c r="AU126" t="n">
        <v>34750</v>
      </c>
      <c r="AV126" t="n">
        <v>0</v>
      </c>
      <c r="AW126" t="n">
        <v>0</v>
      </c>
      <c r="AX126" s="39" t="n">
        <v>34750</v>
      </c>
      <c r="AY126" s="39" t="n">
        <v>34750</v>
      </c>
      <c r="AZ126" s="39" t="n">
        <v>0</v>
      </c>
      <c r="BA126" t="n">
        <v>0</v>
      </c>
      <c r="BB126" t="inlineStr">
        <is>
          <t>Crédito Hipotecario</t>
        </is>
      </c>
      <c r="BC126" t="inlineStr">
        <is>
          <t>Scotiabank Perú</t>
        </is>
      </c>
      <c r="BD126" t="inlineStr">
        <is>
          <t>000-2768484</t>
        </is>
      </c>
      <c r="BE126" t="inlineStr">
        <is>
          <t>TRANSFERENCIA BANCARIA</t>
        </is>
      </c>
      <c r="BF126" t="inlineStr">
        <is>
          <t>41844906</t>
        </is>
      </c>
      <c r="BG126" t="inlineStr">
        <is>
          <t>50325</t>
        </is>
      </c>
      <c r="BH126" t="inlineStr">
        <is>
          <t>No</t>
        </is>
      </c>
      <c r="BI126" t="inlineStr">
        <is>
          <t>NO PRECISA</t>
        </is>
      </c>
      <c r="BJ126" t="n">
        <v>4</v>
      </c>
      <c r="BK126" t="inlineStr">
        <is>
          <t>CANCELADO</t>
        </is>
      </c>
      <c r="BV126" t="inlineStr">
        <is>
          <t>Si</t>
        </is>
      </c>
      <c r="BW126" s="76" t="n">
        <v>45687.61736111111</v>
      </c>
      <c r="BX126" t="inlineStr">
        <is>
          <t>Carla Michue M</t>
        </is>
      </c>
      <c r="BZ126" t="n">
        <v>38</v>
      </c>
      <c r="CA126" t="inlineStr">
        <is>
          <t>05/06/2026 11:11</t>
        </is>
      </c>
      <c r="CB126" t="n">
        <v>0</v>
      </c>
      <c r="CF126" t="inlineStr">
        <is>
          <t>Cobranzas_2025.csv</t>
        </is>
      </c>
      <c r="CG126" t="n">
        <v>2025</v>
      </c>
      <c r="CH126" t="inlineStr">
        <is>
          <t>01/01/2024</t>
        </is>
      </c>
      <c r="CI126" t="inlineStr">
        <is>
          <t>24/08/2031</t>
        </is>
      </c>
    </row>
    <row r="127">
      <c r="A127" t="inlineStr">
        <is>
          <t>RESIDENCIAL PRADA</t>
        </is>
      </c>
      <c r="B127" t="inlineStr">
        <is>
          <t>Etapa 1</t>
        </is>
      </c>
      <c r="C127" t="inlineStr">
        <is>
          <t>Edificio</t>
        </is>
      </c>
      <c r="D127" t="inlineStr">
        <is>
          <t>A</t>
        </is>
      </c>
      <c r="E127" t="inlineStr">
        <is>
          <t>Departamento</t>
        </is>
      </c>
      <c r="F127" t="inlineStr">
        <is>
          <t>703</t>
        </is>
      </c>
      <c r="G127" t="n">
        <v>88.27</v>
      </c>
      <c r="H127" t="n">
        <v>0</v>
      </c>
      <c r="I127" s="39" t="n">
        <v>654000</v>
      </c>
      <c r="J127" s="39" t="n">
        <v>654000</v>
      </c>
      <c r="K127" t="inlineStr">
        <is>
          <t>Edificio</t>
        </is>
      </c>
      <c r="L127" t="inlineStr">
        <is>
          <t>A</t>
        </is>
      </c>
      <c r="M127" t="inlineStr">
        <is>
          <t>Estacionamiento</t>
        </is>
      </c>
      <c r="N127" t="inlineStr">
        <is>
          <t>E 06 - D 04</t>
        </is>
      </c>
      <c r="O127" t="n">
        <v>15.9</v>
      </c>
      <c r="P127" t="n">
        <v>2.26</v>
      </c>
      <c r="Q127" s="39" t="n">
        <v>57500</v>
      </c>
      <c r="R127" s="39" t="n">
        <v>57500</v>
      </c>
      <c r="Y127" s="39" t="n"/>
      <c r="Z127" s="39" t="n"/>
      <c r="AG127" s="39" t="n"/>
      <c r="AH127" s="39" t="n"/>
      <c r="AI127" t="inlineStr">
        <is>
          <t>David Edgar Valencia Cordova</t>
        </is>
      </c>
      <c r="AJ127" t="inlineStr">
        <is>
          <t>41844906</t>
        </is>
      </c>
      <c r="AK127" t="inlineStr">
        <is>
          <t>P. Joven Año Nuevo Jr. Montero Rosas 860</t>
        </is>
      </c>
      <c r="AL127" t="n">
        <v>991846561</v>
      </c>
      <c r="AM127" t="inlineStr">
        <is>
          <t>991846561</t>
        </is>
      </c>
      <c r="AN127" t="inlineStr">
        <is>
          <t>davico29@gmail.com</t>
        </is>
      </c>
      <c r="AO127" t="inlineStr">
        <is>
          <t>LIMA</t>
        </is>
      </c>
      <c r="AP127" t="inlineStr">
        <is>
          <t>COMAS</t>
        </is>
      </c>
      <c r="AQ127" s="75" t="n">
        <v>46021</v>
      </c>
      <c r="AR127" s="75" t="n">
        <v>46017</v>
      </c>
      <c r="AS127" t="inlineStr">
        <is>
          <t>SALDO FINANCIAR</t>
        </is>
      </c>
      <c r="AT127" t="n">
        <v>11</v>
      </c>
      <c r="AU127" t="n">
        <v>34750</v>
      </c>
      <c r="AV127" t="n">
        <v>0</v>
      </c>
      <c r="AW127" t="n">
        <v>0</v>
      </c>
      <c r="AX127" s="39" t="n">
        <v>34750</v>
      </c>
      <c r="AY127" s="39" t="n">
        <v>34750</v>
      </c>
      <c r="AZ127" s="39" t="n">
        <v>0</v>
      </c>
      <c r="BA127" t="n">
        <v>0</v>
      </c>
      <c r="BB127" t="inlineStr">
        <is>
          <t>Crédito Hipotecario</t>
        </is>
      </c>
      <c r="BC127" t="inlineStr">
        <is>
          <t>Scotiabank Perú</t>
        </is>
      </c>
      <c r="BD127" t="inlineStr">
        <is>
          <t>000-2768484</t>
        </is>
      </c>
      <c r="BE127" t="inlineStr">
        <is>
          <t>TRANSFERENCIA BANCARIA</t>
        </is>
      </c>
      <c r="BF127" t="inlineStr">
        <is>
          <t>41844906</t>
        </is>
      </c>
      <c r="BG127" t="inlineStr">
        <is>
          <t>503253</t>
        </is>
      </c>
      <c r="BH127" t="inlineStr">
        <is>
          <t>No</t>
        </is>
      </c>
      <c r="BI127" t="inlineStr">
        <is>
          <t>NO PRECISA</t>
        </is>
      </c>
      <c r="BJ127" t="n">
        <v>4</v>
      </c>
      <c r="BK127" t="inlineStr">
        <is>
          <t>CANCELADO</t>
        </is>
      </c>
      <c r="BV127" t="inlineStr">
        <is>
          <t>Si</t>
        </is>
      </c>
      <c r="BW127" s="76" t="n">
        <v>45687.61736111111</v>
      </c>
      <c r="BX127" t="inlineStr">
        <is>
          <t>Carla Michue M</t>
        </is>
      </c>
      <c r="BZ127" t="n">
        <v>38</v>
      </c>
      <c r="CA127" t="inlineStr">
        <is>
          <t>05/06/2026 11:14</t>
        </is>
      </c>
      <c r="CB127" t="n">
        <v>0</v>
      </c>
      <c r="CF127" t="inlineStr">
        <is>
          <t>Cobranzas_2025.csv</t>
        </is>
      </c>
      <c r="CG127" t="n">
        <v>2025</v>
      </c>
      <c r="CH127" t="inlineStr">
        <is>
          <t>01/01/2024</t>
        </is>
      </c>
      <c r="CI127" t="inlineStr">
        <is>
          <t>24/08/2031</t>
        </is>
      </c>
    </row>
    <row r="128">
      <c r="A128" t="inlineStr">
        <is>
          <t>RESIDENCIAL PRADA</t>
        </is>
      </c>
      <c r="B128" t="inlineStr">
        <is>
          <t>Etapa 1</t>
        </is>
      </c>
      <c r="C128" t="inlineStr">
        <is>
          <t>Edificio</t>
        </is>
      </c>
      <c r="D128" t="inlineStr">
        <is>
          <t>A</t>
        </is>
      </c>
      <c r="E128" t="inlineStr">
        <is>
          <t>Departamento</t>
        </is>
      </c>
      <c r="F128" t="inlineStr">
        <is>
          <t>801</t>
        </is>
      </c>
      <c r="G128" t="n">
        <v>84</v>
      </c>
      <c r="H128" t="n">
        <v>0</v>
      </c>
      <c r="I128" s="39" t="n">
        <v>630000</v>
      </c>
      <c r="J128" s="39" t="n">
        <v>630000</v>
      </c>
      <c r="Q128" s="39" t="n"/>
      <c r="R128" s="39" t="n"/>
      <c r="Y128" s="39" t="n"/>
      <c r="Z128" s="39" t="n"/>
      <c r="AG128" s="39" t="n"/>
      <c r="AH128" s="39" t="n"/>
      <c r="AI128" t="inlineStr">
        <is>
          <t>Denisse Estela Linares Suarez</t>
        </is>
      </c>
      <c r="AJ128" t="inlineStr">
        <is>
          <t>44457800</t>
        </is>
      </c>
      <c r="AK128" t="inlineStr">
        <is>
          <t>Jr. Zorritos 1399 – Block 37 Dpto. 201 - Cercado Lima</t>
        </is>
      </c>
      <c r="AL128" t="n">
        <v>991810339</v>
      </c>
      <c r="AM128" t="inlineStr">
        <is>
          <t>991810339</t>
        </is>
      </c>
      <c r="AN128" t="inlineStr">
        <is>
          <t>dlinaressuarez@gmail.com</t>
        </is>
      </c>
      <c r="AO128" t="inlineStr">
        <is>
          <t>LIMA</t>
        </is>
      </c>
      <c r="AP128" t="inlineStr">
        <is>
          <t>CERCADO DE LIMA</t>
        </is>
      </c>
      <c r="AQ128" s="75" t="n">
        <v>45829</v>
      </c>
      <c r="AR128" s="75" t="n">
        <v>45829</v>
      </c>
      <c r="AS128" t="inlineStr">
        <is>
          <t>SEPARACION</t>
        </is>
      </c>
      <c r="AT128" t="n">
        <v>1</v>
      </c>
      <c r="AU128" t="n">
        <v>3000</v>
      </c>
      <c r="AV128" t="n">
        <v>0</v>
      </c>
      <c r="AW128" t="n">
        <v>0</v>
      </c>
      <c r="AX128" s="39" t="n">
        <v>3000</v>
      </c>
      <c r="AY128" s="39" t="n">
        <v>3000</v>
      </c>
      <c r="AZ128" s="39" t="n">
        <v>0</v>
      </c>
      <c r="BA128" t="n">
        <v>0</v>
      </c>
      <c r="BB128" t="inlineStr">
        <is>
          <t>Ahorro</t>
        </is>
      </c>
      <c r="BC128" t="inlineStr">
        <is>
          <t>Scotiabank Perú</t>
        </is>
      </c>
      <c r="BD128" t="inlineStr">
        <is>
          <t>000-2768484</t>
        </is>
      </c>
      <c r="BE128" t="inlineStr">
        <is>
          <t>TRANSFERENCIA BANCARIA</t>
        </is>
      </c>
      <c r="BG128" t="inlineStr">
        <is>
          <t>00002657000000000</t>
        </is>
      </c>
      <c r="BH128" t="inlineStr">
        <is>
          <t>No</t>
        </is>
      </c>
      <c r="BJ128" t="n">
        <v>4</v>
      </c>
      <c r="BK128" t="inlineStr">
        <is>
          <t>CANCELADO</t>
        </is>
      </c>
      <c r="BV128" t="inlineStr">
        <is>
          <t>Si</t>
        </is>
      </c>
      <c r="BW128" s="76" t="n">
        <v>45880.51319444444</v>
      </c>
      <c r="BX128" t="inlineStr">
        <is>
          <t>Kenny Salazar S</t>
        </is>
      </c>
      <c r="BZ128" t="n">
        <v>44</v>
      </c>
      <c r="CA128" t="inlineStr">
        <is>
          <t>03/06/2026 08:53</t>
        </is>
      </c>
      <c r="CB128" t="n">
        <v>0</v>
      </c>
      <c r="CF128" t="inlineStr">
        <is>
          <t>Cobranzas_2025.csv</t>
        </is>
      </c>
      <c r="CG128" t="n">
        <v>2025</v>
      </c>
      <c r="CH128" t="inlineStr">
        <is>
          <t>01/01/2024</t>
        </is>
      </c>
      <c r="CI128" t="inlineStr">
        <is>
          <t>24/08/2031</t>
        </is>
      </c>
    </row>
    <row r="129">
      <c r="A129" t="inlineStr">
        <is>
          <t>RESIDENCIAL PRADA</t>
        </is>
      </c>
      <c r="B129" t="inlineStr">
        <is>
          <t>Etapa 1</t>
        </is>
      </c>
      <c r="C129" t="inlineStr">
        <is>
          <t>Edificio</t>
        </is>
      </c>
      <c r="D129" t="inlineStr">
        <is>
          <t>A</t>
        </is>
      </c>
      <c r="E129" t="inlineStr">
        <is>
          <t>Departamento</t>
        </is>
      </c>
      <c r="F129" t="inlineStr">
        <is>
          <t>801</t>
        </is>
      </c>
      <c r="G129" t="n">
        <v>84</v>
      </c>
      <c r="H129" t="n">
        <v>0</v>
      </c>
      <c r="I129" s="39" t="n">
        <v>630000</v>
      </c>
      <c r="J129" s="39" t="n">
        <v>630000</v>
      </c>
      <c r="Q129" s="39" t="n"/>
      <c r="R129" s="39" t="n"/>
      <c r="Y129" s="39" t="n"/>
      <c r="Z129" s="39" t="n"/>
      <c r="AG129" s="39" t="n"/>
      <c r="AH129" s="39" t="n"/>
      <c r="AI129" t="inlineStr">
        <is>
          <t>Denisse Estela Linares Suarez</t>
        </is>
      </c>
      <c r="AJ129" t="inlineStr">
        <is>
          <t>44457800</t>
        </is>
      </c>
      <c r="AK129" t="inlineStr">
        <is>
          <t>Jr. Zorritos 1399 – Block 37 Dpto. 201 - Cercado Lima</t>
        </is>
      </c>
      <c r="AL129" t="n">
        <v>991810339</v>
      </c>
      <c r="AM129" t="inlineStr">
        <is>
          <t>991810339</t>
        </is>
      </c>
      <c r="AN129" t="inlineStr">
        <is>
          <t>dlinaressuarez@gmail.com</t>
        </is>
      </c>
      <c r="AO129" t="inlineStr">
        <is>
          <t>LIMA</t>
        </is>
      </c>
      <c r="AP129" t="inlineStr">
        <is>
          <t>CERCADO DE LIMA</t>
        </is>
      </c>
      <c r="AQ129" s="75" t="n">
        <v>45880</v>
      </c>
      <c r="AR129" s="75" t="n">
        <v>45880</v>
      </c>
      <c r="AS129" t="inlineStr">
        <is>
          <t>CUOTA INICIAL</t>
        </is>
      </c>
      <c r="AT129" t="n">
        <v>1</v>
      </c>
      <c r="AU129" t="n">
        <v>50000</v>
      </c>
      <c r="AV129" t="n">
        <v>0</v>
      </c>
      <c r="AW129" t="n">
        <v>0</v>
      </c>
      <c r="AX129" s="39" t="n">
        <v>50000</v>
      </c>
      <c r="AY129" s="39" t="n">
        <v>50000</v>
      </c>
      <c r="AZ129" s="39" t="n">
        <v>0</v>
      </c>
      <c r="BA129" t="n">
        <v>0</v>
      </c>
      <c r="BB129" t="inlineStr">
        <is>
          <t>Ahorro</t>
        </is>
      </c>
      <c r="BC129" t="inlineStr">
        <is>
          <t>Scotiabank Perú</t>
        </is>
      </c>
      <c r="BD129" t="inlineStr">
        <is>
          <t>000-2768484</t>
        </is>
      </c>
      <c r="BE129" t="inlineStr">
        <is>
          <t>TRANSFERENCIA BANCARIA</t>
        </is>
      </c>
      <c r="BF129" t="inlineStr">
        <is>
          <t>44457800</t>
        </is>
      </c>
      <c r="BG129" t="inlineStr">
        <is>
          <t>6300922660</t>
        </is>
      </c>
      <c r="BH129" t="inlineStr">
        <is>
          <t>No</t>
        </is>
      </c>
      <c r="BI129" t="inlineStr">
        <is>
          <t>NO PRECISA</t>
        </is>
      </c>
      <c r="BJ129" t="n">
        <v>4</v>
      </c>
      <c r="BK129" t="inlineStr">
        <is>
          <t>CANCELADO</t>
        </is>
      </c>
      <c r="BV129" t="inlineStr">
        <is>
          <t>Si</t>
        </is>
      </c>
      <c r="BW129" s="76" t="n">
        <v>45880.51319444444</v>
      </c>
      <c r="BX129" t="inlineStr">
        <is>
          <t>Kenny Salazar S</t>
        </is>
      </c>
      <c r="BZ129" t="n">
        <v>44</v>
      </c>
      <c r="CA129" t="inlineStr">
        <is>
          <t>05/06/2026 12:05</t>
        </is>
      </c>
      <c r="CB129" t="n">
        <v>0</v>
      </c>
      <c r="CF129" t="inlineStr">
        <is>
          <t>Cobranzas_2025.csv</t>
        </is>
      </c>
      <c r="CG129" t="n">
        <v>2025</v>
      </c>
      <c r="CH129" t="inlineStr">
        <is>
          <t>01/01/2024</t>
        </is>
      </c>
      <c r="CI129" t="inlineStr">
        <is>
          <t>24/08/2031</t>
        </is>
      </c>
    </row>
    <row r="130">
      <c r="A130" t="inlineStr">
        <is>
          <t>RESIDENCIAL PRADA</t>
        </is>
      </c>
      <c r="B130" t="inlineStr">
        <is>
          <t>Etapa 1</t>
        </is>
      </c>
      <c r="C130" t="inlineStr">
        <is>
          <t>Edificio</t>
        </is>
      </c>
      <c r="D130" t="inlineStr">
        <is>
          <t>A</t>
        </is>
      </c>
      <c r="E130" t="inlineStr">
        <is>
          <t>Departamento</t>
        </is>
      </c>
      <c r="F130" t="inlineStr">
        <is>
          <t>801</t>
        </is>
      </c>
      <c r="G130" t="n">
        <v>84</v>
      </c>
      <c r="H130" t="n">
        <v>0</v>
      </c>
      <c r="I130" s="39" t="n">
        <v>630000</v>
      </c>
      <c r="J130" s="39" t="n">
        <v>630000</v>
      </c>
      <c r="Q130" s="39" t="n"/>
      <c r="R130" s="39" t="n"/>
      <c r="Y130" s="39" t="n"/>
      <c r="Z130" s="39" t="n"/>
      <c r="AG130" s="39" t="n"/>
      <c r="AH130" s="39" t="n"/>
      <c r="AI130" t="inlineStr">
        <is>
          <t>Denisse Estela Linares Suarez</t>
        </is>
      </c>
      <c r="AJ130" t="inlineStr">
        <is>
          <t>44457800</t>
        </is>
      </c>
      <c r="AK130" t="inlineStr">
        <is>
          <t>Jr. Zorritos 1399 – Block 37 Dpto. 201 - Cercado Lima</t>
        </is>
      </c>
      <c r="AL130" t="n">
        <v>991810339</v>
      </c>
      <c r="AM130" t="inlineStr">
        <is>
          <t>991810339</t>
        </is>
      </c>
      <c r="AN130" t="inlineStr">
        <is>
          <t>dlinaressuarez@gmail.com</t>
        </is>
      </c>
      <c r="AO130" t="inlineStr">
        <is>
          <t>LIMA</t>
        </is>
      </c>
      <c r="AP130" t="inlineStr">
        <is>
          <t>CERCADO DE LIMA</t>
        </is>
      </c>
      <c r="AQ130" s="75" t="n">
        <v>45960</v>
      </c>
      <c r="AR130" s="75" t="n">
        <v>45961</v>
      </c>
      <c r="AS130" t="inlineStr">
        <is>
          <t>CUOTA INICIAL</t>
        </is>
      </c>
      <c r="AT130" t="n">
        <v>2</v>
      </c>
      <c r="AU130" t="n">
        <v>0</v>
      </c>
      <c r="AV130" t="n">
        <v>0</v>
      </c>
      <c r="AW130" t="n">
        <v>0</v>
      </c>
      <c r="AX130" s="39" t="n">
        <v>53000</v>
      </c>
      <c r="AY130" s="39" t="n">
        <v>50000</v>
      </c>
      <c r="AZ130" s="39" t="n">
        <v>0</v>
      </c>
      <c r="BA130" t="n">
        <v>0</v>
      </c>
      <c r="BB130" t="inlineStr">
        <is>
          <t>Ahorro</t>
        </is>
      </c>
      <c r="BC130" t="inlineStr">
        <is>
          <t>Scotiabank Perú</t>
        </is>
      </c>
      <c r="BD130" t="inlineStr">
        <is>
          <t>000-2768484</t>
        </is>
      </c>
      <c r="BE130" t="inlineStr">
        <is>
          <t>TRANSFERENCIA BANCARIA</t>
        </is>
      </c>
      <c r="BF130" t="inlineStr">
        <is>
          <t>44457800</t>
        </is>
      </c>
      <c r="BG130" t="inlineStr">
        <is>
          <t>6300922660</t>
        </is>
      </c>
      <c r="BH130" t="inlineStr">
        <is>
          <t>No</t>
        </is>
      </c>
      <c r="BI130" t="inlineStr">
        <is>
          <t>NO PRECISA</t>
        </is>
      </c>
      <c r="BJ130" t="n">
        <v>4</v>
      </c>
      <c r="BK130" t="inlineStr">
        <is>
          <t>CANCELADO</t>
        </is>
      </c>
      <c r="BV130" t="inlineStr">
        <is>
          <t>Si</t>
        </is>
      </c>
      <c r="BW130" s="76" t="n">
        <v>45880.51319444444</v>
      </c>
      <c r="BX130" t="inlineStr">
        <is>
          <t>Kenny Salazar S</t>
        </is>
      </c>
      <c r="BZ130" t="n">
        <v>44</v>
      </c>
      <c r="CA130" t="inlineStr">
        <is>
          <t>05/06/2026 12:10</t>
        </is>
      </c>
      <c r="CB130" t="n">
        <v>0</v>
      </c>
      <c r="CF130" t="inlineStr">
        <is>
          <t>Cobranzas_2025.csv</t>
        </is>
      </c>
      <c r="CG130" t="n">
        <v>2025</v>
      </c>
      <c r="CH130" t="inlineStr">
        <is>
          <t>01/01/2024</t>
        </is>
      </c>
      <c r="CI130" t="inlineStr">
        <is>
          <t>24/08/2031</t>
        </is>
      </c>
    </row>
    <row r="131">
      <c r="A131" t="inlineStr">
        <is>
          <t>RESIDENCIAL PRADA</t>
        </is>
      </c>
      <c r="B131" t="inlineStr">
        <is>
          <t>Etapa 1</t>
        </is>
      </c>
      <c r="C131" t="inlineStr">
        <is>
          <t>Edificio</t>
        </is>
      </c>
      <c r="D131" t="inlineStr">
        <is>
          <t>A</t>
        </is>
      </c>
      <c r="E131" t="inlineStr">
        <is>
          <t>Departamento</t>
        </is>
      </c>
      <c r="F131" t="inlineStr">
        <is>
          <t>801</t>
        </is>
      </c>
      <c r="G131" t="n">
        <v>84</v>
      </c>
      <c r="H131" t="n">
        <v>0</v>
      </c>
      <c r="I131" s="39" t="n">
        <v>630000</v>
      </c>
      <c r="J131" s="39" t="n">
        <v>630000</v>
      </c>
      <c r="Q131" s="39" t="n"/>
      <c r="R131" s="39" t="n"/>
      <c r="Y131" s="39" t="n"/>
      <c r="Z131" s="39" t="n"/>
      <c r="AG131" s="39" t="n"/>
      <c r="AH131" s="39" t="n"/>
      <c r="AI131" t="inlineStr">
        <is>
          <t>Denisse Estela Linares Suarez</t>
        </is>
      </c>
      <c r="AJ131" t="inlineStr">
        <is>
          <t>44457800</t>
        </is>
      </c>
      <c r="AK131" t="inlineStr">
        <is>
          <t>Jr. Zorritos 1399 – Block 37 Dpto. 201 - Cercado Lima</t>
        </is>
      </c>
      <c r="AL131" t="n">
        <v>991810339</v>
      </c>
      <c r="AM131" t="inlineStr">
        <is>
          <t>991810339</t>
        </is>
      </c>
      <c r="AN131" t="inlineStr">
        <is>
          <t>dlinaressuarez@gmail.com</t>
        </is>
      </c>
      <c r="AO131" t="inlineStr">
        <is>
          <t>LIMA</t>
        </is>
      </c>
      <c r="AP131" t="inlineStr">
        <is>
          <t>CERCADO DE LIMA</t>
        </is>
      </c>
      <c r="AQ131" s="75" t="n">
        <v>45960</v>
      </c>
      <c r="AR131" s="75" t="n">
        <v>46022</v>
      </c>
      <c r="AS131" t="inlineStr">
        <is>
          <t>CUOTA INICIAL</t>
        </is>
      </c>
      <c r="AT131" t="n">
        <v>2</v>
      </c>
      <c r="AU131" t="n">
        <v>53000</v>
      </c>
      <c r="AV131" t="n">
        <v>0</v>
      </c>
      <c r="AW131" t="n">
        <v>0</v>
      </c>
      <c r="AX131" s="39" t="n">
        <v>0</v>
      </c>
      <c r="AY131" s="39" t="n">
        <v>3000</v>
      </c>
      <c r="AZ131" s="39" t="n">
        <v>0</v>
      </c>
      <c r="BA131" t="n">
        <v>0</v>
      </c>
      <c r="BB131" t="inlineStr">
        <is>
          <t>Ahorro</t>
        </is>
      </c>
      <c r="BC131" t="inlineStr">
        <is>
          <t>Scotiabank Perú</t>
        </is>
      </c>
      <c r="BD131" t="inlineStr">
        <is>
          <t>000-2768484</t>
        </is>
      </c>
      <c r="BE131" t="inlineStr">
        <is>
          <t>TRANSFERENCIA BANCARIA</t>
        </is>
      </c>
      <c r="BG131" t="inlineStr">
        <is>
          <t>7844655528281</t>
        </is>
      </c>
      <c r="BH131" t="inlineStr">
        <is>
          <t>No</t>
        </is>
      </c>
      <c r="BJ131" t="n">
        <v>4</v>
      </c>
      <c r="BK131" t="inlineStr">
        <is>
          <t>CANCELADO</t>
        </is>
      </c>
      <c r="BV131" t="inlineStr">
        <is>
          <t>Si</t>
        </is>
      </c>
      <c r="BW131" s="76" t="n">
        <v>45880.51319444444</v>
      </c>
      <c r="BX131" t="inlineStr">
        <is>
          <t>Kenny Salazar S</t>
        </is>
      </c>
      <c r="BZ131" t="n">
        <v>44</v>
      </c>
      <c r="CA131" t="inlineStr">
        <is>
          <t>07/07/2026 12:17</t>
        </is>
      </c>
      <c r="CB131" t="n">
        <v>0</v>
      </c>
      <c r="CF131" t="inlineStr">
        <is>
          <t>Cobranzas_2025.csv</t>
        </is>
      </c>
      <c r="CG131" t="n">
        <v>2025</v>
      </c>
      <c r="CH131" t="inlineStr">
        <is>
          <t>01/01/2024</t>
        </is>
      </c>
      <c r="CI131" t="inlineStr">
        <is>
          <t>24/08/2031</t>
        </is>
      </c>
    </row>
    <row r="132">
      <c r="A132" t="inlineStr">
        <is>
          <t>RESIDENCIAL PRADA</t>
        </is>
      </c>
      <c r="B132" t="inlineStr">
        <is>
          <t>Etapa 1</t>
        </is>
      </c>
      <c r="C132" t="inlineStr">
        <is>
          <t>Edificio</t>
        </is>
      </c>
      <c r="D132" t="inlineStr">
        <is>
          <t>A</t>
        </is>
      </c>
      <c r="E132" t="inlineStr">
        <is>
          <t>Departamento</t>
        </is>
      </c>
      <c r="F132" t="inlineStr">
        <is>
          <t>801</t>
        </is>
      </c>
      <c r="G132" t="n">
        <v>84</v>
      </c>
      <c r="H132" t="n">
        <v>0</v>
      </c>
      <c r="I132" s="39" t="n">
        <v>630000</v>
      </c>
      <c r="J132" s="39" t="n">
        <v>630000</v>
      </c>
      <c r="Q132" s="39" t="n"/>
      <c r="R132" s="39" t="n"/>
      <c r="Y132" s="39" t="n"/>
      <c r="Z132" s="39" t="n"/>
      <c r="AG132" s="39" t="n"/>
      <c r="AH132" s="39" t="n"/>
      <c r="AI132" t="inlineStr">
        <is>
          <t>Denisse Estela Linares Suarez</t>
        </is>
      </c>
      <c r="AJ132" t="inlineStr">
        <is>
          <t>44457800</t>
        </is>
      </c>
      <c r="AK132" t="inlineStr">
        <is>
          <t>Jr. Zorritos 1399 – Block 37 Dpto. 201 - Cercado Lima</t>
        </is>
      </c>
      <c r="AL132" t="n">
        <v>991810339</v>
      </c>
      <c r="AM132" t="inlineStr">
        <is>
          <t>991810339</t>
        </is>
      </c>
      <c r="AN132" t="inlineStr">
        <is>
          <t>dlinaressuarez@gmail.com</t>
        </is>
      </c>
      <c r="AO132" t="inlineStr">
        <is>
          <t>LIMA</t>
        </is>
      </c>
      <c r="AP132" t="inlineStr">
        <is>
          <t>CERCADO DE LIMA</t>
        </is>
      </c>
      <c r="AQ132" s="75" t="n">
        <v>45960</v>
      </c>
      <c r="AR132" s="75" t="n">
        <v>46022</v>
      </c>
      <c r="AS132" t="inlineStr">
        <is>
          <t>CUOTA INICIAL</t>
        </is>
      </c>
      <c r="AT132" t="n">
        <v>3</v>
      </c>
      <c r="AU132" t="n">
        <v>20000</v>
      </c>
      <c r="AV132" t="n">
        <v>0</v>
      </c>
      <c r="AW132" t="n">
        <v>0</v>
      </c>
      <c r="AX132" s="39" t="n">
        <v>20000</v>
      </c>
      <c r="AY132" s="39" t="n">
        <v>20000</v>
      </c>
      <c r="AZ132" s="39" t="n">
        <v>0</v>
      </c>
      <c r="BA132" t="n">
        <v>0</v>
      </c>
      <c r="BB132" t="inlineStr">
        <is>
          <t>Ahorro</t>
        </is>
      </c>
      <c r="BC132" t="inlineStr">
        <is>
          <t>Scotiabank Perú</t>
        </is>
      </c>
      <c r="BD132" t="inlineStr">
        <is>
          <t>000-2768484</t>
        </is>
      </c>
      <c r="BE132" t="inlineStr">
        <is>
          <t>TRANSFERENCIA BANCARIA</t>
        </is>
      </c>
      <c r="BG132" t="inlineStr">
        <is>
          <t>7844655528281</t>
        </is>
      </c>
      <c r="BH132" t="inlineStr">
        <is>
          <t>No</t>
        </is>
      </c>
      <c r="BJ132" t="n">
        <v>4</v>
      </c>
      <c r="BK132" t="inlineStr">
        <is>
          <t>CANCELADO</t>
        </is>
      </c>
      <c r="BV132" t="inlineStr">
        <is>
          <t>Si</t>
        </is>
      </c>
      <c r="BW132" s="76" t="n">
        <v>45880.51319444444</v>
      </c>
      <c r="BX132" t="inlineStr">
        <is>
          <t>Kenny Salazar S</t>
        </is>
      </c>
      <c r="BZ132" t="n">
        <v>44</v>
      </c>
      <c r="CA132" t="inlineStr">
        <is>
          <t>07/07/2026 12:17</t>
        </is>
      </c>
      <c r="CB132" t="n">
        <v>0</v>
      </c>
      <c r="CF132" t="inlineStr">
        <is>
          <t>Cobranzas_2025.csv</t>
        </is>
      </c>
      <c r="CG132" t="n">
        <v>2025</v>
      </c>
      <c r="CH132" t="inlineStr">
        <is>
          <t>01/01/2024</t>
        </is>
      </c>
      <c r="CI132" t="inlineStr">
        <is>
          <t>24/08/2031</t>
        </is>
      </c>
    </row>
    <row r="133">
      <c r="A133" t="inlineStr">
        <is>
          <t>RESIDENCIAL BEYOND</t>
        </is>
      </c>
      <c r="B133" t="inlineStr">
        <is>
          <t>Etapa 1</t>
        </is>
      </c>
      <c r="C133" t="inlineStr">
        <is>
          <t>Edificio</t>
        </is>
      </c>
      <c r="D133" t="inlineStr">
        <is>
          <t>A</t>
        </is>
      </c>
      <c r="E133" t="inlineStr">
        <is>
          <t>Departamento</t>
        </is>
      </c>
      <c r="F133" t="inlineStr">
        <is>
          <t>701</t>
        </is>
      </c>
      <c r="G133" t="n">
        <v>70</v>
      </c>
      <c r="H133" t="n">
        <v>0</v>
      </c>
      <c r="I133" s="39" t="n">
        <v>475000</v>
      </c>
      <c r="J133" s="39" t="n">
        <v>475000</v>
      </c>
      <c r="K133" t="inlineStr">
        <is>
          <t>Edificio</t>
        </is>
      </c>
      <c r="L133" t="inlineStr">
        <is>
          <t>A</t>
        </is>
      </c>
      <c r="M133" t="inlineStr">
        <is>
          <t>Estacionamiento</t>
        </is>
      </c>
      <c r="N133" t="inlineStr">
        <is>
          <t>E 17</t>
        </is>
      </c>
      <c r="O133" t="n">
        <v>12.5</v>
      </c>
      <c r="P133" t="n">
        <v>0</v>
      </c>
      <c r="Q133" s="39" t="n">
        <v>46800</v>
      </c>
      <c r="R133" s="39" t="n">
        <v>46800</v>
      </c>
      <c r="Y133" s="39" t="n"/>
      <c r="Z133" s="39" t="n"/>
      <c r="AG133" s="39" t="n"/>
      <c r="AH133" s="39" t="n"/>
      <c r="AI133" t="inlineStr">
        <is>
          <t>Dolores Lissett Castillo Diaz</t>
        </is>
      </c>
      <c r="AJ133" t="inlineStr">
        <is>
          <t>43780263</t>
        </is>
      </c>
      <c r="AK133" t="inlineStr">
        <is>
          <t xml:space="preserve"> Sargento Lores 950      </t>
        </is>
      </c>
      <c r="AL133" t="n">
        <v>0</v>
      </c>
      <c r="AM133" t="inlineStr">
        <is>
          <t>920487874</t>
        </is>
      </c>
      <c r="AN133" t="inlineStr">
        <is>
          <t>licady2486@gmail.com</t>
        </is>
      </c>
      <c r="AO133" t="inlineStr">
        <is>
          <t>MAYNAS</t>
        </is>
      </c>
      <c r="AP133" t="inlineStr">
        <is>
          <t>IQUITOS</t>
        </is>
      </c>
      <c r="AQ133" s="75" t="n">
        <v>45997</v>
      </c>
      <c r="AR133" s="75" t="n">
        <v>45997</v>
      </c>
      <c r="AS133" t="inlineStr">
        <is>
          <t>SEPARACION</t>
        </is>
      </c>
      <c r="AT133" t="n">
        <v>1</v>
      </c>
      <c r="AU133" t="n">
        <v>3000</v>
      </c>
      <c r="AV133" t="n">
        <v>0</v>
      </c>
      <c r="AW133" t="n">
        <v>0</v>
      </c>
      <c r="AX133" s="39" t="n">
        <v>3000</v>
      </c>
      <c r="AY133" s="39" t="n">
        <v>3000</v>
      </c>
      <c r="AZ133" s="39" t="n">
        <v>0</v>
      </c>
      <c r="BA133" t="n">
        <v>0</v>
      </c>
      <c r="BB133" t="inlineStr">
        <is>
          <t>Ahorro</t>
        </is>
      </c>
      <c r="BC133" t="inlineStr">
        <is>
          <t>Banco de Credito del Perú</t>
        </is>
      </c>
      <c r="BD133" t="inlineStr">
        <is>
          <t>194-7325779-0-65</t>
        </is>
      </c>
      <c r="BE133" t="inlineStr">
        <is>
          <t>TRANSFERENCIA BANCARIA</t>
        </is>
      </c>
      <c r="BG133" t="inlineStr">
        <is>
          <t>3623</t>
        </is>
      </c>
      <c r="BH133" t="inlineStr">
        <is>
          <t>No</t>
        </is>
      </c>
      <c r="BJ133" t="n">
        <v>4</v>
      </c>
      <c r="BK133" t="inlineStr">
        <is>
          <t>CANCELADO</t>
        </is>
      </c>
      <c r="BV133" t="inlineStr">
        <is>
          <t>Si</t>
        </is>
      </c>
      <c r="BW133" s="76" t="n">
        <v>46003.40833333333</v>
      </c>
      <c r="BX133" t="inlineStr">
        <is>
          <t>Magaly Guevara Perez</t>
        </is>
      </c>
      <c r="BZ133" t="n">
        <v>21</v>
      </c>
      <c r="CA133" t="inlineStr">
        <is>
          <t>02/05/2026 12:21</t>
        </is>
      </c>
      <c r="CB133" t="n">
        <v>0</v>
      </c>
      <c r="CF133" t="inlineStr">
        <is>
          <t>Cobranzas_2025.csv</t>
        </is>
      </c>
      <c r="CG133" t="n">
        <v>2025</v>
      </c>
      <c r="CH133" t="inlineStr">
        <is>
          <t>01/01/2024</t>
        </is>
      </c>
      <c r="CI133" t="inlineStr">
        <is>
          <t>24/08/2031</t>
        </is>
      </c>
    </row>
    <row r="134">
      <c r="A134" t="inlineStr">
        <is>
          <t>RESIDENCIAL PRADA</t>
        </is>
      </c>
      <c r="B134" t="inlineStr">
        <is>
          <t>Etapa 1</t>
        </is>
      </c>
      <c r="C134" t="inlineStr">
        <is>
          <t>Edificio</t>
        </is>
      </c>
      <c r="D134" t="inlineStr">
        <is>
          <t>A</t>
        </is>
      </c>
      <c r="E134" t="inlineStr">
        <is>
          <t>Departamento</t>
        </is>
      </c>
      <c r="F134" t="inlineStr">
        <is>
          <t>102</t>
        </is>
      </c>
      <c r="G134" t="n">
        <v>81.79000000000001</v>
      </c>
      <c r="H134" t="n">
        <v>19.69</v>
      </c>
      <c r="I134" s="39" t="n">
        <v>679000</v>
      </c>
      <c r="J134" s="39" t="n">
        <v>679000</v>
      </c>
      <c r="Q134" s="39" t="n"/>
      <c r="R134" s="39" t="n"/>
      <c r="Y134" s="39" t="n"/>
      <c r="Z134" s="39" t="n"/>
      <c r="AG134" s="39" t="n"/>
      <c r="AH134" s="39" t="n"/>
      <c r="AI134" t="inlineStr">
        <is>
          <t>Edwin Modigliani Efrai Suclla Flores</t>
        </is>
      </c>
      <c r="AJ134" t="inlineStr">
        <is>
          <t>08062531</t>
        </is>
      </c>
      <c r="AK134" t="inlineStr">
        <is>
          <t xml:space="preserve">Jr. Monitor Huascar Norte N° 551 Urb. Ventura Rossi  </t>
        </is>
      </c>
      <c r="AL134" t="n">
        <v>997463109</v>
      </c>
      <c r="AM134" t="inlineStr">
        <is>
          <t>997463109</t>
        </is>
      </c>
      <c r="AN134" t="inlineStr">
        <is>
          <t>efrainchbxpar@gmail.com</t>
        </is>
      </c>
      <c r="AO134" t="inlineStr">
        <is>
          <t>LIMA</t>
        </is>
      </c>
      <c r="AP134" t="inlineStr">
        <is>
          <t>RIMAC</t>
        </is>
      </c>
      <c r="AQ134" s="75" t="n">
        <v>45794</v>
      </c>
      <c r="AR134" s="75" t="n">
        <v>45794</v>
      </c>
      <c r="AS134" t="inlineStr">
        <is>
          <t>SEPARACION</t>
        </is>
      </c>
      <c r="AT134" t="n">
        <v>1</v>
      </c>
      <c r="AU134" t="n">
        <v>3000</v>
      </c>
      <c r="AV134" t="n">
        <v>0</v>
      </c>
      <c r="AW134" t="n">
        <v>0</v>
      </c>
      <c r="AX134" s="39" t="n">
        <v>3000</v>
      </c>
      <c r="AY134" s="39" t="n">
        <v>3000</v>
      </c>
      <c r="AZ134" s="39" t="n">
        <v>0</v>
      </c>
      <c r="BA134" t="n">
        <v>0</v>
      </c>
      <c r="BB134" t="inlineStr">
        <is>
          <t>Crédito Hipotecario</t>
        </is>
      </c>
      <c r="BC134" t="inlineStr">
        <is>
          <t>Scotiabank Perú</t>
        </is>
      </c>
      <c r="BD134" t="inlineStr">
        <is>
          <t>000-2768484</t>
        </is>
      </c>
      <c r="BE134" t="inlineStr">
        <is>
          <t>TRANSFERENCIA BANCARIA</t>
        </is>
      </c>
      <c r="BF134" t="inlineStr">
        <is>
          <t>08062531</t>
        </is>
      </c>
      <c r="BG134" t="inlineStr">
        <is>
          <t>00005340000000000</t>
        </is>
      </c>
      <c r="BH134" t="inlineStr">
        <is>
          <t>No</t>
        </is>
      </c>
      <c r="BI134" t="inlineStr">
        <is>
          <t>NO PRECISA</t>
        </is>
      </c>
      <c r="BJ134" t="n">
        <v>4</v>
      </c>
      <c r="BK134" t="inlineStr">
        <is>
          <t>CANCELADO</t>
        </is>
      </c>
      <c r="BV134" t="inlineStr">
        <is>
          <t>Si</t>
        </is>
      </c>
      <c r="BW134" s="76" t="n">
        <v>45811.65069444444</v>
      </c>
      <c r="BX134" t="inlineStr">
        <is>
          <t>Kenny Salazar S</t>
        </is>
      </c>
      <c r="BZ134" t="n">
        <v>26</v>
      </c>
      <c r="CA134" t="inlineStr">
        <is>
          <t>02/06/2026 12:17</t>
        </is>
      </c>
      <c r="CB134" t="n">
        <v>0</v>
      </c>
      <c r="CF134" t="inlineStr">
        <is>
          <t>Cobranzas_2025.csv</t>
        </is>
      </c>
      <c r="CG134" t="n">
        <v>2025</v>
      </c>
      <c r="CH134" t="inlineStr">
        <is>
          <t>01/01/2024</t>
        </is>
      </c>
      <c r="CI134" t="inlineStr">
        <is>
          <t>24/08/2031</t>
        </is>
      </c>
    </row>
    <row r="135">
      <c r="A135" t="inlineStr">
        <is>
          <t>RESIDENCIAL PRADA</t>
        </is>
      </c>
      <c r="B135" t="inlineStr">
        <is>
          <t>Etapa 1</t>
        </is>
      </c>
      <c r="C135" t="inlineStr">
        <is>
          <t>Edificio</t>
        </is>
      </c>
      <c r="D135" t="inlineStr">
        <is>
          <t>A</t>
        </is>
      </c>
      <c r="E135" t="inlineStr">
        <is>
          <t>Departamento</t>
        </is>
      </c>
      <c r="F135" t="inlineStr">
        <is>
          <t>102</t>
        </is>
      </c>
      <c r="G135" t="n">
        <v>81.79000000000001</v>
      </c>
      <c r="H135" t="n">
        <v>19.69</v>
      </c>
      <c r="I135" s="39" t="n">
        <v>679000</v>
      </c>
      <c r="J135" s="39" t="n">
        <v>679000</v>
      </c>
      <c r="Q135" s="39" t="n"/>
      <c r="R135" s="39" t="n"/>
      <c r="Y135" s="39" t="n"/>
      <c r="Z135" s="39" t="n"/>
      <c r="AG135" s="39" t="n"/>
      <c r="AH135" s="39" t="n"/>
      <c r="AI135" t="inlineStr">
        <is>
          <t>Edwin Modigliani Efrai Suclla Flores</t>
        </is>
      </c>
      <c r="AJ135" t="inlineStr">
        <is>
          <t>08062531</t>
        </is>
      </c>
      <c r="AK135" t="inlineStr">
        <is>
          <t xml:space="preserve">Jr. Monitor Huascar Norte N° 551 Urb. Ventura Rossi  </t>
        </is>
      </c>
      <c r="AL135" t="n">
        <v>997463109</v>
      </c>
      <c r="AM135" t="inlineStr">
        <is>
          <t>997463109</t>
        </is>
      </c>
      <c r="AN135" t="inlineStr">
        <is>
          <t>efrainchbxpar@gmail.com</t>
        </is>
      </c>
      <c r="AO135" t="inlineStr">
        <is>
          <t>LIMA</t>
        </is>
      </c>
      <c r="AP135" t="inlineStr">
        <is>
          <t>RIMAC</t>
        </is>
      </c>
      <c r="AQ135" s="75" t="n">
        <v>45811</v>
      </c>
      <c r="AR135" s="75" t="n">
        <v>45811</v>
      </c>
      <c r="AS135" t="inlineStr">
        <is>
          <t>CUOTA INICIAL</t>
        </is>
      </c>
      <c r="AT135" t="n">
        <v>1</v>
      </c>
      <c r="AU135" t="n">
        <v>150000</v>
      </c>
      <c r="AV135" t="n">
        <v>0</v>
      </c>
      <c r="AW135" t="n">
        <v>0</v>
      </c>
      <c r="AX135" s="39" t="n">
        <v>150000</v>
      </c>
      <c r="AY135" s="39" t="n">
        <v>150000</v>
      </c>
      <c r="AZ135" s="39" t="n">
        <v>0</v>
      </c>
      <c r="BA135" t="n">
        <v>0</v>
      </c>
      <c r="BB135" t="inlineStr">
        <is>
          <t>Crédito Hipotecario</t>
        </is>
      </c>
      <c r="BC135" t="inlineStr">
        <is>
          <t>Scotiabank Perú</t>
        </is>
      </c>
      <c r="BD135" t="inlineStr">
        <is>
          <t>000-2768484</t>
        </is>
      </c>
      <c r="BE135" t="inlineStr">
        <is>
          <t>TRANSFERENCIA BANCARIA</t>
        </is>
      </c>
      <c r="BF135" t="inlineStr">
        <is>
          <t>08062531</t>
        </is>
      </c>
      <c r="BG135" t="inlineStr">
        <is>
          <t>0500010063</t>
        </is>
      </c>
      <c r="BH135" t="inlineStr">
        <is>
          <t>No</t>
        </is>
      </c>
      <c r="BI135" t="inlineStr">
        <is>
          <t>NO PRECISA</t>
        </is>
      </c>
      <c r="BJ135" t="n">
        <v>4</v>
      </c>
      <c r="BK135" t="inlineStr">
        <is>
          <t>CANCELADO</t>
        </is>
      </c>
      <c r="BV135" t="inlineStr">
        <is>
          <t>Si</t>
        </is>
      </c>
      <c r="BW135" s="76" t="n">
        <v>45811.65069444444</v>
      </c>
      <c r="BX135" t="inlineStr">
        <is>
          <t>Kenny Salazar S</t>
        </is>
      </c>
      <c r="BZ135" t="n">
        <v>26</v>
      </c>
      <c r="CA135" t="inlineStr">
        <is>
          <t>04/06/2026 09:23</t>
        </is>
      </c>
      <c r="CB135" t="n">
        <v>0</v>
      </c>
      <c r="CF135" t="inlineStr">
        <is>
          <t>Cobranzas_2025.csv</t>
        </is>
      </c>
      <c r="CG135" t="n">
        <v>2025</v>
      </c>
      <c r="CH135" t="inlineStr">
        <is>
          <t>01/01/2024</t>
        </is>
      </c>
      <c r="CI135" t="inlineStr">
        <is>
          <t>24/08/2031</t>
        </is>
      </c>
    </row>
    <row r="136">
      <c r="A136" t="inlineStr">
        <is>
          <t>RESIDENCIAL PRADA</t>
        </is>
      </c>
      <c r="B136" t="inlineStr">
        <is>
          <t>Etapa 1</t>
        </is>
      </c>
      <c r="C136" t="inlineStr">
        <is>
          <t>Edificio</t>
        </is>
      </c>
      <c r="D136" t="inlineStr">
        <is>
          <t>A</t>
        </is>
      </c>
      <c r="E136" t="inlineStr">
        <is>
          <t>Departamento</t>
        </is>
      </c>
      <c r="F136" t="inlineStr">
        <is>
          <t>102</t>
        </is>
      </c>
      <c r="G136" t="n">
        <v>81.79000000000001</v>
      </c>
      <c r="H136" t="n">
        <v>19.69</v>
      </c>
      <c r="I136" s="39" t="n">
        <v>679000</v>
      </c>
      <c r="J136" s="39" t="n">
        <v>679000</v>
      </c>
      <c r="Q136" s="39" t="n"/>
      <c r="R136" s="39" t="n"/>
      <c r="Y136" s="39" t="n"/>
      <c r="Z136" s="39" t="n"/>
      <c r="AG136" s="39" t="n"/>
      <c r="AH136" s="39" t="n"/>
      <c r="AI136" t="inlineStr">
        <is>
          <t>Edwin Modigliani Efrai Suclla Flores</t>
        </is>
      </c>
      <c r="AJ136" t="inlineStr">
        <is>
          <t>08062531</t>
        </is>
      </c>
      <c r="AK136" t="inlineStr">
        <is>
          <t xml:space="preserve">Jr. Monitor Huascar Norte N° 551 Urb. Ventura Rossi  </t>
        </is>
      </c>
      <c r="AL136" t="n">
        <v>997463109</v>
      </c>
      <c r="AM136" t="inlineStr">
        <is>
          <t>997463109</t>
        </is>
      </c>
      <c r="AN136" t="inlineStr">
        <is>
          <t>efrainchbxpar@gmail.com</t>
        </is>
      </c>
      <c r="AO136" t="inlineStr">
        <is>
          <t>LIMA</t>
        </is>
      </c>
      <c r="AP136" t="inlineStr">
        <is>
          <t>RIMAC</t>
        </is>
      </c>
      <c r="AQ136" s="75" t="n">
        <v>45811</v>
      </c>
      <c r="AR136" s="75" t="n">
        <v>45811</v>
      </c>
      <c r="AS136" t="inlineStr">
        <is>
          <t>CUOTA INICIAL</t>
        </is>
      </c>
      <c r="AT136" t="n">
        <v>2</v>
      </c>
      <c r="AU136" t="n">
        <v>115000</v>
      </c>
      <c r="AV136" t="n">
        <v>0</v>
      </c>
      <c r="AW136" t="n">
        <v>0</v>
      </c>
      <c r="AX136" s="39" t="n">
        <v>115000</v>
      </c>
      <c r="AY136" s="39" t="n">
        <v>115000</v>
      </c>
      <c r="AZ136" s="39" t="n">
        <v>0</v>
      </c>
      <c r="BA136" t="n">
        <v>0</v>
      </c>
      <c r="BB136" t="inlineStr">
        <is>
          <t>Crédito Hipotecario</t>
        </is>
      </c>
      <c r="BC136" t="inlineStr">
        <is>
          <t>Scotiabank Perú</t>
        </is>
      </c>
      <c r="BD136" t="inlineStr">
        <is>
          <t>000-2768484</t>
        </is>
      </c>
      <c r="BE136" t="inlineStr">
        <is>
          <t>TRANSFERENCIA BANCARIA</t>
        </is>
      </c>
      <c r="BF136" t="inlineStr">
        <is>
          <t>08062531</t>
        </is>
      </c>
      <c r="BG136" t="inlineStr">
        <is>
          <t>005713000</t>
        </is>
      </c>
      <c r="BH136" t="inlineStr">
        <is>
          <t>No</t>
        </is>
      </c>
      <c r="BI136" t="inlineStr">
        <is>
          <t>NO PRECISA</t>
        </is>
      </c>
      <c r="BJ136" t="n">
        <v>4</v>
      </c>
      <c r="BK136" t="inlineStr">
        <is>
          <t>CANCELADO</t>
        </is>
      </c>
      <c r="BV136" t="inlineStr">
        <is>
          <t>Si</t>
        </is>
      </c>
      <c r="BW136" s="76" t="n">
        <v>45811.65069444444</v>
      </c>
      <c r="BX136" t="inlineStr">
        <is>
          <t>Kenny Salazar S</t>
        </is>
      </c>
      <c r="BZ136" t="n">
        <v>26</v>
      </c>
      <c r="CA136" t="inlineStr">
        <is>
          <t>04/06/2026 09:26</t>
        </is>
      </c>
      <c r="CB136" t="n">
        <v>0</v>
      </c>
      <c r="CF136" t="inlineStr">
        <is>
          <t>Cobranzas_2025.csv</t>
        </is>
      </c>
      <c r="CG136" t="n">
        <v>2025</v>
      </c>
      <c r="CH136" t="inlineStr">
        <is>
          <t>01/01/2024</t>
        </is>
      </c>
      <c r="CI136" t="inlineStr">
        <is>
          <t>24/08/2031</t>
        </is>
      </c>
    </row>
    <row r="137">
      <c r="A137" t="inlineStr">
        <is>
          <t>RESIDENCIAL PRADA</t>
        </is>
      </c>
      <c r="B137" t="inlineStr">
        <is>
          <t>Etapa 1</t>
        </is>
      </c>
      <c r="C137" t="inlineStr">
        <is>
          <t>Edificio</t>
        </is>
      </c>
      <c r="D137" t="inlineStr">
        <is>
          <t>A</t>
        </is>
      </c>
      <c r="E137" t="inlineStr">
        <is>
          <t>Departamento</t>
        </is>
      </c>
      <c r="F137" t="inlineStr">
        <is>
          <t>102</t>
        </is>
      </c>
      <c r="G137" t="n">
        <v>81.79000000000001</v>
      </c>
      <c r="H137" t="n">
        <v>19.69</v>
      </c>
      <c r="I137" s="39" t="n">
        <v>679000</v>
      </c>
      <c r="J137" s="39" t="n">
        <v>679000</v>
      </c>
      <c r="Q137" s="39" t="n"/>
      <c r="R137" s="39" t="n"/>
      <c r="Y137" s="39" t="n"/>
      <c r="Z137" s="39" t="n"/>
      <c r="AG137" s="39" t="n"/>
      <c r="AH137" s="39" t="n"/>
      <c r="AI137" t="inlineStr">
        <is>
          <t>Edwin Modigliani Efrai Suclla Flores</t>
        </is>
      </c>
      <c r="AJ137" t="inlineStr">
        <is>
          <t>08062531</t>
        </is>
      </c>
      <c r="AK137" t="inlineStr">
        <is>
          <t xml:space="preserve">Jr. Monitor Huascar Norte N° 551 Urb. Ventura Rossi  </t>
        </is>
      </c>
      <c r="AL137" t="n">
        <v>997463109</v>
      </c>
      <c r="AM137" t="inlineStr">
        <is>
          <t>997463109</t>
        </is>
      </c>
      <c r="AN137" t="inlineStr">
        <is>
          <t>efrainchbxpar@gmail.com</t>
        </is>
      </c>
      <c r="AO137" t="inlineStr">
        <is>
          <t>LIMA</t>
        </is>
      </c>
      <c r="AP137" t="inlineStr">
        <is>
          <t>RIMAC</t>
        </is>
      </c>
      <c r="AQ137" s="75" t="n">
        <v>45813</v>
      </c>
      <c r="AR137" s="75" t="n">
        <v>45813</v>
      </c>
      <c r="AS137" t="inlineStr">
        <is>
          <t>CUOTA INICIAL</t>
        </is>
      </c>
      <c r="AT137" t="n">
        <v>3</v>
      </c>
      <c r="AU137" t="n">
        <v>21400</v>
      </c>
      <c r="AV137" t="n">
        <v>0</v>
      </c>
      <c r="AW137" t="n">
        <v>0</v>
      </c>
      <c r="AX137" s="39" t="n">
        <v>21400</v>
      </c>
      <c r="AY137" s="39" t="n">
        <v>21400</v>
      </c>
      <c r="AZ137" s="39" t="n">
        <v>0</v>
      </c>
      <c r="BA137" t="n">
        <v>0</v>
      </c>
      <c r="BB137" t="inlineStr">
        <is>
          <t>Crédito Hipotecario</t>
        </is>
      </c>
      <c r="BC137" t="inlineStr">
        <is>
          <t>Scotiabank Perú</t>
        </is>
      </c>
      <c r="BD137" t="inlineStr">
        <is>
          <t>000-2768484</t>
        </is>
      </c>
      <c r="BE137" t="inlineStr">
        <is>
          <t>TRANSFERENCIA BANCARIA</t>
        </is>
      </c>
      <c r="BF137" t="inlineStr">
        <is>
          <t>08062531</t>
        </is>
      </c>
      <c r="BG137" t="inlineStr">
        <is>
          <t>0500010044</t>
        </is>
      </c>
      <c r="BH137" t="inlineStr">
        <is>
          <t>No</t>
        </is>
      </c>
      <c r="BI137" t="inlineStr">
        <is>
          <t>NO PRECISA</t>
        </is>
      </c>
      <c r="BJ137" t="n">
        <v>4</v>
      </c>
      <c r="BK137" t="inlineStr">
        <is>
          <t>CANCELADO</t>
        </is>
      </c>
      <c r="BV137" t="inlineStr">
        <is>
          <t>Si</t>
        </is>
      </c>
      <c r="BW137" s="76" t="n">
        <v>45811.65069444444</v>
      </c>
      <c r="BX137" t="inlineStr">
        <is>
          <t>Kenny Salazar S</t>
        </is>
      </c>
      <c r="BZ137" t="n">
        <v>26</v>
      </c>
      <c r="CA137" t="inlineStr">
        <is>
          <t>04/06/2026 09:28</t>
        </is>
      </c>
      <c r="CB137" t="n">
        <v>0</v>
      </c>
      <c r="CF137" t="inlineStr">
        <is>
          <t>Cobranzas_2025.csv</t>
        </is>
      </c>
      <c r="CG137" t="n">
        <v>2025</v>
      </c>
      <c r="CH137" t="inlineStr">
        <is>
          <t>01/01/2024</t>
        </is>
      </c>
      <c r="CI137" t="inlineStr">
        <is>
          <t>24/08/2031</t>
        </is>
      </c>
    </row>
    <row r="138">
      <c r="A138" t="inlineStr">
        <is>
          <t>RESIDENCIAL PRADA</t>
        </is>
      </c>
      <c r="B138" t="inlineStr">
        <is>
          <t>Etapa 1</t>
        </is>
      </c>
      <c r="C138" t="inlineStr">
        <is>
          <t>Edificio</t>
        </is>
      </c>
      <c r="D138" t="inlineStr">
        <is>
          <t>A</t>
        </is>
      </c>
      <c r="E138" t="inlineStr">
        <is>
          <t>Departamento</t>
        </is>
      </c>
      <c r="F138" t="inlineStr">
        <is>
          <t>102</t>
        </is>
      </c>
      <c r="G138" t="n">
        <v>81.79000000000001</v>
      </c>
      <c r="H138" t="n">
        <v>19.69</v>
      </c>
      <c r="I138" s="39" t="n">
        <v>679000</v>
      </c>
      <c r="J138" s="39" t="n">
        <v>679000</v>
      </c>
      <c r="Q138" s="39" t="n"/>
      <c r="R138" s="39" t="n"/>
      <c r="Y138" s="39" t="n"/>
      <c r="Z138" s="39" t="n"/>
      <c r="AG138" s="39" t="n"/>
      <c r="AH138" s="39" t="n"/>
      <c r="AI138" t="inlineStr">
        <is>
          <t>Edwin Modigliani Efrai Suclla Flores</t>
        </is>
      </c>
      <c r="AJ138" t="inlineStr">
        <is>
          <t>08062531</t>
        </is>
      </c>
      <c r="AK138" t="inlineStr">
        <is>
          <t xml:space="preserve">Jr. Monitor Huascar Norte N° 551 Urb. Ventura Rossi  </t>
        </is>
      </c>
      <c r="AL138" t="n">
        <v>997463109</v>
      </c>
      <c r="AM138" t="inlineStr">
        <is>
          <t>997463109</t>
        </is>
      </c>
      <c r="AN138" t="inlineStr">
        <is>
          <t>efrainchbxpar@gmail.com</t>
        </is>
      </c>
      <c r="AO138" t="inlineStr">
        <is>
          <t>LIMA</t>
        </is>
      </c>
      <c r="AP138" t="inlineStr">
        <is>
          <t>RIMAC</t>
        </is>
      </c>
      <c r="AQ138" s="75" t="n">
        <v>45813</v>
      </c>
      <c r="AR138" s="75" t="n">
        <v>45813</v>
      </c>
      <c r="AS138" t="inlineStr">
        <is>
          <t>CUOTA INICIAL</t>
        </is>
      </c>
      <c r="AT138" t="n">
        <v>4</v>
      </c>
      <c r="AU138" t="n">
        <v>10600</v>
      </c>
      <c r="AV138" t="n">
        <v>0</v>
      </c>
      <c r="AW138" t="n">
        <v>0</v>
      </c>
      <c r="AX138" s="39" t="n">
        <v>10600</v>
      </c>
      <c r="AY138" s="39" t="n">
        <v>10600</v>
      </c>
      <c r="AZ138" s="39" t="n">
        <v>0</v>
      </c>
      <c r="BA138" t="n">
        <v>0</v>
      </c>
      <c r="BB138" t="inlineStr">
        <is>
          <t>Crédito Hipotecario</t>
        </is>
      </c>
      <c r="BC138" t="inlineStr">
        <is>
          <t>Scotiabank Perú</t>
        </is>
      </c>
      <c r="BD138" t="inlineStr">
        <is>
          <t>000-2768484</t>
        </is>
      </c>
      <c r="BE138" t="inlineStr">
        <is>
          <t>TRANSFERENCIA BANCARIA</t>
        </is>
      </c>
      <c r="BF138" t="inlineStr">
        <is>
          <t>08062531</t>
        </is>
      </c>
      <c r="BG138" t="inlineStr">
        <is>
          <t>00754405</t>
        </is>
      </c>
      <c r="BH138" t="inlineStr">
        <is>
          <t>No</t>
        </is>
      </c>
      <c r="BI138" t="inlineStr">
        <is>
          <t>NO PRECISA</t>
        </is>
      </c>
      <c r="BJ138" t="n">
        <v>4</v>
      </c>
      <c r="BK138" t="inlineStr">
        <is>
          <t>CANCELADO</t>
        </is>
      </c>
      <c r="BV138" t="inlineStr">
        <is>
          <t>Si</t>
        </is>
      </c>
      <c r="BW138" s="76" t="n">
        <v>45811.65069444444</v>
      </c>
      <c r="BX138" t="inlineStr">
        <is>
          <t>Kenny Salazar S</t>
        </is>
      </c>
      <c r="BZ138" t="n">
        <v>26</v>
      </c>
      <c r="CA138" t="inlineStr">
        <is>
          <t>04/06/2026 09:31</t>
        </is>
      </c>
      <c r="CB138" t="n">
        <v>0</v>
      </c>
      <c r="CF138" t="inlineStr">
        <is>
          <t>Cobranzas_2025.csv</t>
        </is>
      </c>
      <c r="CG138" t="n">
        <v>2025</v>
      </c>
      <c r="CH138" t="inlineStr">
        <is>
          <t>01/01/2024</t>
        </is>
      </c>
      <c r="CI138" t="inlineStr">
        <is>
          <t>24/08/2031</t>
        </is>
      </c>
    </row>
    <row r="139">
      <c r="A139" t="inlineStr">
        <is>
          <t>RESIDENCIAL PRADA</t>
        </is>
      </c>
      <c r="B139" t="inlineStr">
        <is>
          <t>Etapa 1</t>
        </is>
      </c>
      <c r="C139" t="inlineStr">
        <is>
          <t>Edificio</t>
        </is>
      </c>
      <c r="D139" t="inlineStr">
        <is>
          <t>A</t>
        </is>
      </c>
      <c r="E139" t="inlineStr">
        <is>
          <t>Departamento</t>
        </is>
      </c>
      <c r="F139" t="inlineStr">
        <is>
          <t>102</t>
        </is>
      </c>
      <c r="G139" t="n">
        <v>81.79000000000001</v>
      </c>
      <c r="H139" t="n">
        <v>19.69</v>
      </c>
      <c r="I139" s="39" t="n">
        <v>679000</v>
      </c>
      <c r="J139" s="39" t="n">
        <v>679000</v>
      </c>
      <c r="Q139" s="39" t="n"/>
      <c r="R139" s="39" t="n"/>
      <c r="Y139" s="39" t="n"/>
      <c r="Z139" s="39" t="n"/>
      <c r="AG139" s="39" t="n"/>
      <c r="AH139" s="39" t="n"/>
      <c r="AI139" t="inlineStr">
        <is>
          <t>Edwin Modigliani Efrai Suclla Flores</t>
        </is>
      </c>
      <c r="AJ139" t="inlineStr">
        <is>
          <t>08062531</t>
        </is>
      </c>
      <c r="AK139" t="inlineStr">
        <is>
          <t xml:space="preserve">Jr. Monitor Huascar Norte N° 551 Urb. Ventura Rossi  </t>
        </is>
      </c>
      <c r="AL139" t="n">
        <v>997463109</v>
      </c>
      <c r="AM139" t="inlineStr">
        <is>
          <t>997463109</t>
        </is>
      </c>
      <c r="AN139" t="inlineStr">
        <is>
          <t>efrainchbxpar@gmail.com</t>
        </is>
      </c>
      <c r="AO139" t="inlineStr">
        <is>
          <t>LIMA</t>
        </is>
      </c>
      <c r="AP139" t="inlineStr">
        <is>
          <t>RIMAC</t>
        </is>
      </c>
      <c r="AQ139" s="75" t="n">
        <v>45846</v>
      </c>
      <c r="AR139" s="75" t="n">
        <v>45846</v>
      </c>
      <c r="AS139" t="inlineStr">
        <is>
          <t>SALDO FINANCIAR</t>
        </is>
      </c>
      <c r="AT139" t="n">
        <v>1</v>
      </c>
      <c r="AU139" t="n">
        <v>379000</v>
      </c>
      <c r="AV139" t="n">
        <v>0</v>
      </c>
      <c r="AW139" t="n">
        <v>0</v>
      </c>
      <c r="AX139" s="39" t="n">
        <v>379000</v>
      </c>
      <c r="AY139" s="39" t="n">
        <v>379000</v>
      </c>
      <c r="AZ139" s="39" t="n">
        <v>0</v>
      </c>
      <c r="BA139" t="n">
        <v>0</v>
      </c>
      <c r="BB139" t="inlineStr">
        <is>
          <t>Crédito Hipotecario</t>
        </is>
      </c>
      <c r="BC139" t="inlineStr">
        <is>
          <t>Scotiabank Perú</t>
        </is>
      </c>
      <c r="BD139" t="inlineStr">
        <is>
          <t>000-2768484</t>
        </is>
      </c>
      <c r="BE139" t="inlineStr">
        <is>
          <t>TRANSFERENCIA BANCARIA</t>
        </is>
      </c>
      <c r="BF139" t="inlineStr">
        <is>
          <t>08062531</t>
        </is>
      </c>
      <c r="BG139" t="inlineStr">
        <is>
          <t>0270800002</t>
        </is>
      </c>
      <c r="BH139" t="inlineStr">
        <is>
          <t>No</t>
        </is>
      </c>
      <c r="BI139" t="inlineStr">
        <is>
          <t>NO PRECISA</t>
        </is>
      </c>
      <c r="BJ139" t="n">
        <v>4</v>
      </c>
      <c r="BK139" t="inlineStr">
        <is>
          <t>CANCELADO</t>
        </is>
      </c>
      <c r="BV139" t="inlineStr">
        <is>
          <t>Si</t>
        </is>
      </c>
      <c r="BW139" s="76" t="n">
        <v>45811.65069444444</v>
      </c>
      <c r="BX139" t="inlineStr">
        <is>
          <t>Kenny Salazar S</t>
        </is>
      </c>
      <c r="BZ139" t="n">
        <v>26</v>
      </c>
      <c r="CA139" t="inlineStr">
        <is>
          <t>04/06/2026 09:36</t>
        </is>
      </c>
      <c r="CB139" t="n">
        <v>0</v>
      </c>
      <c r="CF139" t="inlineStr">
        <is>
          <t>Cobranzas_2025.csv</t>
        </is>
      </c>
      <c r="CG139" t="n">
        <v>2025</v>
      </c>
      <c r="CH139" t="inlineStr">
        <is>
          <t>01/01/2024</t>
        </is>
      </c>
      <c r="CI139" t="inlineStr">
        <is>
          <t>24/08/2031</t>
        </is>
      </c>
    </row>
    <row r="140">
      <c r="A140" t="inlineStr">
        <is>
          <t>RESIDENCIAL PRADA</t>
        </is>
      </c>
      <c r="B140" t="inlineStr">
        <is>
          <t>Etapa 1</t>
        </is>
      </c>
      <c r="C140" t="inlineStr">
        <is>
          <t>Edificio</t>
        </is>
      </c>
      <c r="D140" t="inlineStr">
        <is>
          <t>A</t>
        </is>
      </c>
      <c r="E140" t="inlineStr">
        <is>
          <t>Estacionamiento</t>
        </is>
      </c>
      <c r="F140" t="inlineStr">
        <is>
          <t>E 10 - D 07</t>
        </is>
      </c>
      <c r="G140" t="n">
        <v>12.5</v>
      </c>
      <c r="H140" t="n">
        <v>5.32</v>
      </c>
      <c r="I140" s="39" t="n">
        <v>66300</v>
      </c>
      <c r="J140" s="39" t="n">
        <v>66300</v>
      </c>
      <c r="Q140" s="39" t="n"/>
      <c r="R140" s="39" t="n"/>
      <c r="Y140" s="39" t="n"/>
      <c r="Z140" s="39" t="n"/>
      <c r="AG140" s="39" t="n"/>
      <c r="AH140" s="39" t="n"/>
      <c r="AI140" t="inlineStr">
        <is>
          <t>Edwin Modigliani Efrai Suclla Flores</t>
        </is>
      </c>
      <c r="AJ140" t="inlineStr">
        <is>
          <t>08062531</t>
        </is>
      </c>
      <c r="AK140" t="inlineStr">
        <is>
          <t xml:space="preserve">Jr. Monitor Huascar Norte N° 551 Urb. Ventura Rossi  </t>
        </is>
      </c>
      <c r="AL140" t="n">
        <v>997463109</v>
      </c>
      <c r="AM140" t="inlineStr">
        <is>
          <t>997463109</t>
        </is>
      </c>
      <c r="AN140" t="inlineStr">
        <is>
          <t>efrainchbxpar@gmail.com</t>
        </is>
      </c>
      <c r="AO140" t="inlineStr">
        <is>
          <t>LIMA</t>
        </is>
      </c>
      <c r="AP140" t="inlineStr">
        <is>
          <t>RIMAC</t>
        </is>
      </c>
      <c r="AQ140" s="75" t="n">
        <v>45824</v>
      </c>
      <c r="AR140" s="75" t="n">
        <v>45824</v>
      </c>
      <c r="AS140" t="inlineStr">
        <is>
          <t>SEPARACION</t>
        </is>
      </c>
      <c r="AT140" t="n">
        <v>1</v>
      </c>
      <c r="AU140" t="n">
        <v>3000</v>
      </c>
      <c r="AV140" t="n">
        <v>0</v>
      </c>
      <c r="AW140" t="n">
        <v>0</v>
      </c>
      <c r="AX140" s="39" t="n">
        <v>3000</v>
      </c>
      <c r="AY140" s="39" t="n">
        <v>3000</v>
      </c>
      <c r="AZ140" s="39" t="n">
        <v>0</v>
      </c>
      <c r="BA140" t="n">
        <v>0</v>
      </c>
      <c r="BB140" t="inlineStr">
        <is>
          <t>Crédito Directo</t>
        </is>
      </c>
      <c r="BC140" t="inlineStr">
        <is>
          <t>Scotiabank Perú</t>
        </is>
      </c>
      <c r="BD140" t="inlineStr">
        <is>
          <t>000-2768484</t>
        </is>
      </c>
      <c r="BE140" t="inlineStr">
        <is>
          <t>TRANSFERENCIA BANCARIA</t>
        </is>
      </c>
      <c r="BG140" t="inlineStr">
        <is>
          <t>02873076</t>
        </is>
      </c>
      <c r="BH140" t="inlineStr">
        <is>
          <t>No</t>
        </is>
      </c>
      <c r="BJ140" t="n">
        <v>4</v>
      </c>
      <c r="BK140" t="inlineStr">
        <is>
          <t>CANCELADO</t>
        </is>
      </c>
      <c r="BV140" t="inlineStr">
        <is>
          <t>Si</t>
        </is>
      </c>
      <c r="BW140" s="76" t="n">
        <v>45862.56597222222</v>
      </c>
      <c r="BX140" t="inlineStr">
        <is>
          <t>Magaly Guevara Perez</t>
        </is>
      </c>
      <c r="BZ140" t="n">
        <v>55</v>
      </c>
      <c r="CA140" t="inlineStr">
        <is>
          <t>26/06/2026 16:44</t>
        </is>
      </c>
      <c r="CB140" t="n">
        <v>0</v>
      </c>
      <c r="CF140" t="inlineStr">
        <is>
          <t>Cobranzas_2025.csv</t>
        </is>
      </c>
      <c r="CG140" t="n">
        <v>2025</v>
      </c>
      <c r="CH140" t="inlineStr">
        <is>
          <t>01/01/2024</t>
        </is>
      </c>
      <c r="CI140" t="inlineStr">
        <is>
          <t>24/08/2031</t>
        </is>
      </c>
    </row>
    <row r="141">
      <c r="A141" t="inlineStr">
        <is>
          <t>RESIDENCIAL PRADA</t>
        </is>
      </c>
      <c r="B141" t="inlineStr">
        <is>
          <t>Etapa 1</t>
        </is>
      </c>
      <c r="C141" t="inlineStr">
        <is>
          <t>Edificio</t>
        </is>
      </c>
      <c r="D141" t="inlineStr">
        <is>
          <t>A</t>
        </is>
      </c>
      <c r="E141" t="inlineStr">
        <is>
          <t>Estacionamiento</t>
        </is>
      </c>
      <c r="F141" t="inlineStr">
        <is>
          <t>E 10 - D 07</t>
        </is>
      </c>
      <c r="G141" t="n">
        <v>12.5</v>
      </c>
      <c r="H141" t="n">
        <v>5.32</v>
      </c>
      <c r="I141" s="39" t="n">
        <v>66300</v>
      </c>
      <c r="J141" s="39" t="n">
        <v>66300</v>
      </c>
      <c r="Q141" s="39" t="n"/>
      <c r="R141" s="39" t="n"/>
      <c r="Y141" s="39" t="n"/>
      <c r="Z141" s="39" t="n"/>
      <c r="AG141" s="39" t="n"/>
      <c r="AH141" s="39" t="n"/>
      <c r="AI141" t="inlineStr">
        <is>
          <t>Edwin Modigliani Efrai Suclla Flores</t>
        </is>
      </c>
      <c r="AJ141" t="inlineStr">
        <is>
          <t>08062531</t>
        </is>
      </c>
      <c r="AK141" t="inlineStr">
        <is>
          <t xml:space="preserve">Jr. Monitor Huascar Norte N° 551 Urb. Ventura Rossi  </t>
        </is>
      </c>
      <c r="AL141" t="n">
        <v>997463109</v>
      </c>
      <c r="AM141" t="inlineStr">
        <is>
          <t>997463109</t>
        </is>
      </c>
      <c r="AN141" t="inlineStr">
        <is>
          <t>efrainchbxpar@gmail.com</t>
        </is>
      </c>
      <c r="AO141" t="inlineStr">
        <is>
          <t>LIMA</t>
        </is>
      </c>
      <c r="AP141" t="inlineStr">
        <is>
          <t>RIMAC</t>
        </is>
      </c>
      <c r="AQ141" s="75" t="n">
        <v>45824</v>
      </c>
      <c r="AR141" s="75" t="n">
        <v>45824</v>
      </c>
      <c r="AS141" t="inlineStr">
        <is>
          <t>CUOTA INICIAL</t>
        </is>
      </c>
      <c r="AT141" t="n">
        <v>1</v>
      </c>
      <c r="AU141" t="n">
        <v>7000</v>
      </c>
      <c r="AV141" t="n">
        <v>0</v>
      </c>
      <c r="AW141" t="n">
        <v>0</v>
      </c>
      <c r="AX141" s="39" t="n">
        <v>7000</v>
      </c>
      <c r="AY141" s="39" t="n">
        <v>7000</v>
      </c>
      <c r="AZ141" s="39" t="n">
        <v>0</v>
      </c>
      <c r="BA141" t="n">
        <v>0</v>
      </c>
      <c r="BB141" t="inlineStr">
        <is>
          <t>Crédito Directo</t>
        </is>
      </c>
      <c r="BC141" t="inlineStr">
        <is>
          <t>Scotiabank Perú</t>
        </is>
      </c>
      <c r="BD141" t="inlineStr">
        <is>
          <t>000-2768484</t>
        </is>
      </c>
      <c r="BE141" t="inlineStr">
        <is>
          <t>TRANSFERENCIA BANCARIA</t>
        </is>
      </c>
      <c r="BG141" t="inlineStr">
        <is>
          <t>02873076</t>
        </is>
      </c>
      <c r="BH141" t="inlineStr">
        <is>
          <t>No</t>
        </is>
      </c>
      <c r="BJ141" t="n">
        <v>4</v>
      </c>
      <c r="BK141" t="inlineStr">
        <is>
          <t>CANCELADO</t>
        </is>
      </c>
      <c r="BV141" t="inlineStr">
        <is>
          <t>Si</t>
        </is>
      </c>
      <c r="BW141" s="76" t="n">
        <v>45862.56597222222</v>
      </c>
      <c r="BX141" t="inlineStr">
        <is>
          <t>Magaly Guevara Perez</t>
        </is>
      </c>
      <c r="BZ141" t="n">
        <v>55</v>
      </c>
      <c r="CA141" t="inlineStr">
        <is>
          <t>26/06/2026 16:52</t>
        </is>
      </c>
      <c r="CB141" t="n">
        <v>0</v>
      </c>
      <c r="CF141" t="inlineStr">
        <is>
          <t>Cobranzas_2025.csv</t>
        </is>
      </c>
      <c r="CG141" t="n">
        <v>2025</v>
      </c>
      <c r="CH141" t="inlineStr">
        <is>
          <t>01/01/2024</t>
        </is>
      </c>
      <c r="CI141" t="inlineStr">
        <is>
          <t>24/08/2031</t>
        </is>
      </c>
    </row>
    <row r="142">
      <c r="A142" t="inlineStr">
        <is>
          <t>RESIDENCIAL PRADA</t>
        </is>
      </c>
      <c r="B142" t="inlineStr">
        <is>
          <t>Etapa 1</t>
        </is>
      </c>
      <c r="C142" t="inlineStr">
        <is>
          <t>Edificio</t>
        </is>
      </c>
      <c r="D142" t="inlineStr">
        <is>
          <t>A</t>
        </is>
      </c>
      <c r="E142" t="inlineStr">
        <is>
          <t>Estacionamiento</t>
        </is>
      </c>
      <c r="F142" t="inlineStr">
        <is>
          <t>E 10 - D 07</t>
        </is>
      </c>
      <c r="G142" t="n">
        <v>12.5</v>
      </c>
      <c r="H142" t="n">
        <v>5.32</v>
      </c>
      <c r="I142" s="39" t="n">
        <v>66300</v>
      </c>
      <c r="J142" s="39" t="n">
        <v>66300</v>
      </c>
      <c r="Q142" s="39" t="n"/>
      <c r="R142" s="39" t="n"/>
      <c r="Y142" s="39" t="n"/>
      <c r="Z142" s="39" t="n"/>
      <c r="AG142" s="39" t="n"/>
      <c r="AH142" s="39" t="n"/>
      <c r="AI142" t="inlineStr">
        <is>
          <t>Edwin Modigliani Efrai Suclla Flores</t>
        </is>
      </c>
      <c r="AJ142" t="inlineStr">
        <is>
          <t>08062531</t>
        </is>
      </c>
      <c r="AK142" t="inlineStr">
        <is>
          <t xml:space="preserve">Jr. Monitor Huascar Norte N° 551 Urb. Ventura Rossi  </t>
        </is>
      </c>
      <c r="AL142" t="n">
        <v>997463109</v>
      </c>
      <c r="AM142" t="inlineStr">
        <is>
          <t>997463109</t>
        </is>
      </c>
      <c r="AN142" t="inlineStr">
        <is>
          <t>efrainchbxpar@gmail.com</t>
        </is>
      </c>
      <c r="AO142" t="inlineStr">
        <is>
          <t>LIMA</t>
        </is>
      </c>
      <c r="AP142" t="inlineStr">
        <is>
          <t>RIMAC</t>
        </is>
      </c>
      <c r="AQ142" s="75" t="n">
        <v>45867</v>
      </c>
      <c r="AR142" s="75" t="n">
        <v>45862</v>
      </c>
      <c r="AS142" t="inlineStr">
        <is>
          <t>SALDO FINANCIAR</t>
        </is>
      </c>
      <c r="AT142" t="n">
        <v>1</v>
      </c>
      <c r="AU142" t="n">
        <v>7037.5</v>
      </c>
      <c r="AV142" t="n">
        <v>0</v>
      </c>
      <c r="AW142" t="n">
        <v>0</v>
      </c>
      <c r="AX142" s="39" t="n">
        <v>7037.5</v>
      </c>
      <c r="AY142" s="39" t="n">
        <v>7037.5</v>
      </c>
      <c r="AZ142" s="39" t="n">
        <v>0</v>
      </c>
      <c r="BA142" t="n">
        <v>0</v>
      </c>
      <c r="BB142" t="inlineStr">
        <is>
          <t>Crédito Directo</t>
        </is>
      </c>
      <c r="BC142" t="inlineStr">
        <is>
          <t>Scotiabank Perú</t>
        </is>
      </c>
      <c r="BD142" t="inlineStr">
        <is>
          <t>000-2768484</t>
        </is>
      </c>
      <c r="BE142" t="inlineStr">
        <is>
          <t>TRANSFERENCIA BANCARIA</t>
        </is>
      </c>
      <c r="BG142" t="inlineStr">
        <is>
          <t>u27404</t>
        </is>
      </c>
      <c r="BH142" t="inlineStr">
        <is>
          <t>No</t>
        </is>
      </c>
      <c r="BJ142" t="n">
        <v>4</v>
      </c>
      <c r="BK142" t="inlineStr">
        <is>
          <t>CANCELADO</t>
        </is>
      </c>
      <c r="BV142" t="inlineStr">
        <is>
          <t>Si</t>
        </is>
      </c>
      <c r="BW142" s="76" t="n">
        <v>45862.56597222222</v>
      </c>
      <c r="BX142" t="inlineStr">
        <is>
          <t>Magaly Guevara Perez</t>
        </is>
      </c>
      <c r="BZ142" t="n">
        <v>55</v>
      </c>
      <c r="CA142" t="inlineStr">
        <is>
          <t>26/06/2026 16:53</t>
        </is>
      </c>
      <c r="CB142" t="n">
        <v>0</v>
      </c>
      <c r="CF142" t="inlineStr">
        <is>
          <t>Cobranzas_2025.csv</t>
        </is>
      </c>
      <c r="CG142" t="n">
        <v>2025</v>
      </c>
      <c r="CH142" t="inlineStr">
        <is>
          <t>01/01/2024</t>
        </is>
      </c>
      <c r="CI142" t="inlineStr">
        <is>
          <t>24/08/2031</t>
        </is>
      </c>
    </row>
    <row r="143">
      <c r="A143" t="inlineStr">
        <is>
          <t>RESIDENCIAL PRADA</t>
        </is>
      </c>
      <c r="B143" t="inlineStr">
        <is>
          <t>Etapa 1</t>
        </is>
      </c>
      <c r="C143" t="inlineStr">
        <is>
          <t>Edificio</t>
        </is>
      </c>
      <c r="D143" t="inlineStr">
        <is>
          <t>A</t>
        </is>
      </c>
      <c r="E143" t="inlineStr">
        <is>
          <t>Estacionamiento</t>
        </is>
      </c>
      <c r="F143" t="inlineStr">
        <is>
          <t>E 10 - D 07</t>
        </is>
      </c>
      <c r="G143" t="n">
        <v>12.5</v>
      </c>
      <c r="H143" t="n">
        <v>5.32</v>
      </c>
      <c r="I143" s="39" t="n">
        <v>66300</v>
      </c>
      <c r="J143" s="39" t="n">
        <v>66300</v>
      </c>
      <c r="Q143" s="39" t="n"/>
      <c r="R143" s="39" t="n"/>
      <c r="Y143" s="39" t="n"/>
      <c r="Z143" s="39" t="n"/>
      <c r="AG143" s="39" t="n"/>
      <c r="AH143" s="39" t="n"/>
      <c r="AI143" t="inlineStr">
        <is>
          <t>Edwin Modigliani Efrai Suclla Flores</t>
        </is>
      </c>
      <c r="AJ143" t="inlineStr">
        <is>
          <t>08062531</t>
        </is>
      </c>
      <c r="AK143" t="inlineStr">
        <is>
          <t xml:space="preserve">Jr. Monitor Huascar Norte N° 551 Urb. Ventura Rossi  </t>
        </is>
      </c>
      <c r="AL143" t="n">
        <v>997463109</v>
      </c>
      <c r="AM143" t="inlineStr">
        <is>
          <t>997463109</t>
        </is>
      </c>
      <c r="AN143" t="inlineStr">
        <is>
          <t>efrainchbxpar@gmail.com</t>
        </is>
      </c>
      <c r="AO143" t="inlineStr">
        <is>
          <t>LIMA</t>
        </is>
      </c>
      <c r="AP143" t="inlineStr">
        <is>
          <t>RIMAC</t>
        </is>
      </c>
      <c r="AQ143" s="75" t="n">
        <v>45898</v>
      </c>
      <c r="AR143" s="75" t="n">
        <v>45888</v>
      </c>
      <c r="AS143" t="inlineStr">
        <is>
          <t>SALDO FINANCIAR</t>
        </is>
      </c>
      <c r="AT143" t="n">
        <v>2</v>
      </c>
      <c r="AU143" t="n">
        <v>7037.5</v>
      </c>
      <c r="AV143" t="n">
        <v>0</v>
      </c>
      <c r="AW143" t="n">
        <v>0</v>
      </c>
      <c r="AX143" s="39" t="n">
        <v>7037.5</v>
      </c>
      <c r="AY143" s="39" t="n">
        <v>7037.5</v>
      </c>
      <c r="AZ143" s="39" t="n">
        <v>0</v>
      </c>
      <c r="BA143" t="n">
        <v>0</v>
      </c>
      <c r="BB143" t="inlineStr">
        <is>
          <t>Crédito Directo</t>
        </is>
      </c>
      <c r="BC143" t="inlineStr">
        <is>
          <t>Scotiabank Perú</t>
        </is>
      </c>
      <c r="BD143" t="inlineStr">
        <is>
          <t>000-2768484</t>
        </is>
      </c>
      <c r="BE143" t="inlineStr">
        <is>
          <t>TRANSFERENCIA BANCARIA</t>
        </is>
      </c>
      <c r="BG143" t="inlineStr">
        <is>
          <t>u20084</t>
        </is>
      </c>
      <c r="BH143" t="inlineStr">
        <is>
          <t>No</t>
        </is>
      </c>
      <c r="BJ143" t="n">
        <v>4</v>
      </c>
      <c r="BK143" t="inlineStr">
        <is>
          <t>CANCELADO</t>
        </is>
      </c>
      <c r="BV143" t="inlineStr">
        <is>
          <t>Si</t>
        </is>
      </c>
      <c r="BW143" s="76" t="n">
        <v>45862.56597222222</v>
      </c>
      <c r="BX143" t="inlineStr">
        <is>
          <t>Magaly Guevara Perez</t>
        </is>
      </c>
      <c r="BZ143" t="n">
        <v>55</v>
      </c>
      <c r="CA143" t="inlineStr">
        <is>
          <t>26/06/2026 16:57</t>
        </is>
      </c>
      <c r="CB143" t="n">
        <v>0</v>
      </c>
      <c r="CF143" t="inlineStr">
        <is>
          <t>Cobranzas_2025.csv</t>
        </is>
      </c>
      <c r="CG143" t="n">
        <v>2025</v>
      </c>
      <c r="CH143" t="inlineStr">
        <is>
          <t>01/01/2024</t>
        </is>
      </c>
      <c r="CI143" t="inlineStr">
        <is>
          <t>24/08/2031</t>
        </is>
      </c>
    </row>
    <row r="144">
      <c r="A144" t="inlineStr">
        <is>
          <t>RESIDENCIAL PRADA</t>
        </is>
      </c>
      <c r="B144" t="inlineStr">
        <is>
          <t>Etapa 1</t>
        </is>
      </c>
      <c r="C144" t="inlineStr">
        <is>
          <t>Edificio</t>
        </is>
      </c>
      <c r="D144" t="inlineStr">
        <is>
          <t>A</t>
        </is>
      </c>
      <c r="E144" t="inlineStr">
        <is>
          <t>Estacionamiento</t>
        </is>
      </c>
      <c r="F144" t="inlineStr">
        <is>
          <t>E 10 - D 07</t>
        </is>
      </c>
      <c r="G144" t="n">
        <v>12.5</v>
      </c>
      <c r="H144" t="n">
        <v>5.32</v>
      </c>
      <c r="I144" s="39" t="n">
        <v>66300</v>
      </c>
      <c r="J144" s="39" t="n">
        <v>66300</v>
      </c>
      <c r="Q144" s="39" t="n"/>
      <c r="R144" s="39" t="n"/>
      <c r="Y144" s="39" t="n"/>
      <c r="Z144" s="39" t="n"/>
      <c r="AG144" s="39" t="n"/>
      <c r="AH144" s="39" t="n"/>
      <c r="AI144" t="inlineStr">
        <is>
          <t>Edwin Modigliani Efrai Suclla Flores</t>
        </is>
      </c>
      <c r="AJ144" t="inlineStr">
        <is>
          <t>08062531</t>
        </is>
      </c>
      <c r="AK144" t="inlineStr">
        <is>
          <t xml:space="preserve">Jr. Monitor Huascar Norte N° 551 Urb. Ventura Rossi  </t>
        </is>
      </c>
      <c r="AL144" t="n">
        <v>997463109</v>
      </c>
      <c r="AM144" t="inlineStr">
        <is>
          <t>997463109</t>
        </is>
      </c>
      <c r="AN144" t="inlineStr">
        <is>
          <t>efrainchbxpar@gmail.com</t>
        </is>
      </c>
      <c r="AO144" t="inlineStr">
        <is>
          <t>LIMA</t>
        </is>
      </c>
      <c r="AP144" t="inlineStr">
        <is>
          <t>RIMAC</t>
        </is>
      </c>
      <c r="AQ144" s="75" t="n">
        <v>45929</v>
      </c>
      <c r="AR144" s="75" t="n">
        <v>45929</v>
      </c>
      <c r="AS144" t="inlineStr">
        <is>
          <t>SALDO FINANCIAR</t>
        </is>
      </c>
      <c r="AT144" t="n">
        <v>3</v>
      </c>
      <c r="AU144" t="n">
        <v>7037.5</v>
      </c>
      <c r="AV144" t="n">
        <v>0</v>
      </c>
      <c r="AW144" t="n">
        <v>0</v>
      </c>
      <c r="AX144" s="39" t="n">
        <v>7037.5</v>
      </c>
      <c r="AY144" s="39" t="n">
        <v>7037.5</v>
      </c>
      <c r="AZ144" s="39" t="n">
        <v>0</v>
      </c>
      <c r="BA144" t="n">
        <v>0</v>
      </c>
      <c r="BB144" t="inlineStr">
        <is>
          <t>Crédito Directo</t>
        </is>
      </c>
      <c r="BC144" t="inlineStr">
        <is>
          <t>Scotiabank Perú</t>
        </is>
      </c>
      <c r="BD144" t="inlineStr">
        <is>
          <t>000-2768484</t>
        </is>
      </c>
      <c r="BE144" t="inlineStr">
        <is>
          <t>TRANSFERENCIA BANCARIA</t>
        </is>
      </c>
      <c r="BG144" t="inlineStr">
        <is>
          <t>7844655560605</t>
        </is>
      </c>
      <c r="BH144" t="inlineStr">
        <is>
          <t>No</t>
        </is>
      </c>
      <c r="BJ144" t="n">
        <v>4</v>
      </c>
      <c r="BK144" t="inlineStr">
        <is>
          <t>CANCELADO</t>
        </is>
      </c>
      <c r="BV144" t="inlineStr">
        <is>
          <t>Si</t>
        </is>
      </c>
      <c r="BW144" s="76" t="n">
        <v>45862.56597222222</v>
      </c>
      <c r="BX144" t="inlineStr">
        <is>
          <t>Magaly Guevara Perez</t>
        </is>
      </c>
      <c r="BZ144" t="n">
        <v>55</v>
      </c>
      <c r="CA144" t="inlineStr">
        <is>
          <t>26/06/2026 16:59</t>
        </is>
      </c>
      <c r="CB144" t="n">
        <v>0</v>
      </c>
      <c r="CF144" t="inlineStr">
        <is>
          <t>Cobranzas_2025.csv</t>
        </is>
      </c>
      <c r="CG144" t="n">
        <v>2025</v>
      </c>
      <c r="CH144" t="inlineStr">
        <is>
          <t>01/01/2024</t>
        </is>
      </c>
      <c r="CI144" t="inlineStr">
        <is>
          <t>24/08/2031</t>
        </is>
      </c>
    </row>
    <row r="145">
      <c r="A145" t="inlineStr">
        <is>
          <t>RESIDENCIAL PRADA</t>
        </is>
      </c>
      <c r="B145" t="inlineStr">
        <is>
          <t>Etapa 1</t>
        </is>
      </c>
      <c r="C145" t="inlineStr">
        <is>
          <t>Edificio</t>
        </is>
      </c>
      <c r="D145" t="inlineStr">
        <is>
          <t>A</t>
        </is>
      </c>
      <c r="E145" t="inlineStr">
        <is>
          <t>Estacionamiento</t>
        </is>
      </c>
      <c r="F145" t="inlineStr">
        <is>
          <t>E 10 - D 07</t>
        </is>
      </c>
      <c r="G145" t="n">
        <v>12.5</v>
      </c>
      <c r="H145" t="n">
        <v>5.32</v>
      </c>
      <c r="I145" s="39" t="n">
        <v>66300</v>
      </c>
      <c r="J145" s="39" t="n">
        <v>66300</v>
      </c>
      <c r="Q145" s="39" t="n"/>
      <c r="R145" s="39" t="n"/>
      <c r="Y145" s="39" t="n"/>
      <c r="Z145" s="39" t="n"/>
      <c r="AG145" s="39" t="n"/>
      <c r="AH145" s="39" t="n"/>
      <c r="AI145" t="inlineStr">
        <is>
          <t>Edwin Modigliani Efrai Suclla Flores</t>
        </is>
      </c>
      <c r="AJ145" t="inlineStr">
        <is>
          <t>08062531</t>
        </is>
      </c>
      <c r="AK145" t="inlineStr">
        <is>
          <t xml:space="preserve">Jr. Monitor Huascar Norte N° 551 Urb. Ventura Rossi  </t>
        </is>
      </c>
      <c r="AL145" t="n">
        <v>997463109</v>
      </c>
      <c r="AM145" t="inlineStr">
        <is>
          <t>997463109</t>
        </is>
      </c>
      <c r="AN145" t="inlineStr">
        <is>
          <t>efrainchbxpar@gmail.com</t>
        </is>
      </c>
      <c r="AO145" t="inlineStr">
        <is>
          <t>LIMA</t>
        </is>
      </c>
      <c r="AP145" t="inlineStr">
        <is>
          <t>RIMAC</t>
        </is>
      </c>
      <c r="AQ145" s="75" t="n">
        <v>45959</v>
      </c>
      <c r="AR145" s="75" t="n">
        <v>45957</v>
      </c>
      <c r="AS145" t="inlineStr">
        <is>
          <t>SALDO FINANCIAR</t>
        </is>
      </c>
      <c r="AT145" t="n">
        <v>4</v>
      </c>
      <c r="AU145" t="n">
        <v>7037.5</v>
      </c>
      <c r="AV145" t="n">
        <v>0</v>
      </c>
      <c r="AW145" t="n">
        <v>0</v>
      </c>
      <c r="AX145" s="39" t="n">
        <v>7037.5</v>
      </c>
      <c r="AY145" s="39" t="n">
        <v>7037.5</v>
      </c>
      <c r="AZ145" s="39" t="n">
        <v>0</v>
      </c>
      <c r="BA145" t="n">
        <v>0</v>
      </c>
      <c r="BB145" t="inlineStr">
        <is>
          <t>Crédito Directo</t>
        </is>
      </c>
      <c r="BC145" t="inlineStr">
        <is>
          <t>Scotiabank Perú</t>
        </is>
      </c>
      <c r="BD145" t="inlineStr">
        <is>
          <t>000-2768484</t>
        </is>
      </c>
      <c r="BE145" t="inlineStr">
        <is>
          <t>TRANSFERENCIA BANCARIA</t>
        </is>
      </c>
      <c r="BG145" t="inlineStr">
        <is>
          <t>u20084</t>
        </is>
      </c>
      <c r="BH145" t="inlineStr">
        <is>
          <t>No</t>
        </is>
      </c>
      <c r="BJ145" t="n">
        <v>4</v>
      </c>
      <c r="BK145" t="inlineStr">
        <is>
          <t>CANCELADO</t>
        </is>
      </c>
      <c r="BV145" t="inlineStr">
        <is>
          <t>Si</t>
        </is>
      </c>
      <c r="BW145" s="76" t="n">
        <v>45862.56597222222</v>
      </c>
      <c r="BX145" t="inlineStr">
        <is>
          <t>Magaly Guevara Perez</t>
        </is>
      </c>
      <c r="BZ145" t="n">
        <v>55</v>
      </c>
      <c r="CA145" t="inlineStr">
        <is>
          <t>26/06/2026 17:01</t>
        </is>
      </c>
      <c r="CB145" t="n">
        <v>0</v>
      </c>
      <c r="CF145" t="inlineStr">
        <is>
          <t>Cobranzas_2025.csv</t>
        </is>
      </c>
      <c r="CG145" t="n">
        <v>2025</v>
      </c>
      <c r="CH145" t="inlineStr">
        <is>
          <t>01/01/2024</t>
        </is>
      </c>
      <c r="CI145" t="inlineStr">
        <is>
          <t>24/08/2031</t>
        </is>
      </c>
    </row>
    <row r="146">
      <c r="A146" t="inlineStr">
        <is>
          <t>RESIDENCIAL PRADA</t>
        </is>
      </c>
      <c r="B146" t="inlineStr">
        <is>
          <t>Etapa 1</t>
        </is>
      </c>
      <c r="C146" t="inlineStr">
        <is>
          <t>Edificio</t>
        </is>
      </c>
      <c r="D146" t="inlineStr">
        <is>
          <t>A</t>
        </is>
      </c>
      <c r="E146" t="inlineStr">
        <is>
          <t>Estacionamiento</t>
        </is>
      </c>
      <c r="F146" t="inlineStr">
        <is>
          <t>E 10 - D 07</t>
        </is>
      </c>
      <c r="G146" t="n">
        <v>12.5</v>
      </c>
      <c r="H146" t="n">
        <v>5.32</v>
      </c>
      <c r="I146" s="39" t="n">
        <v>66300</v>
      </c>
      <c r="J146" s="39" t="n">
        <v>66300</v>
      </c>
      <c r="Q146" s="39" t="n"/>
      <c r="R146" s="39" t="n"/>
      <c r="Y146" s="39" t="n"/>
      <c r="Z146" s="39" t="n"/>
      <c r="AG146" s="39" t="n"/>
      <c r="AH146" s="39" t="n"/>
      <c r="AI146" t="inlineStr">
        <is>
          <t>Edwin Modigliani Efrai Suclla Flores</t>
        </is>
      </c>
      <c r="AJ146" t="inlineStr">
        <is>
          <t>08062531</t>
        </is>
      </c>
      <c r="AK146" t="inlineStr">
        <is>
          <t xml:space="preserve">Jr. Monitor Huascar Norte N° 551 Urb. Ventura Rossi  </t>
        </is>
      </c>
      <c r="AL146" t="n">
        <v>997463109</v>
      </c>
      <c r="AM146" t="inlineStr">
        <is>
          <t>997463109</t>
        </is>
      </c>
      <c r="AN146" t="inlineStr">
        <is>
          <t>efrainchbxpar@gmail.com</t>
        </is>
      </c>
      <c r="AO146" t="inlineStr">
        <is>
          <t>LIMA</t>
        </is>
      </c>
      <c r="AP146" t="inlineStr">
        <is>
          <t>RIMAC</t>
        </is>
      </c>
      <c r="AQ146" s="75" t="n">
        <v>45990</v>
      </c>
      <c r="AR146" s="75" t="n">
        <v>45990</v>
      </c>
      <c r="AS146" t="inlineStr">
        <is>
          <t>SALDO FINANCIAR</t>
        </is>
      </c>
      <c r="AT146" t="n">
        <v>5</v>
      </c>
      <c r="AU146" t="n">
        <v>7037.5</v>
      </c>
      <c r="AV146" t="n">
        <v>0</v>
      </c>
      <c r="AW146" t="n">
        <v>0</v>
      </c>
      <c r="AX146" s="39" t="n">
        <v>7037.5</v>
      </c>
      <c r="AY146" s="39" t="n">
        <v>7037.5</v>
      </c>
      <c r="AZ146" s="39" t="n">
        <v>0</v>
      </c>
      <c r="BA146" t="n">
        <v>0</v>
      </c>
      <c r="BB146" t="inlineStr">
        <is>
          <t>Crédito Directo</t>
        </is>
      </c>
      <c r="BC146" t="inlineStr">
        <is>
          <t>Scotiabank Perú</t>
        </is>
      </c>
      <c r="BD146" t="inlineStr">
        <is>
          <t>000-2768484</t>
        </is>
      </c>
      <c r="BE146" t="inlineStr">
        <is>
          <t>TRANSFERENCIA BANCARIA</t>
        </is>
      </c>
      <c r="BG146" t="inlineStr">
        <is>
          <t>7844655569590</t>
        </is>
      </c>
      <c r="BH146" t="inlineStr">
        <is>
          <t>No</t>
        </is>
      </c>
      <c r="BJ146" t="n">
        <v>4</v>
      </c>
      <c r="BK146" t="inlineStr">
        <is>
          <t>CANCELADO</t>
        </is>
      </c>
      <c r="BV146" t="inlineStr">
        <is>
          <t>Si</t>
        </is>
      </c>
      <c r="BW146" s="76" t="n">
        <v>45862.56597222222</v>
      </c>
      <c r="BX146" t="inlineStr">
        <is>
          <t>Magaly Guevara Perez</t>
        </is>
      </c>
      <c r="BZ146" t="n">
        <v>55</v>
      </c>
      <c r="CA146" t="inlineStr">
        <is>
          <t>26/06/2026 17:03</t>
        </is>
      </c>
      <c r="CB146" t="n">
        <v>0</v>
      </c>
      <c r="CF146" t="inlineStr">
        <is>
          <t>Cobranzas_2025.csv</t>
        </is>
      </c>
      <c r="CG146" t="n">
        <v>2025</v>
      </c>
      <c r="CH146" t="inlineStr">
        <is>
          <t>01/01/2024</t>
        </is>
      </c>
      <c r="CI146" t="inlineStr">
        <is>
          <t>24/08/2031</t>
        </is>
      </c>
    </row>
    <row r="147">
      <c r="A147" t="inlineStr">
        <is>
          <t>RESIDENCIAL PRADA</t>
        </is>
      </c>
      <c r="B147" t="inlineStr">
        <is>
          <t>Etapa 1</t>
        </is>
      </c>
      <c r="C147" t="inlineStr">
        <is>
          <t>Edificio</t>
        </is>
      </c>
      <c r="D147" t="inlineStr">
        <is>
          <t>A</t>
        </is>
      </c>
      <c r="E147" t="inlineStr">
        <is>
          <t>Estacionamiento</t>
        </is>
      </c>
      <c r="F147" t="inlineStr">
        <is>
          <t>E 10 - D 07</t>
        </is>
      </c>
      <c r="G147" t="n">
        <v>12.5</v>
      </c>
      <c r="H147" t="n">
        <v>5.32</v>
      </c>
      <c r="I147" s="39" t="n">
        <v>66300</v>
      </c>
      <c r="J147" s="39" t="n">
        <v>66300</v>
      </c>
      <c r="Q147" s="39" t="n"/>
      <c r="R147" s="39" t="n"/>
      <c r="Y147" s="39" t="n"/>
      <c r="Z147" s="39" t="n"/>
      <c r="AG147" s="39" t="n"/>
      <c r="AH147" s="39" t="n"/>
      <c r="AI147" t="inlineStr">
        <is>
          <t>Edwin Modigliani Efrai Suclla Flores</t>
        </is>
      </c>
      <c r="AJ147" t="inlineStr">
        <is>
          <t>08062531</t>
        </is>
      </c>
      <c r="AK147" t="inlineStr">
        <is>
          <t xml:space="preserve">Jr. Monitor Huascar Norte N° 551 Urb. Ventura Rossi  </t>
        </is>
      </c>
      <c r="AL147" t="n">
        <v>997463109</v>
      </c>
      <c r="AM147" t="inlineStr">
        <is>
          <t>997463109</t>
        </is>
      </c>
      <c r="AN147" t="inlineStr">
        <is>
          <t>efrainchbxpar@gmail.com</t>
        </is>
      </c>
      <c r="AO147" t="inlineStr">
        <is>
          <t>LIMA</t>
        </is>
      </c>
      <c r="AP147" t="inlineStr">
        <is>
          <t>RIMAC</t>
        </is>
      </c>
      <c r="AQ147" s="75" t="n">
        <v>46020</v>
      </c>
      <c r="AR147" s="75" t="n">
        <v>46008</v>
      </c>
      <c r="AS147" t="inlineStr">
        <is>
          <t>SALDO FINANCIAR</t>
        </is>
      </c>
      <c r="AT147" t="n">
        <v>6</v>
      </c>
      <c r="AU147" t="n">
        <v>7037.5</v>
      </c>
      <c r="AV147" t="n">
        <v>0</v>
      </c>
      <c r="AW147" t="n">
        <v>0</v>
      </c>
      <c r="AX147" s="39" t="n">
        <v>7037.5</v>
      </c>
      <c r="AY147" s="39" t="n">
        <v>7037.5</v>
      </c>
      <c r="AZ147" s="39" t="n">
        <v>0</v>
      </c>
      <c r="BA147" t="n">
        <v>0</v>
      </c>
      <c r="BB147" t="inlineStr">
        <is>
          <t>Crédito Directo</t>
        </is>
      </c>
      <c r="BC147" t="inlineStr">
        <is>
          <t>Scotiabank Perú</t>
        </is>
      </c>
      <c r="BD147" t="inlineStr">
        <is>
          <t>000-2768484</t>
        </is>
      </c>
      <c r="BE147" t="inlineStr">
        <is>
          <t>TRANSFERENCIA BANCARIA</t>
        </is>
      </c>
      <c r="BG147" t="inlineStr">
        <is>
          <t>7844655548889</t>
        </is>
      </c>
      <c r="BH147" t="inlineStr">
        <is>
          <t>No</t>
        </is>
      </c>
      <c r="BJ147" t="n">
        <v>4</v>
      </c>
      <c r="BK147" t="inlineStr">
        <is>
          <t>CANCELADO</t>
        </is>
      </c>
      <c r="BV147" t="inlineStr">
        <is>
          <t>Si</t>
        </is>
      </c>
      <c r="BW147" s="76" t="n">
        <v>45862.56597222222</v>
      </c>
      <c r="BX147" t="inlineStr">
        <is>
          <t>Magaly Guevara Perez</t>
        </is>
      </c>
      <c r="BZ147" t="n">
        <v>55</v>
      </c>
      <c r="CA147" t="inlineStr">
        <is>
          <t>26/06/2026 17:03</t>
        </is>
      </c>
      <c r="CB147" t="n">
        <v>0</v>
      </c>
      <c r="CF147" t="inlineStr">
        <is>
          <t>Cobranzas_2025.csv</t>
        </is>
      </c>
      <c r="CG147" t="n">
        <v>2025</v>
      </c>
      <c r="CH147" t="inlineStr">
        <is>
          <t>01/01/2024</t>
        </is>
      </c>
      <c r="CI147" t="inlineStr">
        <is>
          <t>24/08/2031</t>
        </is>
      </c>
    </row>
    <row r="148">
      <c r="A148" t="inlineStr">
        <is>
          <t>RESIDENCIAL PRADA</t>
        </is>
      </c>
      <c r="B148" t="inlineStr">
        <is>
          <t>Etapa 1</t>
        </is>
      </c>
      <c r="C148" t="inlineStr">
        <is>
          <t>Edificio</t>
        </is>
      </c>
      <c r="D148" t="inlineStr">
        <is>
          <t>A</t>
        </is>
      </c>
      <c r="E148" t="inlineStr">
        <is>
          <t>Departamento</t>
        </is>
      </c>
      <c r="F148" t="inlineStr">
        <is>
          <t>205</t>
        </is>
      </c>
      <c r="G148" t="n">
        <v>68.72</v>
      </c>
      <c r="H148" t="n">
        <v>0</v>
      </c>
      <c r="I148" s="39" t="n">
        <v>490000</v>
      </c>
      <c r="J148" s="39" t="n">
        <v>490000</v>
      </c>
      <c r="Q148" s="39" t="n"/>
      <c r="R148" s="39" t="n"/>
      <c r="Y148" s="39" t="n"/>
      <c r="Z148" s="39" t="n"/>
      <c r="AG148" s="39" t="n"/>
      <c r="AH148" s="39" t="n"/>
      <c r="AI148" t="inlineStr">
        <is>
          <t>Elizabeth Rocio Urbina Ñañez</t>
        </is>
      </c>
      <c r="AJ148" t="inlineStr">
        <is>
          <t>71404863</t>
        </is>
      </c>
      <c r="AK148" t="inlineStr">
        <is>
          <t>Av. Arequipa 2651</t>
        </is>
      </c>
      <c r="AM148" t="inlineStr">
        <is>
          <t>943921218</t>
        </is>
      </c>
      <c r="AN148" t="inlineStr">
        <is>
          <t>elizabethurbina9624@gmail.com</t>
        </is>
      </c>
      <c r="AO148" t="inlineStr">
        <is>
          <t>LIMA</t>
        </is>
      </c>
      <c r="AP148" t="inlineStr">
        <is>
          <t>LINCE</t>
        </is>
      </c>
      <c r="AQ148" s="75" t="n">
        <v>45750</v>
      </c>
      <c r="AR148" s="75" t="n">
        <v>45750</v>
      </c>
      <c r="AS148" t="inlineStr">
        <is>
          <t>SEPARACION</t>
        </is>
      </c>
      <c r="AT148" t="n">
        <v>4</v>
      </c>
      <c r="AU148" t="n">
        <v>10000</v>
      </c>
      <c r="AV148" t="n">
        <v>0</v>
      </c>
      <c r="AW148" t="n">
        <v>0</v>
      </c>
      <c r="AX148" s="39" t="n">
        <v>10000</v>
      </c>
      <c r="AY148" s="39" t="n">
        <v>10000</v>
      </c>
      <c r="AZ148" s="39" t="n">
        <v>0</v>
      </c>
      <c r="BA148" t="n">
        <v>0</v>
      </c>
      <c r="BB148" t="inlineStr">
        <is>
          <t>Crédito Hipotecario</t>
        </is>
      </c>
      <c r="BC148" t="inlineStr">
        <is>
          <t>Scotiabank Perú</t>
        </is>
      </c>
      <c r="BD148" t="inlineStr">
        <is>
          <t>000-2768484</t>
        </is>
      </c>
      <c r="BE148" t="inlineStr">
        <is>
          <t>TRANSFERENCIA BANCARIA</t>
        </is>
      </c>
      <c r="BG148" t="inlineStr">
        <is>
          <t>7848619</t>
        </is>
      </c>
      <c r="BH148" t="inlineStr">
        <is>
          <t>No</t>
        </is>
      </c>
      <c r="BJ148" t="n">
        <v>4</v>
      </c>
      <c r="BK148" t="inlineStr">
        <is>
          <t>CANCELADO</t>
        </is>
      </c>
      <c r="BV148" t="inlineStr">
        <is>
          <t>Si</t>
        </is>
      </c>
      <c r="BW148" s="76" t="n">
        <v>45750.73263888889</v>
      </c>
      <c r="BX148" t="inlineStr">
        <is>
          <t>Carla Michue M</t>
        </is>
      </c>
      <c r="BZ148" t="n">
        <v>5</v>
      </c>
      <c r="CA148" t="inlineStr">
        <is>
          <t>14/07/2026 08:11</t>
        </is>
      </c>
      <c r="CB148" t="n">
        <v>0</v>
      </c>
      <c r="CF148" t="inlineStr">
        <is>
          <t>Cobranzas_2025.csv</t>
        </is>
      </c>
      <c r="CG148" t="n">
        <v>2025</v>
      </c>
      <c r="CH148" t="inlineStr">
        <is>
          <t>01/01/2024</t>
        </is>
      </c>
      <c r="CI148" t="inlineStr">
        <is>
          <t>24/08/2031</t>
        </is>
      </c>
    </row>
    <row r="149">
      <c r="A149" t="inlineStr">
        <is>
          <t>RESIDENCIAL PRADA</t>
        </is>
      </c>
      <c r="B149" t="inlineStr">
        <is>
          <t>Etapa 1</t>
        </is>
      </c>
      <c r="C149" t="inlineStr">
        <is>
          <t>Edificio</t>
        </is>
      </c>
      <c r="D149" t="inlineStr">
        <is>
          <t>A</t>
        </is>
      </c>
      <c r="E149" t="inlineStr">
        <is>
          <t>Departamento</t>
        </is>
      </c>
      <c r="F149" t="inlineStr">
        <is>
          <t>205</t>
        </is>
      </c>
      <c r="G149" t="n">
        <v>68.72</v>
      </c>
      <c r="H149" t="n">
        <v>0</v>
      </c>
      <c r="I149" s="39" t="n">
        <v>490000</v>
      </c>
      <c r="J149" s="39" t="n">
        <v>490000</v>
      </c>
      <c r="Q149" s="39" t="n"/>
      <c r="R149" s="39" t="n"/>
      <c r="Y149" s="39" t="n"/>
      <c r="Z149" s="39" t="n"/>
      <c r="AG149" s="39" t="n"/>
      <c r="AH149" s="39" t="n"/>
      <c r="AI149" t="inlineStr">
        <is>
          <t>Elizabeth Rocio Urbina Ñañez</t>
        </is>
      </c>
      <c r="AJ149" t="inlineStr">
        <is>
          <t>71404863</t>
        </is>
      </c>
      <c r="AK149" t="inlineStr">
        <is>
          <t>Av. Arequipa 2651</t>
        </is>
      </c>
      <c r="AM149" t="inlineStr">
        <is>
          <t>943921218</t>
        </is>
      </c>
      <c r="AN149" t="inlineStr">
        <is>
          <t>elizabethurbina9624@gmail.com</t>
        </is>
      </c>
      <c r="AO149" t="inlineStr">
        <is>
          <t>LIMA</t>
        </is>
      </c>
      <c r="AP149" t="inlineStr">
        <is>
          <t>LINCE</t>
        </is>
      </c>
      <c r="AQ149" s="75" t="n">
        <v>45750</v>
      </c>
      <c r="AR149" s="75" t="n">
        <v>45750</v>
      </c>
      <c r="AS149" t="inlineStr">
        <is>
          <t>CUOTA INICIAL</t>
        </is>
      </c>
      <c r="AT149" t="n">
        <v>1</v>
      </c>
      <c r="AU149" t="n">
        <v>86000</v>
      </c>
      <c r="AV149" t="n">
        <v>0</v>
      </c>
      <c r="AW149" t="n">
        <v>0</v>
      </c>
      <c r="AX149" s="39" t="n">
        <v>86000</v>
      </c>
      <c r="AY149" s="39" t="n">
        <v>86000</v>
      </c>
      <c r="AZ149" s="39" t="n">
        <v>0</v>
      </c>
      <c r="BA149" t="n">
        <v>0</v>
      </c>
      <c r="BB149" t="inlineStr">
        <is>
          <t>Crédito Hipotecario</t>
        </is>
      </c>
      <c r="BC149" t="inlineStr">
        <is>
          <t>Scotiabank Perú</t>
        </is>
      </c>
      <c r="BD149" t="inlineStr">
        <is>
          <t>000-2768484</t>
        </is>
      </c>
      <c r="BE149" t="inlineStr">
        <is>
          <t>TRANSFERENCIA BANCARIA</t>
        </is>
      </c>
      <c r="BG149" t="inlineStr">
        <is>
          <t>7848619</t>
        </is>
      </c>
      <c r="BH149" t="inlineStr">
        <is>
          <t>No</t>
        </is>
      </c>
      <c r="BJ149" t="n">
        <v>4</v>
      </c>
      <c r="BK149" t="inlineStr">
        <is>
          <t>CANCELADO</t>
        </is>
      </c>
      <c r="BV149" t="inlineStr">
        <is>
          <t>Si</t>
        </is>
      </c>
      <c r="BW149" s="76" t="n">
        <v>45750.73263888889</v>
      </c>
      <c r="BX149" t="inlineStr">
        <is>
          <t>Carla Michue M</t>
        </is>
      </c>
      <c r="BZ149" t="n">
        <v>5</v>
      </c>
      <c r="CA149" t="inlineStr">
        <is>
          <t>14/07/2026 08:11</t>
        </is>
      </c>
      <c r="CB149" t="n">
        <v>0</v>
      </c>
      <c r="CF149" t="inlineStr">
        <is>
          <t>Cobranzas_2025.csv</t>
        </is>
      </c>
      <c r="CG149" t="n">
        <v>2025</v>
      </c>
      <c r="CH149" t="inlineStr">
        <is>
          <t>01/01/2024</t>
        </is>
      </c>
      <c r="CI149" t="inlineStr">
        <is>
          <t>24/08/2031</t>
        </is>
      </c>
    </row>
    <row r="150">
      <c r="A150" t="inlineStr">
        <is>
          <t>RESIDENCIAL PRADA</t>
        </is>
      </c>
      <c r="B150" t="inlineStr">
        <is>
          <t>Etapa 1</t>
        </is>
      </c>
      <c r="C150" t="inlineStr">
        <is>
          <t>Edificio</t>
        </is>
      </c>
      <c r="D150" t="inlineStr">
        <is>
          <t>A</t>
        </is>
      </c>
      <c r="E150" t="inlineStr">
        <is>
          <t>Departamento</t>
        </is>
      </c>
      <c r="F150" t="inlineStr">
        <is>
          <t>205</t>
        </is>
      </c>
      <c r="G150" t="n">
        <v>68.72</v>
      </c>
      <c r="H150" t="n">
        <v>0</v>
      </c>
      <c r="I150" s="39" t="n">
        <v>490000</v>
      </c>
      <c r="J150" s="39" t="n">
        <v>490000</v>
      </c>
      <c r="Q150" s="39" t="n"/>
      <c r="R150" s="39" t="n"/>
      <c r="Y150" s="39" t="n"/>
      <c r="Z150" s="39" t="n"/>
      <c r="AG150" s="39" t="n"/>
      <c r="AH150" s="39" t="n"/>
      <c r="AI150" t="inlineStr">
        <is>
          <t>Elizabeth Rocio Urbina Ñañez</t>
        </is>
      </c>
      <c r="AJ150" t="inlineStr">
        <is>
          <t>71404863</t>
        </is>
      </c>
      <c r="AK150" t="inlineStr">
        <is>
          <t>Av. Arequipa 2651</t>
        </is>
      </c>
      <c r="AM150" t="inlineStr">
        <is>
          <t>943921218</t>
        </is>
      </c>
      <c r="AN150" t="inlineStr">
        <is>
          <t>elizabethurbina9624@gmail.com</t>
        </is>
      </c>
      <c r="AO150" t="inlineStr">
        <is>
          <t>LIMA</t>
        </is>
      </c>
      <c r="AP150" t="inlineStr">
        <is>
          <t>LINCE</t>
        </is>
      </c>
      <c r="AQ150" s="75" t="n">
        <v>45777</v>
      </c>
      <c r="AR150" s="75" t="n">
        <v>45900</v>
      </c>
      <c r="AS150" t="inlineStr">
        <is>
          <t>SALDO FINANCIAR</t>
        </is>
      </c>
      <c r="AT150" t="n">
        <v>1</v>
      </c>
      <c r="AU150" t="n">
        <v>392000</v>
      </c>
      <c r="AV150" t="n">
        <v>0</v>
      </c>
      <c r="AW150" t="n">
        <v>0</v>
      </c>
      <c r="AX150" s="39" t="n">
        <v>392000</v>
      </c>
      <c r="AY150" s="39" t="n">
        <v>392000</v>
      </c>
      <c r="AZ150" s="39" t="n">
        <v>0</v>
      </c>
      <c r="BA150" t="n">
        <v>0</v>
      </c>
      <c r="BB150" t="inlineStr">
        <is>
          <t>Crédito Hipotecario</t>
        </is>
      </c>
      <c r="BC150" t="inlineStr">
        <is>
          <t>Scotiabank Perú</t>
        </is>
      </c>
      <c r="BD150" t="inlineStr">
        <is>
          <t>000-2768484</t>
        </is>
      </c>
      <c r="BE150" t="inlineStr">
        <is>
          <t>TRANSFERENCIA BANCARIA</t>
        </is>
      </c>
      <c r="BH150" t="inlineStr">
        <is>
          <t>Si</t>
        </is>
      </c>
      <c r="BJ150" t="n">
        <v>4</v>
      </c>
      <c r="BK150" t="inlineStr">
        <is>
          <t>CANCELADO</t>
        </is>
      </c>
      <c r="BV150" t="inlineStr">
        <is>
          <t>Si</t>
        </is>
      </c>
      <c r="BW150" s="76" t="n">
        <v>45750.73263888889</v>
      </c>
      <c r="BX150" t="inlineStr">
        <is>
          <t>Carla Michue M</t>
        </is>
      </c>
      <c r="BZ150" t="n">
        <v>5</v>
      </c>
      <c r="CA150" t="inlineStr">
        <is>
          <t>07/07/2026 08:37</t>
        </is>
      </c>
      <c r="CB150" t="n">
        <v>0</v>
      </c>
      <c r="CF150" t="inlineStr">
        <is>
          <t>Cobranzas_2025.csv</t>
        </is>
      </c>
      <c r="CG150" t="n">
        <v>2025</v>
      </c>
      <c r="CH150" t="inlineStr">
        <is>
          <t>01/01/2024</t>
        </is>
      </c>
      <c r="CI150" t="inlineStr">
        <is>
          <t>24/08/2031</t>
        </is>
      </c>
    </row>
    <row r="151">
      <c r="A151" t="inlineStr">
        <is>
          <t>RESIDENCIAL PRADA</t>
        </is>
      </c>
      <c r="B151" t="inlineStr">
        <is>
          <t>Etapa 1</t>
        </is>
      </c>
      <c r="C151" t="inlineStr">
        <is>
          <t>Edificio</t>
        </is>
      </c>
      <c r="D151" t="inlineStr">
        <is>
          <t>A</t>
        </is>
      </c>
      <c r="E151" t="inlineStr">
        <is>
          <t>Estacionamiento</t>
        </is>
      </c>
      <c r="F151" t="inlineStr">
        <is>
          <t>E 08</t>
        </is>
      </c>
      <c r="G151" t="n">
        <v>12.5</v>
      </c>
      <c r="H151" t="n">
        <v>0</v>
      </c>
      <c r="I151" s="39" t="n">
        <v>47500</v>
      </c>
      <c r="J151" s="39" t="n">
        <v>47500</v>
      </c>
      <c r="Q151" s="39" t="n"/>
      <c r="R151" s="39" t="n"/>
      <c r="Y151" s="39" t="n"/>
      <c r="Z151" s="39" t="n"/>
      <c r="AG151" s="39" t="n"/>
      <c r="AH151" s="39" t="n"/>
      <c r="AI151" t="inlineStr">
        <is>
          <t>Elizabeth Rocio Urbina Ñañez</t>
        </is>
      </c>
      <c r="AJ151" t="inlineStr">
        <is>
          <t>71404863</t>
        </is>
      </c>
      <c r="AK151" t="inlineStr">
        <is>
          <t>Av. Arequipa 2651</t>
        </is>
      </c>
      <c r="AL151" t="n">
        <v>0</v>
      </c>
      <c r="AM151" t="inlineStr">
        <is>
          <t>943921218</t>
        </is>
      </c>
      <c r="AN151" t="inlineStr">
        <is>
          <t>elizabethurbina9624@gmail.com</t>
        </is>
      </c>
      <c r="AO151" t="inlineStr">
        <is>
          <t>LIMA</t>
        </is>
      </c>
      <c r="AP151" t="inlineStr">
        <is>
          <t>LINCE</t>
        </is>
      </c>
      <c r="AQ151" s="75" t="n">
        <v>45903</v>
      </c>
      <c r="AR151" s="75" t="n">
        <v>45903</v>
      </c>
      <c r="AS151" t="inlineStr">
        <is>
          <t>SEPARACION</t>
        </is>
      </c>
      <c r="AT151" t="n">
        <v>1</v>
      </c>
      <c r="AU151" t="n">
        <v>3000</v>
      </c>
      <c r="AV151" t="n">
        <v>0</v>
      </c>
      <c r="AW151" t="n">
        <v>0</v>
      </c>
      <c r="AX151" s="39" t="n">
        <v>3000</v>
      </c>
      <c r="AY151" s="39" t="n">
        <v>3000</v>
      </c>
      <c r="AZ151" s="39" t="n">
        <v>0</v>
      </c>
      <c r="BA151" t="n">
        <v>0</v>
      </c>
      <c r="BB151" t="inlineStr">
        <is>
          <t>Crédito Directo</t>
        </is>
      </c>
      <c r="BC151" t="inlineStr">
        <is>
          <t>Scotiabank Perú</t>
        </is>
      </c>
      <c r="BD151" t="inlineStr">
        <is>
          <t>000-2768484</t>
        </is>
      </c>
      <c r="BE151" t="inlineStr">
        <is>
          <t>TRANSFERENCIA BANCARIA</t>
        </is>
      </c>
      <c r="BG151" t="inlineStr">
        <is>
          <t>3662503</t>
        </is>
      </c>
      <c r="BH151" t="inlineStr">
        <is>
          <t>No</t>
        </is>
      </c>
      <c r="BJ151" t="n">
        <v>4</v>
      </c>
      <c r="BK151" t="inlineStr">
        <is>
          <t>CANCELADO</t>
        </is>
      </c>
      <c r="BV151" t="inlineStr">
        <is>
          <t>Si</t>
        </is>
      </c>
      <c r="BW151" s="76" t="n">
        <v>45903.68958333333</v>
      </c>
      <c r="BX151" t="inlineStr">
        <is>
          <t>Carla Michue M</t>
        </is>
      </c>
      <c r="BZ151" t="n">
        <v>53</v>
      </c>
      <c r="CA151" t="inlineStr">
        <is>
          <t>03/07/2026 10:22</t>
        </is>
      </c>
      <c r="CB151" t="n">
        <v>0</v>
      </c>
      <c r="CF151" t="inlineStr">
        <is>
          <t>Cobranzas_2025.csv</t>
        </is>
      </c>
      <c r="CG151" t="n">
        <v>2025</v>
      </c>
      <c r="CH151" t="inlineStr">
        <is>
          <t>01/01/2024</t>
        </is>
      </c>
      <c r="CI151" t="inlineStr">
        <is>
          <t>24/08/2031</t>
        </is>
      </c>
    </row>
    <row r="152">
      <c r="A152" t="inlineStr">
        <is>
          <t>RESIDENCIAL PRADA</t>
        </is>
      </c>
      <c r="B152" t="inlineStr">
        <is>
          <t>Etapa 1</t>
        </is>
      </c>
      <c r="C152" t="inlineStr">
        <is>
          <t>Edificio</t>
        </is>
      </c>
      <c r="D152" t="inlineStr">
        <is>
          <t>A</t>
        </is>
      </c>
      <c r="E152" t="inlineStr">
        <is>
          <t>Estacionamiento</t>
        </is>
      </c>
      <c r="F152" t="inlineStr">
        <is>
          <t>E 08</t>
        </is>
      </c>
      <c r="G152" t="n">
        <v>12.5</v>
      </c>
      <c r="H152" t="n">
        <v>0</v>
      </c>
      <c r="I152" s="39" t="n">
        <v>47500</v>
      </c>
      <c r="J152" s="39" t="n">
        <v>47500</v>
      </c>
      <c r="Q152" s="39" t="n"/>
      <c r="R152" s="39" t="n"/>
      <c r="Y152" s="39" t="n"/>
      <c r="Z152" s="39" t="n"/>
      <c r="AG152" s="39" t="n"/>
      <c r="AH152" s="39" t="n"/>
      <c r="AI152" t="inlineStr">
        <is>
          <t>Elizabeth Rocio Urbina Ñañez</t>
        </is>
      </c>
      <c r="AJ152" t="inlineStr">
        <is>
          <t>71404863</t>
        </is>
      </c>
      <c r="AK152" t="inlineStr">
        <is>
          <t>Av. Arequipa 2651</t>
        </is>
      </c>
      <c r="AL152" t="n">
        <v>0</v>
      </c>
      <c r="AM152" t="inlineStr">
        <is>
          <t>943921218</t>
        </is>
      </c>
      <c r="AN152" t="inlineStr">
        <is>
          <t>elizabethurbina9624@gmail.com</t>
        </is>
      </c>
      <c r="AO152" t="inlineStr">
        <is>
          <t>LIMA</t>
        </is>
      </c>
      <c r="AP152" t="inlineStr">
        <is>
          <t>LINCE</t>
        </is>
      </c>
      <c r="AQ152" s="75" t="n">
        <v>45903</v>
      </c>
      <c r="AR152" s="75" t="n">
        <v>45903</v>
      </c>
      <c r="AS152" t="inlineStr">
        <is>
          <t>CUOTA INICIAL</t>
        </is>
      </c>
      <c r="AT152" t="n">
        <v>1</v>
      </c>
      <c r="AU152" t="n">
        <v>7000</v>
      </c>
      <c r="AV152" t="n">
        <v>0</v>
      </c>
      <c r="AW152" t="n">
        <v>0</v>
      </c>
      <c r="AX152" s="39" t="n">
        <v>7000</v>
      </c>
      <c r="AY152" s="39" t="n">
        <v>7000</v>
      </c>
      <c r="AZ152" s="39" t="n">
        <v>0</v>
      </c>
      <c r="BA152" t="n">
        <v>0</v>
      </c>
      <c r="BB152" t="inlineStr">
        <is>
          <t>Crédito Directo</t>
        </is>
      </c>
      <c r="BC152" t="inlineStr">
        <is>
          <t>Scotiabank Perú</t>
        </is>
      </c>
      <c r="BD152" t="inlineStr">
        <is>
          <t>000-2768484</t>
        </is>
      </c>
      <c r="BE152" t="inlineStr">
        <is>
          <t>TRANSFERENCIA BANCARIA</t>
        </is>
      </c>
      <c r="BG152" t="inlineStr">
        <is>
          <t>3662503</t>
        </is>
      </c>
      <c r="BH152" t="inlineStr">
        <is>
          <t>No</t>
        </is>
      </c>
      <c r="BJ152" t="n">
        <v>4</v>
      </c>
      <c r="BK152" t="inlineStr">
        <is>
          <t>CANCELADO</t>
        </is>
      </c>
      <c r="BV152" t="inlineStr">
        <is>
          <t>Si</t>
        </is>
      </c>
      <c r="BW152" s="76" t="n">
        <v>45903.68958333333</v>
      </c>
      <c r="BX152" t="inlineStr">
        <is>
          <t>Carla Michue M</t>
        </is>
      </c>
      <c r="BZ152" t="n">
        <v>53</v>
      </c>
      <c r="CA152" t="inlineStr">
        <is>
          <t>03/07/2026 10:22</t>
        </is>
      </c>
      <c r="CB152" t="n">
        <v>0</v>
      </c>
      <c r="CF152" t="inlineStr">
        <is>
          <t>Cobranzas_2025.csv</t>
        </is>
      </c>
      <c r="CG152" t="n">
        <v>2025</v>
      </c>
      <c r="CH152" t="inlineStr">
        <is>
          <t>01/01/2024</t>
        </is>
      </c>
      <c r="CI152" t="inlineStr">
        <is>
          <t>24/08/2031</t>
        </is>
      </c>
    </row>
    <row r="153">
      <c r="A153" t="inlineStr">
        <is>
          <t>RESIDENCIAL PRADA</t>
        </is>
      </c>
      <c r="B153" t="inlineStr">
        <is>
          <t>Etapa 1</t>
        </is>
      </c>
      <c r="C153" t="inlineStr">
        <is>
          <t>Edificio</t>
        </is>
      </c>
      <c r="D153" t="inlineStr">
        <is>
          <t>A</t>
        </is>
      </c>
      <c r="E153" t="inlineStr">
        <is>
          <t>Estacionamiento</t>
        </is>
      </c>
      <c r="F153" t="inlineStr">
        <is>
          <t>E 08</t>
        </is>
      </c>
      <c r="G153" t="n">
        <v>12.5</v>
      </c>
      <c r="H153" t="n">
        <v>0</v>
      </c>
      <c r="I153" s="39" t="n">
        <v>47500</v>
      </c>
      <c r="J153" s="39" t="n">
        <v>47500</v>
      </c>
      <c r="Q153" s="39" t="n"/>
      <c r="R153" s="39" t="n"/>
      <c r="Y153" s="39" t="n"/>
      <c r="Z153" s="39" t="n"/>
      <c r="AG153" s="39" t="n"/>
      <c r="AH153" s="39" t="n"/>
      <c r="AI153" t="inlineStr">
        <is>
          <t>Elizabeth Rocio Urbina Ñañez</t>
        </is>
      </c>
      <c r="AJ153" t="inlineStr">
        <is>
          <t>71404863</t>
        </is>
      </c>
      <c r="AK153" t="inlineStr">
        <is>
          <t>Av. Arequipa 2651</t>
        </is>
      </c>
      <c r="AL153" t="n">
        <v>0</v>
      </c>
      <c r="AM153" t="inlineStr">
        <is>
          <t>943921218</t>
        </is>
      </c>
      <c r="AN153" t="inlineStr">
        <is>
          <t>elizabethurbina9624@gmail.com</t>
        </is>
      </c>
      <c r="AO153" t="inlineStr">
        <is>
          <t>LIMA</t>
        </is>
      </c>
      <c r="AP153" t="inlineStr">
        <is>
          <t>LINCE</t>
        </is>
      </c>
      <c r="AQ153" s="75" t="n">
        <v>45992</v>
      </c>
      <c r="AR153" s="75" t="n">
        <v>45992</v>
      </c>
      <c r="AS153" t="inlineStr">
        <is>
          <t>SALDO FINANCIAR</t>
        </is>
      </c>
      <c r="AT153" t="n">
        <v>1</v>
      </c>
      <c r="AU153" t="n">
        <v>8000</v>
      </c>
      <c r="AV153" t="n">
        <v>0</v>
      </c>
      <c r="AW153" t="n">
        <v>0</v>
      </c>
      <c r="AX153" s="39" t="n">
        <v>8000</v>
      </c>
      <c r="AY153" s="39" t="n">
        <v>8000</v>
      </c>
      <c r="AZ153" s="39" t="n">
        <v>0</v>
      </c>
      <c r="BA153" t="n">
        <v>0</v>
      </c>
      <c r="BB153" t="inlineStr">
        <is>
          <t>Crédito Directo</t>
        </is>
      </c>
      <c r="BC153" t="inlineStr">
        <is>
          <t>Scotiabank Perú</t>
        </is>
      </c>
      <c r="BD153" t="inlineStr">
        <is>
          <t>000-2768484</t>
        </is>
      </c>
      <c r="BE153" t="inlineStr">
        <is>
          <t>TRANSFERENCIA BANCARIA</t>
        </is>
      </c>
      <c r="BG153" t="inlineStr">
        <is>
          <t>6821104</t>
        </is>
      </c>
      <c r="BH153" t="inlineStr">
        <is>
          <t>No</t>
        </is>
      </c>
      <c r="BJ153" t="n">
        <v>4</v>
      </c>
      <c r="BK153" t="inlineStr">
        <is>
          <t>CANCELADO</t>
        </is>
      </c>
      <c r="BV153" t="inlineStr">
        <is>
          <t>Si</t>
        </is>
      </c>
      <c r="BW153" s="76" t="n">
        <v>45903.68958333333</v>
      </c>
      <c r="BX153" t="inlineStr">
        <is>
          <t>Carla Michue M</t>
        </is>
      </c>
      <c r="BZ153" t="n">
        <v>53</v>
      </c>
      <c r="CA153" t="inlineStr">
        <is>
          <t>03/07/2026 10:25</t>
        </is>
      </c>
      <c r="CB153" t="n">
        <v>0</v>
      </c>
      <c r="CF153" t="inlineStr">
        <is>
          <t>Cobranzas_2025.csv</t>
        </is>
      </c>
      <c r="CG153" t="n">
        <v>2025</v>
      </c>
      <c r="CH153" t="inlineStr">
        <is>
          <t>01/01/2024</t>
        </is>
      </c>
      <c r="CI153" t="inlineStr">
        <is>
          <t>24/08/2031</t>
        </is>
      </c>
    </row>
    <row r="154">
      <c r="A154" t="inlineStr">
        <is>
          <t>RESIDENCIAL PRADA</t>
        </is>
      </c>
      <c r="B154" t="inlineStr">
        <is>
          <t>Etapa 1</t>
        </is>
      </c>
      <c r="C154" t="inlineStr">
        <is>
          <t>Edificio</t>
        </is>
      </c>
      <c r="D154" t="inlineStr">
        <is>
          <t>A</t>
        </is>
      </c>
      <c r="E154" t="inlineStr">
        <is>
          <t>Departamento</t>
        </is>
      </c>
      <c r="F154" t="inlineStr">
        <is>
          <t>101</t>
        </is>
      </c>
      <c r="G154" t="n">
        <v>80.58</v>
      </c>
      <c r="H154" t="n">
        <v>18.9</v>
      </c>
      <c r="I154" s="39" t="n">
        <v>637000</v>
      </c>
      <c r="J154" s="39" t="n">
        <v>637000</v>
      </c>
      <c r="Q154" s="39" t="n"/>
      <c r="R154" s="39" t="n"/>
      <c r="Y154" s="39" t="n"/>
      <c r="Z154" s="39" t="n"/>
      <c r="AG154" s="39" t="n"/>
      <c r="AH154" s="39" t="n"/>
      <c r="AI154" t="inlineStr">
        <is>
          <t>Elmo Calatayud Chumbes</t>
        </is>
      </c>
      <c r="AJ154" t="inlineStr">
        <is>
          <t>15580131</t>
        </is>
      </c>
      <c r="AK154" t="inlineStr">
        <is>
          <t>Avenida Tomas Valles 1530 Block 14 departamento 204</t>
        </is>
      </c>
      <c r="AL154" t="n">
        <v>955600933</v>
      </c>
      <c r="AM154" t="inlineStr">
        <is>
          <t>955600933</t>
        </is>
      </c>
      <c r="AN154" t="inlineStr">
        <is>
          <t>ec.calatayud@gmail.com</t>
        </is>
      </c>
      <c r="AO154" t="inlineStr">
        <is>
          <t>LIMA</t>
        </is>
      </c>
      <c r="AP154" t="inlineStr">
        <is>
          <t>LOS OLIVOS</t>
        </is>
      </c>
      <c r="AQ154" s="75" t="n">
        <v>45723</v>
      </c>
      <c r="AR154" s="75" t="n">
        <v>45723</v>
      </c>
      <c r="AS154" t="inlineStr">
        <is>
          <t>SALDO FINANCIAR</t>
        </is>
      </c>
      <c r="AT154" t="n">
        <v>1</v>
      </c>
      <c r="AU154" t="n">
        <v>573300</v>
      </c>
      <c r="AV154" t="n">
        <v>0</v>
      </c>
      <c r="AW154" t="n">
        <v>0</v>
      </c>
      <c r="AX154" s="39" t="n">
        <v>573300</v>
      </c>
      <c r="AY154" s="39" t="n">
        <v>573300</v>
      </c>
      <c r="AZ154" s="39" t="n">
        <v>0</v>
      </c>
      <c r="BA154" t="n">
        <v>0</v>
      </c>
      <c r="BB154" t="inlineStr">
        <is>
          <t>Crédito Hipotecario</t>
        </is>
      </c>
      <c r="BC154" t="inlineStr">
        <is>
          <t>Scotiabank Perú</t>
        </is>
      </c>
      <c r="BD154" t="inlineStr">
        <is>
          <t>000-2768484</t>
        </is>
      </c>
      <c r="BE154" t="inlineStr">
        <is>
          <t>TRANSFERENCIA BANCARIA</t>
        </is>
      </c>
      <c r="BG154" t="inlineStr">
        <is>
          <t>07032025</t>
        </is>
      </c>
      <c r="BH154" t="inlineStr">
        <is>
          <t>No</t>
        </is>
      </c>
      <c r="BJ154" t="n">
        <v>4</v>
      </c>
      <c r="BK154" t="inlineStr">
        <is>
          <t>CANCELADO</t>
        </is>
      </c>
      <c r="BV154" t="inlineStr">
        <is>
          <t>Si</t>
        </is>
      </c>
      <c r="BW154" s="76" t="n">
        <v>45626.65</v>
      </c>
      <c r="BX154" t="inlineStr">
        <is>
          <t>Carla Michue M</t>
        </is>
      </c>
      <c r="BZ154" t="n">
        <v>25</v>
      </c>
      <c r="CA154" t="inlineStr">
        <is>
          <t>26/06/2026 14:57</t>
        </is>
      </c>
      <c r="CB154" t="n">
        <v>0</v>
      </c>
      <c r="CF154" t="inlineStr">
        <is>
          <t>Cobranzas_2025.csv</t>
        </is>
      </c>
      <c r="CG154" t="n">
        <v>2025</v>
      </c>
      <c r="CH154" t="inlineStr">
        <is>
          <t>01/01/2024</t>
        </is>
      </c>
      <c r="CI154" t="inlineStr">
        <is>
          <t>24/08/2031</t>
        </is>
      </c>
    </row>
    <row r="155">
      <c r="A155" t="inlineStr">
        <is>
          <t>RESIDENCIAL PRADA</t>
        </is>
      </c>
      <c r="B155" t="inlineStr">
        <is>
          <t>Etapa 1</t>
        </is>
      </c>
      <c r="C155" t="inlineStr">
        <is>
          <t>Edificio</t>
        </is>
      </c>
      <c r="D155" t="inlineStr">
        <is>
          <t>A</t>
        </is>
      </c>
      <c r="E155" t="inlineStr">
        <is>
          <t>Estacionamiento</t>
        </is>
      </c>
      <c r="F155" t="inlineStr">
        <is>
          <t>E 13 - D 10</t>
        </is>
      </c>
      <c r="G155" t="n">
        <v>12.86</v>
      </c>
      <c r="H155" t="n">
        <v>3</v>
      </c>
      <c r="I155" s="39" t="n">
        <v>57800</v>
      </c>
      <c r="J155" s="39" t="n">
        <v>57800</v>
      </c>
      <c r="Q155" s="39" t="n"/>
      <c r="R155" s="39" t="n"/>
      <c r="Y155" s="39" t="n"/>
      <c r="Z155" s="39" t="n"/>
      <c r="AG155" s="39" t="n"/>
      <c r="AH155" s="39" t="n"/>
      <c r="AI155" t="inlineStr">
        <is>
          <t>Elmo Calatayud Chumbes</t>
        </is>
      </c>
      <c r="AJ155" t="inlineStr">
        <is>
          <t>15580131</t>
        </is>
      </c>
      <c r="AK155" t="inlineStr">
        <is>
          <t>Avenida Tomas Valles 1530 Block 14 departamento 204</t>
        </is>
      </c>
      <c r="AL155" t="n">
        <v>955600933</v>
      </c>
      <c r="AM155" t="inlineStr">
        <is>
          <t>955600933</t>
        </is>
      </c>
      <c r="AN155" t="inlineStr">
        <is>
          <t>ec.calatayud@gmail.com</t>
        </is>
      </c>
      <c r="AO155" t="inlineStr">
        <is>
          <t>LIMA</t>
        </is>
      </c>
      <c r="AP155" t="inlineStr">
        <is>
          <t>LOS OLIVOS</t>
        </is>
      </c>
      <c r="AQ155" s="75" t="n">
        <v>45831</v>
      </c>
      <c r="AR155" s="75" t="n">
        <v>45831</v>
      </c>
      <c r="AS155" t="inlineStr">
        <is>
          <t>SEPARACION</t>
        </is>
      </c>
      <c r="AT155" t="n">
        <v>1</v>
      </c>
      <c r="AU155" t="n">
        <v>3000</v>
      </c>
      <c r="AV155" t="n">
        <v>0</v>
      </c>
      <c r="AW155" t="n">
        <v>0</v>
      </c>
      <c r="AX155" s="39" t="n">
        <v>3000</v>
      </c>
      <c r="AY155" s="39" t="n">
        <v>3000</v>
      </c>
      <c r="AZ155" s="39" t="n">
        <v>0</v>
      </c>
      <c r="BA155" t="n">
        <v>0</v>
      </c>
      <c r="BB155" t="inlineStr">
        <is>
          <t>Crédito Directo</t>
        </is>
      </c>
      <c r="BC155" t="inlineStr">
        <is>
          <t>Scotiabank Perú</t>
        </is>
      </c>
      <c r="BD155" t="inlineStr">
        <is>
          <t>000-2768484</t>
        </is>
      </c>
      <c r="BE155" t="inlineStr">
        <is>
          <t>TRANSFERENCIA BANCARIA</t>
        </is>
      </c>
      <c r="BG155" t="inlineStr">
        <is>
          <t>7844655526730</t>
        </is>
      </c>
      <c r="BH155" t="inlineStr">
        <is>
          <t>No</t>
        </is>
      </c>
      <c r="BJ155" t="n">
        <v>4</v>
      </c>
      <c r="BK155" t="inlineStr">
        <is>
          <t>CANCELADO</t>
        </is>
      </c>
      <c r="BV155" t="inlineStr">
        <is>
          <t>Si</t>
        </is>
      </c>
      <c r="BW155" s="76" t="n">
        <v>46083.42569444444</v>
      </c>
      <c r="BX155" t="inlineStr">
        <is>
          <t>Magaly Guevara Perez</t>
        </is>
      </c>
      <c r="BZ155" t="n">
        <v>61</v>
      </c>
      <c r="CA155" t="inlineStr">
        <is>
          <t>26/06/2026 15:26</t>
        </is>
      </c>
      <c r="CB155" t="n">
        <v>0</v>
      </c>
      <c r="CF155" t="inlineStr">
        <is>
          <t>Cobranzas_2025.csv</t>
        </is>
      </c>
      <c r="CG155" t="n">
        <v>2025</v>
      </c>
      <c r="CH155" t="inlineStr">
        <is>
          <t>01/01/2024</t>
        </is>
      </c>
      <c r="CI155" t="inlineStr">
        <is>
          <t>24/08/2031</t>
        </is>
      </c>
    </row>
    <row r="156">
      <c r="A156" t="inlineStr">
        <is>
          <t>RESIDENCIAL PRADA</t>
        </is>
      </c>
      <c r="B156" t="inlineStr">
        <is>
          <t>Etapa 1</t>
        </is>
      </c>
      <c r="C156" t="inlineStr">
        <is>
          <t>Edificio</t>
        </is>
      </c>
      <c r="D156" t="inlineStr">
        <is>
          <t>A</t>
        </is>
      </c>
      <c r="E156" t="inlineStr">
        <is>
          <t>Estacionamiento</t>
        </is>
      </c>
      <c r="F156" t="inlineStr">
        <is>
          <t>E 13 - D 10</t>
        </is>
      </c>
      <c r="G156" t="n">
        <v>12.86</v>
      </c>
      <c r="H156" t="n">
        <v>3</v>
      </c>
      <c r="I156" s="39" t="n">
        <v>57800</v>
      </c>
      <c r="J156" s="39" t="n">
        <v>57800</v>
      </c>
      <c r="Q156" s="39" t="n"/>
      <c r="R156" s="39" t="n"/>
      <c r="Y156" s="39" t="n"/>
      <c r="Z156" s="39" t="n"/>
      <c r="AG156" s="39" t="n"/>
      <c r="AH156" s="39" t="n"/>
      <c r="AI156" t="inlineStr">
        <is>
          <t>Elmo Calatayud Chumbes</t>
        </is>
      </c>
      <c r="AJ156" t="inlineStr">
        <is>
          <t>15580131</t>
        </is>
      </c>
      <c r="AK156" t="inlineStr">
        <is>
          <t>Avenida Tomas Valles 1530 Block 14 departamento 204</t>
        </is>
      </c>
      <c r="AL156" t="n">
        <v>955600933</v>
      </c>
      <c r="AM156" t="inlineStr">
        <is>
          <t>955600933</t>
        </is>
      </c>
      <c r="AN156" t="inlineStr">
        <is>
          <t>ec.calatayud@gmail.com</t>
        </is>
      </c>
      <c r="AO156" t="inlineStr">
        <is>
          <t>LIMA</t>
        </is>
      </c>
      <c r="AP156" t="inlineStr">
        <is>
          <t>LOS OLIVOS</t>
        </is>
      </c>
      <c r="AQ156" s="75" t="n">
        <v>45853</v>
      </c>
      <c r="AR156" s="75" t="n">
        <v>45853</v>
      </c>
      <c r="AS156" t="inlineStr">
        <is>
          <t>CUOTA INICIAL</t>
        </is>
      </c>
      <c r="AT156" t="n">
        <v>1</v>
      </c>
      <c r="AU156" t="n">
        <v>7000</v>
      </c>
      <c r="AV156" t="n">
        <v>0</v>
      </c>
      <c r="AW156" t="n">
        <v>0</v>
      </c>
      <c r="AX156" s="39" t="n">
        <v>7000</v>
      </c>
      <c r="AY156" s="39" t="n">
        <v>7000</v>
      </c>
      <c r="AZ156" s="39" t="n">
        <v>0</v>
      </c>
      <c r="BA156" t="n">
        <v>0</v>
      </c>
      <c r="BB156" t="inlineStr">
        <is>
          <t>Crédito Directo</t>
        </is>
      </c>
      <c r="BC156" t="inlineStr">
        <is>
          <t>Scotiabank Perú</t>
        </is>
      </c>
      <c r="BD156" t="inlineStr">
        <is>
          <t>000-2768484</t>
        </is>
      </c>
      <c r="BE156" t="inlineStr">
        <is>
          <t>TRANSFERENCIA BANCARIA</t>
        </is>
      </c>
      <c r="BG156" t="inlineStr">
        <is>
          <t>7844655573192</t>
        </is>
      </c>
      <c r="BH156" t="inlineStr">
        <is>
          <t>No</t>
        </is>
      </c>
      <c r="BJ156" t="n">
        <v>4</v>
      </c>
      <c r="BK156" t="inlineStr">
        <is>
          <t>CANCELADO</t>
        </is>
      </c>
      <c r="BV156" t="inlineStr">
        <is>
          <t>Si</t>
        </is>
      </c>
      <c r="BW156" s="76" t="n">
        <v>46083.42569444444</v>
      </c>
      <c r="BX156" t="inlineStr">
        <is>
          <t>Magaly Guevara Perez</t>
        </is>
      </c>
      <c r="BZ156" t="n">
        <v>61</v>
      </c>
      <c r="CA156" t="inlineStr">
        <is>
          <t>26/06/2026 15:29</t>
        </is>
      </c>
      <c r="CB156" t="n">
        <v>0</v>
      </c>
      <c r="CF156" t="inlineStr">
        <is>
          <t>Cobranzas_2025.csv</t>
        </is>
      </c>
      <c r="CG156" t="n">
        <v>2025</v>
      </c>
      <c r="CH156" t="inlineStr">
        <is>
          <t>01/01/2024</t>
        </is>
      </c>
      <c r="CI156" t="inlineStr">
        <is>
          <t>24/08/2031</t>
        </is>
      </c>
    </row>
    <row r="157">
      <c r="A157" t="inlineStr">
        <is>
          <t>RESIDENCIAL BEYOND</t>
        </is>
      </c>
      <c r="B157" t="inlineStr">
        <is>
          <t>Etapa 1</t>
        </is>
      </c>
      <c r="C157" t="inlineStr">
        <is>
          <t>Edificio</t>
        </is>
      </c>
      <c r="D157" t="inlineStr">
        <is>
          <t>A</t>
        </is>
      </c>
      <c r="E157" t="inlineStr">
        <is>
          <t>Departamento</t>
        </is>
      </c>
      <c r="F157" t="inlineStr">
        <is>
          <t>403</t>
        </is>
      </c>
      <c r="G157" t="n">
        <v>68</v>
      </c>
      <c r="H157" t="n">
        <v>0</v>
      </c>
      <c r="I157" s="39" t="n">
        <v>504700</v>
      </c>
      <c r="J157" s="39" t="n">
        <v>459100</v>
      </c>
      <c r="K157" t="inlineStr">
        <is>
          <t>Edificio</t>
        </is>
      </c>
      <c r="L157" t="inlineStr">
        <is>
          <t>A</t>
        </is>
      </c>
      <c r="M157" t="inlineStr">
        <is>
          <t>Estacionamiento</t>
        </is>
      </c>
      <c r="N157" t="inlineStr">
        <is>
          <t>E 06</t>
        </is>
      </c>
      <c r="O157" t="n">
        <v>12</v>
      </c>
      <c r="P157" t="n">
        <v>0</v>
      </c>
      <c r="Q157" s="39" t="n">
        <v>45600</v>
      </c>
      <c r="R157" s="39" t="n">
        <v>45600</v>
      </c>
      <c r="Y157" s="39" t="n"/>
      <c r="Z157" s="39" t="n"/>
      <c r="AG157" s="39" t="n"/>
      <c r="AH157" s="39" t="n"/>
      <c r="AI157" t="inlineStr">
        <is>
          <t>Erla Liseth Carhuavilca Pérez</t>
        </is>
      </c>
      <c r="AJ157" t="inlineStr">
        <is>
          <t>40642153</t>
        </is>
      </c>
      <c r="AK157" t="inlineStr">
        <is>
          <t>Av. Bolivia 848 Dpto. 504</t>
        </is>
      </c>
      <c r="AL157" t="n">
        <v>0</v>
      </c>
      <c r="AM157" t="inlineStr">
        <is>
          <t>999200216</t>
        </is>
      </c>
      <c r="AN157" t="inlineStr">
        <is>
          <t>grecialiseth26@gmail.com</t>
        </is>
      </c>
      <c r="AO157" t="inlineStr">
        <is>
          <t>LIMA</t>
        </is>
      </c>
      <c r="AP157" t="inlineStr">
        <is>
          <t>BREÑA</t>
        </is>
      </c>
      <c r="AQ157" s="75" t="n">
        <v>46001</v>
      </c>
      <c r="AR157" s="75" t="n">
        <v>46001</v>
      </c>
      <c r="AS157" t="inlineStr">
        <is>
          <t>SEPARACION</t>
        </is>
      </c>
      <c r="AT157" t="n">
        <v>1</v>
      </c>
      <c r="AU157" t="n">
        <v>3000</v>
      </c>
      <c r="AV157" t="n">
        <v>0</v>
      </c>
      <c r="AW157" t="n">
        <v>0</v>
      </c>
      <c r="AX157" s="39" t="n">
        <v>3000</v>
      </c>
      <c r="AY157" s="39" t="n">
        <v>3000</v>
      </c>
      <c r="AZ157" s="39" t="n">
        <v>0</v>
      </c>
      <c r="BA157" t="n">
        <v>0</v>
      </c>
      <c r="BB157" t="inlineStr">
        <is>
          <t>Ahorro</t>
        </is>
      </c>
      <c r="BC157" t="inlineStr">
        <is>
          <t>Banco de Credito del Perú</t>
        </is>
      </c>
      <c r="BD157" t="inlineStr">
        <is>
          <t>194-7325779-0-65</t>
        </is>
      </c>
      <c r="BE157" t="inlineStr">
        <is>
          <t>TRANSFERENCIA BANCARIA</t>
        </is>
      </c>
      <c r="BG157" t="inlineStr">
        <is>
          <t>7844651999205</t>
        </is>
      </c>
      <c r="BH157" t="inlineStr">
        <is>
          <t>No</t>
        </is>
      </c>
      <c r="BJ157" t="n">
        <v>4</v>
      </c>
      <c r="BK157" t="inlineStr">
        <is>
          <t>CANCELADO</t>
        </is>
      </c>
      <c r="BV157" t="inlineStr">
        <is>
          <t>Si</t>
        </is>
      </c>
      <c r="BW157" s="76" t="n">
        <v>46017.42569444444</v>
      </c>
      <c r="BX157" t="inlineStr">
        <is>
          <t>Magaly Guevara Perez</t>
        </is>
      </c>
      <c r="BZ157" t="n">
        <v>28</v>
      </c>
      <c r="CA157" t="inlineStr">
        <is>
          <t>01/05/2026 17:44</t>
        </is>
      </c>
      <c r="CB157" t="n">
        <v>0</v>
      </c>
      <c r="CF157" t="inlineStr">
        <is>
          <t>Cobranzas_2025.csv</t>
        </is>
      </c>
      <c r="CG157" t="n">
        <v>2025</v>
      </c>
      <c r="CH157" t="inlineStr">
        <is>
          <t>01/01/2024</t>
        </is>
      </c>
      <c r="CI157" t="inlineStr">
        <is>
          <t>24/08/2031</t>
        </is>
      </c>
    </row>
    <row r="158">
      <c r="A158" t="inlineStr">
        <is>
          <t>RESIDENCIAL BEYOND</t>
        </is>
      </c>
      <c r="B158" t="inlineStr">
        <is>
          <t>Etapa 1</t>
        </is>
      </c>
      <c r="C158" t="inlineStr">
        <is>
          <t>Edificio</t>
        </is>
      </c>
      <c r="D158" t="inlineStr">
        <is>
          <t>A</t>
        </is>
      </c>
      <c r="E158" t="inlineStr">
        <is>
          <t>Departamento</t>
        </is>
      </c>
      <c r="F158" t="inlineStr">
        <is>
          <t>403</t>
        </is>
      </c>
      <c r="G158" t="n">
        <v>68</v>
      </c>
      <c r="H158" t="n">
        <v>0</v>
      </c>
      <c r="I158" s="39" t="n">
        <v>504700</v>
      </c>
      <c r="J158" s="39" t="n">
        <v>459100</v>
      </c>
      <c r="K158" t="inlineStr">
        <is>
          <t>Edificio</t>
        </is>
      </c>
      <c r="L158" t="inlineStr">
        <is>
          <t>A</t>
        </is>
      </c>
      <c r="M158" t="inlineStr">
        <is>
          <t>Estacionamiento</t>
        </is>
      </c>
      <c r="N158" t="inlineStr">
        <is>
          <t>E 06</t>
        </is>
      </c>
      <c r="O158" t="n">
        <v>12</v>
      </c>
      <c r="P158" t="n">
        <v>0</v>
      </c>
      <c r="Q158" s="39" t="n">
        <v>45600</v>
      </c>
      <c r="R158" s="39" t="n">
        <v>45600</v>
      </c>
      <c r="Y158" s="39" t="n"/>
      <c r="Z158" s="39" t="n"/>
      <c r="AG158" s="39" t="n"/>
      <c r="AH158" s="39" t="n"/>
      <c r="AI158" t="inlineStr">
        <is>
          <t>Erla Liseth Carhuavilca Pérez</t>
        </is>
      </c>
      <c r="AJ158" t="inlineStr">
        <is>
          <t>40642153</t>
        </is>
      </c>
      <c r="AK158" t="inlineStr">
        <is>
          <t>Av. Bolivia 848 Dpto. 504</t>
        </is>
      </c>
      <c r="AL158" t="n">
        <v>0</v>
      </c>
      <c r="AM158" t="inlineStr">
        <is>
          <t>999200216</t>
        </is>
      </c>
      <c r="AN158" t="inlineStr">
        <is>
          <t>grecialiseth26@gmail.com</t>
        </is>
      </c>
      <c r="AO158" t="inlineStr">
        <is>
          <t>LIMA</t>
        </is>
      </c>
      <c r="AP158" t="inlineStr">
        <is>
          <t>BREÑA</t>
        </is>
      </c>
      <c r="AQ158" s="75" t="n">
        <v>46017</v>
      </c>
      <c r="AR158" s="75" t="n">
        <v>46017</v>
      </c>
      <c r="AS158" t="inlineStr">
        <is>
          <t>CUOTA INICIAL</t>
        </is>
      </c>
      <c r="AT158" t="n">
        <v>1</v>
      </c>
      <c r="AU158" t="n">
        <v>10000</v>
      </c>
      <c r="AV158" t="n">
        <v>0</v>
      </c>
      <c r="AW158" t="n">
        <v>0</v>
      </c>
      <c r="AX158" s="39" t="n">
        <v>10000</v>
      </c>
      <c r="AY158" s="39" t="n">
        <v>10000</v>
      </c>
      <c r="AZ158" s="39" t="n">
        <v>0</v>
      </c>
      <c r="BA158" t="n">
        <v>0</v>
      </c>
      <c r="BB158" t="inlineStr">
        <is>
          <t>Ahorro</t>
        </is>
      </c>
      <c r="BC158" t="inlineStr">
        <is>
          <t>Banco de Credito del Perú</t>
        </is>
      </c>
      <c r="BD158" t="inlineStr">
        <is>
          <t>194-7325779-0-65</t>
        </is>
      </c>
      <c r="BE158" t="inlineStr">
        <is>
          <t>TRANSFERENCIA BANCARIA</t>
        </is>
      </c>
      <c r="BG158" t="inlineStr">
        <is>
          <t>784 465 192 8952</t>
        </is>
      </c>
      <c r="BH158" t="inlineStr">
        <is>
          <t>No</t>
        </is>
      </c>
      <c r="BJ158" t="n">
        <v>4</v>
      </c>
      <c r="BK158" t="inlineStr">
        <is>
          <t>CANCELADO</t>
        </is>
      </c>
      <c r="BV158" t="inlineStr">
        <is>
          <t>Si</t>
        </is>
      </c>
      <c r="BW158" s="76" t="n">
        <v>46017.42569444444</v>
      </c>
      <c r="BX158" t="inlineStr">
        <is>
          <t>Magaly Guevara Perez</t>
        </is>
      </c>
      <c r="BZ158" t="n">
        <v>28</v>
      </c>
      <c r="CA158" t="inlineStr">
        <is>
          <t>27/07/2026 17:02</t>
        </is>
      </c>
      <c r="CB158" t="n">
        <v>0</v>
      </c>
      <c r="CF158" t="inlineStr">
        <is>
          <t>Cobranzas_2025.csv</t>
        </is>
      </c>
      <c r="CG158" t="n">
        <v>2025</v>
      </c>
      <c r="CH158" t="inlineStr">
        <is>
          <t>01/01/2024</t>
        </is>
      </c>
      <c r="CI158" t="inlineStr">
        <is>
          <t>24/08/2031</t>
        </is>
      </c>
    </row>
    <row r="159">
      <c r="A159" t="inlineStr">
        <is>
          <t>RESIDENCIAL VENECIA</t>
        </is>
      </c>
      <c r="B159" t="inlineStr">
        <is>
          <t>Etapa 1</t>
        </is>
      </c>
      <c r="C159" t="inlineStr">
        <is>
          <t>Edificio</t>
        </is>
      </c>
      <c r="D159" t="inlineStr">
        <is>
          <t>A</t>
        </is>
      </c>
      <c r="E159" t="inlineStr">
        <is>
          <t>Departamento</t>
        </is>
      </c>
      <c r="F159" t="inlineStr">
        <is>
          <t>404</t>
        </is>
      </c>
      <c r="G159" t="n">
        <v>67</v>
      </c>
      <c r="H159" t="n">
        <v>0</v>
      </c>
      <c r="I159" s="39" t="n">
        <v>430000</v>
      </c>
      <c r="J159" s="39" t="n">
        <v>430000</v>
      </c>
      <c r="Q159" s="39" t="n"/>
      <c r="R159" s="39" t="n"/>
      <c r="Y159" s="39" t="n"/>
      <c r="Z159" s="39" t="n"/>
      <c r="AG159" s="39" t="n"/>
      <c r="AH159" s="39" t="n"/>
      <c r="AI159" t="inlineStr">
        <is>
          <t>Evelyn Arciela Leon Estela</t>
        </is>
      </c>
      <c r="AJ159" t="inlineStr">
        <is>
          <t>70313948</t>
        </is>
      </c>
      <c r="AK159" t="inlineStr">
        <is>
          <t xml:space="preserve">Segunda Etapa.Mz 41 Lt. 35 -Urb. Torre Blanca </t>
        </is>
      </c>
      <c r="AL159" t="n">
        <v>0</v>
      </c>
      <c r="AM159" t="inlineStr">
        <is>
          <t>980746975</t>
        </is>
      </c>
      <c r="AN159" t="inlineStr">
        <is>
          <t>eale.050791@gmail.com</t>
        </is>
      </c>
      <c r="AO159" t="inlineStr">
        <is>
          <t>LIMA</t>
        </is>
      </c>
      <c r="AP159" t="inlineStr">
        <is>
          <t>CARABAYLLO</t>
        </is>
      </c>
      <c r="AQ159" s="75" t="n">
        <v>45918</v>
      </c>
      <c r="AR159" s="75" t="n">
        <v>45918</v>
      </c>
      <c r="AS159" t="inlineStr">
        <is>
          <t>SEPARACION</t>
        </is>
      </c>
      <c r="AT159" t="n">
        <v>1</v>
      </c>
      <c r="AU159" t="n">
        <v>3000</v>
      </c>
      <c r="AV159" t="n">
        <v>0</v>
      </c>
      <c r="AW159" t="n">
        <v>0</v>
      </c>
      <c r="AX159" s="39" t="n">
        <v>3000</v>
      </c>
      <c r="AY159" s="39" t="n">
        <v>3000</v>
      </c>
      <c r="AZ159" s="39" t="n">
        <v>0</v>
      </c>
      <c r="BA159" t="n">
        <v>0</v>
      </c>
      <c r="BB159" t="inlineStr">
        <is>
          <t>Crédito Hipotecario</t>
        </is>
      </c>
      <c r="BC159" t="inlineStr">
        <is>
          <t>Scotiabank Perú</t>
        </is>
      </c>
      <c r="BD159" t="inlineStr">
        <is>
          <t>0004071419</t>
        </is>
      </c>
      <c r="BE159" t="inlineStr">
        <is>
          <t>TRANSFERENCIA BANCARIA</t>
        </is>
      </c>
      <c r="BG159" t="inlineStr">
        <is>
          <t>05327974</t>
        </is>
      </c>
      <c r="BH159" t="inlineStr">
        <is>
          <t>No</t>
        </is>
      </c>
      <c r="BJ159" t="n">
        <v>4</v>
      </c>
      <c r="BK159" t="inlineStr">
        <is>
          <t>CANCELADO</t>
        </is>
      </c>
      <c r="BV159" t="inlineStr">
        <is>
          <t>Si</t>
        </is>
      </c>
      <c r="BW159" s="76" t="n">
        <v>46178.34166666667</v>
      </c>
      <c r="BX159" t="inlineStr">
        <is>
          <t>Magaly Guevara Perez</t>
        </is>
      </c>
      <c r="BZ159" t="n">
        <v>8</v>
      </c>
      <c r="CA159" t="inlineStr">
        <is>
          <t>24/05/2026 19:12</t>
        </is>
      </c>
      <c r="CB159" t="n">
        <v>0</v>
      </c>
      <c r="CF159" t="inlineStr">
        <is>
          <t>Cobranzas_2025.csv</t>
        </is>
      </c>
      <c r="CG159" t="n">
        <v>2025</v>
      </c>
      <c r="CH159" t="inlineStr">
        <is>
          <t>01/01/2024</t>
        </is>
      </c>
      <c r="CI159" t="inlineStr">
        <is>
          <t>24/08/2031</t>
        </is>
      </c>
    </row>
    <row r="160">
      <c r="A160" t="inlineStr">
        <is>
          <t>RESIDENCIAL VENECIA</t>
        </is>
      </c>
      <c r="B160" t="inlineStr">
        <is>
          <t>Etapa 1</t>
        </is>
      </c>
      <c r="C160" t="inlineStr">
        <is>
          <t>Edificio</t>
        </is>
      </c>
      <c r="D160" t="inlineStr">
        <is>
          <t>A</t>
        </is>
      </c>
      <c r="E160" t="inlineStr">
        <is>
          <t>Departamento</t>
        </is>
      </c>
      <c r="F160" t="inlineStr">
        <is>
          <t>404</t>
        </is>
      </c>
      <c r="G160" t="n">
        <v>67</v>
      </c>
      <c r="H160" t="n">
        <v>0</v>
      </c>
      <c r="I160" s="39" t="n">
        <v>430000</v>
      </c>
      <c r="J160" s="39" t="n">
        <v>430000</v>
      </c>
      <c r="Q160" s="39" t="n"/>
      <c r="R160" s="39" t="n"/>
      <c r="Y160" s="39" t="n"/>
      <c r="Z160" s="39" t="n"/>
      <c r="AG160" s="39" t="n"/>
      <c r="AH160" s="39" t="n"/>
      <c r="AI160" t="inlineStr">
        <is>
          <t>Evelyn Arciela Leon Estela</t>
        </is>
      </c>
      <c r="AJ160" t="inlineStr">
        <is>
          <t>70313948</t>
        </is>
      </c>
      <c r="AK160" t="inlineStr">
        <is>
          <t xml:space="preserve">Segunda Etapa.Mz 41 Lt. 35 -Urb. Torre Blanca </t>
        </is>
      </c>
      <c r="AL160" t="n">
        <v>0</v>
      </c>
      <c r="AM160" t="inlineStr">
        <is>
          <t>980746975</t>
        </is>
      </c>
      <c r="AN160" t="inlineStr">
        <is>
          <t>eale.050791@gmail.com</t>
        </is>
      </c>
      <c r="AO160" t="inlineStr">
        <is>
          <t>LIMA</t>
        </is>
      </c>
      <c r="AP160" t="inlineStr">
        <is>
          <t>CARABAYLLO</t>
        </is>
      </c>
      <c r="AQ160" s="75" t="n">
        <v>45932</v>
      </c>
      <c r="AR160" s="75" t="n">
        <v>45932</v>
      </c>
      <c r="AS160" t="inlineStr">
        <is>
          <t>CUOTA INICIAL</t>
        </is>
      </c>
      <c r="AT160" t="n">
        <v>1</v>
      </c>
      <c r="AU160" t="n">
        <v>40000</v>
      </c>
      <c r="AV160" t="n">
        <v>0</v>
      </c>
      <c r="AW160" t="n">
        <v>0</v>
      </c>
      <c r="AX160" s="39" t="n">
        <v>40000</v>
      </c>
      <c r="AY160" s="39" t="n">
        <v>40000</v>
      </c>
      <c r="AZ160" s="39" t="n">
        <v>0</v>
      </c>
      <c r="BA160" t="n">
        <v>0</v>
      </c>
      <c r="BB160" t="inlineStr">
        <is>
          <t>Crédito Hipotecario</t>
        </is>
      </c>
      <c r="BC160" t="inlineStr">
        <is>
          <t>Scotiabank Perú</t>
        </is>
      </c>
      <c r="BD160" t="inlineStr">
        <is>
          <t>0004071419</t>
        </is>
      </c>
      <c r="BE160" t="inlineStr">
        <is>
          <t>TRANSFERENCIA BANCARIA</t>
        </is>
      </c>
      <c r="BG160" t="inlineStr">
        <is>
          <t>0285192</t>
        </is>
      </c>
      <c r="BH160" t="inlineStr">
        <is>
          <t>No</t>
        </is>
      </c>
      <c r="BJ160" t="n">
        <v>4</v>
      </c>
      <c r="BK160" t="inlineStr">
        <is>
          <t>CANCELADO</t>
        </is>
      </c>
      <c r="BV160" t="inlineStr">
        <is>
          <t>Si</t>
        </is>
      </c>
      <c r="BW160" s="76" t="n">
        <v>46178.34166666667</v>
      </c>
      <c r="BX160" t="inlineStr">
        <is>
          <t>Magaly Guevara Perez</t>
        </is>
      </c>
      <c r="BZ160" t="n">
        <v>8</v>
      </c>
      <c r="CA160" t="inlineStr">
        <is>
          <t>24/05/2026 19:16</t>
        </is>
      </c>
      <c r="CB160" t="n">
        <v>0</v>
      </c>
      <c r="CF160" t="inlineStr">
        <is>
          <t>Cobranzas_2025.csv</t>
        </is>
      </c>
      <c r="CG160" t="n">
        <v>2025</v>
      </c>
      <c r="CH160" t="inlineStr">
        <is>
          <t>01/01/2024</t>
        </is>
      </c>
      <c r="CI160" t="inlineStr">
        <is>
          <t>24/08/2031</t>
        </is>
      </c>
    </row>
    <row r="161">
      <c r="A161" t="inlineStr">
        <is>
          <t>RESIDENCIAL VENECIA</t>
        </is>
      </c>
      <c r="B161" t="inlineStr">
        <is>
          <t>Etapa 1</t>
        </is>
      </c>
      <c r="C161" t="inlineStr">
        <is>
          <t>Edificio</t>
        </is>
      </c>
      <c r="D161" t="inlineStr">
        <is>
          <t>A</t>
        </is>
      </c>
      <c r="E161" t="inlineStr">
        <is>
          <t>Estacionamiento</t>
        </is>
      </c>
      <c r="F161" t="inlineStr">
        <is>
          <t>E 04</t>
        </is>
      </c>
      <c r="G161" t="n">
        <v>13.63</v>
      </c>
      <c r="H161" t="n">
        <v>0</v>
      </c>
      <c r="I161" s="39" t="n">
        <v>48500</v>
      </c>
      <c r="J161" s="39" t="n">
        <v>48500</v>
      </c>
      <c r="Q161" s="39" t="n"/>
      <c r="R161" s="39" t="n"/>
      <c r="Y161" s="39" t="n"/>
      <c r="Z161" s="39" t="n"/>
      <c r="AG161" s="39" t="n"/>
      <c r="AH161" s="39" t="n"/>
      <c r="AI161" t="inlineStr">
        <is>
          <t>Evelyn Arciela Leon Estela</t>
        </is>
      </c>
      <c r="AJ161" t="inlineStr">
        <is>
          <t>70313948</t>
        </is>
      </c>
      <c r="AK161" t="inlineStr">
        <is>
          <t xml:space="preserve">Segunda Etapa.Mz 41 Lt. 35 -Urb. Torre Blanca </t>
        </is>
      </c>
      <c r="AL161" t="n">
        <v>0</v>
      </c>
      <c r="AM161" t="inlineStr">
        <is>
          <t>980746975</t>
        </is>
      </c>
      <c r="AN161" t="inlineStr">
        <is>
          <t>eale.050791@gmail.com</t>
        </is>
      </c>
      <c r="AO161" t="inlineStr">
        <is>
          <t>LIMA</t>
        </is>
      </c>
      <c r="AP161" t="inlineStr">
        <is>
          <t>CARABAYLLO</t>
        </is>
      </c>
      <c r="AQ161" s="75" t="n">
        <v>45928</v>
      </c>
      <c r="AR161" s="75" t="n">
        <v>45932</v>
      </c>
      <c r="AS161" t="inlineStr">
        <is>
          <t>SEPARACION</t>
        </is>
      </c>
      <c r="AT161" t="n">
        <v>1</v>
      </c>
      <c r="AU161" t="n">
        <v>3000</v>
      </c>
      <c r="AV161" t="n">
        <v>0</v>
      </c>
      <c r="AW161" t="n">
        <v>0</v>
      </c>
      <c r="AX161" s="39" t="n">
        <v>3000</v>
      </c>
      <c r="AY161" s="39" t="n">
        <v>3000</v>
      </c>
      <c r="AZ161" s="39" t="n">
        <v>0</v>
      </c>
      <c r="BA161" t="n">
        <v>0</v>
      </c>
      <c r="BB161" t="inlineStr">
        <is>
          <t>Crédito Directo</t>
        </is>
      </c>
      <c r="BC161" t="inlineStr">
        <is>
          <t>Scotiabank Perú</t>
        </is>
      </c>
      <c r="BD161" t="inlineStr">
        <is>
          <t>0004071419</t>
        </is>
      </c>
      <c r="BE161" t="inlineStr">
        <is>
          <t>TRANSFERENCIA BANCARIA</t>
        </is>
      </c>
      <c r="BG161" t="inlineStr">
        <is>
          <t>572287</t>
        </is>
      </c>
      <c r="BH161" t="inlineStr">
        <is>
          <t>No</t>
        </is>
      </c>
      <c r="BJ161" t="n">
        <v>4</v>
      </c>
      <c r="BK161" t="inlineStr">
        <is>
          <t>CANCELADO</t>
        </is>
      </c>
      <c r="BV161" t="inlineStr">
        <is>
          <t>Si</t>
        </is>
      </c>
      <c r="BW161" s="76" t="n">
        <v>45932.67638888889</v>
      </c>
      <c r="BX161" t="inlineStr">
        <is>
          <t>Magaly Guevara Perez</t>
        </is>
      </c>
      <c r="BZ161" t="n">
        <v>19</v>
      </c>
      <c r="CA161" t="inlineStr">
        <is>
          <t>21/08/2026 11:32</t>
        </is>
      </c>
      <c r="CB161" t="n">
        <v>0</v>
      </c>
      <c r="CF161" t="inlineStr">
        <is>
          <t>Cobranzas_2025.csv</t>
        </is>
      </c>
      <c r="CG161" t="n">
        <v>2025</v>
      </c>
      <c r="CH161" t="inlineStr">
        <is>
          <t>01/01/2024</t>
        </is>
      </c>
      <c r="CI161" t="inlineStr">
        <is>
          <t>24/08/2031</t>
        </is>
      </c>
    </row>
    <row r="162">
      <c r="A162" t="inlineStr">
        <is>
          <t>RESIDENCIAL VENECIA</t>
        </is>
      </c>
      <c r="B162" t="inlineStr">
        <is>
          <t>Etapa 1</t>
        </is>
      </c>
      <c r="C162" t="inlineStr">
        <is>
          <t>Edificio</t>
        </is>
      </c>
      <c r="D162" t="inlineStr">
        <is>
          <t>A</t>
        </is>
      </c>
      <c r="E162" t="inlineStr">
        <is>
          <t>Estacionamiento</t>
        </is>
      </c>
      <c r="F162" t="inlineStr">
        <is>
          <t>E 04</t>
        </is>
      </c>
      <c r="G162" t="n">
        <v>13.63</v>
      </c>
      <c r="H162" t="n">
        <v>0</v>
      </c>
      <c r="I162" s="39" t="n">
        <v>48500</v>
      </c>
      <c r="J162" s="39" t="n">
        <v>48500</v>
      </c>
      <c r="Q162" s="39" t="n"/>
      <c r="R162" s="39" t="n"/>
      <c r="Y162" s="39" t="n"/>
      <c r="Z162" s="39" t="n"/>
      <c r="AG162" s="39" t="n"/>
      <c r="AH162" s="39" t="n"/>
      <c r="AI162" t="inlineStr">
        <is>
          <t>Evelyn Arciela Leon Estela</t>
        </is>
      </c>
      <c r="AJ162" t="inlineStr">
        <is>
          <t>70313948</t>
        </is>
      </c>
      <c r="AK162" t="inlineStr">
        <is>
          <t xml:space="preserve">Segunda Etapa.Mz 41 Lt. 35 -Urb. Torre Blanca </t>
        </is>
      </c>
      <c r="AL162" t="n">
        <v>0</v>
      </c>
      <c r="AM162" t="inlineStr">
        <is>
          <t>980746975</t>
        </is>
      </c>
      <c r="AN162" t="inlineStr">
        <is>
          <t>eale.050791@gmail.com</t>
        </is>
      </c>
      <c r="AO162" t="inlineStr">
        <is>
          <t>LIMA</t>
        </is>
      </c>
      <c r="AP162" t="inlineStr">
        <is>
          <t>CARABAYLLO</t>
        </is>
      </c>
      <c r="AQ162" s="75" t="n">
        <v>45932</v>
      </c>
      <c r="AR162" s="75" t="n">
        <v>45932</v>
      </c>
      <c r="AS162" t="inlineStr">
        <is>
          <t>CUOTA INICIAL</t>
        </is>
      </c>
      <c r="AT162" t="n">
        <v>1</v>
      </c>
      <c r="AU162" t="n">
        <v>16400</v>
      </c>
      <c r="AV162" t="n">
        <v>0</v>
      </c>
      <c r="AW162" t="n">
        <v>0</v>
      </c>
      <c r="AX162" s="39" t="n">
        <v>16400</v>
      </c>
      <c r="AY162" s="39" t="n">
        <v>16400</v>
      </c>
      <c r="AZ162" s="39" t="n">
        <v>0</v>
      </c>
      <c r="BA162" t="n">
        <v>0</v>
      </c>
      <c r="BB162" t="inlineStr">
        <is>
          <t>Crédito Directo</t>
        </is>
      </c>
      <c r="BC162" t="inlineStr">
        <is>
          <t>Scotiabank Perú</t>
        </is>
      </c>
      <c r="BD162" t="inlineStr">
        <is>
          <t>0004071419</t>
        </is>
      </c>
      <c r="BE162" t="inlineStr">
        <is>
          <t>TRANSFERENCIA BANCARIA</t>
        </is>
      </c>
      <c r="BG162" t="inlineStr">
        <is>
          <t>572287</t>
        </is>
      </c>
      <c r="BH162" t="inlineStr">
        <is>
          <t>No</t>
        </is>
      </c>
      <c r="BJ162" t="n">
        <v>4</v>
      </c>
      <c r="BK162" t="inlineStr">
        <is>
          <t>CANCELADO</t>
        </is>
      </c>
      <c r="BV162" t="inlineStr">
        <is>
          <t>Si</t>
        </is>
      </c>
      <c r="BW162" s="76" t="n">
        <v>45932.67638888889</v>
      </c>
      <c r="BX162" t="inlineStr">
        <is>
          <t>Magaly Guevara Perez</t>
        </is>
      </c>
      <c r="BZ162" t="n">
        <v>19</v>
      </c>
      <c r="CA162" t="inlineStr">
        <is>
          <t>21/08/2026 11:33</t>
        </is>
      </c>
      <c r="CB162" t="n">
        <v>0</v>
      </c>
      <c r="CF162" t="inlineStr">
        <is>
          <t>Cobranzas_2025.csv</t>
        </is>
      </c>
      <c r="CG162" t="n">
        <v>2025</v>
      </c>
      <c r="CH162" t="inlineStr">
        <is>
          <t>01/01/2024</t>
        </is>
      </c>
      <c r="CI162" t="inlineStr">
        <is>
          <t>24/08/2031</t>
        </is>
      </c>
    </row>
    <row r="163">
      <c r="A163" t="inlineStr">
        <is>
          <t>RESIDENCIAL VENECIA</t>
        </is>
      </c>
      <c r="B163" t="inlineStr">
        <is>
          <t>Etapa 1</t>
        </is>
      </c>
      <c r="C163" t="inlineStr">
        <is>
          <t>Edificio</t>
        </is>
      </c>
      <c r="D163" t="inlineStr">
        <is>
          <t>A</t>
        </is>
      </c>
      <c r="E163" t="inlineStr">
        <is>
          <t>Estacionamiento</t>
        </is>
      </c>
      <c r="F163" t="inlineStr">
        <is>
          <t>E 04</t>
        </is>
      </c>
      <c r="G163" t="n">
        <v>13.63</v>
      </c>
      <c r="H163" t="n">
        <v>0</v>
      </c>
      <c r="I163" s="39" t="n">
        <v>48500</v>
      </c>
      <c r="J163" s="39" t="n">
        <v>48500</v>
      </c>
      <c r="Q163" s="39" t="n"/>
      <c r="R163" s="39" t="n"/>
      <c r="Y163" s="39" t="n"/>
      <c r="Z163" s="39" t="n"/>
      <c r="AG163" s="39" t="n"/>
      <c r="AH163" s="39" t="n"/>
      <c r="AI163" t="inlineStr">
        <is>
          <t>Evelyn Arciela Leon Estela</t>
        </is>
      </c>
      <c r="AJ163" t="inlineStr">
        <is>
          <t>70313948</t>
        </is>
      </c>
      <c r="AK163" t="inlineStr">
        <is>
          <t xml:space="preserve">Segunda Etapa.Mz 41 Lt. 35 -Urb. Torre Blanca </t>
        </is>
      </c>
      <c r="AL163" t="n">
        <v>0</v>
      </c>
      <c r="AM163" t="inlineStr">
        <is>
          <t>980746975</t>
        </is>
      </c>
      <c r="AN163" t="inlineStr">
        <is>
          <t>eale.050791@gmail.com</t>
        </is>
      </c>
      <c r="AO163" t="inlineStr">
        <is>
          <t>LIMA</t>
        </is>
      </c>
      <c r="AP163" t="inlineStr">
        <is>
          <t>CARABAYLLO</t>
        </is>
      </c>
      <c r="AQ163" s="75" t="n">
        <v>45961</v>
      </c>
      <c r="AR163" s="75" t="n">
        <v>45950</v>
      </c>
      <c r="AS163" t="inlineStr">
        <is>
          <t>SALDO FINANCIAR</t>
        </is>
      </c>
      <c r="AT163" t="n">
        <v>1</v>
      </c>
      <c r="AU163" t="n">
        <v>1940</v>
      </c>
      <c r="AV163" t="n">
        <v>0</v>
      </c>
      <c r="AW163" t="n">
        <v>0</v>
      </c>
      <c r="AX163" s="39" t="n">
        <v>1940</v>
      </c>
      <c r="AY163" s="39" t="n">
        <v>1940</v>
      </c>
      <c r="AZ163" s="39" t="n">
        <v>0</v>
      </c>
      <c r="BA163" t="n">
        <v>0</v>
      </c>
      <c r="BB163" t="inlineStr">
        <is>
          <t>Crédito Directo</t>
        </is>
      </c>
      <c r="BC163" t="inlineStr">
        <is>
          <t>Scotiabank Perú</t>
        </is>
      </c>
      <c r="BD163" t="inlineStr">
        <is>
          <t>0004071419</t>
        </is>
      </c>
      <c r="BE163" t="inlineStr">
        <is>
          <t>TRANSFERENCIA BANCARIA</t>
        </is>
      </c>
      <c r="BG163" t="inlineStr">
        <is>
          <t>U100022</t>
        </is>
      </c>
      <c r="BH163" t="inlineStr">
        <is>
          <t>No</t>
        </is>
      </c>
      <c r="BJ163" t="n">
        <v>4</v>
      </c>
      <c r="BK163" t="inlineStr">
        <is>
          <t>CANCELADO</t>
        </is>
      </c>
      <c r="BV163" t="inlineStr">
        <is>
          <t>Si</t>
        </is>
      </c>
      <c r="BW163" s="76" t="n">
        <v>45932.67638888889</v>
      </c>
      <c r="BX163" t="inlineStr">
        <is>
          <t>Magaly Guevara Perez</t>
        </is>
      </c>
      <c r="BZ163" t="n">
        <v>19</v>
      </c>
      <c r="CA163" t="inlineStr">
        <is>
          <t>02/07/2026 16:06</t>
        </is>
      </c>
      <c r="CB163" t="n">
        <v>0</v>
      </c>
      <c r="CF163" t="inlineStr">
        <is>
          <t>Cobranzas_2025.csv</t>
        </is>
      </c>
      <c r="CG163" t="n">
        <v>2025</v>
      </c>
      <c r="CH163" t="inlineStr">
        <is>
          <t>01/01/2024</t>
        </is>
      </c>
      <c r="CI163" t="inlineStr">
        <is>
          <t>24/08/2031</t>
        </is>
      </c>
    </row>
    <row r="164">
      <c r="A164" t="inlineStr">
        <is>
          <t>RESIDENCIAL VENECIA</t>
        </is>
      </c>
      <c r="B164" t="inlineStr">
        <is>
          <t>Etapa 1</t>
        </is>
      </c>
      <c r="C164" t="inlineStr">
        <is>
          <t>Edificio</t>
        </is>
      </c>
      <c r="D164" t="inlineStr">
        <is>
          <t>A</t>
        </is>
      </c>
      <c r="E164" t="inlineStr">
        <is>
          <t>Estacionamiento</t>
        </is>
      </c>
      <c r="F164" t="inlineStr">
        <is>
          <t>E 04</t>
        </is>
      </c>
      <c r="G164" t="n">
        <v>13.63</v>
      </c>
      <c r="H164" t="n">
        <v>0</v>
      </c>
      <c r="I164" s="39" t="n">
        <v>48500</v>
      </c>
      <c r="J164" s="39" t="n">
        <v>48500</v>
      </c>
      <c r="Q164" s="39" t="n"/>
      <c r="R164" s="39" t="n"/>
      <c r="Y164" s="39" t="n"/>
      <c r="Z164" s="39" t="n"/>
      <c r="AG164" s="39" t="n"/>
      <c r="AH164" s="39" t="n"/>
      <c r="AI164" t="inlineStr">
        <is>
          <t>Evelyn Arciela Leon Estela</t>
        </is>
      </c>
      <c r="AJ164" t="inlineStr">
        <is>
          <t>70313948</t>
        </is>
      </c>
      <c r="AK164" t="inlineStr">
        <is>
          <t xml:space="preserve">Segunda Etapa.Mz 41 Lt. 35 -Urb. Torre Blanca </t>
        </is>
      </c>
      <c r="AL164" t="n">
        <v>0</v>
      </c>
      <c r="AM164" t="inlineStr">
        <is>
          <t>980746975</t>
        </is>
      </c>
      <c r="AN164" t="inlineStr">
        <is>
          <t>eale.050791@gmail.com</t>
        </is>
      </c>
      <c r="AO164" t="inlineStr">
        <is>
          <t>LIMA</t>
        </is>
      </c>
      <c r="AP164" t="inlineStr">
        <is>
          <t>CARABAYLLO</t>
        </is>
      </c>
      <c r="AQ164" s="75" t="n">
        <v>45991</v>
      </c>
      <c r="AR164" s="75" t="n">
        <v>45985</v>
      </c>
      <c r="AS164" t="inlineStr">
        <is>
          <t>SALDO FINANCIAR</t>
        </is>
      </c>
      <c r="AT164" t="n">
        <v>2</v>
      </c>
      <c r="AU164" t="n">
        <v>1940</v>
      </c>
      <c r="AV164" t="n">
        <v>0</v>
      </c>
      <c r="AW164" t="n">
        <v>0</v>
      </c>
      <c r="AX164" s="39" t="n">
        <v>1940</v>
      </c>
      <c r="AY164" s="39" t="n">
        <v>1940</v>
      </c>
      <c r="AZ164" s="39" t="n">
        <v>0</v>
      </c>
      <c r="BA164" t="n">
        <v>0</v>
      </c>
      <c r="BB164" t="inlineStr">
        <is>
          <t>Crédito Directo</t>
        </is>
      </c>
      <c r="BC164" t="inlineStr">
        <is>
          <t>Scotiabank Perú</t>
        </is>
      </c>
      <c r="BD164" t="inlineStr">
        <is>
          <t>0004071419</t>
        </is>
      </c>
      <c r="BE164" t="inlineStr">
        <is>
          <t>TRANSFERENCIA BANCARIA</t>
        </is>
      </c>
      <c r="BG164" t="inlineStr">
        <is>
          <t>U27036</t>
        </is>
      </c>
      <c r="BH164" t="inlineStr">
        <is>
          <t>No</t>
        </is>
      </c>
      <c r="BJ164" t="n">
        <v>4</v>
      </c>
      <c r="BK164" t="inlineStr">
        <is>
          <t>CANCELADO</t>
        </is>
      </c>
      <c r="BV164" t="inlineStr">
        <is>
          <t>Si</t>
        </is>
      </c>
      <c r="BW164" s="76" t="n">
        <v>45932.67638888889</v>
      </c>
      <c r="BX164" t="inlineStr">
        <is>
          <t>Magaly Guevara Perez</t>
        </is>
      </c>
      <c r="BZ164" t="n">
        <v>19</v>
      </c>
      <c r="CA164" t="inlineStr">
        <is>
          <t>02/07/2026 16:07</t>
        </is>
      </c>
      <c r="CB164" t="n">
        <v>0</v>
      </c>
      <c r="CF164" t="inlineStr">
        <is>
          <t>Cobranzas_2025.csv</t>
        </is>
      </c>
      <c r="CG164" t="n">
        <v>2025</v>
      </c>
      <c r="CH164" t="inlineStr">
        <is>
          <t>01/01/2024</t>
        </is>
      </c>
      <c r="CI164" t="inlineStr">
        <is>
          <t>24/08/2031</t>
        </is>
      </c>
    </row>
    <row r="165">
      <c r="A165" t="inlineStr">
        <is>
          <t>RESIDENCIAL VENECIA</t>
        </is>
      </c>
      <c r="B165" t="inlineStr">
        <is>
          <t>Etapa 1</t>
        </is>
      </c>
      <c r="C165" t="inlineStr">
        <is>
          <t>Edificio</t>
        </is>
      </c>
      <c r="D165" t="inlineStr">
        <is>
          <t>A</t>
        </is>
      </c>
      <c r="E165" t="inlineStr">
        <is>
          <t>Estacionamiento</t>
        </is>
      </c>
      <c r="F165" t="inlineStr">
        <is>
          <t>E 04</t>
        </is>
      </c>
      <c r="G165" t="n">
        <v>13.63</v>
      </c>
      <c r="H165" t="n">
        <v>0</v>
      </c>
      <c r="I165" s="39" t="n">
        <v>48500</v>
      </c>
      <c r="J165" s="39" t="n">
        <v>48500</v>
      </c>
      <c r="Q165" s="39" t="n"/>
      <c r="R165" s="39" t="n"/>
      <c r="Y165" s="39" t="n"/>
      <c r="Z165" s="39" t="n"/>
      <c r="AG165" s="39" t="n"/>
      <c r="AH165" s="39" t="n"/>
      <c r="AI165" t="inlineStr">
        <is>
          <t>Evelyn Arciela Leon Estela</t>
        </is>
      </c>
      <c r="AJ165" t="inlineStr">
        <is>
          <t>70313948</t>
        </is>
      </c>
      <c r="AK165" t="inlineStr">
        <is>
          <t xml:space="preserve">Segunda Etapa.Mz 41 Lt. 35 -Urb. Torre Blanca </t>
        </is>
      </c>
      <c r="AL165" t="n">
        <v>0</v>
      </c>
      <c r="AM165" t="inlineStr">
        <is>
          <t>980746975</t>
        </is>
      </c>
      <c r="AN165" t="inlineStr">
        <is>
          <t>eale.050791@gmail.com</t>
        </is>
      </c>
      <c r="AO165" t="inlineStr">
        <is>
          <t>LIMA</t>
        </is>
      </c>
      <c r="AP165" t="inlineStr">
        <is>
          <t>CARABAYLLO</t>
        </is>
      </c>
      <c r="AQ165" s="75" t="n">
        <v>46022</v>
      </c>
      <c r="AR165" s="75" t="n">
        <v>46013</v>
      </c>
      <c r="AS165" t="inlineStr">
        <is>
          <t>SALDO FINANCIAR</t>
        </is>
      </c>
      <c r="AT165" t="n">
        <v>3</v>
      </c>
      <c r="AU165" t="n">
        <v>1940</v>
      </c>
      <c r="AV165" t="n">
        <v>0</v>
      </c>
      <c r="AW165" t="n">
        <v>0</v>
      </c>
      <c r="AX165" s="39" t="n">
        <v>1940</v>
      </c>
      <c r="AY165" s="39" t="n">
        <v>1940</v>
      </c>
      <c r="AZ165" s="39" t="n">
        <v>0</v>
      </c>
      <c r="BA165" t="n">
        <v>0</v>
      </c>
      <c r="BB165" t="inlineStr">
        <is>
          <t>Crédito Directo</t>
        </is>
      </c>
      <c r="BC165" t="inlineStr">
        <is>
          <t>Scotiabank Perú</t>
        </is>
      </c>
      <c r="BD165" t="inlineStr">
        <is>
          <t>0004071419</t>
        </is>
      </c>
      <c r="BE165" t="inlineStr">
        <is>
          <t>TRANSFERENCIA BANCARIA</t>
        </is>
      </c>
      <c r="BG165" t="inlineStr">
        <is>
          <t>U28777</t>
        </is>
      </c>
      <c r="BH165" t="inlineStr">
        <is>
          <t>No</t>
        </is>
      </c>
      <c r="BJ165" t="n">
        <v>4</v>
      </c>
      <c r="BK165" t="inlineStr">
        <is>
          <t>CANCELADO</t>
        </is>
      </c>
      <c r="BV165" t="inlineStr">
        <is>
          <t>Si</t>
        </is>
      </c>
      <c r="BW165" s="76" t="n">
        <v>45932.67638888889</v>
      </c>
      <c r="BX165" t="inlineStr">
        <is>
          <t>Magaly Guevara Perez</t>
        </is>
      </c>
      <c r="BZ165" t="n">
        <v>19</v>
      </c>
      <c r="CA165" t="inlineStr">
        <is>
          <t>02/07/2026 16:07</t>
        </is>
      </c>
      <c r="CB165" t="n">
        <v>0</v>
      </c>
      <c r="CF165" t="inlineStr">
        <is>
          <t>Cobranzas_2025.csv</t>
        </is>
      </c>
      <c r="CG165" t="n">
        <v>2025</v>
      </c>
      <c r="CH165" t="inlineStr">
        <is>
          <t>01/01/2024</t>
        </is>
      </c>
      <c r="CI165" t="inlineStr">
        <is>
          <t>24/08/2031</t>
        </is>
      </c>
    </row>
    <row r="166">
      <c r="A166" t="inlineStr">
        <is>
          <t>RESIDENCIAL BEYOND</t>
        </is>
      </c>
      <c r="B166" t="inlineStr">
        <is>
          <t>Etapa 1</t>
        </is>
      </c>
      <c r="C166" t="inlineStr">
        <is>
          <t>Edificio</t>
        </is>
      </c>
      <c r="D166" t="inlineStr">
        <is>
          <t>A</t>
        </is>
      </c>
      <c r="E166" t="inlineStr">
        <is>
          <t>Departamento</t>
        </is>
      </c>
      <c r="F166" t="inlineStr">
        <is>
          <t>501</t>
        </is>
      </c>
      <c r="G166" t="n">
        <v>70</v>
      </c>
      <c r="H166" t="n">
        <v>0</v>
      </c>
      <c r="I166" s="39" t="n">
        <v>518500</v>
      </c>
      <c r="J166" s="39" t="n">
        <v>469500</v>
      </c>
      <c r="K166" t="inlineStr">
        <is>
          <t>Edificio</t>
        </is>
      </c>
      <c r="L166" t="inlineStr">
        <is>
          <t>A</t>
        </is>
      </c>
      <c r="M166" t="inlineStr">
        <is>
          <t>Estacionamiento</t>
        </is>
      </c>
      <c r="N166" t="inlineStr">
        <is>
          <t>E 14 - D 12</t>
        </is>
      </c>
      <c r="O166" t="n">
        <v>12.5</v>
      </c>
      <c r="P166" t="n">
        <v>2.75</v>
      </c>
      <c r="Q166" s="39" t="n">
        <v>55000</v>
      </c>
      <c r="R166" s="39" t="n">
        <v>55000</v>
      </c>
      <c r="Y166" s="39" t="n"/>
      <c r="Z166" s="39" t="n"/>
      <c r="AG166" s="39" t="n"/>
      <c r="AH166" s="39" t="n"/>
      <c r="AI166" t="inlineStr">
        <is>
          <t>Francesca Giuliana Ramos Ortiz</t>
        </is>
      </c>
      <c r="AJ166" t="inlineStr">
        <is>
          <t>29412010</t>
        </is>
      </c>
      <c r="AK166" t="inlineStr">
        <is>
          <t>Jr. Cotabambas 306</t>
        </is>
      </c>
      <c r="AL166" t="n">
        <v>0</v>
      </c>
      <c r="AM166" t="inlineStr">
        <is>
          <t>996655477</t>
        </is>
      </c>
      <c r="AN166" t="inlineStr">
        <is>
          <t>cheskagro@gmail.com</t>
        </is>
      </c>
      <c r="AO166" t="inlineStr">
        <is>
          <t>LIMA</t>
        </is>
      </c>
      <c r="AP166" t="inlineStr">
        <is>
          <t>CERCADO DE LIMA</t>
        </is>
      </c>
      <c r="AQ166" s="75" t="n">
        <v>45899</v>
      </c>
      <c r="AR166" s="75" t="n">
        <v>45899</v>
      </c>
      <c r="AS166" t="inlineStr">
        <is>
          <t>SEPARACION</t>
        </is>
      </c>
      <c r="AT166" t="n">
        <v>1</v>
      </c>
      <c r="AU166" t="n">
        <v>3000</v>
      </c>
      <c r="AV166" t="n">
        <v>0</v>
      </c>
      <c r="AW166" t="n">
        <v>0</v>
      </c>
      <c r="AX166" s="39" t="n">
        <v>3000</v>
      </c>
      <c r="AY166" s="39" t="n">
        <v>3000</v>
      </c>
      <c r="AZ166" s="39" t="n">
        <v>0</v>
      </c>
      <c r="BA166" t="n">
        <v>0</v>
      </c>
      <c r="BB166" t="inlineStr">
        <is>
          <t>Ahorro</t>
        </is>
      </c>
      <c r="BC166" t="inlineStr">
        <is>
          <t>Banco de Credito del Perú</t>
        </is>
      </c>
      <c r="BD166" t="inlineStr">
        <is>
          <t>194-7325779-0-65</t>
        </is>
      </c>
      <c r="BE166" t="inlineStr">
        <is>
          <t>TRANSFERENCIA BANCARIA</t>
        </is>
      </c>
      <c r="BG166" t="inlineStr">
        <is>
          <t>02596461</t>
        </is>
      </c>
      <c r="BH166" t="inlineStr">
        <is>
          <t>No</t>
        </is>
      </c>
      <c r="BJ166" t="n">
        <v>4</v>
      </c>
      <c r="BK166" t="inlineStr">
        <is>
          <t>CANCELADO</t>
        </is>
      </c>
      <c r="BV166" t="inlineStr">
        <is>
          <t>Si</t>
        </is>
      </c>
      <c r="BW166" s="76" t="n">
        <v>45911.39305555556</v>
      </c>
      <c r="BX166" t="inlineStr">
        <is>
          <t>Magaly Guevara Perez</t>
        </is>
      </c>
      <c r="BZ166" t="n">
        <v>30</v>
      </c>
      <c r="CA166" t="inlineStr">
        <is>
          <t>01/05/2026 18:27</t>
        </is>
      </c>
      <c r="CB166" t="n">
        <v>0</v>
      </c>
      <c r="CF166" t="inlineStr">
        <is>
          <t>Cobranzas_2025.csv</t>
        </is>
      </c>
      <c r="CG166" t="n">
        <v>2025</v>
      </c>
      <c r="CH166" t="inlineStr">
        <is>
          <t>01/01/2024</t>
        </is>
      </c>
      <c r="CI166" t="inlineStr">
        <is>
          <t>24/08/2031</t>
        </is>
      </c>
    </row>
    <row r="167">
      <c r="A167" t="inlineStr">
        <is>
          <t>RESIDENCIAL BEYOND</t>
        </is>
      </c>
      <c r="B167" t="inlineStr">
        <is>
          <t>Etapa 1</t>
        </is>
      </c>
      <c r="C167" t="inlineStr">
        <is>
          <t>Edificio</t>
        </is>
      </c>
      <c r="D167" t="inlineStr">
        <is>
          <t>A</t>
        </is>
      </c>
      <c r="E167" t="inlineStr">
        <is>
          <t>Departamento</t>
        </is>
      </c>
      <c r="F167" t="inlineStr">
        <is>
          <t>501</t>
        </is>
      </c>
      <c r="G167" t="n">
        <v>70</v>
      </c>
      <c r="H167" t="n">
        <v>0</v>
      </c>
      <c r="I167" s="39" t="n">
        <v>518500</v>
      </c>
      <c r="J167" s="39" t="n">
        <v>469500</v>
      </c>
      <c r="K167" t="inlineStr">
        <is>
          <t>Edificio</t>
        </is>
      </c>
      <c r="L167" t="inlineStr">
        <is>
          <t>A</t>
        </is>
      </c>
      <c r="M167" t="inlineStr">
        <is>
          <t>Estacionamiento</t>
        </is>
      </c>
      <c r="N167" t="inlineStr">
        <is>
          <t>E 14 - D 12</t>
        </is>
      </c>
      <c r="O167" t="n">
        <v>12.5</v>
      </c>
      <c r="P167" t="n">
        <v>2.75</v>
      </c>
      <c r="Q167" s="39" t="n">
        <v>55000</v>
      </c>
      <c r="R167" s="39" t="n">
        <v>55000</v>
      </c>
      <c r="Y167" s="39" t="n"/>
      <c r="Z167" s="39" t="n"/>
      <c r="AG167" s="39" t="n"/>
      <c r="AH167" s="39" t="n"/>
      <c r="AI167" t="inlineStr">
        <is>
          <t>Francesca Giuliana Ramos Ortiz</t>
        </is>
      </c>
      <c r="AJ167" t="inlineStr">
        <is>
          <t>29412010</t>
        </is>
      </c>
      <c r="AK167" t="inlineStr">
        <is>
          <t>Jr. Cotabambas 306</t>
        </is>
      </c>
      <c r="AL167" t="n">
        <v>0</v>
      </c>
      <c r="AM167" t="inlineStr">
        <is>
          <t>996655477</t>
        </is>
      </c>
      <c r="AN167" t="inlineStr">
        <is>
          <t>cheskagro@gmail.com</t>
        </is>
      </c>
      <c r="AO167" t="inlineStr">
        <is>
          <t>LIMA</t>
        </is>
      </c>
      <c r="AP167" t="inlineStr">
        <is>
          <t>CERCADO DE LIMA</t>
        </is>
      </c>
      <c r="AQ167" s="75" t="n">
        <v>45911</v>
      </c>
      <c r="AR167" s="75" t="n">
        <v>45911</v>
      </c>
      <c r="AS167" t="inlineStr">
        <is>
          <t>CUOTA INICIAL</t>
        </is>
      </c>
      <c r="AT167" t="n">
        <v>1</v>
      </c>
      <c r="AU167" t="n">
        <v>50950</v>
      </c>
      <c r="AV167" t="n">
        <v>0</v>
      </c>
      <c r="AW167" t="n">
        <v>0</v>
      </c>
      <c r="AX167" s="39" t="n">
        <v>50950</v>
      </c>
      <c r="AY167" s="39" t="n">
        <v>50950</v>
      </c>
      <c r="AZ167" s="39" t="n">
        <v>0</v>
      </c>
      <c r="BA167" t="n">
        <v>0</v>
      </c>
      <c r="BB167" t="inlineStr">
        <is>
          <t>Ahorro</t>
        </is>
      </c>
      <c r="BC167" t="inlineStr">
        <is>
          <t>Banco de Credito del Perú</t>
        </is>
      </c>
      <c r="BD167" t="inlineStr">
        <is>
          <t>194-7325779-0-65</t>
        </is>
      </c>
      <c r="BE167" t="inlineStr">
        <is>
          <t>TRANSFERENCIA BANCARIA</t>
        </is>
      </c>
      <c r="BG167" t="inlineStr">
        <is>
          <t>0861507</t>
        </is>
      </c>
      <c r="BH167" t="inlineStr">
        <is>
          <t>No</t>
        </is>
      </c>
      <c r="BJ167" t="n">
        <v>4</v>
      </c>
      <c r="BK167" t="inlineStr">
        <is>
          <t>CANCELADO</t>
        </is>
      </c>
      <c r="BV167" t="inlineStr">
        <is>
          <t>Si</t>
        </is>
      </c>
      <c r="BW167" s="76" t="n">
        <v>45911.39305555556</v>
      </c>
      <c r="BX167" t="inlineStr">
        <is>
          <t>Magaly Guevara Perez</t>
        </is>
      </c>
      <c r="BZ167" t="n">
        <v>30</v>
      </c>
      <c r="CA167" t="inlineStr">
        <is>
          <t>13/08/2026 14:51</t>
        </is>
      </c>
      <c r="CB167" t="n">
        <v>0</v>
      </c>
      <c r="CF167" t="inlineStr">
        <is>
          <t>Cobranzas_2025.csv</t>
        </is>
      </c>
      <c r="CG167" t="n">
        <v>2025</v>
      </c>
      <c r="CH167" t="inlineStr">
        <is>
          <t>01/01/2024</t>
        </is>
      </c>
      <c r="CI167" t="inlineStr">
        <is>
          <t>24/08/2031</t>
        </is>
      </c>
    </row>
    <row r="168">
      <c r="A168" t="inlineStr">
        <is>
          <t>RESIDENCIAL PRADA</t>
        </is>
      </c>
      <c r="B168" t="inlineStr">
        <is>
          <t>Etapa 1</t>
        </is>
      </c>
      <c r="C168" t="inlineStr">
        <is>
          <t>Edificio</t>
        </is>
      </c>
      <c r="D168" t="inlineStr">
        <is>
          <t>A</t>
        </is>
      </c>
      <c r="E168" t="inlineStr">
        <is>
          <t>Departamento</t>
        </is>
      </c>
      <c r="F168" t="inlineStr">
        <is>
          <t>802</t>
        </is>
      </c>
      <c r="G168" t="n">
        <v>56</v>
      </c>
      <c r="H168" t="n">
        <v>0</v>
      </c>
      <c r="I168" s="39" t="n">
        <v>420000</v>
      </c>
      <c r="J168" s="39" t="n">
        <v>420000</v>
      </c>
      <c r="Q168" s="39" t="n"/>
      <c r="R168" s="39" t="n"/>
      <c r="Y168" s="39" t="n"/>
      <c r="Z168" s="39" t="n"/>
      <c r="AG168" s="39" t="n"/>
      <c r="AH168" s="39" t="n"/>
      <c r="AI168" t="inlineStr">
        <is>
          <t xml:space="preserve">Gersom Juver Gonzalez Alfaro </t>
        </is>
      </c>
      <c r="AJ168" t="inlineStr">
        <is>
          <t>42539680</t>
        </is>
      </c>
      <c r="AK168" t="inlineStr">
        <is>
          <t>Jr. Grl. Zegarra 854 Dpto. 21 P. 4</t>
        </is>
      </c>
      <c r="AL168" t="n">
        <v>958600003</v>
      </c>
      <c r="AM168" t="inlineStr">
        <is>
          <t>958600003</t>
        </is>
      </c>
      <c r="AN168" t="inlineStr">
        <is>
          <t>gersonalfaro@gmail.com</t>
        </is>
      </c>
      <c r="AO168" t="inlineStr">
        <is>
          <t>LIMA</t>
        </is>
      </c>
      <c r="AP168" t="inlineStr">
        <is>
          <t>JESUS MARIA</t>
        </is>
      </c>
      <c r="AQ168" s="75" t="n">
        <v>45815</v>
      </c>
      <c r="AR168" s="75" t="n">
        <v>45815</v>
      </c>
      <c r="AS168" t="inlineStr">
        <is>
          <t>SEPARACION</t>
        </is>
      </c>
      <c r="AT168" t="n">
        <v>1</v>
      </c>
      <c r="AU168" t="n">
        <v>3000</v>
      </c>
      <c r="AV168" t="n">
        <v>0</v>
      </c>
      <c r="AW168" t="n">
        <v>0</v>
      </c>
      <c r="AX168" s="39" t="n">
        <v>3000</v>
      </c>
      <c r="AY168" s="39" t="n">
        <v>3000</v>
      </c>
      <c r="AZ168" s="39" t="n">
        <v>0</v>
      </c>
      <c r="BA168" t="n">
        <v>0</v>
      </c>
      <c r="BB168" t="inlineStr">
        <is>
          <t>Crédito Hipotecario</t>
        </is>
      </c>
      <c r="BC168" t="inlineStr">
        <is>
          <t>Scotiabank Perú</t>
        </is>
      </c>
      <c r="BD168" t="inlineStr">
        <is>
          <t>000-2768484</t>
        </is>
      </c>
      <c r="BE168" t="inlineStr">
        <is>
          <t>TRANSFERENCIA BANCARIA</t>
        </is>
      </c>
      <c r="BF168" t="inlineStr">
        <is>
          <t>42539680</t>
        </is>
      </c>
      <c r="BG168" t="inlineStr">
        <is>
          <t>00002392000000000</t>
        </is>
      </c>
      <c r="BH168" t="inlineStr">
        <is>
          <t>No</t>
        </is>
      </c>
      <c r="BI168" t="inlineStr">
        <is>
          <t>NO PRECISA</t>
        </is>
      </c>
      <c r="BJ168" t="n">
        <v>4</v>
      </c>
      <c r="BK168" t="inlineStr">
        <is>
          <t>CANCELADO</t>
        </is>
      </c>
      <c r="BV168" t="inlineStr">
        <is>
          <t>Si</t>
        </is>
      </c>
      <c r="BW168" s="76" t="n">
        <v>45832.51944444444</v>
      </c>
      <c r="BX168" t="inlineStr">
        <is>
          <t>Carla Michue M</t>
        </is>
      </c>
      <c r="BZ168" t="n">
        <v>45</v>
      </c>
      <c r="CA168" t="inlineStr">
        <is>
          <t>03/06/2026 09:06</t>
        </is>
      </c>
      <c r="CB168" t="n">
        <v>0</v>
      </c>
      <c r="CF168" t="inlineStr">
        <is>
          <t>Cobranzas_2025.csv</t>
        </is>
      </c>
      <c r="CG168" t="n">
        <v>2025</v>
      </c>
      <c r="CH168" t="inlineStr">
        <is>
          <t>01/01/2024</t>
        </is>
      </c>
      <c r="CI168" t="inlineStr">
        <is>
          <t>24/08/2031</t>
        </is>
      </c>
    </row>
    <row r="169">
      <c r="A169" t="inlineStr">
        <is>
          <t>RESIDENCIAL PRADA</t>
        </is>
      </c>
      <c r="B169" t="inlineStr">
        <is>
          <t>Etapa 1</t>
        </is>
      </c>
      <c r="C169" t="inlineStr">
        <is>
          <t>Edificio</t>
        </is>
      </c>
      <c r="D169" t="inlineStr">
        <is>
          <t>A</t>
        </is>
      </c>
      <c r="E169" t="inlineStr">
        <is>
          <t>Departamento</t>
        </is>
      </c>
      <c r="F169" t="inlineStr">
        <is>
          <t>802</t>
        </is>
      </c>
      <c r="G169" t="n">
        <v>56</v>
      </c>
      <c r="H169" t="n">
        <v>0</v>
      </c>
      <c r="I169" s="39" t="n">
        <v>420000</v>
      </c>
      <c r="J169" s="39" t="n">
        <v>420000</v>
      </c>
      <c r="Q169" s="39" t="n"/>
      <c r="R169" s="39" t="n"/>
      <c r="Y169" s="39" t="n"/>
      <c r="Z169" s="39" t="n"/>
      <c r="AG169" s="39" t="n"/>
      <c r="AH169" s="39" t="n"/>
      <c r="AI169" t="inlineStr">
        <is>
          <t xml:space="preserve">Gersom Juver Gonzalez Alfaro </t>
        </is>
      </c>
      <c r="AJ169" t="inlineStr">
        <is>
          <t>42539680</t>
        </is>
      </c>
      <c r="AK169" t="inlineStr">
        <is>
          <t>Jr. Grl. Zegarra 854 Dpto. 21 P. 4</t>
        </is>
      </c>
      <c r="AL169" t="n">
        <v>958600003</v>
      </c>
      <c r="AM169" t="inlineStr">
        <is>
          <t>958600003</t>
        </is>
      </c>
      <c r="AN169" t="inlineStr">
        <is>
          <t>gersonalfaro@gmail.com</t>
        </is>
      </c>
      <c r="AO169" t="inlineStr">
        <is>
          <t>LIMA</t>
        </is>
      </c>
      <c r="AP169" t="inlineStr">
        <is>
          <t>JESUS MARIA</t>
        </is>
      </c>
      <c r="AQ169" s="75" t="n">
        <v>45832</v>
      </c>
      <c r="AR169" s="75" t="n">
        <v>45832</v>
      </c>
      <c r="AS169" t="inlineStr">
        <is>
          <t>CUOTA INICIAL</t>
        </is>
      </c>
      <c r="AT169" t="n">
        <v>1</v>
      </c>
      <c r="AU169" t="n">
        <v>9400</v>
      </c>
      <c r="AV169" t="n">
        <v>0</v>
      </c>
      <c r="AW169" t="n">
        <v>0</v>
      </c>
      <c r="AX169" s="39" t="n">
        <v>9400</v>
      </c>
      <c r="AY169" s="39" t="n">
        <v>9400</v>
      </c>
      <c r="AZ169" s="39" t="n">
        <v>0</v>
      </c>
      <c r="BA169" t="n">
        <v>0</v>
      </c>
      <c r="BB169" t="inlineStr">
        <is>
          <t>Crédito Hipotecario</t>
        </is>
      </c>
      <c r="BC169" t="inlineStr">
        <is>
          <t>Scotiabank Perú</t>
        </is>
      </c>
      <c r="BD169" t="inlineStr">
        <is>
          <t>000-2768484</t>
        </is>
      </c>
      <c r="BE169" t="inlineStr">
        <is>
          <t>TRANSFERENCIA BANCARIA</t>
        </is>
      </c>
      <c r="BF169" t="inlineStr">
        <is>
          <t>42539680</t>
        </is>
      </c>
      <c r="BG169" t="inlineStr">
        <is>
          <t>00002419000000000</t>
        </is>
      </c>
      <c r="BH169" t="inlineStr">
        <is>
          <t>No</t>
        </is>
      </c>
      <c r="BI169" t="inlineStr">
        <is>
          <t>NO PRECISA</t>
        </is>
      </c>
      <c r="BJ169" t="n">
        <v>4</v>
      </c>
      <c r="BK169" t="inlineStr">
        <is>
          <t>CANCELADO</t>
        </is>
      </c>
      <c r="BV169" t="inlineStr">
        <is>
          <t>Si</t>
        </is>
      </c>
      <c r="BW169" s="76" t="n">
        <v>45832.51944444444</v>
      </c>
      <c r="BX169" t="inlineStr">
        <is>
          <t>Carla Michue M</t>
        </is>
      </c>
      <c r="BZ169" t="n">
        <v>45</v>
      </c>
      <c r="CA169" t="inlineStr">
        <is>
          <t>05/06/2026 12:18</t>
        </is>
      </c>
      <c r="CB169" t="n">
        <v>0</v>
      </c>
      <c r="CF169" t="inlineStr">
        <is>
          <t>Cobranzas_2025.csv</t>
        </is>
      </c>
      <c r="CG169" t="n">
        <v>2025</v>
      </c>
      <c r="CH169" t="inlineStr">
        <is>
          <t>01/01/2024</t>
        </is>
      </c>
      <c r="CI169" t="inlineStr">
        <is>
          <t>24/08/2031</t>
        </is>
      </c>
    </row>
    <row r="170">
      <c r="A170" t="inlineStr">
        <is>
          <t>RESIDENCIAL PRADA</t>
        </is>
      </c>
      <c r="B170" t="inlineStr">
        <is>
          <t>Etapa 1</t>
        </is>
      </c>
      <c r="C170" t="inlineStr">
        <is>
          <t>Edificio</t>
        </is>
      </c>
      <c r="D170" t="inlineStr">
        <is>
          <t>A</t>
        </is>
      </c>
      <c r="E170" t="inlineStr">
        <is>
          <t>Departamento</t>
        </is>
      </c>
      <c r="F170" t="inlineStr">
        <is>
          <t>802</t>
        </is>
      </c>
      <c r="G170" t="n">
        <v>56</v>
      </c>
      <c r="H170" t="n">
        <v>0</v>
      </c>
      <c r="I170" s="39" t="n">
        <v>420000</v>
      </c>
      <c r="J170" s="39" t="n">
        <v>420000</v>
      </c>
      <c r="Q170" s="39" t="n"/>
      <c r="R170" s="39" t="n"/>
      <c r="Y170" s="39" t="n"/>
      <c r="Z170" s="39" t="n"/>
      <c r="AG170" s="39" t="n"/>
      <c r="AH170" s="39" t="n"/>
      <c r="AI170" t="inlineStr">
        <is>
          <t xml:space="preserve">Gersom Juver Gonzalez Alfaro </t>
        </is>
      </c>
      <c r="AJ170" t="inlineStr">
        <is>
          <t>42539680</t>
        </is>
      </c>
      <c r="AK170" t="inlineStr">
        <is>
          <t>Jr. Grl. Zegarra 854 Dpto. 21 P. 4</t>
        </is>
      </c>
      <c r="AL170" t="n">
        <v>958600003</v>
      </c>
      <c r="AM170" t="inlineStr">
        <is>
          <t>958600003</t>
        </is>
      </c>
      <c r="AN170" t="inlineStr">
        <is>
          <t>gersonalfaro@gmail.com</t>
        </is>
      </c>
      <c r="AO170" t="inlineStr">
        <is>
          <t>LIMA</t>
        </is>
      </c>
      <c r="AP170" t="inlineStr">
        <is>
          <t>JESUS MARIA</t>
        </is>
      </c>
      <c r="AQ170" s="75" t="n">
        <v>45991</v>
      </c>
      <c r="AR170" s="75" t="n">
        <v>46077</v>
      </c>
      <c r="AS170" t="inlineStr">
        <is>
          <t>CUOTA INICIAL</t>
        </is>
      </c>
      <c r="AT170" t="n">
        <v>2</v>
      </c>
      <c r="AU170" t="n">
        <v>23514</v>
      </c>
      <c r="AV170" t="n">
        <v>0</v>
      </c>
      <c r="AW170" t="n">
        <v>0</v>
      </c>
      <c r="AX170" s="39" t="n">
        <v>23514</v>
      </c>
      <c r="AY170" s="39" t="n">
        <v>23514</v>
      </c>
      <c r="AZ170" s="39" t="n">
        <v>0</v>
      </c>
      <c r="BA170" t="n">
        <v>0</v>
      </c>
      <c r="BB170" t="inlineStr">
        <is>
          <t>Crédito Hipotecario</t>
        </is>
      </c>
      <c r="BC170" t="inlineStr">
        <is>
          <t>Scotiabank Perú</t>
        </is>
      </c>
      <c r="BD170" t="inlineStr">
        <is>
          <t>000-2768484</t>
        </is>
      </c>
      <c r="BE170" t="inlineStr">
        <is>
          <t>TRANSFERENCIA BANCARIA</t>
        </is>
      </c>
      <c r="BF170" t="inlineStr">
        <is>
          <t>42539680</t>
        </is>
      </c>
      <c r="BG170" t="inlineStr">
        <is>
          <t>503251</t>
        </is>
      </c>
      <c r="BH170" t="inlineStr">
        <is>
          <t>No</t>
        </is>
      </c>
      <c r="BI170" t="inlineStr">
        <is>
          <t>NO PRECISA</t>
        </is>
      </c>
      <c r="BJ170" t="n">
        <v>4</v>
      </c>
      <c r="BK170" t="inlineStr">
        <is>
          <t>CANCELADO</t>
        </is>
      </c>
      <c r="BV170" t="inlineStr">
        <is>
          <t>Si</t>
        </is>
      </c>
      <c r="BW170" s="76" t="n">
        <v>45832.51944444444</v>
      </c>
      <c r="BX170" t="inlineStr">
        <is>
          <t>Carla Michue M</t>
        </is>
      </c>
      <c r="BZ170" t="n">
        <v>45</v>
      </c>
      <c r="CA170" t="inlineStr">
        <is>
          <t>05/06/2026 12:20</t>
        </is>
      </c>
      <c r="CB170" t="n">
        <v>0</v>
      </c>
      <c r="CF170" t="inlineStr">
        <is>
          <t>Cobranzas_2025.csv</t>
        </is>
      </c>
      <c r="CG170" t="n">
        <v>2025</v>
      </c>
      <c r="CH170" t="inlineStr">
        <is>
          <t>01/01/2024</t>
        </is>
      </c>
      <c r="CI170" t="inlineStr">
        <is>
          <t>24/08/2031</t>
        </is>
      </c>
    </row>
    <row r="171">
      <c r="A171" t="inlineStr">
        <is>
          <t>RESIDENCIAL PRADA</t>
        </is>
      </c>
      <c r="B171" t="inlineStr">
        <is>
          <t>Etapa 1</t>
        </is>
      </c>
      <c r="C171" t="inlineStr">
        <is>
          <t>Edificio</t>
        </is>
      </c>
      <c r="D171" t="inlineStr">
        <is>
          <t>A</t>
        </is>
      </c>
      <c r="E171" t="inlineStr">
        <is>
          <t>Departamento</t>
        </is>
      </c>
      <c r="F171" t="inlineStr">
        <is>
          <t>802</t>
        </is>
      </c>
      <c r="G171" t="n">
        <v>56</v>
      </c>
      <c r="H171" t="n">
        <v>0</v>
      </c>
      <c r="I171" s="39" t="n">
        <v>420000</v>
      </c>
      <c r="J171" s="39" t="n">
        <v>420000</v>
      </c>
      <c r="Q171" s="39" t="n"/>
      <c r="R171" s="39" t="n"/>
      <c r="Y171" s="39" t="n"/>
      <c r="Z171" s="39" t="n"/>
      <c r="AG171" s="39" t="n"/>
      <c r="AH171" s="39" t="n"/>
      <c r="AI171" t="inlineStr">
        <is>
          <t xml:space="preserve">Gersom Juver Gonzalez Alfaro </t>
        </is>
      </c>
      <c r="AJ171" t="inlineStr">
        <is>
          <t>42539680</t>
        </is>
      </c>
      <c r="AK171" t="inlineStr">
        <is>
          <t>Jr. Grl. Zegarra 854 Dpto. 21 P. 4</t>
        </is>
      </c>
      <c r="AL171" t="n">
        <v>958600003</v>
      </c>
      <c r="AM171" t="inlineStr">
        <is>
          <t>958600003</t>
        </is>
      </c>
      <c r="AN171" t="inlineStr">
        <is>
          <t>gersonalfaro@gmail.com</t>
        </is>
      </c>
      <c r="AO171" t="inlineStr">
        <is>
          <t>LIMA</t>
        </is>
      </c>
      <c r="AP171" t="inlineStr">
        <is>
          <t>JESUS MARIA</t>
        </is>
      </c>
      <c r="AQ171" s="75" t="n">
        <v>45991</v>
      </c>
      <c r="AR171" s="75" t="n">
        <v>46127</v>
      </c>
      <c r="AS171" t="inlineStr">
        <is>
          <t>CUOTA INICIAL</t>
        </is>
      </c>
      <c r="AT171" t="n">
        <v>3</v>
      </c>
      <c r="AU171" t="n">
        <v>12086</v>
      </c>
      <c r="AV171" t="n">
        <v>0</v>
      </c>
      <c r="AW171" t="n">
        <v>0</v>
      </c>
      <c r="AX171" s="39" t="n">
        <v>12086</v>
      </c>
      <c r="AY171" s="39" t="n">
        <v>4210.3</v>
      </c>
      <c r="AZ171" s="39" t="n">
        <v>0</v>
      </c>
      <c r="BA171" t="n">
        <v>0</v>
      </c>
      <c r="BB171" t="inlineStr">
        <is>
          <t>Crédito Hipotecario</t>
        </is>
      </c>
      <c r="BC171" t="inlineStr">
        <is>
          <t>Scotiabank Perú</t>
        </is>
      </c>
      <c r="BD171" t="inlineStr">
        <is>
          <t>000-2768484</t>
        </is>
      </c>
      <c r="BE171" t="inlineStr">
        <is>
          <t>TRANSFERENCIA BANCARIA</t>
        </is>
      </c>
      <c r="BF171" t="inlineStr">
        <is>
          <t>42539680</t>
        </is>
      </c>
      <c r="BG171" t="inlineStr">
        <is>
          <t>00003077000000000</t>
        </is>
      </c>
      <c r="BH171" t="inlineStr">
        <is>
          <t>No</t>
        </is>
      </c>
      <c r="BI171" t="inlineStr">
        <is>
          <t>NO PRECISA</t>
        </is>
      </c>
      <c r="BJ171" t="n">
        <v>4</v>
      </c>
      <c r="BK171" t="inlineStr">
        <is>
          <t>CANCELADO</t>
        </is>
      </c>
      <c r="BV171" t="inlineStr">
        <is>
          <t>Si</t>
        </is>
      </c>
      <c r="BW171" s="76" t="n">
        <v>45832.51944444444</v>
      </c>
      <c r="BX171" t="inlineStr">
        <is>
          <t>Carla Michue M</t>
        </is>
      </c>
      <c r="BZ171" t="n">
        <v>45</v>
      </c>
      <c r="CA171" t="inlineStr">
        <is>
          <t>05/06/2026 12:27</t>
        </is>
      </c>
      <c r="CB171" t="n">
        <v>0</v>
      </c>
      <c r="CF171" t="inlineStr">
        <is>
          <t>Cobranzas_2025.csv</t>
        </is>
      </c>
      <c r="CG171" t="n">
        <v>2025</v>
      </c>
      <c r="CH171" t="inlineStr">
        <is>
          <t>01/01/2024</t>
        </is>
      </c>
      <c r="CI171" t="inlineStr">
        <is>
          <t>24/08/2031</t>
        </is>
      </c>
    </row>
    <row r="172">
      <c r="A172" t="inlineStr">
        <is>
          <t>RESIDENCIAL PRADA</t>
        </is>
      </c>
      <c r="B172" t="inlineStr">
        <is>
          <t>Etapa 1</t>
        </is>
      </c>
      <c r="C172" t="inlineStr">
        <is>
          <t>Edificio</t>
        </is>
      </c>
      <c r="D172" t="inlineStr">
        <is>
          <t>A</t>
        </is>
      </c>
      <c r="E172" t="inlineStr">
        <is>
          <t>Departamento</t>
        </is>
      </c>
      <c r="F172" t="inlineStr">
        <is>
          <t>802</t>
        </is>
      </c>
      <c r="G172" t="n">
        <v>56</v>
      </c>
      <c r="H172" t="n">
        <v>0</v>
      </c>
      <c r="I172" s="39" t="n">
        <v>420000</v>
      </c>
      <c r="J172" s="39" t="n">
        <v>420000</v>
      </c>
      <c r="Q172" s="39" t="n"/>
      <c r="R172" s="39" t="n"/>
      <c r="Y172" s="39" t="n"/>
      <c r="Z172" s="39" t="n"/>
      <c r="AG172" s="39" t="n"/>
      <c r="AH172" s="39" t="n"/>
      <c r="AI172" t="inlineStr">
        <is>
          <t xml:space="preserve">Gersom Juver Gonzalez Alfaro </t>
        </is>
      </c>
      <c r="AJ172" t="inlineStr">
        <is>
          <t>42539680</t>
        </is>
      </c>
      <c r="AK172" t="inlineStr">
        <is>
          <t>Jr. Grl. Zegarra 854 Dpto. 21 P. 4</t>
        </is>
      </c>
      <c r="AL172" t="n">
        <v>958600003</v>
      </c>
      <c r="AM172" t="inlineStr">
        <is>
          <t>958600003</t>
        </is>
      </c>
      <c r="AN172" t="inlineStr">
        <is>
          <t>gersonalfaro@gmail.com</t>
        </is>
      </c>
      <c r="AO172" t="inlineStr">
        <is>
          <t>LIMA</t>
        </is>
      </c>
      <c r="AP172" t="inlineStr">
        <is>
          <t>JESUS MARIA</t>
        </is>
      </c>
      <c r="AQ172" s="75" t="n">
        <v>45991</v>
      </c>
      <c r="AR172" s="75" t="n">
        <v>46086</v>
      </c>
      <c r="AS172" t="inlineStr">
        <is>
          <t>CUOTA INICIAL</t>
        </is>
      </c>
      <c r="AT172" t="n">
        <v>3</v>
      </c>
      <c r="AU172" t="n">
        <v>0</v>
      </c>
      <c r="AV172" t="n">
        <v>0</v>
      </c>
      <c r="AW172" t="n">
        <v>0</v>
      </c>
      <c r="AX172" s="39" t="n">
        <v>0</v>
      </c>
      <c r="AY172" s="39" t="n">
        <v>7875.7</v>
      </c>
      <c r="AZ172" s="39" t="n">
        <v>0</v>
      </c>
      <c r="BA172" t="n">
        <v>0</v>
      </c>
      <c r="BB172" t="inlineStr">
        <is>
          <t>Crédito Hipotecario</t>
        </is>
      </c>
      <c r="BC172" t="inlineStr">
        <is>
          <t>Scotiabank Perú</t>
        </is>
      </c>
      <c r="BD172" t="inlineStr">
        <is>
          <t>000-2768484</t>
        </is>
      </c>
      <c r="BE172" t="inlineStr">
        <is>
          <t>TRANSFERENCIA BANCARIA</t>
        </is>
      </c>
      <c r="BG172" t="inlineStr">
        <is>
          <t>05032026</t>
        </is>
      </c>
      <c r="BH172" t="inlineStr">
        <is>
          <t>No</t>
        </is>
      </c>
      <c r="BJ172" t="n">
        <v>4</v>
      </c>
      <c r="BK172" t="inlineStr">
        <is>
          <t>CANCELADO</t>
        </is>
      </c>
      <c r="BV172" t="inlineStr">
        <is>
          <t>Si</t>
        </is>
      </c>
      <c r="BW172" s="76" t="n">
        <v>45832.51944444444</v>
      </c>
      <c r="BX172" t="inlineStr">
        <is>
          <t>Carla Michue M</t>
        </is>
      </c>
      <c r="BZ172" t="n">
        <v>45</v>
      </c>
      <c r="CA172" t="inlineStr">
        <is>
          <t>07/07/2026 12:27</t>
        </is>
      </c>
      <c r="CB172" t="n">
        <v>0</v>
      </c>
      <c r="CF172" t="inlineStr">
        <is>
          <t>Cobranzas_2025.csv</t>
        </is>
      </c>
      <c r="CG172" t="n">
        <v>2025</v>
      </c>
      <c r="CH172" t="inlineStr">
        <is>
          <t>01/01/2024</t>
        </is>
      </c>
      <c r="CI172" t="inlineStr">
        <is>
          <t>24/08/2031</t>
        </is>
      </c>
    </row>
    <row r="173">
      <c r="A173" t="inlineStr">
        <is>
          <t>RESIDENCIAL PRADA</t>
        </is>
      </c>
      <c r="B173" t="inlineStr">
        <is>
          <t>Etapa 1</t>
        </is>
      </c>
      <c r="C173" t="inlineStr">
        <is>
          <t>Edificio</t>
        </is>
      </c>
      <c r="D173" t="inlineStr">
        <is>
          <t>A</t>
        </is>
      </c>
      <c r="E173" t="inlineStr">
        <is>
          <t>Estacionamiento</t>
        </is>
      </c>
      <c r="F173" t="inlineStr">
        <is>
          <t>E 25 - D 19</t>
        </is>
      </c>
      <c r="G173" t="n">
        <v>12.5</v>
      </c>
      <c r="H173" t="n">
        <v>3.8</v>
      </c>
      <c r="I173" s="39" t="n">
        <v>60400</v>
      </c>
      <c r="J173" s="39" t="n">
        <v>60400</v>
      </c>
      <c r="Q173" s="39" t="n"/>
      <c r="R173" s="39" t="n"/>
      <c r="Y173" s="39" t="n"/>
      <c r="Z173" s="39" t="n"/>
      <c r="AG173" s="39" t="n"/>
      <c r="AH173" s="39" t="n"/>
      <c r="AI173" t="inlineStr">
        <is>
          <t>Gersom Juver Gonzalez Alfaro</t>
        </is>
      </c>
      <c r="AJ173" t="inlineStr">
        <is>
          <t>42539680</t>
        </is>
      </c>
      <c r="AK173" t="inlineStr">
        <is>
          <t>Jr. Grl. Zegarra 854 Dpto. 21 P. 4</t>
        </is>
      </c>
      <c r="AL173" t="n">
        <v>0</v>
      </c>
      <c r="AM173" t="inlineStr">
        <is>
          <t>958600003</t>
        </is>
      </c>
      <c r="AN173" t="inlineStr">
        <is>
          <t>gersomalfaro@gmail.com</t>
        </is>
      </c>
      <c r="AO173" t="inlineStr">
        <is>
          <t>LIMA</t>
        </is>
      </c>
      <c r="AP173" t="inlineStr">
        <is>
          <t>JESUS MARIA</t>
        </is>
      </c>
      <c r="AQ173" s="75" t="n">
        <v>45886</v>
      </c>
      <c r="AR173" s="75" t="n">
        <v>45886</v>
      </c>
      <c r="AS173" t="inlineStr">
        <is>
          <t>SEPARACION</t>
        </is>
      </c>
      <c r="AT173" t="n">
        <v>1</v>
      </c>
      <c r="AU173" t="n">
        <v>5000</v>
      </c>
      <c r="AV173" t="n">
        <v>0</v>
      </c>
      <c r="AW173" t="n">
        <v>0</v>
      </c>
      <c r="AX173" s="39" t="n">
        <v>5000</v>
      </c>
      <c r="AY173" s="39" t="n">
        <v>5000</v>
      </c>
      <c r="AZ173" s="39" t="n">
        <v>0</v>
      </c>
      <c r="BA173" t="n">
        <v>0</v>
      </c>
      <c r="BB173" t="inlineStr">
        <is>
          <t>Crédito Directo</t>
        </is>
      </c>
      <c r="BC173" t="inlineStr">
        <is>
          <t>Scotiabank Perú</t>
        </is>
      </c>
      <c r="BD173" t="inlineStr">
        <is>
          <t>00917000000276848424</t>
        </is>
      </c>
      <c r="BE173" t="inlineStr">
        <is>
          <t>TRANSFERENCIA BANCARIA</t>
        </is>
      </c>
      <c r="BG173" t="inlineStr">
        <is>
          <t>00002539000000000</t>
        </is>
      </c>
      <c r="BH173" t="inlineStr">
        <is>
          <t>No</t>
        </is>
      </c>
      <c r="BJ173" t="n">
        <v>4</v>
      </c>
      <c r="BK173" t="inlineStr">
        <is>
          <t>CANCELADO</t>
        </is>
      </c>
      <c r="BV173" t="inlineStr">
        <is>
          <t>Si</t>
        </is>
      </c>
      <c r="BW173" s="76" t="n">
        <v>46031.56527777778</v>
      </c>
      <c r="BX173" t="inlineStr">
        <is>
          <t>Carla Michue M</t>
        </is>
      </c>
      <c r="BZ173" t="n">
        <v>63</v>
      </c>
      <c r="CA173" t="inlineStr">
        <is>
          <t>23/08/2026 13:29</t>
        </is>
      </c>
      <c r="CB173" t="n">
        <v>0</v>
      </c>
      <c r="CF173" t="inlineStr">
        <is>
          <t>Cobranzas_2025.csv</t>
        </is>
      </c>
      <c r="CG173" t="n">
        <v>2025</v>
      </c>
      <c r="CH173" t="inlineStr">
        <is>
          <t>01/01/2024</t>
        </is>
      </c>
      <c r="CI173" t="inlineStr">
        <is>
          <t>24/08/2031</t>
        </is>
      </c>
    </row>
    <row r="174">
      <c r="A174" t="inlineStr">
        <is>
          <t>RESIDENCIAL PRADA</t>
        </is>
      </c>
      <c r="B174" t="inlineStr">
        <is>
          <t>Etapa 1</t>
        </is>
      </c>
      <c r="C174" t="inlineStr">
        <is>
          <t>Edificio</t>
        </is>
      </c>
      <c r="D174" t="inlineStr">
        <is>
          <t>A</t>
        </is>
      </c>
      <c r="E174" t="inlineStr">
        <is>
          <t>Departamento</t>
        </is>
      </c>
      <c r="F174" t="inlineStr">
        <is>
          <t>203</t>
        </is>
      </c>
      <c r="G174" t="n">
        <v>88.27</v>
      </c>
      <c r="H174" t="n">
        <v>0</v>
      </c>
      <c r="I174" s="39" t="n">
        <v>654000</v>
      </c>
      <c r="J174" s="39" t="n">
        <v>654000</v>
      </c>
      <c r="K174" t="inlineStr">
        <is>
          <t>Edificio</t>
        </is>
      </c>
      <c r="L174" t="inlineStr">
        <is>
          <t>A</t>
        </is>
      </c>
      <c r="M174" t="inlineStr">
        <is>
          <t>Estacionamiento</t>
        </is>
      </c>
      <c r="N174" t="inlineStr">
        <is>
          <t>E 12 - D 09</t>
        </is>
      </c>
      <c r="O174" t="n">
        <v>13</v>
      </c>
      <c r="P174" t="n">
        <v>3.89</v>
      </c>
      <c r="Q174" s="39" t="n">
        <v>56300</v>
      </c>
      <c r="R174" s="39" t="n">
        <v>56300</v>
      </c>
      <c r="Y174" s="39" t="n"/>
      <c r="Z174" s="39" t="n"/>
      <c r="AG174" s="39" t="n"/>
      <c r="AH174" s="39" t="n"/>
      <c r="AI174" t="inlineStr">
        <is>
          <t>Gilberto Videla Flores</t>
        </is>
      </c>
      <c r="AJ174" t="inlineStr">
        <is>
          <t>06571347</t>
        </is>
      </c>
      <c r="AK174" t="inlineStr">
        <is>
          <t>Mz D Lt 7 Urb. La Estrella</t>
        </is>
      </c>
      <c r="AM174" t="inlineStr">
        <is>
          <t>969742622</t>
        </is>
      </c>
      <c r="AN174" t="inlineStr">
        <is>
          <t>gvidelaf@gmail.com</t>
        </is>
      </c>
      <c r="AO174" t="inlineStr">
        <is>
          <t>LIMA</t>
        </is>
      </c>
      <c r="AP174" t="inlineStr">
        <is>
          <t>LOS OLIVOS</t>
        </is>
      </c>
      <c r="AQ174" s="75" t="n">
        <v>45750</v>
      </c>
      <c r="AR174" s="75" t="n">
        <v>45750</v>
      </c>
      <c r="AS174" t="inlineStr">
        <is>
          <t>SALDO FINANCIAR</t>
        </is>
      </c>
      <c r="AT174" t="n">
        <v>4</v>
      </c>
      <c r="AU174" t="n">
        <v>20000</v>
      </c>
      <c r="AV174" t="n">
        <v>0</v>
      </c>
      <c r="AW174" t="n">
        <v>0</v>
      </c>
      <c r="AX174" s="39" t="n">
        <v>20000</v>
      </c>
      <c r="AY174" s="39" t="n">
        <v>20000</v>
      </c>
      <c r="AZ174" s="39" t="n">
        <v>0</v>
      </c>
      <c r="BA174" t="n">
        <v>0</v>
      </c>
      <c r="BB174" t="inlineStr">
        <is>
          <t>Crédito Directo</t>
        </is>
      </c>
      <c r="BC174" t="inlineStr">
        <is>
          <t>Scotiabank Perú</t>
        </is>
      </c>
      <c r="BD174" t="inlineStr">
        <is>
          <t>000-2768484</t>
        </is>
      </c>
      <c r="BE174" t="inlineStr">
        <is>
          <t>TRANSFERENCIA BANCARIA</t>
        </is>
      </c>
      <c r="BG174" t="inlineStr">
        <is>
          <t>02908619</t>
        </is>
      </c>
      <c r="BH174" t="inlineStr">
        <is>
          <t>No</t>
        </is>
      </c>
      <c r="BJ174" t="n">
        <v>4</v>
      </c>
      <c r="BK174" t="inlineStr">
        <is>
          <t>CANCELADO</t>
        </is>
      </c>
      <c r="BV174" t="inlineStr">
        <is>
          <t>Si</t>
        </is>
      </c>
      <c r="BW174" s="76" t="n">
        <v>45539.38055555556</v>
      </c>
      <c r="BX174" t="inlineStr">
        <is>
          <t>Carla Michue M</t>
        </is>
      </c>
      <c r="BZ174" t="n">
        <v>24</v>
      </c>
      <c r="CA174" t="inlineStr">
        <is>
          <t>30/06/2026 16:50</t>
        </is>
      </c>
      <c r="CB174" t="n">
        <v>0</v>
      </c>
      <c r="CF174" t="inlineStr">
        <is>
          <t>Cobranzas_2025.csv</t>
        </is>
      </c>
      <c r="CG174" t="n">
        <v>2025</v>
      </c>
      <c r="CH174" t="inlineStr">
        <is>
          <t>01/01/2024</t>
        </is>
      </c>
      <c r="CI174" t="inlineStr">
        <is>
          <t>24/08/2031</t>
        </is>
      </c>
    </row>
    <row r="175">
      <c r="A175" t="inlineStr">
        <is>
          <t>RESIDENCIAL PRADA</t>
        </is>
      </c>
      <c r="B175" t="inlineStr">
        <is>
          <t>Etapa 1</t>
        </is>
      </c>
      <c r="C175" t="inlineStr">
        <is>
          <t>Edificio</t>
        </is>
      </c>
      <c r="D175" t="inlineStr">
        <is>
          <t>A</t>
        </is>
      </c>
      <c r="E175" t="inlineStr">
        <is>
          <t>Departamento</t>
        </is>
      </c>
      <c r="F175" t="inlineStr">
        <is>
          <t>203</t>
        </is>
      </c>
      <c r="G175" t="n">
        <v>88.27</v>
      </c>
      <c r="H175" t="n">
        <v>0</v>
      </c>
      <c r="I175" s="39" t="n">
        <v>654000</v>
      </c>
      <c r="J175" s="39" t="n">
        <v>654000</v>
      </c>
      <c r="K175" t="inlineStr">
        <is>
          <t>Edificio</t>
        </is>
      </c>
      <c r="L175" t="inlineStr">
        <is>
          <t>A</t>
        </is>
      </c>
      <c r="M175" t="inlineStr">
        <is>
          <t>Estacionamiento</t>
        </is>
      </c>
      <c r="N175" t="inlineStr">
        <is>
          <t>E 12 - D 09</t>
        </is>
      </c>
      <c r="O175" t="n">
        <v>13</v>
      </c>
      <c r="P175" t="n">
        <v>3.89</v>
      </c>
      <c r="Q175" s="39" t="n">
        <v>56300</v>
      </c>
      <c r="R175" s="39" t="n">
        <v>56300</v>
      </c>
      <c r="Y175" s="39" t="n"/>
      <c r="Z175" s="39" t="n"/>
      <c r="AG175" s="39" t="n"/>
      <c r="AH175" s="39" t="n"/>
      <c r="AI175" t="inlineStr">
        <is>
          <t>Gilberto Videla Flores</t>
        </is>
      </c>
      <c r="AJ175" t="inlineStr">
        <is>
          <t>06571347</t>
        </is>
      </c>
      <c r="AK175" t="inlineStr">
        <is>
          <t>Mz D Lt 7 Urb. La Estrella</t>
        </is>
      </c>
      <c r="AM175" t="inlineStr">
        <is>
          <t>969742622</t>
        </is>
      </c>
      <c r="AN175" t="inlineStr">
        <is>
          <t>gvidelaf@gmail.com</t>
        </is>
      </c>
      <c r="AO175" t="inlineStr">
        <is>
          <t>LIMA</t>
        </is>
      </c>
      <c r="AP175" t="inlineStr">
        <is>
          <t>LOS OLIVOS</t>
        </is>
      </c>
      <c r="AQ175" s="75" t="n">
        <v>45751</v>
      </c>
      <c r="AR175" s="75" t="n">
        <v>45751</v>
      </c>
      <c r="AS175" t="inlineStr">
        <is>
          <t>SALDO FINANCIAR</t>
        </is>
      </c>
      <c r="AT175" t="n">
        <v>5</v>
      </c>
      <c r="AU175" t="n">
        <v>15515</v>
      </c>
      <c r="AV175" t="n">
        <v>0</v>
      </c>
      <c r="AW175" t="n">
        <v>0</v>
      </c>
      <c r="AX175" s="39" t="n">
        <v>15515</v>
      </c>
      <c r="AY175" s="39" t="n">
        <v>15515</v>
      </c>
      <c r="AZ175" s="39" t="n">
        <v>0</v>
      </c>
      <c r="BA175" t="n">
        <v>0</v>
      </c>
      <c r="BB175" t="inlineStr">
        <is>
          <t>Crédito Directo</t>
        </is>
      </c>
      <c r="BC175" t="inlineStr">
        <is>
          <t>Scotiabank Perú</t>
        </is>
      </c>
      <c r="BD175" t="inlineStr">
        <is>
          <t>000-2768484</t>
        </is>
      </c>
      <c r="BE175" t="inlineStr">
        <is>
          <t>TRANSFERENCIA BANCARIA</t>
        </is>
      </c>
      <c r="BG175" t="inlineStr">
        <is>
          <t>00616715</t>
        </is>
      </c>
      <c r="BH175" t="inlineStr">
        <is>
          <t>No</t>
        </is>
      </c>
      <c r="BJ175" t="n">
        <v>4</v>
      </c>
      <c r="BK175" t="inlineStr">
        <is>
          <t>CANCELADO</t>
        </is>
      </c>
      <c r="BV175" t="inlineStr">
        <is>
          <t>Si</t>
        </is>
      </c>
      <c r="BW175" s="76" t="n">
        <v>45539.38055555556</v>
      </c>
      <c r="BX175" t="inlineStr">
        <is>
          <t>Carla Michue M</t>
        </is>
      </c>
      <c r="BZ175" t="n">
        <v>24</v>
      </c>
      <c r="CA175" t="inlineStr">
        <is>
          <t>30/06/2026 16:54</t>
        </is>
      </c>
      <c r="CB175" t="n">
        <v>0</v>
      </c>
      <c r="CF175" t="inlineStr">
        <is>
          <t>Cobranzas_2025.csv</t>
        </is>
      </c>
      <c r="CG175" t="n">
        <v>2025</v>
      </c>
      <c r="CH175" t="inlineStr">
        <is>
          <t>01/01/2024</t>
        </is>
      </c>
      <c r="CI175" t="inlineStr">
        <is>
          <t>24/08/2031</t>
        </is>
      </c>
    </row>
    <row r="176">
      <c r="A176" t="inlineStr">
        <is>
          <t>RESIDENCIAL PRADA</t>
        </is>
      </c>
      <c r="B176" t="inlineStr">
        <is>
          <t>Etapa 1</t>
        </is>
      </c>
      <c r="C176" t="inlineStr">
        <is>
          <t>Edificio</t>
        </is>
      </c>
      <c r="D176" t="inlineStr">
        <is>
          <t>A</t>
        </is>
      </c>
      <c r="E176" t="inlineStr">
        <is>
          <t>Departamento</t>
        </is>
      </c>
      <c r="F176" t="inlineStr">
        <is>
          <t>203</t>
        </is>
      </c>
      <c r="G176" t="n">
        <v>88.27</v>
      </c>
      <c r="H176" t="n">
        <v>0</v>
      </c>
      <c r="I176" s="39" t="n">
        <v>654000</v>
      </c>
      <c r="J176" s="39" t="n">
        <v>654000</v>
      </c>
      <c r="K176" t="inlineStr">
        <is>
          <t>Edificio</t>
        </is>
      </c>
      <c r="L176" t="inlineStr">
        <is>
          <t>A</t>
        </is>
      </c>
      <c r="M176" t="inlineStr">
        <is>
          <t>Estacionamiento</t>
        </is>
      </c>
      <c r="N176" t="inlineStr">
        <is>
          <t>E 12 - D 09</t>
        </is>
      </c>
      <c r="O176" t="n">
        <v>13</v>
      </c>
      <c r="P176" t="n">
        <v>3.89</v>
      </c>
      <c r="Q176" s="39" t="n">
        <v>56300</v>
      </c>
      <c r="R176" s="39" t="n">
        <v>56300</v>
      </c>
      <c r="Y176" s="39" t="n"/>
      <c r="Z176" s="39" t="n"/>
      <c r="AG176" s="39" t="n"/>
      <c r="AH176" s="39" t="n"/>
      <c r="AI176" t="inlineStr">
        <is>
          <t>Gilberto Videla Flores</t>
        </is>
      </c>
      <c r="AJ176" t="inlineStr">
        <is>
          <t>06571347</t>
        </is>
      </c>
      <c r="AK176" t="inlineStr">
        <is>
          <t>Mz D Lt 7 Urb. La Estrella</t>
        </is>
      </c>
      <c r="AM176" t="inlineStr">
        <is>
          <t>969742622</t>
        </is>
      </c>
      <c r="AN176" t="inlineStr">
        <is>
          <t>gvidelaf@gmail.com</t>
        </is>
      </c>
      <c r="AO176" t="inlineStr">
        <is>
          <t>LIMA</t>
        </is>
      </c>
      <c r="AP176" t="inlineStr">
        <is>
          <t>LOS OLIVOS</t>
        </is>
      </c>
      <c r="AQ176" s="75" t="n">
        <v>45793</v>
      </c>
      <c r="AR176" s="75" t="n">
        <v>45793</v>
      </c>
      <c r="AS176" t="inlineStr">
        <is>
          <t>SALDO FINANCIAR</t>
        </is>
      </c>
      <c r="AT176" t="n">
        <v>6</v>
      </c>
      <c r="AU176" t="n">
        <v>35515</v>
      </c>
      <c r="AV176" t="n">
        <v>0</v>
      </c>
      <c r="AW176" t="n">
        <v>0</v>
      </c>
      <c r="AX176" s="39" t="n">
        <v>35515</v>
      </c>
      <c r="AY176" s="39" t="n">
        <v>35515</v>
      </c>
      <c r="AZ176" s="39" t="n">
        <v>0</v>
      </c>
      <c r="BA176" t="n">
        <v>0</v>
      </c>
      <c r="BB176" t="inlineStr">
        <is>
          <t>Crédito Directo</t>
        </is>
      </c>
      <c r="BC176" t="inlineStr">
        <is>
          <t>Scotiabank Perú</t>
        </is>
      </c>
      <c r="BD176" t="inlineStr">
        <is>
          <t>000-2768484</t>
        </is>
      </c>
      <c r="BE176" t="inlineStr">
        <is>
          <t>TRANSFERENCIA BANCARIA</t>
        </is>
      </c>
      <c r="BG176" t="inlineStr">
        <is>
          <t>02719890</t>
        </is>
      </c>
      <c r="BH176" t="inlineStr">
        <is>
          <t>No</t>
        </is>
      </c>
      <c r="BJ176" t="n">
        <v>4</v>
      </c>
      <c r="BK176" t="inlineStr">
        <is>
          <t>CANCELADO</t>
        </is>
      </c>
      <c r="BV176" t="inlineStr">
        <is>
          <t>Si</t>
        </is>
      </c>
      <c r="BW176" s="76" t="n">
        <v>45539.38055555556</v>
      </c>
      <c r="BX176" t="inlineStr">
        <is>
          <t>Carla Michue M</t>
        </is>
      </c>
      <c r="BZ176" t="n">
        <v>24</v>
      </c>
      <c r="CA176" t="inlineStr">
        <is>
          <t>30/06/2026 17:00</t>
        </is>
      </c>
      <c r="CB176" t="n">
        <v>0</v>
      </c>
      <c r="CF176" t="inlineStr">
        <is>
          <t>Cobranzas_2025.csv</t>
        </is>
      </c>
      <c r="CG176" t="n">
        <v>2025</v>
      </c>
      <c r="CH176" t="inlineStr">
        <is>
          <t>01/01/2024</t>
        </is>
      </c>
      <c r="CI176" t="inlineStr">
        <is>
          <t>24/08/2031</t>
        </is>
      </c>
    </row>
    <row r="177">
      <c r="A177" t="inlineStr">
        <is>
          <t>RESIDENCIAL PRADA</t>
        </is>
      </c>
      <c r="B177" t="inlineStr">
        <is>
          <t>Etapa 1</t>
        </is>
      </c>
      <c r="C177" t="inlineStr">
        <is>
          <t>Edificio</t>
        </is>
      </c>
      <c r="D177" t="inlineStr">
        <is>
          <t>A</t>
        </is>
      </c>
      <c r="E177" t="inlineStr">
        <is>
          <t>Departamento</t>
        </is>
      </c>
      <c r="F177" t="inlineStr">
        <is>
          <t>104</t>
        </is>
      </c>
      <c r="G177" t="n">
        <v>68.52</v>
      </c>
      <c r="H177" t="n">
        <v>31.7</v>
      </c>
      <c r="I177" s="39" t="n">
        <v>609100</v>
      </c>
      <c r="J177" s="39" t="n">
        <v>609100</v>
      </c>
      <c r="K177" t="inlineStr">
        <is>
          <t>Edificio</t>
        </is>
      </c>
      <c r="L177" t="inlineStr">
        <is>
          <t>A</t>
        </is>
      </c>
      <c r="M177" t="inlineStr">
        <is>
          <t>Estacionamiento</t>
        </is>
      </c>
      <c r="N177" t="inlineStr">
        <is>
          <t>E 26 - D 20</t>
        </is>
      </c>
      <c r="O177" t="n">
        <v>14.6</v>
      </c>
      <c r="P177" t="n">
        <v>3.89</v>
      </c>
      <c r="Q177" s="39" t="n">
        <v>64600</v>
      </c>
      <c r="R177" s="39" t="n">
        <v>64600</v>
      </c>
      <c r="Y177" s="39" t="n"/>
      <c r="Z177" s="39" t="n"/>
      <c r="AG177" s="39" t="n"/>
      <c r="AH177" s="39" t="n"/>
      <c r="AI177" t="inlineStr">
        <is>
          <t>Gilda Victoria Sampi González</t>
        </is>
      </c>
      <c r="AJ177" t="inlineStr">
        <is>
          <t>43636501</t>
        </is>
      </c>
      <c r="AK177" t="inlineStr">
        <is>
          <t>Av. Brasil 863 departamento 702-A</t>
        </is>
      </c>
      <c r="AL177" t="n">
        <v>966422784</v>
      </c>
      <c r="AM177" t="inlineStr">
        <is>
          <t xml:space="preserve">966422784		</t>
        </is>
      </c>
      <c r="AN177" t="inlineStr">
        <is>
          <t>victoria.sampi@gmail.com</t>
        </is>
      </c>
      <c r="AO177" t="inlineStr">
        <is>
          <t>LIMA</t>
        </is>
      </c>
      <c r="AP177" t="inlineStr">
        <is>
          <t>JESUS MARIA</t>
        </is>
      </c>
      <c r="AQ177" s="75" t="n">
        <v>45869</v>
      </c>
      <c r="AR177" s="75" t="n">
        <v>45900</v>
      </c>
      <c r="AS177" t="inlineStr">
        <is>
          <t>SALDO FINANCIAR</t>
        </is>
      </c>
      <c r="AT177" t="n">
        <v>1</v>
      </c>
      <c r="AU177" t="n">
        <v>535960</v>
      </c>
      <c r="AV177" t="n">
        <v>0</v>
      </c>
      <c r="AW177" t="n">
        <v>0</v>
      </c>
      <c r="AX177" s="39" t="n">
        <v>535960</v>
      </c>
      <c r="AY177" s="39" t="n">
        <v>535960</v>
      </c>
      <c r="AZ177" s="39" t="n">
        <v>0</v>
      </c>
      <c r="BA177" t="n">
        <v>0</v>
      </c>
      <c r="BB177" t="inlineStr">
        <is>
          <t>Crédito Hipotecario</t>
        </is>
      </c>
      <c r="BC177" t="inlineStr">
        <is>
          <t>Scotiabank Perú</t>
        </is>
      </c>
      <c r="BD177" t="inlineStr">
        <is>
          <t>000-2768484</t>
        </is>
      </c>
      <c r="BE177" t="inlineStr">
        <is>
          <t>TRANSFERENCIA BANCARIA</t>
        </is>
      </c>
      <c r="BH177" t="inlineStr">
        <is>
          <t>Si</t>
        </is>
      </c>
      <c r="BJ177" t="n">
        <v>4</v>
      </c>
      <c r="BK177" t="inlineStr">
        <is>
          <t>CANCELADO</t>
        </is>
      </c>
      <c r="BV177" t="inlineStr">
        <is>
          <t>Si</t>
        </is>
      </c>
      <c r="BW177" s="76" t="n">
        <v>45537.59305555555</v>
      </c>
      <c r="BX177" t="inlineStr">
        <is>
          <t>Kenny Salazar S</t>
        </is>
      </c>
      <c r="BZ177" t="n">
        <v>32</v>
      </c>
      <c r="CA177" t="inlineStr">
        <is>
          <t>07/07/2026 08:32</t>
        </is>
      </c>
      <c r="CB177" t="n">
        <v>0</v>
      </c>
      <c r="CF177" t="inlineStr">
        <is>
          <t>Cobranzas_2025.csv</t>
        </is>
      </c>
      <c r="CG177" t="n">
        <v>2025</v>
      </c>
      <c r="CH177" t="inlineStr">
        <is>
          <t>01/01/2024</t>
        </is>
      </c>
      <c r="CI177" t="inlineStr">
        <is>
          <t>24/08/2031</t>
        </is>
      </c>
    </row>
    <row r="178">
      <c r="A178" t="inlineStr">
        <is>
          <t>RESIDENCIAL VENECIA</t>
        </is>
      </c>
      <c r="B178" t="inlineStr">
        <is>
          <t>Etapa 1</t>
        </is>
      </c>
      <c r="C178" t="inlineStr">
        <is>
          <t>Edificio</t>
        </is>
      </c>
      <c r="D178" t="inlineStr">
        <is>
          <t>A</t>
        </is>
      </c>
      <c r="E178" t="inlineStr">
        <is>
          <t>Departamento</t>
        </is>
      </c>
      <c r="F178" t="inlineStr">
        <is>
          <t>304</t>
        </is>
      </c>
      <c r="G178" t="n">
        <v>67</v>
      </c>
      <c r="H178" t="n">
        <v>0</v>
      </c>
      <c r="I178" s="39" t="n">
        <v>438000</v>
      </c>
      <c r="J178" s="39" t="n">
        <v>438000</v>
      </c>
      <c r="K178" t="inlineStr">
        <is>
          <t>Edificio</t>
        </is>
      </c>
      <c r="L178" t="inlineStr">
        <is>
          <t>A</t>
        </is>
      </c>
      <c r="M178" t="inlineStr">
        <is>
          <t>Estacionamiento</t>
        </is>
      </c>
      <c r="N178" t="inlineStr">
        <is>
          <t>E 28 - D 15</t>
        </is>
      </c>
      <c r="O178" t="n">
        <v>14.5</v>
      </c>
      <c r="P178" t="n">
        <v>0</v>
      </c>
      <c r="Q178" s="39" t="n">
        <v>43000</v>
      </c>
      <c r="R178" s="39" t="n">
        <v>43000</v>
      </c>
      <c r="Y178" s="39" t="n"/>
      <c r="Z178" s="39" t="n"/>
      <c r="AG178" s="39" t="n"/>
      <c r="AH178" s="39" t="n"/>
      <c r="AI178" t="inlineStr">
        <is>
          <t>Giovani Chumioque Garcia</t>
        </is>
      </c>
      <c r="AJ178" t="inlineStr">
        <is>
          <t>46074285</t>
        </is>
      </c>
      <c r="AK178" t="inlineStr">
        <is>
          <t xml:space="preserve">JR.CANGALLO Nº185 </t>
        </is>
      </c>
      <c r="AL178" t="n">
        <v>0</v>
      </c>
      <c r="AM178" t="inlineStr">
        <is>
          <t>970793151</t>
        </is>
      </c>
      <c r="AN178" t="inlineStr">
        <is>
          <t>giojoy@hotmail.com</t>
        </is>
      </c>
      <c r="AO178" t="inlineStr">
        <is>
          <t>LIMA</t>
        </is>
      </c>
      <c r="AP178" t="inlineStr">
        <is>
          <t>CERCADO DE LIMA</t>
        </is>
      </c>
      <c r="AQ178" s="75" t="n">
        <v>45940</v>
      </c>
      <c r="AR178" s="75" t="n">
        <v>45940</v>
      </c>
      <c r="AS178" t="inlineStr">
        <is>
          <t>SEPARACION</t>
        </is>
      </c>
      <c r="AT178" t="n">
        <v>1</v>
      </c>
      <c r="AU178" t="n">
        <v>3000</v>
      </c>
      <c r="AV178" t="n">
        <v>0</v>
      </c>
      <c r="AW178" t="n">
        <v>0</v>
      </c>
      <c r="AX178" s="39" t="n">
        <v>3000</v>
      </c>
      <c r="AY178" s="39" t="n">
        <v>3000</v>
      </c>
      <c r="AZ178" s="39" t="n">
        <v>0</v>
      </c>
      <c r="BA178" t="n">
        <v>0</v>
      </c>
      <c r="BB178" t="inlineStr">
        <is>
          <t>Crédito Hipotecario</t>
        </is>
      </c>
      <c r="BC178" t="inlineStr">
        <is>
          <t>Scotiabank Perú</t>
        </is>
      </c>
      <c r="BD178" t="inlineStr">
        <is>
          <t>0004071419</t>
        </is>
      </c>
      <c r="BE178" t="inlineStr">
        <is>
          <t>POS VISA</t>
        </is>
      </c>
      <c r="BG178" t="inlineStr">
        <is>
          <t>852856</t>
        </is>
      </c>
      <c r="BH178" t="inlineStr">
        <is>
          <t>No</t>
        </is>
      </c>
      <c r="BJ178" t="n">
        <v>4</v>
      </c>
      <c r="BK178" t="inlineStr">
        <is>
          <t>CANCELADO</t>
        </is>
      </c>
      <c r="BV178" t="inlineStr">
        <is>
          <t>Si</t>
        </is>
      </c>
      <c r="BW178" s="76" t="n">
        <v>46178.33888888889</v>
      </c>
      <c r="BX178" t="inlineStr">
        <is>
          <t>Magaly Guevara Perez</t>
        </is>
      </c>
      <c r="BZ178" t="n">
        <v>6</v>
      </c>
      <c r="CA178" t="inlineStr">
        <is>
          <t>24/05/2026 16:37</t>
        </is>
      </c>
      <c r="CB178" t="n">
        <v>0</v>
      </c>
      <c r="CF178" t="inlineStr">
        <is>
          <t>Cobranzas_2025.csv</t>
        </is>
      </c>
      <c r="CG178" t="n">
        <v>2025</v>
      </c>
      <c r="CH178" t="inlineStr">
        <is>
          <t>01/01/2024</t>
        </is>
      </c>
      <c r="CI178" t="inlineStr">
        <is>
          <t>24/08/2031</t>
        </is>
      </c>
    </row>
    <row r="179">
      <c r="A179" t="inlineStr">
        <is>
          <t>RESIDENCIAL VENECIA</t>
        </is>
      </c>
      <c r="B179" t="inlineStr">
        <is>
          <t>Etapa 1</t>
        </is>
      </c>
      <c r="C179" t="inlineStr">
        <is>
          <t>Edificio</t>
        </is>
      </c>
      <c r="D179" t="inlineStr">
        <is>
          <t>A</t>
        </is>
      </c>
      <c r="E179" t="inlineStr">
        <is>
          <t>Departamento</t>
        </is>
      </c>
      <c r="F179" t="inlineStr">
        <is>
          <t>304</t>
        </is>
      </c>
      <c r="G179" t="n">
        <v>67</v>
      </c>
      <c r="H179" t="n">
        <v>0</v>
      </c>
      <c r="I179" s="39" t="n">
        <v>438000</v>
      </c>
      <c r="J179" s="39" t="n">
        <v>438000</v>
      </c>
      <c r="K179" t="inlineStr">
        <is>
          <t>Edificio</t>
        </is>
      </c>
      <c r="L179" t="inlineStr">
        <is>
          <t>A</t>
        </is>
      </c>
      <c r="M179" t="inlineStr">
        <is>
          <t>Estacionamiento</t>
        </is>
      </c>
      <c r="N179" t="inlineStr">
        <is>
          <t>E 28 - D 15</t>
        </is>
      </c>
      <c r="O179" t="n">
        <v>14.5</v>
      </c>
      <c r="P179" t="n">
        <v>0</v>
      </c>
      <c r="Q179" s="39" t="n">
        <v>43000</v>
      </c>
      <c r="R179" s="39" t="n">
        <v>43000</v>
      </c>
      <c r="Y179" s="39" t="n"/>
      <c r="Z179" s="39" t="n"/>
      <c r="AG179" s="39" t="n"/>
      <c r="AH179" s="39" t="n"/>
      <c r="AI179" t="inlineStr">
        <is>
          <t>Giovani Chumioque Garcia</t>
        </is>
      </c>
      <c r="AJ179" t="inlineStr">
        <is>
          <t>46074285</t>
        </is>
      </c>
      <c r="AK179" t="inlineStr">
        <is>
          <t xml:space="preserve">JR.CANGALLO Nº185 </t>
        </is>
      </c>
      <c r="AL179" t="n">
        <v>0</v>
      </c>
      <c r="AM179" t="inlineStr">
        <is>
          <t>970793151</t>
        </is>
      </c>
      <c r="AN179" t="inlineStr">
        <is>
          <t>giojoy@hotmail.com</t>
        </is>
      </c>
      <c r="AO179" t="inlineStr">
        <is>
          <t>LIMA</t>
        </is>
      </c>
      <c r="AP179" t="inlineStr">
        <is>
          <t>CERCADO DE LIMA</t>
        </is>
      </c>
      <c r="AQ179" s="75" t="n">
        <v>45951</v>
      </c>
      <c r="AR179" s="75" t="n">
        <v>45951</v>
      </c>
      <c r="AS179" t="inlineStr">
        <is>
          <t>CUOTA INICIAL</t>
        </is>
      </c>
      <c r="AT179" t="n">
        <v>1</v>
      </c>
      <c r="AU179" t="n">
        <v>126000</v>
      </c>
      <c r="AV179" t="n">
        <v>0</v>
      </c>
      <c r="AW179" t="n">
        <v>0</v>
      </c>
      <c r="AX179" s="39" t="n">
        <v>126000</v>
      </c>
      <c r="AY179" s="39" t="n">
        <v>126000</v>
      </c>
      <c r="AZ179" s="39" t="n">
        <v>0</v>
      </c>
      <c r="BA179" t="n">
        <v>0</v>
      </c>
      <c r="BB179" t="inlineStr">
        <is>
          <t>Crédito Hipotecario</t>
        </is>
      </c>
      <c r="BC179" t="inlineStr">
        <is>
          <t>Scotiabank Perú</t>
        </is>
      </c>
      <c r="BD179" t="inlineStr">
        <is>
          <t>0004071419</t>
        </is>
      </c>
      <c r="BE179" t="inlineStr">
        <is>
          <t>TRANSFERENCIA BANCARIA</t>
        </is>
      </c>
      <c r="BG179" t="inlineStr">
        <is>
          <t>u27329</t>
        </is>
      </c>
      <c r="BH179" t="inlineStr">
        <is>
          <t>No</t>
        </is>
      </c>
      <c r="BJ179" t="n">
        <v>4</v>
      </c>
      <c r="BK179" t="inlineStr">
        <is>
          <t>CANCELADO</t>
        </is>
      </c>
      <c r="BV179" t="inlineStr">
        <is>
          <t>Si</t>
        </is>
      </c>
      <c r="BW179" s="76" t="n">
        <v>46178.33888888889</v>
      </c>
      <c r="BX179" t="inlineStr">
        <is>
          <t>Magaly Guevara Perez</t>
        </is>
      </c>
      <c r="BZ179" t="n">
        <v>6</v>
      </c>
      <c r="CA179" t="inlineStr">
        <is>
          <t>24/05/2026 16:39</t>
        </is>
      </c>
      <c r="CB179" t="n">
        <v>0</v>
      </c>
      <c r="CF179" t="inlineStr">
        <is>
          <t>Cobranzas_2025.csv</t>
        </is>
      </c>
      <c r="CG179" t="n">
        <v>2025</v>
      </c>
      <c r="CH179" t="inlineStr">
        <is>
          <t>01/01/2024</t>
        </is>
      </c>
      <c r="CI179" t="inlineStr">
        <is>
          <t>24/08/2031</t>
        </is>
      </c>
    </row>
    <row r="180">
      <c r="A180" t="inlineStr">
        <is>
          <t>RESIDENCIAL VENECIA</t>
        </is>
      </c>
      <c r="B180" t="inlineStr">
        <is>
          <t>Etapa 1</t>
        </is>
      </c>
      <c r="C180" t="inlineStr">
        <is>
          <t>Edificio</t>
        </is>
      </c>
      <c r="D180" t="inlineStr">
        <is>
          <t>A</t>
        </is>
      </c>
      <c r="E180" t="inlineStr">
        <is>
          <t>Departamento</t>
        </is>
      </c>
      <c r="F180" t="inlineStr">
        <is>
          <t>304</t>
        </is>
      </c>
      <c r="G180" t="n">
        <v>67</v>
      </c>
      <c r="H180" t="n">
        <v>0</v>
      </c>
      <c r="I180" s="39" t="n">
        <v>438000</v>
      </c>
      <c r="J180" s="39" t="n">
        <v>438000</v>
      </c>
      <c r="K180" t="inlineStr">
        <is>
          <t>Edificio</t>
        </is>
      </c>
      <c r="L180" t="inlineStr">
        <is>
          <t>A</t>
        </is>
      </c>
      <c r="M180" t="inlineStr">
        <is>
          <t>Estacionamiento</t>
        </is>
      </c>
      <c r="N180" t="inlineStr">
        <is>
          <t>E 28 - D 15</t>
        </is>
      </c>
      <c r="O180" t="n">
        <v>14.5</v>
      </c>
      <c r="P180" t="n">
        <v>0</v>
      </c>
      <c r="Q180" s="39" t="n">
        <v>43000</v>
      </c>
      <c r="R180" s="39" t="n">
        <v>43000</v>
      </c>
      <c r="Y180" s="39" t="n"/>
      <c r="Z180" s="39" t="n"/>
      <c r="AG180" s="39" t="n"/>
      <c r="AH180" s="39" t="n"/>
      <c r="AI180" t="inlineStr">
        <is>
          <t>Giovani Chumioque Garcia</t>
        </is>
      </c>
      <c r="AJ180" t="inlineStr">
        <is>
          <t>46074285</t>
        </is>
      </c>
      <c r="AK180" t="inlineStr">
        <is>
          <t xml:space="preserve">JR.CANGALLO Nº185 </t>
        </is>
      </c>
      <c r="AL180" t="n">
        <v>0</v>
      </c>
      <c r="AM180" t="inlineStr">
        <is>
          <t>970793151</t>
        </is>
      </c>
      <c r="AN180" t="inlineStr">
        <is>
          <t>giojoy@hotmail.com</t>
        </is>
      </c>
      <c r="AO180" t="inlineStr">
        <is>
          <t>LIMA</t>
        </is>
      </c>
      <c r="AP180" t="inlineStr">
        <is>
          <t>CERCADO DE LIMA</t>
        </is>
      </c>
      <c r="AQ180" s="75" t="n">
        <v>46007</v>
      </c>
      <c r="AR180" s="75" t="n">
        <v>46007</v>
      </c>
      <c r="AS180" t="inlineStr">
        <is>
          <t>CUOTA INICIAL</t>
        </is>
      </c>
      <c r="AT180" t="n">
        <v>2</v>
      </c>
      <c r="AU180" t="n">
        <v>21000</v>
      </c>
      <c r="AV180" t="n">
        <v>0</v>
      </c>
      <c r="AW180" t="n">
        <v>0</v>
      </c>
      <c r="AX180" s="39" t="n">
        <v>21000</v>
      </c>
      <c r="AY180" s="39" t="n">
        <v>21000</v>
      </c>
      <c r="AZ180" s="39" t="n">
        <v>0</v>
      </c>
      <c r="BA180" t="n">
        <v>0</v>
      </c>
      <c r="BB180" t="inlineStr">
        <is>
          <t>Crédito Hipotecario</t>
        </is>
      </c>
      <c r="BC180" t="inlineStr">
        <is>
          <t>Scotiabank Perú</t>
        </is>
      </c>
      <c r="BD180" t="inlineStr">
        <is>
          <t>0004071419</t>
        </is>
      </c>
      <c r="BE180" t="inlineStr">
        <is>
          <t>TRANSFERENCIA BANCARIA</t>
        </is>
      </c>
      <c r="BG180" t="inlineStr">
        <is>
          <t>u28740</t>
        </is>
      </c>
      <c r="BH180" t="inlineStr">
        <is>
          <t>No</t>
        </is>
      </c>
      <c r="BJ180" t="n">
        <v>4</v>
      </c>
      <c r="BK180" t="inlineStr">
        <is>
          <t>CANCELADO</t>
        </is>
      </c>
      <c r="BV180" t="inlineStr">
        <is>
          <t>Si</t>
        </is>
      </c>
      <c r="BW180" s="76" t="n">
        <v>46178.33888888889</v>
      </c>
      <c r="BX180" t="inlineStr">
        <is>
          <t>Magaly Guevara Perez</t>
        </is>
      </c>
      <c r="BZ180" t="n">
        <v>6</v>
      </c>
      <c r="CA180" t="inlineStr">
        <is>
          <t>24/05/2026 16:40</t>
        </is>
      </c>
      <c r="CB180" t="n">
        <v>0</v>
      </c>
      <c r="CF180" t="inlineStr">
        <is>
          <t>Cobranzas_2025.csv</t>
        </is>
      </c>
      <c r="CG180" t="n">
        <v>2025</v>
      </c>
      <c r="CH180" t="inlineStr">
        <is>
          <t>01/01/2024</t>
        </is>
      </c>
      <c r="CI180" t="inlineStr">
        <is>
          <t>24/08/2031</t>
        </is>
      </c>
    </row>
    <row r="181">
      <c r="A181" t="inlineStr">
        <is>
          <t>RESIDENCIAL PRADA</t>
        </is>
      </c>
      <c r="B181" t="inlineStr">
        <is>
          <t>Etapa 1</t>
        </is>
      </c>
      <c r="C181" t="inlineStr">
        <is>
          <t>Edificio</t>
        </is>
      </c>
      <c r="D181" t="inlineStr">
        <is>
          <t>A</t>
        </is>
      </c>
      <c r="E181" t="inlineStr">
        <is>
          <t>Departamento</t>
        </is>
      </c>
      <c r="F181" t="inlineStr">
        <is>
          <t>401</t>
        </is>
      </c>
      <c r="G181" t="n">
        <v>84</v>
      </c>
      <c r="H181" t="n">
        <v>0</v>
      </c>
      <c r="I181" s="39" t="n">
        <v>630000</v>
      </c>
      <c r="J181" s="39" t="n">
        <v>630000</v>
      </c>
      <c r="Q181" s="39" t="n"/>
      <c r="R181" s="39" t="n"/>
      <c r="Y181" s="39" t="n"/>
      <c r="Z181" s="39" t="n"/>
      <c r="AG181" s="39" t="n"/>
      <c r="AH181" s="39" t="n"/>
      <c r="AI181" t="inlineStr">
        <is>
          <t>Gladys Marta Moreano Bellido</t>
        </is>
      </c>
      <c r="AJ181" t="inlineStr">
        <is>
          <t>23951642</t>
        </is>
      </c>
      <c r="AK181" t="inlineStr">
        <is>
          <t>General Sta. Cruz 416 interior 311</t>
        </is>
      </c>
      <c r="AL181" t="n">
        <v>0</v>
      </c>
      <c r="AM181" t="inlineStr">
        <is>
          <t>944421327</t>
        </is>
      </c>
      <c r="AN181" t="inlineStr">
        <is>
          <t>cuscoya@gmail.com</t>
        </is>
      </c>
      <c r="AO181" t="inlineStr">
        <is>
          <t>LIMA</t>
        </is>
      </c>
      <c r="AP181" t="inlineStr">
        <is>
          <t>JESUS MARIA</t>
        </is>
      </c>
      <c r="AQ181" s="75" t="n">
        <v>45751</v>
      </c>
      <c r="AR181" s="75" t="n">
        <v>45751</v>
      </c>
      <c r="AS181" t="inlineStr">
        <is>
          <t>SEPARACION</t>
        </is>
      </c>
      <c r="AT181" t="n">
        <v>1</v>
      </c>
      <c r="AU181" t="n">
        <v>3000</v>
      </c>
      <c r="AV181" t="n">
        <v>0</v>
      </c>
      <c r="AW181" t="n">
        <v>0</v>
      </c>
      <c r="AX181" s="39" t="n">
        <v>3000</v>
      </c>
      <c r="AY181" s="39" t="n">
        <v>3000</v>
      </c>
      <c r="AZ181" s="39" t="n">
        <v>0</v>
      </c>
      <c r="BA181" t="n">
        <v>0</v>
      </c>
      <c r="BB181" t="inlineStr">
        <is>
          <t>Crédito Directo</t>
        </is>
      </c>
      <c r="BC181" t="inlineStr">
        <is>
          <t>Scotiabank Perú</t>
        </is>
      </c>
      <c r="BD181" t="inlineStr">
        <is>
          <t>000-2768484</t>
        </is>
      </c>
      <c r="BE181" t="inlineStr">
        <is>
          <t>TRANSFERENCIA BANCARIA</t>
        </is>
      </c>
      <c r="BF181" t="inlineStr">
        <is>
          <t>23951642</t>
        </is>
      </c>
      <c r="BG181" t="inlineStr">
        <is>
          <t>00005585000000000</t>
        </is>
      </c>
      <c r="BH181" t="inlineStr">
        <is>
          <t>No</t>
        </is>
      </c>
      <c r="BI181" t="inlineStr">
        <is>
          <t>NO PRECISA</t>
        </is>
      </c>
      <c r="BJ181" t="n">
        <v>4</v>
      </c>
      <c r="BK181" t="inlineStr">
        <is>
          <t>CANCELADO</t>
        </is>
      </c>
      <c r="BV181" t="inlineStr">
        <is>
          <t>Si</t>
        </is>
      </c>
      <c r="BW181" s="76" t="n">
        <v>45773.61388888889</v>
      </c>
      <c r="BX181" t="inlineStr">
        <is>
          <t>Kenny Salazar S</t>
        </is>
      </c>
      <c r="BZ181" t="n">
        <v>35</v>
      </c>
      <c r="CA181" t="inlineStr">
        <is>
          <t>02/06/2026 15:57</t>
        </is>
      </c>
      <c r="CB181" t="n">
        <v>0</v>
      </c>
      <c r="CF181" t="inlineStr">
        <is>
          <t>Cobranzas_2025.csv</t>
        </is>
      </c>
      <c r="CG181" t="n">
        <v>2025</v>
      </c>
      <c r="CH181" t="inlineStr">
        <is>
          <t>01/01/2024</t>
        </is>
      </c>
      <c r="CI181" t="inlineStr">
        <is>
          <t>24/08/2031</t>
        </is>
      </c>
    </row>
    <row r="182">
      <c r="A182" t="inlineStr">
        <is>
          <t>RESIDENCIAL PRADA</t>
        </is>
      </c>
      <c r="B182" t="inlineStr">
        <is>
          <t>Etapa 1</t>
        </is>
      </c>
      <c r="C182" t="inlineStr">
        <is>
          <t>Edificio</t>
        </is>
      </c>
      <c r="D182" t="inlineStr">
        <is>
          <t>A</t>
        </is>
      </c>
      <c r="E182" t="inlineStr">
        <is>
          <t>Departamento</t>
        </is>
      </c>
      <c r="F182" t="inlineStr">
        <is>
          <t>401</t>
        </is>
      </c>
      <c r="G182" t="n">
        <v>84</v>
      </c>
      <c r="H182" t="n">
        <v>0</v>
      </c>
      <c r="I182" s="39" t="n">
        <v>630000</v>
      </c>
      <c r="J182" s="39" t="n">
        <v>630000</v>
      </c>
      <c r="Q182" s="39" t="n"/>
      <c r="R182" s="39" t="n"/>
      <c r="Y182" s="39" t="n"/>
      <c r="Z182" s="39" t="n"/>
      <c r="AG182" s="39" t="n"/>
      <c r="AH182" s="39" t="n"/>
      <c r="AI182" t="inlineStr">
        <is>
          <t>Gladys Marta Moreano Bellido</t>
        </is>
      </c>
      <c r="AJ182" t="inlineStr">
        <is>
          <t>23951642</t>
        </is>
      </c>
      <c r="AK182" t="inlineStr">
        <is>
          <t>General Sta. Cruz 416 interior 311</t>
        </is>
      </c>
      <c r="AL182" t="n">
        <v>0</v>
      </c>
      <c r="AM182" t="inlineStr">
        <is>
          <t>944421327</t>
        </is>
      </c>
      <c r="AN182" t="inlineStr">
        <is>
          <t>cuscoya@gmail.com</t>
        </is>
      </c>
      <c r="AO182" t="inlineStr">
        <is>
          <t>LIMA</t>
        </is>
      </c>
      <c r="AP182" t="inlineStr">
        <is>
          <t>JESUS MARIA</t>
        </is>
      </c>
      <c r="AQ182" s="75" t="n">
        <v>45773</v>
      </c>
      <c r="AR182" s="75" t="n">
        <v>45771</v>
      </c>
      <c r="AS182" t="inlineStr">
        <is>
          <t>CUOTA INICIAL</t>
        </is>
      </c>
      <c r="AT182" t="n">
        <v>1</v>
      </c>
      <c r="AU182" t="n">
        <v>187000</v>
      </c>
      <c r="AV182" t="n">
        <v>0</v>
      </c>
      <c r="AW182" t="n">
        <v>0</v>
      </c>
      <c r="AX182" s="39" t="n">
        <v>187000</v>
      </c>
      <c r="AY182" s="39" t="n">
        <v>187000</v>
      </c>
      <c r="AZ182" s="39" t="n">
        <v>0</v>
      </c>
      <c r="BA182" t="n">
        <v>0</v>
      </c>
      <c r="BB182" t="inlineStr">
        <is>
          <t>Crédito Directo</t>
        </is>
      </c>
      <c r="BC182" t="inlineStr">
        <is>
          <t>Scotiabank Perú</t>
        </is>
      </c>
      <c r="BD182" t="inlineStr">
        <is>
          <t>000-2768484</t>
        </is>
      </c>
      <c r="BE182" t="inlineStr">
        <is>
          <t>TRANSFERENCIA BANCARIA</t>
        </is>
      </c>
      <c r="BG182" t="inlineStr">
        <is>
          <t>004626773</t>
        </is>
      </c>
      <c r="BH182" t="inlineStr">
        <is>
          <t>No</t>
        </is>
      </c>
      <c r="BJ182" t="n">
        <v>4</v>
      </c>
      <c r="BK182" t="inlineStr">
        <is>
          <t>CANCELADO</t>
        </is>
      </c>
      <c r="BV182" t="inlineStr">
        <is>
          <t>Si</t>
        </is>
      </c>
      <c r="BW182" s="76" t="n">
        <v>45773.61388888889</v>
      </c>
      <c r="BX182" t="inlineStr">
        <is>
          <t>Kenny Salazar S</t>
        </is>
      </c>
      <c r="BZ182" t="n">
        <v>35</v>
      </c>
      <c r="CA182" t="inlineStr">
        <is>
          <t>03/07/2026 11:38</t>
        </is>
      </c>
      <c r="CB182" t="n">
        <v>0</v>
      </c>
      <c r="CF182" t="inlineStr">
        <is>
          <t>Cobranzas_2025.csv</t>
        </is>
      </c>
      <c r="CG182" t="n">
        <v>2025</v>
      </c>
      <c r="CH182" t="inlineStr">
        <is>
          <t>01/01/2024</t>
        </is>
      </c>
      <c r="CI182" t="inlineStr">
        <is>
          <t>24/08/2031</t>
        </is>
      </c>
    </row>
    <row r="183">
      <c r="A183" t="inlineStr">
        <is>
          <t>RESIDENCIAL PRADA</t>
        </is>
      </c>
      <c r="B183" t="inlineStr">
        <is>
          <t>Etapa 1</t>
        </is>
      </c>
      <c r="C183" t="inlineStr">
        <is>
          <t>Edificio</t>
        </is>
      </c>
      <c r="D183" t="inlineStr">
        <is>
          <t>A</t>
        </is>
      </c>
      <c r="E183" t="inlineStr">
        <is>
          <t>Departamento</t>
        </is>
      </c>
      <c r="F183" t="inlineStr">
        <is>
          <t>401</t>
        </is>
      </c>
      <c r="G183" t="n">
        <v>84</v>
      </c>
      <c r="H183" t="n">
        <v>0</v>
      </c>
      <c r="I183" s="39" t="n">
        <v>630000</v>
      </c>
      <c r="J183" s="39" t="n">
        <v>630000</v>
      </c>
      <c r="Q183" s="39" t="n"/>
      <c r="R183" s="39" t="n"/>
      <c r="Y183" s="39" t="n"/>
      <c r="Z183" s="39" t="n"/>
      <c r="AG183" s="39" t="n"/>
      <c r="AH183" s="39" t="n"/>
      <c r="AI183" t="inlineStr">
        <is>
          <t>Gladys Marta Moreano Bellido</t>
        </is>
      </c>
      <c r="AJ183" t="inlineStr">
        <is>
          <t>23951642</t>
        </is>
      </c>
      <c r="AK183" t="inlineStr">
        <is>
          <t>General Sta. Cruz 416 interior 311</t>
        </is>
      </c>
      <c r="AL183" t="n">
        <v>0</v>
      </c>
      <c r="AM183" t="inlineStr">
        <is>
          <t>944421327</t>
        </is>
      </c>
      <c r="AN183" t="inlineStr">
        <is>
          <t>cuscoya@gmail.com</t>
        </is>
      </c>
      <c r="AO183" t="inlineStr">
        <is>
          <t>LIMA</t>
        </is>
      </c>
      <c r="AP183" t="inlineStr">
        <is>
          <t>JESUS MARIA</t>
        </is>
      </c>
      <c r="AQ183" s="75" t="n">
        <v>45864</v>
      </c>
      <c r="AR183" s="75" t="n">
        <v>45864</v>
      </c>
      <c r="AS183" t="inlineStr">
        <is>
          <t>SALDO FINANCIAR</t>
        </is>
      </c>
      <c r="AT183" t="n">
        <v>1</v>
      </c>
      <c r="AU183" t="n">
        <v>73333.33</v>
      </c>
      <c r="AV183" t="n">
        <v>0</v>
      </c>
      <c r="AW183" t="n">
        <v>0</v>
      </c>
      <c r="AX183" s="39" t="n">
        <v>73333.33</v>
      </c>
      <c r="AY183" s="39" t="n">
        <v>73333.33</v>
      </c>
      <c r="AZ183" s="39" t="n">
        <v>0</v>
      </c>
      <c r="BA183" t="n">
        <v>0</v>
      </c>
      <c r="BB183" t="inlineStr">
        <is>
          <t>Crédito Directo</t>
        </is>
      </c>
      <c r="BC183" t="inlineStr">
        <is>
          <t>Scotiabank Perú</t>
        </is>
      </c>
      <c r="BD183" t="inlineStr">
        <is>
          <t>000-2768484</t>
        </is>
      </c>
      <c r="BE183" t="inlineStr">
        <is>
          <t>DEPOSITO EN CUENTA</t>
        </is>
      </c>
      <c r="BG183" t="inlineStr">
        <is>
          <t>007089743</t>
        </is>
      </c>
      <c r="BH183" t="inlineStr">
        <is>
          <t>No</t>
        </is>
      </c>
      <c r="BJ183" t="n">
        <v>4</v>
      </c>
      <c r="BK183" t="inlineStr">
        <is>
          <t>CANCELADO</t>
        </is>
      </c>
      <c r="BV183" t="inlineStr">
        <is>
          <t>Si</t>
        </is>
      </c>
      <c r="BW183" s="76" t="n">
        <v>45773.61388888889</v>
      </c>
      <c r="BX183" t="inlineStr">
        <is>
          <t>Kenny Salazar S</t>
        </is>
      </c>
      <c r="BZ183" t="n">
        <v>35</v>
      </c>
      <c r="CA183" t="inlineStr">
        <is>
          <t>03/07/2026 11:50</t>
        </is>
      </c>
      <c r="CB183" t="n">
        <v>0</v>
      </c>
      <c r="CF183" t="inlineStr">
        <is>
          <t>Cobranzas_2025.csv</t>
        </is>
      </c>
      <c r="CG183" t="n">
        <v>2025</v>
      </c>
      <c r="CH183" t="inlineStr">
        <is>
          <t>01/01/2024</t>
        </is>
      </c>
      <c r="CI183" t="inlineStr">
        <is>
          <t>24/08/2031</t>
        </is>
      </c>
    </row>
    <row r="184">
      <c r="A184" t="inlineStr">
        <is>
          <t>RESIDENCIAL PRADA</t>
        </is>
      </c>
      <c r="B184" t="inlineStr">
        <is>
          <t>Etapa 1</t>
        </is>
      </c>
      <c r="C184" t="inlineStr">
        <is>
          <t>Edificio</t>
        </is>
      </c>
      <c r="D184" t="inlineStr">
        <is>
          <t>A</t>
        </is>
      </c>
      <c r="E184" t="inlineStr">
        <is>
          <t>Departamento</t>
        </is>
      </c>
      <c r="F184" t="inlineStr">
        <is>
          <t>401</t>
        </is>
      </c>
      <c r="G184" t="n">
        <v>84</v>
      </c>
      <c r="H184" t="n">
        <v>0</v>
      </c>
      <c r="I184" s="39" t="n">
        <v>630000</v>
      </c>
      <c r="J184" s="39" t="n">
        <v>630000</v>
      </c>
      <c r="Q184" s="39" t="n"/>
      <c r="R184" s="39" t="n"/>
      <c r="Y184" s="39" t="n"/>
      <c r="Z184" s="39" t="n"/>
      <c r="AG184" s="39" t="n"/>
      <c r="AH184" s="39" t="n"/>
      <c r="AI184" t="inlineStr">
        <is>
          <t>Gladys Marta Moreano Bellido</t>
        </is>
      </c>
      <c r="AJ184" t="inlineStr">
        <is>
          <t>23951642</t>
        </is>
      </c>
      <c r="AK184" t="inlineStr">
        <is>
          <t>General Sta. Cruz 416 interior 311</t>
        </is>
      </c>
      <c r="AL184" t="n">
        <v>0</v>
      </c>
      <c r="AM184" t="inlineStr">
        <is>
          <t>944421327</t>
        </is>
      </c>
      <c r="AN184" t="inlineStr">
        <is>
          <t>cuscoya@gmail.com</t>
        </is>
      </c>
      <c r="AO184" t="inlineStr">
        <is>
          <t>LIMA</t>
        </is>
      </c>
      <c r="AP184" t="inlineStr">
        <is>
          <t>JESUS MARIA</t>
        </is>
      </c>
      <c r="AQ184" s="75" t="n">
        <v>45956</v>
      </c>
      <c r="AR184" s="75" t="n">
        <v>45864</v>
      </c>
      <c r="AS184" t="inlineStr">
        <is>
          <t>SALDO FINANCIAR</t>
        </is>
      </c>
      <c r="AT184" t="n">
        <v>2</v>
      </c>
      <c r="AU184" t="n">
        <v>0</v>
      </c>
      <c r="AV184" t="n">
        <v>0</v>
      </c>
      <c r="AW184" t="n">
        <v>0</v>
      </c>
      <c r="AX184" s="39" t="n">
        <v>73333.33</v>
      </c>
      <c r="AY184" s="39" t="n">
        <v>46666.67</v>
      </c>
      <c r="AZ184" s="39" t="n">
        <v>0</v>
      </c>
      <c r="BA184" t="n">
        <v>0</v>
      </c>
      <c r="BB184" t="inlineStr">
        <is>
          <t>Crédito Directo</t>
        </is>
      </c>
      <c r="BC184" t="inlineStr">
        <is>
          <t>Scotiabank Perú</t>
        </is>
      </c>
      <c r="BD184" t="inlineStr">
        <is>
          <t>000-2768484</t>
        </is>
      </c>
      <c r="BE184" t="inlineStr">
        <is>
          <t>DEPOSITO EN CUENTA</t>
        </is>
      </c>
      <c r="BG184" t="inlineStr">
        <is>
          <t>007089743</t>
        </is>
      </c>
      <c r="BH184" t="inlineStr">
        <is>
          <t>No</t>
        </is>
      </c>
      <c r="BJ184" t="n">
        <v>4</v>
      </c>
      <c r="BK184" t="inlineStr">
        <is>
          <t>CANCELADO</t>
        </is>
      </c>
      <c r="BV184" t="inlineStr">
        <is>
          <t>Si</t>
        </is>
      </c>
      <c r="BW184" s="76" t="n">
        <v>45773.61388888889</v>
      </c>
      <c r="BX184" t="inlineStr">
        <is>
          <t>Kenny Salazar S</t>
        </is>
      </c>
      <c r="BZ184" t="n">
        <v>35</v>
      </c>
      <c r="CA184" t="inlineStr">
        <is>
          <t>03/07/2026 11:50</t>
        </is>
      </c>
      <c r="CB184" t="n">
        <v>0</v>
      </c>
      <c r="CF184" t="inlineStr">
        <is>
          <t>Cobranzas_2025.csv</t>
        </is>
      </c>
      <c r="CG184" t="n">
        <v>2025</v>
      </c>
      <c r="CH184" t="inlineStr">
        <is>
          <t>01/01/2024</t>
        </is>
      </c>
      <c r="CI184" t="inlineStr">
        <is>
          <t>24/08/2031</t>
        </is>
      </c>
    </row>
    <row r="185">
      <c r="A185" t="inlineStr">
        <is>
          <t>RESIDENCIAL PRADA</t>
        </is>
      </c>
      <c r="B185" t="inlineStr">
        <is>
          <t>Etapa 1</t>
        </is>
      </c>
      <c r="C185" t="inlineStr">
        <is>
          <t>Edificio</t>
        </is>
      </c>
      <c r="D185" t="inlineStr">
        <is>
          <t>A</t>
        </is>
      </c>
      <c r="E185" t="inlineStr">
        <is>
          <t>Departamento</t>
        </is>
      </c>
      <c r="F185" t="inlineStr">
        <is>
          <t>401</t>
        </is>
      </c>
      <c r="G185" t="n">
        <v>84</v>
      </c>
      <c r="H185" t="n">
        <v>0</v>
      </c>
      <c r="I185" s="39" t="n">
        <v>630000</v>
      </c>
      <c r="J185" s="39" t="n">
        <v>630000</v>
      </c>
      <c r="Q185" s="39" t="n"/>
      <c r="R185" s="39" t="n"/>
      <c r="Y185" s="39" t="n"/>
      <c r="Z185" s="39" t="n"/>
      <c r="AG185" s="39" t="n"/>
      <c r="AH185" s="39" t="n"/>
      <c r="AI185" t="inlineStr">
        <is>
          <t>Gladys Marta Moreano Bellido</t>
        </is>
      </c>
      <c r="AJ185" t="inlineStr">
        <is>
          <t>23951642</t>
        </is>
      </c>
      <c r="AK185" t="inlineStr">
        <is>
          <t>General Sta. Cruz 416 interior 311</t>
        </is>
      </c>
      <c r="AL185" t="n">
        <v>0</v>
      </c>
      <c r="AM185" t="inlineStr">
        <is>
          <t>944421327</t>
        </is>
      </c>
      <c r="AN185" t="inlineStr">
        <is>
          <t>cuscoya@gmail.com</t>
        </is>
      </c>
      <c r="AO185" t="inlineStr">
        <is>
          <t>LIMA</t>
        </is>
      </c>
      <c r="AP185" t="inlineStr">
        <is>
          <t>JESUS MARIA</t>
        </is>
      </c>
      <c r="AQ185" s="75" t="n">
        <v>45956</v>
      </c>
      <c r="AR185" s="75" t="n">
        <v>45955</v>
      </c>
      <c r="AS185" t="inlineStr">
        <is>
          <t>SALDO FINANCIAR</t>
        </is>
      </c>
      <c r="AT185" t="n">
        <v>2</v>
      </c>
      <c r="AU185" t="n">
        <v>73333.33</v>
      </c>
      <c r="AV185" t="n">
        <v>0</v>
      </c>
      <c r="AW185" t="n">
        <v>0</v>
      </c>
      <c r="AX185" s="39" t="n">
        <v>0</v>
      </c>
      <c r="AY185" s="39" t="n">
        <v>26666.66</v>
      </c>
      <c r="AZ185" s="39" t="n">
        <v>0</v>
      </c>
      <c r="BA185" t="n">
        <v>0</v>
      </c>
      <c r="BB185" t="inlineStr">
        <is>
          <t>Crédito Directo</t>
        </is>
      </c>
      <c r="BC185" t="inlineStr">
        <is>
          <t>Scotiabank Perú</t>
        </is>
      </c>
      <c r="BD185" t="inlineStr">
        <is>
          <t>000-2768484</t>
        </is>
      </c>
      <c r="BE185" t="inlineStr">
        <is>
          <t>TRANSFERENCIA BANCARIA</t>
        </is>
      </c>
      <c r="BG185" t="inlineStr">
        <is>
          <t>009331226</t>
        </is>
      </c>
      <c r="BH185" t="inlineStr">
        <is>
          <t>No</t>
        </is>
      </c>
      <c r="BJ185" t="n">
        <v>4</v>
      </c>
      <c r="BK185" t="inlineStr">
        <is>
          <t>CANCELADO</t>
        </is>
      </c>
      <c r="BV185" t="inlineStr">
        <is>
          <t>Si</t>
        </is>
      </c>
      <c r="BW185" s="76" t="n">
        <v>45773.61388888889</v>
      </c>
      <c r="BX185" t="inlineStr">
        <is>
          <t>Kenny Salazar S</t>
        </is>
      </c>
      <c r="BZ185" t="n">
        <v>35</v>
      </c>
      <c r="CA185" t="inlineStr">
        <is>
          <t>03/07/2026 11:54</t>
        </is>
      </c>
      <c r="CB185" t="n">
        <v>0</v>
      </c>
      <c r="CF185" t="inlineStr">
        <is>
          <t>Cobranzas_2025.csv</t>
        </is>
      </c>
      <c r="CG185" t="n">
        <v>2025</v>
      </c>
      <c r="CH185" t="inlineStr">
        <is>
          <t>01/01/2024</t>
        </is>
      </c>
      <c r="CI185" t="inlineStr">
        <is>
          <t>24/08/2031</t>
        </is>
      </c>
    </row>
    <row r="186">
      <c r="A186" t="inlineStr">
        <is>
          <t>RESIDENCIAL PRADA</t>
        </is>
      </c>
      <c r="B186" t="inlineStr">
        <is>
          <t>Etapa 1</t>
        </is>
      </c>
      <c r="C186" t="inlineStr">
        <is>
          <t>Edificio</t>
        </is>
      </c>
      <c r="D186" t="inlineStr">
        <is>
          <t>A</t>
        </is>
      </c>
      <c r="E186" t="inlineStr">
        <is>
          <t>Departamento</t>
        </is>
      </c>
      <c r="F186" t="inlineStr">
        <is>
          <t>401</t>
        </is>
      </c>
      <c r="G186" t="n">
        <v>84</v>
      </c>
      <c r="H186" t="n">
        <v>0</v>
      </c>
      <c r="I186" s="39" t="n">
        <v>630000</v>
      </c>
      <c r="J186" s="39" t="n">
        <v>630000</v>
      </c>
      <c r="Q186" s="39" t="n"/>
      <c r="R186" s="39" t="n"/>
      <c r="Y186" s="39" t="n"/>
      <c r="Z186" s="39" t="n"/>
      <c r="AG186" s="39" t="n"/>
      <c r="AH186" s="39" t="n"/>
      <c r="AI186" t="inlineStr">
        <is>
          <t>Gladys Marta Moreano Bellido</t>
        </is>
      </c>
      <c r="AJ186" t="inlineStr">
        <is>
          <t>23951642</t>
        </is>
      </c>
      <c r="AK186" t="inlineStr">
        <is>
          <t>General Sta. Cruz 416 interior 311</t>
        </is>
      </c>
      <c r="AL186" t="n">
        <v>0</v>
      </c>
      <c r="AM186" t="inlineStr">
        <is>
          <t>944421327</t>
        </is>
      </c>
      <c r="AN186" t="inlineStr">
        <is>
          <t>cuscoya@gmail.com</t>
        </is>
      </c>
      <c r="AO186" t="inlineStr">
        <is>
          <t>LIMA</t>
        </is>
      </c>
      <c r="AP186" t="inlineStr">
        <is>
          <t>JESUS MARIA</t>
        </is>
      </c>
      <c r="AQ186" s="75" t="n">
        <v>46017</v>
      </c>
      <c r="AR186" s="75" t="n">
        <v>45955</v>
      </c>
      <c r="AS186" t="inlineStr">
        <is>
          <t>SALDO FINANCIAR</t>
        </is>
      </c>
      <c r="AT186" t="n">
        <v>3</v>
      </c>
      <c r="AU186" t="n">
        <v>73333.33</v>
      </c>
      <c r="AV186" t="n">
        <v>0</v>
      </c>
      <c r="AW186" t="n">
        <v>0</v>
      </c>
      <c r="AX186" s="39" t="n">
        <v>73333.33</v>
      </c>
      <c r="AY186" s="39" t="n">
        <v>73333.33</v>
      </c>
      <c r="AZ186" s="39" t="n">
        <v>0</v>
      </c>
      <c r="BA186" t="n">
        <v>0</v>
      </c>
      <c r="BB186" t="inlineStr">
        <is>
          <t>Crédito Directo</t>
        </is>
      </c>
      <c r="BC186" t="inlineStr">
        <is>
          <t>Scotiabank Perú</t>
        </is>
      </c>
      <c r="BD186" t="inlineStr">
        <is>
          <t>000-2768484</t>
        </is>
      </c>
      <c r="BE186" t="inlineStr">
        <is>
          <t>TRANSFERENCIA BANCARIA</t>
        </is>
      </c>
      <c r="BG186" t="inlineStr">
        <is>
          <t>009331226</t>
        </is>
      </c>
      <c r="BH186" t="inlineStr">
        <is>
          <t>No</t>
        </is>
      </c>
      <c r="BJ186" t="n">
        <v>4</v>
      </c>
      <c r="BK186" t="inlineStr">
        <is>
          <t>CANCELADO</t>
        </is>
      </c>
      <c r="BV186" t="inlineStr">
        <is>
          <t>Si</t>
        </is>
      </c>
      <c r="BW186" s="76" t="n">
        <v>45773.61388888889</v>
      </c>
      <c r="BX186" t="inlineStr">
        <is>
          <t>Kenny Salazar S</t>
        </is>
      </c>
      <c r="BZ186" t="n">
        <v>35</v>
      </c>
      <c r="CA186" t="inlineStr">
        <is>
          <t>03/07/2026 11:54</t>
        </is>
      </c>
      <c r="CB186" t="n">
        <v>0</v>
      </c>
      <c r="CF186" t="inlineStr">
        <is>
          <t>Cobranzas_2025.csv</t>
        </is>
      </c>
      <c r="CG186" t="n">
        <v>2025</v>
      </c>
      <c r="CH186" t="inlineStr">
        <is>
          <t>01/01/2024</t>
        </is>
      </c>
      <c r="CI186" t="inlineStr">
        <is>
          <t>24/08/2031</t>
        </is>
      </c>
    </row>
    <row r="187">
      <c r="A187" t="inlineStr">
        <is>
          <t>RESIDENCIAL PRADA</t>
        </is>
      </c>
      <c r="B187" t="inlineStr">
        <is>
          <t>Etapa 1</t>
        </is>
      </c>
      <c r="C187" t="inlineStr">
        <is>
          <t>Edificio</t>
        </is>
      </c>
      <c r="D187" t="inlineStr">
        <is>
          <t>A</t>
        </is>
      </c>
      <c r="E187" t="inlineStr">
        <is>
          <t>Departamento</t>
        </is>
      </c>
      <c r="F187" t="inlineStr">
        <is>
          <t>401</t>
        </is>
      </c>
      <c r="G187" t="n">
        <v>84</v>
      </c>
      <c r="H187" t="n">
        <v>0</v>
      </c>
      <c r="I187" s="39" t="n">
        <v>630000</v>
      </c>
      <c r="J187" s="39" t="n">
        <v>630000</v>
      </c>
      <c r="Q187" s="39" t="n"/>
      <c r="R187" s="39" t="n"/>
      <c r="Y187" s="39" t="n"/>
      <c r="Z187" s="39" t="n"/>
      <c r="AG187" s="39" t="n"/>
      <c r="AH187" s="39" t="n"/>
      <c r="AI187" t="inlineStr">
        <is>
          <t>Gladys Marta Moreano Bellido</t>
        </is>
      </c>
      <c r="AJ187" t="inlineStr">
        <is>
          <t>23951642</t>
        </is>
      </c>
      <c r="AK187" t="inlineStr">
        <is>
          <t>General Sta. Cruz 416 interior 311</t>
        </is>
      </c>
      <c r="AL187" t="n">
        <v>0</v>
      </c>
      <c r="AM187" t="inlineStr">
        <is>
          <t>944421327</t>
        </is>
      </c>
      <c r="AN187" t="inlineStr">
        <is>
          <t>cuscoya@gmail.com</t>
        </is>
      </c>
      <c r="AO187" t="inlineStr">
        <is>
          <t>LIMA</t>
        </is>
      </c>
      <c r="AP187" t="inlineStr">
        <is>
          <t>JESUS MARIA</t>
        </is>
      </c>
      <c r="AQ187" s="75" t="n">
        <v>46017</v>
      </c>
      <c r="AR187" s="75" t="n">
        <v>45955</v>
      </c>
      <c r="AS187" t="inlineStr">
        <is>
          <t>SALDO FINANCIAR</t>
        </is>
      </c>
      <c r="AT187" t="n">
        <v>4</v>
      </c>
      <c r="AU187" t="n">
        <v>0</v>
      </c>
      <c r="AV187" t="n">
        <v>0</v>
      </c>
      <c r="AW187" t="n">
        <v>0</v>
      </c>
      <c r="AX187" s="39" t="n">
        <v>73333.33</v>
      </c>
      <c r="AY187" s="39" t="n">
        <v>55000.01</v>
      </c>
      <c r="AZ187" s="39" t="n">
        <v>0</v>
      </c>
      <c r="BA187" t="n">
        <v>0</v>
      </c>
      <c r="BB187" t="inlineStr">
        <is>
          <t>Crédito Directo</t>
        </is>
      </c>
      <c r="BC187" t="inlineStr">
        <is>
          <t>Scotiabank Perú</t>
        </is>
      </c>
      <c r="BD187" t="inlineStr">
        <is>
          <t>000-2768484</t>
        </is>
      </c>
      <c r="BE187" t="inlineStr">
        <is>
          <t>TRANSFERENCIA BANCARIA</t>
        </is>
      </c>
      <c r="BG187" t="inlineStr">
        <is>
          <t>009331226</t>
        </is>
      </c>
      <c r="BH187" t="inlineStr">
        <is>
          <t>No</t>
        </is>
      </c>
      <c r="BJ187" t="n">
        <v>4</v>
      </c>
      <c r="BK187" t="inlineStr">
        <is>
          <t>CANCELADO</t>
        </is>
      </c>
      <c r="BV187" t="inlineStr">
        <is>
          <t>Si</t>
        </is>
      </c>
      <c r="BW187" s="76" t="n">
        <v>45773.61388888889</v>
      </c>
      <c r="BX187" t="inlineStr">
        <is>
          <t>Kenny Salazar S</t>
        </is>
      </c>
      <c r="BZ187" t="n">
        <v>35</v>
      </c>
      <c r="CA187" t="inlineStr">
        <is>
          <t>03/07/2026 11:54</t>
        </is>
      </c>
      <c r="CB187" t="n">
        <v>0</v>
      </c>
      <c r="CF187" t="inlineStr">
        <is>
          <t>Cobranzas_2025.csv</t>
        </is>
      </c>
      <c r="CG187" t="n">
        <v>2025</v>
      </c>
      <c r="CH187" t="inlineStr">
        <is>
          <t>01/01/2024</t>
        </is>
      </c>
      <c r="CI187" t="inlineStr">
        <is>
          <t>24/08/2031</t>
        </is>
      </c>
    </row>
    <row r="188">
      <c r="A188" t="inlineStr">
        <is>
          <t>RESIDENCIAL PRADA</t>
        </is>
      </c>
      <c r="B188" t="inlineStr">
        <is>
          <t>Etapa 1</t>
        </is>
      </c>
      <c r="C188" t="inlineStr">
        <is>
          <t>Edificio</t>
        </is>
      </c>
      <c r="D188" t="inlineStr">
        <is>
          <t>A</t>
        </is>
      </c>
      <c r="E188" t="inlineStr">
        <is>
          <t>Departamento</t>
        </is>
      </c>
      <c r="F188" t="inlineStr">
        <is>
          <t>401</t>
        </is>
      </c>
      <c r="G188" t="n">
        <v>84</v>
      </c>
      <c r="H188" t="n">
        <v>0</v>
      </c>
      <c r="I188" s="39" t="n">
        <v>630000</v>
      </c>
      <c r="J188" s="39" t="n">
        <v>630000</v>
      </c>
      <c r="Q188" s="39" t="n"/>
      <c r="R188" s="39" t="n"/>
      <c r="Y188" s="39" t="n"/>
      <c r="Z188" s="39" t="n"/>
      <c r="AG188" s="39" t="n"/>
      <c r="AH188" s="39" t="n"/>
      <c r="AI188" t="inlineStr">
        <is>
          <t>Gladys Marta Moreano Bellido</t>
        </is>
      </c>
      <c r="AJ188" t="inlineStr">
        <is>
          <t>23951642</t>
        </is>
      </c>
      <c r="AK188" t="inlineStr">
        <is>
          <t>General Sta. Cruz 416 interior 311</t>
        </is>
      </c>
      <c r="AL188" t="n">
        <v>0</v>
      </c>
      <c r="AM188" t="inlineStr">
        <is>
          <t>944421327</t>
        </is>
      </c>
      <c r="AN188" t="inlineStr">
        <is>
          <t>cuscoya@gmail.com</t>
        </is>
      </c>
      <c r="AO188" t="inlineStr">
        <is>
          <t>LIMA</t>
        </is>
      </c>
      <c r="AP188" t="inlineStr">
        <is>
          <t>JESUS MARIA</t>
        </is>
      </c>
      <c r="AQ188" s="75" t="n">
        <v>46017</v>
      </c>
      <c r="AR188" s="75" t="n">
        <v>46017</v>
      </c>
      <c r="AS188" t="inlineStr">
        <is>
          <t>SALDO FINANCIAR</t>
        </is>
      </c>
      <c r="AT188" t="n">
        <v>4</v>
      </c>
      <c r="AU188" t="n">
        <v>0</v>
      </c>
      <c r="AV188" t="n">
        <v>0</v>
      </c>
      <c r="AW188" t="n">
        <v>0</v>
      </c>
      <c r="AX188" s="39" t="n">
        <v>0</v>
      </c>
      <c r="AY188" s="39" t="n">
        <v>12000</v>
      </c>
      <c r="AZ188" s="39" t="n">
        <v>0</v>
      </c>
      <c r="BA188" t="n">
        <v>0</v>
      </c>
      <c r="BB188" t="inlineStr">
        <is>
          <t>Crédito Directo</t>
        </is>
      </c>
      <c r="BC188" t="inlineStr">
        <is>
          <t>Scotiabank Perú</t>
        </is>
      </c>
      <c r="BD188" t="inlineStr">
        <is>
          <t>000-2768484</t>
        </is>
      </c>
      <c r="BE188" t="inlineStr">
        <is>
          <t>TRANSFERENCIA BANCARIA</t>
        </is>
      </c>
      <c r="BG188" t="inlineStr">
        <is>
          <t>01291941</t>
        </is>
      </c>
      <c r="BH188" t="inlineStr">
        <is>
          <t>No</t>
        </is>
      </c>
      <c r="BJ188" t="n">
        <v>4</v>
      </c>
      <c r="BK188" t="inlineStr">
        <is>
          <t>CANCELADO</t>
        </is>
      </c>
      <c r="BV188" t="inlineStr">
        <is>
          <t>Si</t>
        </is>
      </c>
      <c r="BW188" s="76" t="n">
        <v>45773.61388888889</v>
      </c>
      <c r="BX188" t="inlineStr">
        <is>
          <t>Kenny Salazar S</t>
        </is>
      </c>
      <c r="BZ188" t="n">
        <v>35</v>
      </c>
      <c r="CA188" t="inlineStr">
        <is>
          <t>03/07/2026 11:55</t>
        </is>
      </c>
      <c r="CB188" t="n">
        <v>0</v>
      </c>
      <c r="CF188" t="inlineStr">
        <is>
          <t>Cobranzas_2025.csv</t>
        </is>
      </c>
      <c r="CG188" t="n">
        <v>2025</v>
      </c>
      <c r="CH188" t="inlineStr">
        <is>
          <t>01/01/2024</t>
        </is>
      </c>
      <c r="CI188" t="inlineStr">
        <is>
          <t>24/08/2031</t>
        </is>
      </c>
    </row>
    <row r="189">
      <c r="A189" t="inlineStr">
        <is>
          <t>RESIDENCIAL PRADA</t>
        </is>
      </c>
      <c r="B189" t="inlineStr">
        <is>
          <t>Etapa 1</t>
        </is>
      </c>
      <c r="C189" t="inlineStr">
        <is>
          <t>Edificio</t>
        </is>
      </c>
      <c r="D189" t="inlineStr">
        <is>
          <t>A</t>
        </is>
      </c>
      <c r="E189" t="inlineStr">
        <is>
          <t>Departamento</t>
        </is>
      </c>
      <c r="F189" t="inlineStr">
        <is>
          <t>401</t>
        </is>
      </c>
      <c r="G189" t="n">
        <v>84</v>
      </c>
      <c r="H189" t="n">
        <v>0</v>
      </c>
      <c r="I189" s="39" t="n">
        <v>630000</v>
      </c>
      <c r="J189" s="39" t="n">
        <v>630000</v>
      </c>
      <c r="Q189" s="39" t="n"/>
      <c r="R189" s="39" t="n"/>
      <c r="Y189" s="39" t="n"/>
      <c r="Z189" s="39" t="n"/>
      <c r="AG189" s="39" t="n"/>
      <c r="AH189" s="39" t="n"/>
      <c r="AI189" t="inlineStr">
        <is>
          <t>Gladys Marta Moreano Bellido</t>
        </is>
      </c>
      <c r="AJ189" t="inlineStr">
        <is>
          <t>23951642</t>
        </is>
      </c>
      <c r="AK189" t="inlineStr">
        <is>
          <t>General Sta. Cruz 416 interior 311</t>
        </is>
      </c>
      <c r="AL189" t="n">
        <v>0</v>
      </c>
      <c r="AM189" t="inlineStr">
        <is>
          <t>944421327</t>
        </is>
      </c>
      <c r="AN189" t="inlineStr">
        <is>
          <t>cuscoya@gmail.com</t>
        </is>
      </c>
      <c r="AO189" t="inlineStr">
        <is>
          <t>LIMA</t>
        </is>
      </c>
      <c r="AP189" t="inlineStr">
        <is>
          <t>JESUS MARIA</t>
        </is>
      </c>
      <c r="AQ189" s="75" t="n">
        <v>46017</v>
      </c>
      <c r="AR189" s="75" t="n">
        <v>46017</v>
      </c>
      <c r="AS189" t="inlineStr">
        <is>
          <t>SALDO FINANCIAR</t>
        </is>
      </c>
      <c r="AT189" t="n">
        <v>4</v>
      </c>
      <c r="AU189" t="n">
        <v>73333.33</v>
      </c>
      <c r="AV189" t="n">
        <v>0</v>
      </c>
      <c r="AW189" t="n">
        <v>0</v>
      </c>
      <c r="AX189" s="39" t="n">
        <v>0</v>
      </c>
      <c r="AY189" s="39" t="n">
        <v>6333.32</v>
      </c>
      <c r="AZ189" s="39" t="n">
        <v>0</v>
      </c>
      <c r="BA189" t="n">
        <v>0</v>
      </c>
      <c r="BB189" t="inlineStr">
        <is>
          <t>Crédito Directo</t>
        </is>
      </c>
      <c r="BC189" t="inlineStr">
        <is>
          <t>Scotiabank Perú</t>
        </is>
      </c>
      <c r="BD189" t="inlineStr">
        <is>
          <t>000-2768484</t>
        </is>
      </c>
      <c r="BE189" t="inlineStr">
        <is>
          <t>TRANSFERENCIA BANCARIA</t>
        </is>
      </c>
      <c r="BG189" t="inlineStr">
        <is>
          <t>01346005</t>
        </is>
      </c>
      <c r="BH189" t="inlineStr">
        <is>
          <t>No</t>
        </is>
      </c>
      <c r="BJ189" t="n">
        <v>4</v>
      </c>
      <c r="BK189" t="inlineStr">
        <is>
          <t>CANCELADO</t>
        </is>
      </c>
      <c r="BV189" t="inlineStr">
        <is>
          <t>Si</t>
        </is>
      </c>
      <c r="BW189" s="76" t="n">
        <v>45773.61388888889</v>
      </c>
      <c r="BX189" t="inlineStr">
        <is>
          <t>Kenny Salazar S</t>
        </is>
      </c>
      <c r="BZ189" t="n">
        <v>35</v>
      </c>
      <c r="CA189" t="inlineStr">
        <is>
          <t>03/07/2026 11:57</t>
        </is>
      </c>
      <c r="CB189" t="n">
        <v>0</v>
      </c>
      <c r="CF189" t="inlineStr">
        <is>
          <t>Cobranzas_2025.csv</t>
        </is>
      </c>
      <c r="CG189" t="n">
        <v>2025</v>
      </c>
      <c r="CH189" t="inlineStr">
        <is>
          <t>01/01/2024</t>
        </is>
      </c>
      <c r="CI189" t="inlineStr">
        <is>
          <t>24/08/2031</t>
        </is>
      </c>
    </row>
    <row r="190">
      <c r="A190" t="inlineStr">
        <is>
          <t>RESIDENCIAL PRADA</t>
        </is>
      </c>
      <c r="B190" t="inlineStr">
        <is>
          <t>Etapa 1</t>
        </is>
      </c>
      <c r="C190" t="inlineStr">
        <is>
          <t>Edificio</t>
        </is>
      </c>
      <c r="D190" t="inlineStr">
        <is>
          <t>A</t>
        </is>
      </c>
      <c r="E190" t="inlineStr">
        <is>
          <t>Estacionamiento</t>
        </is>
      </c>
      <c r="F190" t="inlineStr">
        <is>
          <t>E 16</t>
        </is>
      </c>
      <c r="G190" t="n">
        <v>13.27</v>
      </c>
      <c r="H190" t="n">
        <v>0</v>
      </c>
      <c r="I190" s="39" t="n">
        <v>50500</v>
      </c>
      <c r="J190" s="39" t="n">
        <v>50500</v>
      </c>
      <c r="Q190" s="39" t="n"/>
      <c r="R190" s="39" t="n"/>
      <c r="Y190" s="39" t="n"/>
      <c r="Z190" s="39" t="n"/>
      <c r="AG190" s="39" t="n"/>
      <c r="AH190" s="39" t="n"/>
      <c r="AI190" t="inlineStr">
        <is>
          <t>Gladys Marta Moreano Bellido</t>
        </is>
      </c>
      <c r="AJ190" t="inlineStr">
        <is>
          <t>23951642</t>
        </is>
      </c>
      <c r="AK190" t="inlineStr">
        <is>
          <t>General Sta. Cruz 416 interior 311</t>
        </is>
      </c>
      <c r="AL190" t="n">
        <v>0</v>
      </c>
      <c r="AM190" t="inlineStr">
        <is>
          <t>944421327</t>
        </is>
      </c>
      <c r="AN190" t="inlineStr">
        <is>
          <t>cuscoya@gmail.com</t>
        </is>
      </c>
      <c r="AO190" t="inlineStr">
        <is>
          <t>LIMA</t>
        </is>
      </c>
      <c r="AP190" t="inlineStr">
        <is>
          <t>JESUS MARIA</t>
        </is>
      </c>
      <c r="AQ190" s="75" t="n">
        <v>45849</v>
      </c>
      <c r="AR190" s="75" t="n">
        <v>45849</v>
      </c>
      <c r="AS190" t="inlineStr">
        <is>
          <t>SEPARACION</t>
        </is>
      </c>
      <c r="AT190" t="n">
        <v>1</v>
      </c>
      <c r="AU190" t="n">
        <v>3000</v>
      </c>
      <c r="AV190" t="n">
        <v>0</v>
      </c>
      <c r="AW190" t="n">
        <v>0</v>
      </c>
      <c r="AX190" s="39" t="n">
        <v>3000</v>
      </c>
      <c r="AY190" s="39" t="n">
        <v>3000</v>
      </c>
      <c r="AZ190" s="39" t="n">
        <v>0</v>
      </c>
      <c r="BA190" t="n">
        <v>0</v>
      </c>
      <c r="BB190" t="inlineStr">
        <is>
          <t>Crédito Directo</t>
        </is>
      </c>
      <c r="BC190" t="inlineStr">
        <is>
          <t>Scotiabank Perú</t>
        </is>
      </c>
      <c r="BD190" t="inlineStr">
        <is>
          <t>000-2768484</t>
        </is>
      </c>
      <c r="BE190" t="inlineStr">
        <is>
          <t>TRANSFERENCIA BANCARIA</t>
        </is>
      </c>
      <c r="BG190" t="inlineStr">
        <is>
          <t>11072025</t>
        </is>
      </c>
      <c r="BH190" t="inlineStr">
        <is>
          <t>No</t>
        </is>
      </c>
      <c r="BJ190" t="n">
        <v>4</v>
      </c>
      <c r="BK190" t="inlineStr">
        <is>
          <t>CANCELADO</t>
        </is>
      </c>
      <c r="BV190" t="inlineStr">
        <is>
          <t>Si</t>
        </is>
      </c>
      <c r="BW190" s="76" t="n">
        <v>46218.65555555555</v>
      </c>
      <c r="BX190" t="inlineStr">
        <is>
          <t>Magaly Guevara Perez</t>
        </is>
      </c>
      <c r="BZ190" t="n">
        <v>58</v>
      </c>
      <c r="CA190" t="inlineStr">
        <is>
          <t>03/07/2026 12:08</t>
        </is>
      </c>
      <c r="CB190" t="n">
        <v>0</v>
      </c>
      <c r="CF190" t="inlineStr">
        <is>
          <t>Cobranzas_2025.csv</t>
        </is>
      </c>
      <c r="CG190" t="n">
        <v>2025</v>
      </c>
      <c r="CH190" t="inlineStr">
        <is>
          <t>01/01/2024</t>
        </is>
      </c>
      <c r="CI190" t="inlineStr">
        <is>
          <t>24/08/2031</t>
        </is>
      </c>
    </row>
    <row r="191">
      <c r="A191" t="inlineStr">
        <is>
          <t>RESIDENCIAL PRADA</t>
        </is>
      </c>
      <c r="B191" t="inlineStr">
        <is>
          <t>Etapa 1</t>
        </is>
      </c>
      <c r="C191" t="inlineStr">
        <is>
          <t>Edificio</t>
        </is>
      </c>
      <c r="D191" t="inlineStr">
        <is>
          <t>A</t>
        </is>
      </c>
      <c r="E191" t="inlineStr">
        <is>
          <t>Estacionamiento</t>
        </is>
      </c>
      <c r="F191" t="inlineStr">
        <is>
          <t>E 16</t>
        </is>
      </c>
      <c r="G191" t="n">
        <v>13.27</v>
      </c>
      <c r="H191" t="n">
        <v>0</v>
      </c>
      <c r="I191" s="39" t="n">
        <v>50500</v>
      </c>
      <c r="J191" s="39" t="n">
        <v>50500</v>
      </c>
      <c r="Q191" s="39" t="n"/>
      <c r="R191" s="39" t="n"/>
      <c r="Y191" s="39" t="n"/>
      <c r="Z191" s="39" t="n"/>
      <c r="AG191" s="39" t="n"/>
      <c r="AH191" s="39" t="n"/>
      <c r="AI191" t="inlineStr">
        <is>
          <t>Gladys Marta Moreano Bellido</t>
        </is>
      </c>
      <c r="AJ191" t="inlineStr">
        <is>
          <t>23951642</t>
        </is>
      </c>
      <c r="AK191" t="inlineStr">
        <is>
          <t>General Sta. Cruz 416 interior 311</t>
        </is>
      </c>
      <c r="AL191" t="n">
        <v>0</v>
      </c>
      <c r="AM191" t="inlineStr">
        <is>
          <t>944421327</t>
        </is>
      </c>
      <c r="AN191" t="inlineStr">
        <is>
          <t>cuscoya@gmail.com</t>
        </is>
      </c>
      <c r="AO191" t="inlineStr">
        <is>
          <t>LIMA</t>
        </is>
      </c>
      <c r="AP191" t="inlineStr">
        <is>
          <t>JESUS MARIA</t>
        </is>
      </c>
      <c r="AQ191" s="75" t="n">
        <v>45853</v>
      </c>
      <c r="AR191" s="75" t="n">
        <v>45853</v>
      </c>
      <c r="AS191" t="inlineStr">
        <is>
          <t>CUOTA INICIAL</t>
        </is>
      </c>
      <c r="AT191" t="n">
        <v>1</v>
      </c>
      <c r="AU191" t="n">
        <v>5000</v>
      </c>
      <c r="AV191" t="n">
        <v>0</v>
      </c>
      <c r="AW191" t="n">
        <v>0</v>
      </c>
      <c r="AX191" s="39" t="n">
        <v>5000</v>
      </c>
      <c r="AY191" s="39" t="n">
        <v>5000</v>
      </c>
      <c r="AZ191" s="39" t="n">
        <v>0</v>
      </c>
      <c r="BA191" t="n">
        <v>0</v>
      </c>
      <c r="BB191" t="inlineStr">
        <is>
          <t>Crédito Directo</t>
        </is>
      </c>
      <c r="BC191" t="inlineStr">
        <is>
          <t>Scotiabank Perú</t>
        </is>
      </c>
      <c r="BD191" t="inlineStr">
        <is>
          <t>000-2768484</t>
        </is>
      </c>
      <c r="BE191" t="inlineStr">
        <is>
          <t>TRANSFERENCIA BANCARIA</t>
        </is>
      </c>
      <c r="BG191" t="inlineStr">
        <is>
          <t>15072025</t>
        </is>
      </c>
      <c r="BH191" t="inlineStr">
        <is>
          <t>No</t>
        </is>
      </c>
      <c r="BJ191" t="n">
        <v>4</v>
      </c>
      <c r="BK191" t="inlineStr">
        <is>
          <t>CANCELADO</t>
        </is>
      </c>
      <c r="BV191" t="inlineStr">
        <is>
          <t>Si</t>
        </is>
      </c>
      <c r="BW191" s="76" t="n">
        <v>46218.65555555555</v>
      </c>
      <c r="BX191" t="inlineStr">
        <is>
          <t>Magaly Guevara Perez</t>
        </is>
      </c>
      <c r="BZ191" t="n">
        <v>58</v>
      </c>
      <c r="CA191" t="inlineStr">
        <is>
          <t>03/07/2026 12:18</t>
        </is>
      </c>
      <c r="CB191" t="n">
        <v>0</v>
      </c>
      <c r="CF191" t="inlineStr">
        <is>
          <t>Cobranzas_2025.csv</t>
        </is>
      </c>
      <c r="CG191" t="n">
        <v>2025</v>
      </c>
      <c r="CH191" t="inlineStr">
        <is>
          <t>01/01/2024</t>
        </is>
      </c>
      <c r="CI191" t="inlineStr">
        <is>
          <t>24/08/2031</t>
        </is>
      </c>
    </row>
    <row r="192">
      <c r="A192" t="inlineStr">
        <is>
          <t>RESIDENCIAL BEYOND</t>
        </is>
      </c>
      <c r="B192" t="inlineStr">
        <is>
          <t>Etapa 1</t>
        </is>
      </c>
      <c r="C192" t="inlineStr">
        <is>
          <t>Edificio</t>
        </is>
      </c>
      <c r="D192" t="inlineStr">
        <is>
          <t>A</t>
        </is>
      </c>
      <c r="E192" t="inlineStr">
        <is>
          <t>Departamento</t>
        </is>
      </c>
      <c r="F192" t="inlineStr">
        <is>
          <t>805</t>
        </is>
      </c>
      <c r="G192" t="n">
        <v>72</v>
      </c>
      <c r="H192" t="n">
        <v>0</v>
      </c>
      <c r="I192" s="39" t="n">
        <v>532100</v>
      </c>
      <c r="J192" s="39" t="n">
        <v>532100</v>
      </c>
      <c r="Q192" s="39" t="n"/>
      <c r="R192" s="39" t="n"/>
      <c r="Y192" s="39" t="n"/>
      <c r="Z192" s="39" t="n"/>
      <c r="AG192" s="39" t="n"/>
      <c r="AH192" s="39" t="n"/>
      <c r="AI192" t="inlineStr">
        <is>
          <t>Harry Anderson Yance Ruiz</t>
        </is>
      </c>
      <c r="AJ192" t="inlineStr">
        <is>
          <t>10582963</t>
        </is>
      </c>
      <c r="AK192" t="inlineStr">
        <is>
          <t xml:space="preserve">Calle Las Pajillas 2329 - Urb. Mangomarca </t>
        </is>
      </c>
      <c r="AL192" t="n">
        <v>0</v>
      </c>
      <c r="AM192" t="inlineStr">
        <is>
          <t>948519070</t>
        </is>
      </c>
      <c r="AN192" t="inlineStr">
        <is>
          <t>harry_yance@hotmail.com</t>
        </is>
      </c>
      <c r="AO192" t="inlineStr">
        <is>
          <t>LIMA</t>
        </is>
      </c>
      <c r="AP192" t="inlineStr">
        <is>
          <t>SAN JUAN DE LURIGANCHO</t>
        </is>
      </c>
      <c r="AQ192" s="75" t="n">
        <v>46017</v>
      </c>
      <c r="AR192" s="75" t="n">
        <v>46017</v>
      </c>
      <c r="AS192" t="inlineStr">
        <is>
          <t>SEPARACION</t>
        </is>
      </c>
      <c r="AT192" t="n">
        <v>1</v>
      </c>
      <c r="AU192" t="n">
        <v>3000</v>
      </c>
      <c r="AV192" t="n">
        <v>0</v>
      </c>
      <c r="AW192" t="n">
        <v>0</v>
      </c>
      <c r="AX192" s="39" t="n">
        <v>3000</v>
      </c>
      <c r="AY192" s="39" t="n">
        <v>3000</v>
      </c>
      <c r="AZ192" s="39" t="n">
        <v>0</v>
      </c>
      <c r="BA192" t="n">
        <v>0</v>
      </c>
      <c r="BB192" t="inlineStr">
        <is>
          <t>Crédito Hipotecario</t>
        </is>
      </c>
      <c r="BC192" t="inlineStr">
        <is>
          <t>Banco de Credito del Perú</t>
        </is>
      </c>
      <c r="BD192" t="inlineStr">
        <is>
          <t>194-7325779-0-65</t>
        </is>
      </c>
      <c r="BE192" t="inlineStr">
        <is>
          <t>TRANSFERENCIA BANCARIA</t>
        </is>
      </c>
      <c r="BG192" t="inlineStr">
        <is>
          <t>01808405</t>
        </is>
      </c>
      <c r="BH192" t="inlineStr">
        <is>
          <t>No</t>
        </is>
      </c>
      <c r="BJ192" t="n">
        <v>4</v>
      </c>
      <c r="BK192" t="inlineStr">
        <is>
          <t>CANCELADO</t>
        </is>
      </c>
      <c r="BV192" t="inlineStr">
        <is>
          <t>Si</t>
        </is>
      </c>
      <c r="BW192" s="76" t="n">
        <v>46039.41944444444</v>
      </c>
      <c r="BX192" t="inlineStr">
        <is>
          <t>Carla Michue M</t>
        </is>
      </c>
      <c r="BZ192" t="n">
        <v>17</v>
      </c>
      <c r="CA192" t="inlineStr">
        <is>
          <t>23/05/2026 22:39</t>
        </is>
      </c>
      <c r="CB192" t="n">
        <v>0</v>
      </c>
      <c r="CF192" t="inlineStr">
        <is>
          <t>Cobranzas_2025.csv</t>
        </is>
      </c>
      <c r="CG192" t="n">
        <v>2025</v>
      </c>
      <c r="CH192" t="inlineStr">
        <is>
          <t>01/01/2024</t>
        </is>
      </c>
      <c r="CI192" t="inlineStr">
        <is>
          <t>24/08/2031</t>
        </is>
      </c>
    </row>
    <row r="193">
      <c r="A193" t="inlineStr">
        <is>
          <t>RESIDENCIAL BEYOND</t>
        </is>
      </c>
      <c r="B193" t="inlineStr">
        <is>
          <t>Etapa 1</t>
        </is>
      </c>
      <c r="C193" t="inlineStr">
        <is>
          <t>Edificio</t>
        </is>
      </c>
      <c r="D193" t="inlineStr">
        <is>
          <t>A</t>
        </is>
      </c>
      <c r="E193" t="inlineStr">
        <is>
          <t>Departamento</t>
        </is>
      </c>
      <c r="F193" t="inlineStr">
        <is>
          <t>204</t>
        </is>
      </c>
      <c r="G193" t="n">
        <v>67</v>
      </c>
      <c r="H193" t="n">
        <v>0</v>
      </c>
      <c r="I193" s="39" t="n">
        <v>498000</v>
      </c>
      <c r="J193" s="39" t="n">
        <v>450000</v>
      </c>
      <c r="Q193" s="39" t="n"/>
      <c r="R193" s="39" t="n"/>
      <c r="Y193" s="39" t="n"/>
      <c r="Z193" s="39" t="n"/>
      <c r="AG193" s="39" t="n"/>
      <c r="AH193" s="39" t="n"/>
      <c r="AI193" t="inlineStr">
        <is>
          <t>Jhoully Kattherine Moreno Saavedra</t>
        </is>
      </c>
      <c r="AJ193" t="inlineStr">
        <is>
          <t>73600966</t>
        </is>
      </c>
      <c r="AK193" t="inlineStr">
        <is>
          <t>Emilio de la Barrera 264</t>
        </is>
      </c>
      <c r="AL193" t="n">
        <v>0</v>
      </c>
      <c r="AM193" t="inlineStr">
        <is>
          <t>934027061</t>
        </is>
      </c>
      <c r="AN193" t="inlineStr">
        <is>
          <t>jhoullym@gmail.com</t>
        </is>
      </c>
      <c r="AO193" t="inlineStr">
        <is>
          <t>LIMA</t>
        </is>
      </c>
      <c r="AP193" t="inlineStr">
        <is>
          <t>SAN MARTIN DE PORRES</t>
        </is>
      </c>
      <c r="AQ193" s="75" t="n">
        <v>45953</v>
      </c>
      <c r="AR193" s="75" t="n">
        <v>45953</v>
      </c>
      <c r="AS193" t="inlineStr">
        <is>
          <t>SEPARACION</t>
        </is>
      </c>
      <c r="AT193" t="n">
        <v>1</v>
      </c>
      <c r="AU193" t="n">
        <v>3000</v>
      </c>
      <c r="AV193" t="n">
        <v>0</v>
      </c>
      <c r="AW193" t="n">
        <v>0</v>
      </c>
      <c r="AX193" s="39" t="n">
        <v>3000</v>
      </c>
      <c r="AY193" s="39" t="n">
        <v>3000</v>
      </c>
      <c r="AZ193" s="39" t="n">
        <v>0</v>
      </c>
      <c r="BA193" t="n">
        <v>0</v>
      </c>
      <c r="BB193" t="inlineStr">
        <is>
          <t>Crédito Hipotecario</t>
        </is>
      </c>
      <c r="BC193" t="inlineStr">
        <is>
          <t>Banco de Credito del Perú</t>
        </is>
      </c>
      <c r="BD193" t="inlineStr">
        <is>
          <t>194-7325779-0-65</t>
        </is>
      </c>
      <c r="BE193" t="inlineStr">
        <is>
          <t>TRANSFERENCIA BANCARIA</t>
        </is>
      </c>
      <c r="BF193" t="inlineStr">
        <is>
          <t>73600966</t>
        </is>
      </c>
      <c r="BG193" t="inlineStr">
        <is>
          <t>04205706</t>
        </is>
      </c>
      <c r="BH193" t="inlineStr">
        <is>
          <t>No</t>
        </is>
      </c>
      <c r="BI193" t="inlineStr">
        <is>
          <t>NO PRECISA</t>
        </is>
      </c>
      <c r="BJ193" t="n">
        <v>4</v>
      </c>
      <c r="BK193" t="inlineStr">
        <is>
          <t>CANCELADO</t>
        </is>
      </c>
      <c r="BV193" t="inlineStr">
        <is>
          <t>Si</t>
        </is>
      </c>
      <c r="BW193" s="76" t="n">
        <v>45971.18472222222</v>
      </c>
      <c r="BX193" t="inlineStr">
        <is>
          <t>Carla Michue M</t>
        </is>
      </c>
      <c r="BZ193" t="n">
        <v>3</v>
      </c>
      <c r="CA193" t="inlineStr">
        <is>
          <t>01/05/2026 10:13</t>
        </is>
      </c>
      <c r="CB193" t="n">
        <v>0</v>
      </c>
      <c r="CF193" t="inlineStr">
        <is>
          <t>Cobranzas_2025.csv</t>
        </is>
      </c>
      <c r="CG193" t="n">
        <v>2025</v>
      </c>
      <c r="CH193" t="inlineStr">
        <is>
          <t>01/01/2024</t>
        </is>
      </c>
      <c r="CI193" t="inlineStr">
        <is>
          <t>24/08/2031</t>
        </is>
      </c>
    </row>
    <row r="194">
      <c r="A194" t="inlineStr">
        <is>
          <t>RESIDENCIAL BEYOND</t>
        </is>
      </c>
      <c r="B194" t="inlineStr">
        <is>
          <t>Etapa 1</t>
        </is>
      </c>
      <c r="C194" t="inlineStr">
        <is>
          <t>Edificio</t>
        </is>
      </c>
      <c r="D194" t="inlineStr">
        <is>
          <t>A</t>
        </is>
      </c>
      <c r="E194" t="inlineStr">
        <is>
          <t>Departamento</t>
        </is>
      </c>
      <c r="F194" t="inlineStr">
        <is>
          <t>204</t>
        </is>
      </c>
      <c r="G194" t="n">
        <v>67</v>
      </c>
      <c r="H194" t="n">
        <v>0</v>
      </c>
      <c r="I194" s="39" t="n">
        <v>498000</v>
      </c>
      <c r="J194" s="39" t="n">
        <v>450000</v>
      </c>
      <c r="Q194" s="39" t="n"/>
      <c r="R194" s="39" t="n"/>
      <c r="Y194" s="39" t="n"/>
      <c r="Z194" s="39" t="n"/>
      <c r="AG194" s="39" t="n"/>
      <c r="AH194" s="39" t="n"/>
      <c r="AI194" t="inlineStr">
        <is>
          <t>Jhoully Kattherine Moreno Saavedra</t>
        </is>
      </c>
      <c r="AJ194" t="inlineStr">
        <is>
          <t>73600966</t>
        </is>
      </c>
      <c r="AK194" t="inlineStr">
        <is>
          <t>Emilio de la Barrera 264</t>
        </is>
      </c>
      <c r="AL194" t="n">
        <v>0</v>
      </c>
      <c r="AM194" t="inlineStr">
        <is>
          <t>934027061</t>
        </is>
      </c>
      <c r="AN194" t="inlineStr">
        <is>
          <t>jhoullym@gmail.com</t>
        </is>
      </c>
      <c r="AO194" t="inlineStr">
        <is>
          <t>LIMA</t>
        </is>
      </c>
      <c r="AP194" t="inlineStr">
        <is>
          <t>SAN MARTIN DE PORRES</t>
        </is>
      </c>
      <c r="AQ194" s="75" t="n">
        <v>45971</v>
      </c>
      <c r="AR194" s="75" t="n">
        <v>45971</v>
      </c>
      <c r="AS194" t="inlineStr">
        <is>
          <t>CUOTA INICIAL</t>
        </is>
      </c>
      <c r="AT194" t="n">
        <v>1</v>
      </c>
      <c r="AU194" t="n">
        <v>19500</v>
      </c>
      <c r="AV194" t="n">
        <v>0</v>
      </c>
      <c r="AW194" t="n">
        <v>0</v>
      </c>
      <c r="AX194" s="39" t="n">
        <v>19500</v>
      </c>
      <c r="AY194" s="39" t="n">
        <v>19500</v>
      </c>
      <c r="AZ194" s="39" t="n">
        <v>0</v>
      </c>
      <c r="BA194" t="n">
        <v>0</v>
      </c>
      <c r="BB194" t="inlineStr">
        <is>
          <t>Crédito Hipotecario</t>
        </is>
      </c>
      <c r="BC194" t="inlineStr">
        <is>
          <t>Banco de Credito del Perú</t>
        </is>
      </c>
      <c r="BD194" t="inlineStr">
        <is>
          <t>194-7325779-0-65</t>
        </is>
      </c>
      <c r="BE194" t="inlineStr">
        <is>
          <t>TRANSFERENCIA BANCARIA</t>
        </is>
      </c>
      <c r="BF194" t="inlineStr">
        <is>
          <t>73600966</t>
        </is>
      </c>
      <c r="BG194" t="inlineStr">
        <is>
          <t>03263249</t>
        </is>
      </c>
      <c r="BH194" t="inlineStr">
        <is>
          <t>No</t>
        </is>
      </c>
      <c r="BI194" t="inlineStr">
        <is>
          <t>NO PRECISA</t>
        </is>
      </c>
      <c r="BJ194" t="n">
        <v>4</v>
      </c>
      <c r="BK194" t="inlineStr">
        <is>
          <t>CANCELADO</t>
        </is>
      </c>
      <c r="BV194" t="inlineStr">
        <is>
          <t>Si</t>
        </is>
      </c>
      <c r="BW194" s="76" t="n">
        <v>45971.18472222222</v>
      </c>
      <c r="BX194" t="inlineStr">
        <is>
          <t>Carla Michue M</t>
        </is>
      </c>
      <c r="BZ194" t="n">
        <v>3</v>
      </c>
      <c r="CA194" t="inlineStr">
        <is>
          <t>18/05/2026 04:33</t>
        </is>
      </c>
      <c r="CB194" t="n">
        <v>0</v>
      </c>
      <c r="CF194" t="inlineStr">
        <is>
          <t>Cobranzas_2025.csv</t>
        </is>
      </c>
      <c r="CG194" t="n">
        <v>2025</v>
      </c>
      <c r="CH194" t="inlineStr">
        <is>
          <t>01/01/2024</t>
        </is>
      </c>
      <c r="CI194" t="inlineStr">
        <is>
          <t>24/08/2031</t>
        </is>
      </c>
    </row>
    <row r="195">
      <c r="A195" t="inlineStr">
        <is>
          <t>RESIDENCIAL BEYOND</t>
        </is>
      </c>
      <c r="B195" t="inlineStr">
        <is>
          <t>Etapa 1</t>
        </is>
      </c>
      <c r="C195" t="inlineStr">
        <is>
          <t>Edificio</t>
        </is>
      </c>
      <c r="D195" t="inlineStr">
        <is>
          <t>A</t>
        </is>
      </c>
      <c r="E195" t="inlineStr">
        <is>
          <t>Departamento</t>
        </is>
      </c>
      <c r="F195" t="inlineStr">
        <is>
          <t>601</t>
        </is>
      </c>
      <c r="G195" t="n">
        <v>70</v>
      </c>
      <c r="H195" t="n">
        <v>0</v>
      </c>
      <c r="I195" s="39" t="n">
        <v>518500</v>
      </c>
      <c r="J195" s="39" t="n">
        <v>470000</v>
      </c>
      <c r="Q195" s="39" t="n"/>
      <c r="R195" s="39" t="n"/>
      <c r="Y195" s="39" t="n"/>
      <c r="Z195" s="39" t="n"/>
      <c r="AG195" s="39" t="n"/>
      <c r="AH195" s="39" t="n"/>
      <c r="AI195" t="inlineStr">
        <is>
          <t>Jimmy Luis Andrade Morveli</t>
        </is>
      </c>
      <c r="AJ195" t="inlineStr">
        <is>
          <t>40071918</t>
        </is>
      </c>
      <c r="AK195" t="inlineStr">
        <is>
          <t>Av. Brasil 1836 Edif Bh South Dpto. 409</t>
        </is>
      </c>
      <c r="AL195" t="n">
        <v>0</v>
      </c>
      <c r="AM195" t="inlineStr">
        <is>
          <t>924430158</t>
        </is>
      </c>
      <c r="AN195" t="inlineStr">
        <is>
          <t>Jimmyandrademorveli@gmail.com</t>
        </is>
      </c>
      <c r="AO195" t="inlineStr">
        <is>
          <t>LIMA</t>
        </is>
      </c>
      <c r="AP195" t="inlineStr">
        <is>
          <t>PUEBLO LIBRE</t>
        </is>
      </c>
      <c r="AQ195" s="75" t="n">
        <v>45958</v>
      </c>
      <c r="AR195" s="75" t="n">
        <v>45958</v>
      </c>
      <c r="AS195" t="inlineStr">
        <is>
          <t>SEPARACION</t>
        </is>
      </c>
      <c r="AT195" t="n">
        <v>1</v>
      </c>
      <c r="AU195" t="n">
        <v>3000</v>
      </c>
      <c r="AV195" t="n">
        <v>0</v>
      </c>
      <c r="AW195" t="n">
        <v>0</v>
      </c>
      <c r="AX195" s="39" t="n">
        <v>3000</v>
      </c>
      <c r="AY195" s="39" t="n">
        <v>3000</v>
      </c>
      <c r="AZ195" s="39" t="n">
        <v>0</v>
      </c>
      <c r="BA195" t="n">
        <v>0</v>
      </c>
      <c r="BB195" t="inlineStr">
        <is>
          <t>Crédito Hipotecario</t>
        </is>
      </c>
      <c r="BC195" t="inlineStr">
        <is>
          <t>Banco de Credito del Perú</t>
        </is>
      </c>
      <c r="BD195" t="inlineStr">
        <is>
          <t>194-7325779-0-65</t>
        </is>
      </c>
      <c r="BE195" t="inlineStr">
        <is>
          <t>TRANSFERENCIA BANCARIA</t>
        </is>
      </c>
      <c r="BG195" t="inlineStr">
        <is>
          <t>02080794</t>
        </is>
      </c>
      <c r="BH195" t="inlineStr">
        <is>
          <t>No</t>
        </is>
      </c>
      <c r="BJ195" t="n">
        <v>4</v>
      </c>
      <c r="BK195" t="inlineStr">
        <is>
          <t>CANCELADO</t>
        </is>
      </c>
      <c r="BV195" t="inlineStr">
        <is>
          <t>Si</t>
        </is>
      </c>
      <c r="BW195" s="76" t="n">
        <v>46028.40416666667</v>
      </c>
      <c r="BX195" t="inlineStr">
        <is>
          <t>Magaly Guevara Perez</t>
        </is>
      </c>
      <c r="BZ195" t="n">
        <v>33</v>
      </c>
      <c r="CA195" t="inlineStr">
        <is>
          <t>16/07/2026 14:29</t>
        </is>
      </c>
      <c r="CB195" t="n">
        <v>0</v>
      </c>
      <c r="CF195" t="inlineStr">
        <is>
          <t>Cobranzas_2025.csv</t>
        </is>
      </c>
      <c r="CG195" t="n">
        <v>2025</v>
      </c>
      <c r="CH195" t="inlineStr">
        <is>
          <t>01/01/2024</t>
        </is>
      </c>
      <c r="CI195" t="inlineStr">
        <is>
          <t>24/08/2031</t>
        </is>
      </c>
    </row>
    <row r="196">
      <c r="A196" t="inlineStr">
        <is>
          <t>RESIDENCIAL VENECIA</t>
        </is>
      </c>
      <c r="B196" t="inlineStr">
        <is>
          <t>Etapa 1</t>
        </is>
      </c>
      <c r="C196" t="inlineStr">
        <is>
          <t>Edificio</t>
        </is>
      </c>
      <c r="D196" t="inlineStr">
        <is>
          <t>A</t>
        </is>
      </c>
      <c r="E196" t="inlineStr">
        <is>
          <t>Departamento</t>
        </is>
      </c>
      <c r="F196" t="inlineStr">
        <is>
          <t>504</t>
        </is>
      </c>
      <c r="G196" t="n">
        <v>67</v>
      </c>
      <c r="H196" t="n">
        <v>0</v>
      </c>
      <c r="I196" s="39" t="n">
        <v>428000</v>
      </c>
      <c r="J196" s="39" t="n">
        <v>428000</v>
      </c>
      <c r="Q196" s="39" t="n"/>
      <c r="R196" s="39" t="n"/>
      <c r="Y196" s="39" t="n"/>
      <c r="Z196" s="39" t="n"/>
      <c r="AG196" s="39" t="n"/>
      <c r="AH196" s="39" t="n"/>
      <c r="AI196" t="inlineStr">
        <is>
          <t>Jose Edgardo Camacho Cespedes</t>
        </is>
      </c>
      <c r="AJ196" t="inlineStr">
        <is>
          <t>16631860</t>
        </is>
      </c>
      <c r="AK196" t="inlineStr">
        <is>
          <t>Jr. Huamachuco 1961Urb.Fundo Oyague</t>
        </is>
      </c>
      <c r="AL196" t="n">
        <v>0</v>
      </c>
      <c r="AM196" t="inlineStr">
        <is>
          <t>985758164</t>
        </is>
      </c>
      <c r="AN196" t="inlineStr">
        <is>
          <t>edgardocc1ro@gmail.com</t>
        </is>
      </c>
      <c r="AO196" t="inlineStr">
        <is>
          <t>LIMA</t>
        </is>
      </c>
      <c r="AP196" t="inlineStr">
        <is>
          <t>JESUS MARIA</t>
        </is>
      </c>
      <c r="AQ196" s="75" t="n">
        <v>46009</v>
      </c>
      <c r="AR196" s="75" t="n">
        <v>46009</v>
      </c>
      <c r="AS196" t="inlineStr">
        <is>
          <t>SEPARACION</t>
        </is>
      </c>
      <c r="AT196" t="n">
        <v>1</v>
      </c>
      <c r="AU196" t="n">
        <v>3000</v>
      </c>
      <c r="AV196" t="n">
        <v>0</v>
      </c>
      <c r="AW196" t="n">
        <v>0</v>
      </c>
      <c r="AX196" s="39" t="n">
        <v>3000</v>
      </c>
      <c r="AY196" s="39" t="n">
        <v>3000</v>
      </c>
      <c r="AZ196" s="39" t="n">
        <v>0</v>
      </c>
      <c r="BA196" t="n">
        <v>0</v>
      </c>
      <c r="BB196" t="inlineStr">
        <is>
          <t>Crédito Hipotecario</t>
        </is>
      </c>
      <c r="BC196" t="inlineStr">
        <is>
          <t>Scotiabank Perú</t>
        </is>
      </c>
      <c r="BD196" t="inlineStr">
        <is>
          <t>0004071419</t>
        </is>
      </c>
      <c r="BE196" t="inlineStr">
        <is>
          <t>TRANSFERENCIA BANCARIA</t>
        </is>
      </c>
      <c r="BG196" t="inlineStr">
        <is>
          <t>55556001</t>
        </is>
      </c>
      <c r="BH196" t="inlineStr">
        <is>
          <t>No</t>
        </is>
      </c>
      <c r="BJ196" t="n">
        <v>4</v>
      </c>
      <c r="BK196" t="inlineStr">
        <is>
          <t>CANCELADO</t>
        </is>
      </c>
      <c r="BV196" t="inlineStr">
        <is>
          <t>Si</t>
        </is>
      </c>
      <c r="BW196" s="76" t="n">
        <v>46049.34444444445</v>
      </c>
      <c r="BX196" t="inlineStr">
        <is>
          <t>Magaly Guevara Perez</t>
        </is>
      </c>
      <c r="BZ196" t="n">
        <v>10</v>
      </c>
      <c r="CA196" t="inlineStr">
        <is>
          <t>24/05/2026 20:03</t>
        </is>
      </c>
      <c r="CB196" t="n">
        <v>0</v>
      </c>
      <c r="CF196" t="inlineStr">
        <is>
          <t>Cobranzas_2025.csv</t>
        </is>
      </c>
      <c r="CG196" t="n">
        <v>2025</v>
      </c>
      <c r="CH196" t="inlineStr">
        <is>
          <t>01/01/2024</t>
        </is>
      </c>
      <c r="CI196" t="inlineStr">
        <is>
          <t>24/08/2031</t>
        </is>
      </c>
    </row>
    <row r="197">
      <c r="A197" t="inlineStr">
        <is>
          <t>RESIDENCIAL PRADA</t>
        </is>
      </c>
      <c r="B197" t="inlineStr">
        <is>
          <t>Etapa 1</t>
        </is>
      </c>
      <c r="C197" t="inlineStr">
        <is>
          <t>Edificio</t>
        </is>
      </c>
      <c r="D197" t="inlineStr">
        <is>
          <t>A</t>
        </is>
      </c>
      <c r="E197" t="inlineStr">
        <is>
          <t>Departamento</t>
        </is>
      </c>
      <c r="F197" t="inlineStr">
        <is>
          <t>605</t>
        </is>
      </c>
      <c r="G197" t="n">
        <v>68.72</v>
      </c>
      <c r="H197" t="n">
        <v>0</v>
      </c>
      <c r="I197" s="39" t="n">
        <v>501000</v>
      </c>
      <c r="J197" s="39" t="n">
        <v>501000</v>
      </c>
      <c r="K197" t="inlineStr">
        <is>
          <t>Edificio</t>
        </is>
      </c>
      <c r="L197" t="inlineStr">
        <is>
          <t>A</t>
        </is>
      </c>
      <c r="M197" t="inlineStr">
        <is>
          <t>Estacionamiento</t>
        </is>
      </c>
      <c r="N197" t="inlineStr">
        <is>
          <t>E 07 - D 05</t>
        </is>
      </c>
      <c r="O197" t="n">
        <v>15.4</v>
      </c>
      <c r="P197" t="n">
        <v>2.26</v>
      </c>
      <c r="Q197" s="39" t="n">
        <v>57300</v>
      </c>
      <c r="R197" s="39" t="n">
        <v>57300</v>
      </c>
      <c r="Y197" s="39" t="n"/>
      <c r="Z197" s="39" t="n"/>
      <c r="AG197" s="39" t="n"/>
      <c r="AH197" s="39" t="n"/>
      <c r="AI197" t="inlineStr">
        <is>
          <t>Jose Humberto Pehovaz Diez</t>
        </is>
      </c>
      <c r="AJ197" t="inlineStr">
        <is>
          <t>49073756</t>
        </is>
      </c>
      <c r="AK197" t="inlineStr">
        <is>
          <t>-</t>
        </is>
      </c>
      <c r="AM197" t="inlineStr">
        <is>
          <t>952256518</t>
        </is>
      </c>
      <c r="AN197" t="inlineStr">
        <is>
          <t>josehp99@gmail.com</t>
        </is>
      </c>
      <c r="AO197" t="inlineStr">
        <is>
          <t>LIMA</t>
        </is>
      </c>
      <c r="AP197" t="inlineStr">
        <is>
          <t>MAGDALENA DEL MAR</t>
        </is>
      </c>
      <c r="AQ197" s="75" t="n">
        <v>45713</v>
      </c>
      <c r="AR197" s="75" t="n">
        <v>45709</v>
      </c>
      <c r="AS197" t="inlineStr">
        <is>
          <t>CUOTA INICIAL</t>
        </is>
      </c>
      <c r="AT197" t="n">
        <v>1</v>
      </c>
      <c r="AU197" t="n">
        <v>52830</v>
      </c>
      <c r="AV197" t="n">
        <v>0</v>
      </c>
      <c r="AW197" t="n">
        <v>0</v>
      </c>
      <c r="AX197" s="39" t="n">
        <v>52830</v>
      </c>
      <c r="AY197" s="39" t="n">
        <v>52830</v>
      </c>
      <c r="AZ197" s="39" t="n">
        <v>0</v>
      </c>
      <c r="BA197" t="n">
        <v>0</v>
      </c>
      <c r="BB197" t="inlineStr">
        <is>
          <t>Crédito Hipotecario</t>
        </is>
      </c>
      <c r="BC197" t="inlineStr">
        <is>
          <t>Scotiabank Perú</t>
        </is>
      </c>
      <c r="BD197" t="inlineStr">
        <is>
          <t>000-2768484</t>
        </is>
      </c>
      <c r="BE197" t="inlineStr">
        <is>
          <t>TRANSFERENCIA BANCARIA</t>
        </is>
      </c>
      <c r="BG197" t="inlineStr">
        <is>
          <t>u22607</t>
        </is>
      </c>
      <c r="BH197" t="inlineStr">
        <is>
          <t>No</t>
        </is>
      </c>
      <c r="BJ197" t="n">
        <v>4</v>
      </c>
      <c r="BK197" t="inlineStr">
        <is>
          <t>CANCELADO</t>
        </is>
      </c>
      <c r="BV197" t="inlineStr">
        <is>
          <t>Si</t>
        </is>
      </c>
      <c r="BW197" s="76" t="n">
        <v>45709.69652777778</v>
      </c>
      <c r="BX197" t="inlineStr">
        <is>
          <t>Carla Michue M</t>
        </is>
      </c>
      <c r="BZ197" t="n">
        <v>10</v>
      </c>
      <c r="CA197" t="inlineStr">
        <is>
          <t>07/07/2026 16:31</t>
        </is>
      </c>
      <c r="CB197" t="n">
        <v>0</v>
      </c>
      <c r="CF197" t="inlineStr">
        <is>
          <t>Cobranzas_2025.csv</t>
        </is>
      </c>
      <c r="CG197" t="n">
        <v>2025</v>
      </c>
      <c r="CH197" t="inlineStr">
        <is>
          <t>01/01/2024</t>
        </is>
      </c>
      <c r="CI197" t="inlineStr">
        <is>
          <t>24/08/2031</t>
        </is>
      </c>
    </row>
    <row r="198">
      <c r="A198" t="inlineStr">
        <is>
          <t>RESIDENCIAL PRADA</t>
        </is>
      </c>
      <c r="B198" t="inlineStr">
        <is>
          <t>Etapa 1</t>
        </is>
      </c>
      <c r="C198" t="inlineStr">
        <is>
          <t>Edificio</t>
        </is>
      </c>
      <c r="D198" t="inlineStr">
        <is>
          <t>A</t>
        </is>
      </c>
      <c r="E198" t="inlineStr">
        <is>
          <t>Departamento</t>
        </is>
      </c>
      <c r="F198" t="inlineStr">
        <is>
          <t>605</t>
        </is>
      </c>
      <c r="G198" t="n">
        <v>68.72</v>
      </c>
      <c r="H198" t="n">
        <v>0</v>
      </c>
      <c r="I198" s="39" t="n">
        <v>501000</v>
      </c>
      <c r="J198" s="39" t="n">
        <v>501000</v>
      </c>
      <c r="K198" t="inlineStr">
        <is>
          <t>Edificio</t>
        </is>
      </c>
      <c r="L198" t="inlineStr">
        <is>
          <t>A</t>
        </is>
      </c>
      <c r="M198" t="inlineStr">
        <is>
          <t>Estacionamiento</t>
        </is>
      </c>
      <c r="N198" t="inlineStr">
        <is>
          <t>E 07 - D 05</t>
        </is>
      </c>
      <c r="O198" t="n">
        <v>15.4</v>
      </c>
      <c r="P198" t="n">
        <v>2.26</v>
      </c>
      <c r="Q198" s="39" t="n">
        <v>57300</v>
      </c>
      <c r="R198" s="39" t="n">
        <v>57300</v>
      </c>
      <c r="Y198" s="39" t="n"/>
      <c r="Z198" s="39" t="n"/>
      <c r="AG198" s="39" t="n"/>
      <c r="AH198" s="39" t="n"/>
      <c r="AI198" t="inlineStr">
        <is>
          <t>Jose Humberto Pehovaz Diez</t>
        </is>
      </c>
      <c r="AJ198" t="inlineStr">
        <is>
          <t>49073756</t>
        </is>
      </c>
      <c r="AK198" t="inlineStr">
        <is>
          <t>-</t>
        </is>
      </c>
      <c r="AM198" t="inlineStr">
        <is>
          <t>952256518</t>
        </is>
      </c>
      <c r="AN198" t="inlineStr">
        <is>
          <t>josehp99@gmail.com</t>
        </is>
      </c>
      <c r="AO198" t="inlineStr">
        <is>
          <t>LIMA</t>
        </is>
      </c>
      <c r="AP198" t="inlineStr">
        <is>
          <t>MAGDALENA DEL MAR</t>
        </is>
      </c>
      <c r="AQ198" s="75" t="n">
        <v>45746</v>
      </c>
      <c r="AR198" s="75" t="n">
        <v>45747</v>
      </c>
      <c r="AS198" t="inlineStr">
        <is>
          <t>SALDO FINANCIAR</t>
        </is>
      </c>
      <c r="AT198" t="n">
        <v>1</v>
      </c>
      <c r="AU198" t="n">
        <v>502470</v>
      </c>
      <c r="AV198" t="n">
        <v>0</v>
      </c>
      <c r="AW198" t="n">
        <v>0</v>
      </c>
      <c r="AX198" s="39" t="n">
        <v>502470</v>
      </c>
      <c r="AY198" s="39" t="n">
        <v>502470</v>
      </c>
      <c r="AZ198" s="39" t="n">
        <v>0</v>
      </c>
      <c r="BA198" t="n">
        <v>0</v>
      </c>
      <c r="BB198" t="inlineStr">
        <is>
          <t>Crédito Hipotecario</t>
        </is>
      </c>
      <c r="BC198" t="inlineStr">
        <is>
          <t>Scotiabank Perú</t>
        </is>
      </c>
      <c r="BD198" t="inlineStr">
        <is>
          <t>000-2768484</t>
        </is>
      </c>
      <c r="BE198" t="inlineStr">
        <is>
          <t>TRANSFERENCIA BANCARIA</t>
        </is>
      </c>
      <c r="BG198" t="inlineStr">
        <is>
          <t>30032025</t>
        </is>
      </c>
      <c r="BH198" t="inlineStr">
        <is>
          <t>No</t>
        </is>
      </c>
      <c r="BJ198" t="n">
        <v>4</v>
      </c>
      <c r="BK198" t="inlineStr">
        <is>
          <t>CANCELADO</t>
        </is>
      </c>
      <c r="BV198" t="inlineStr">
        <is>
          <t>Si</t>
        </is>
      </c>
      <c r="BW198" s="76" t="n">
        <v>45709.69652777778</v>
      </c>
      <c r="BX198" t="inlineStr">
        <is>
          <t>Carla Michue M</t>
        </is>
      </c>
      <c r="BZ198" t="n">
        <v>10</v>
      </c>
      <c r="CA198" t="inlineStr">
        <is>
          <t>07/07/2026 16:31</t>
        </is>
      </c>
      <c r="CB198" t="n">
        <v>0</v>
      </c>
      <c r="CF198" t="inlineStr">
        <is>
          <t>Cobranzas_2025.csv</t>
        </is>
      </c>
      <c r="CG198" t="n">
        <v>2025</v>
      </c>
      <c r="CH198" t="inlineStr">
        <is>
          <t>01/01/2024</t>
        </is>
      </c>
      <c r="CI198" t="inlineStr">
        <is>
          <t>24/08/2031</t>
        </is>
      </c>
    </row>
    <row r="199">
      <c r="A199" t="inlineStr">
        <is>
          <t>RESIDENCIAL PRADA</t>
        </is>
      </c>
      <c r="B199" t="inlineStr">
        <is>
          <t>Etapa 1</t>
        </is>
      </c>
      <c r="C199" t="inlineStr">
        <is>
          <t>Edificio</t>
        </is>
      </c>
      <c r="D199" t="inlineStr">
        <is>
          <t>A</t>
        </is>
      </c>
      <c r="E199" t="inlineStr">
        <is>
          <t>Departamento</t>
        </is>
      </c>
      <c r="F199" t="inlineStr">
        <is>
          <t>201</t>
        </is>
      </c>
      <c r="G199" t="n">
        <v>84</v>
      </c>
      <c r="H199" t="n">
        <v>0</v>
      </c>
      <c r="I199" s="39" t="n">
        <v>622500</v>
      </c>
      <c r="J199" s="39" t="n">
        <v>622500</v>
      </c>
      <c r="Q199" s="39" t="n"/>
      <c r="R199" s="39" t="n"/>
      <c r="Y199" s="39" t="n"/>
      <c r="Z199" s="39" t="n"/>
      <c r="AG199" s="39" t="n"/>
      <c r="AH199" s="39" t="n"/>
      <c r="AI199" t="inlineStr">
        <is>
          <t>Joseluis Gaspar Zapata Flores</t>
        </is>
      </c>
      <c r="AJ199" t="inlineStr">
        <is>
          <t>46730672</t>
        </is>
      </c>
      <c r="AK199" t="inlineStr">
        <is>
          <t>Jr. Los Clavles 141 P. J  El Progreso 1er Sector</t>
        </is>
      </c>
      <c r="AM199" t="inlineStr">
        <is>
          <t>948041027</t>
        </is>
      </c>
      <c r="AN199" t="inlineStr">
        <is>
          <t>jlzapata91@gmail.com</t>
        </is>
      </c>
      <c r="AO199" t="inlineStr">
        <is>
          <t>LIMA</t>
        </is>
      </c>
      <c r="AP199" t="inlineStr">
        <is>
          <t>CARABAYLLO</t>
        </is>
      </c>
      <c r="AQ199" s="75" t="n">
        <v>45688</v>
      </c>
      <c r="AR199" s="75" t="n">
        <v>45722</v>
      </c>
      <c r="AS199" t="inlineStr">
        <is>
          <t>SALDO FINANCIAR</t>
        </is>
      </c>
      <c r="AT199" t="n">
        <v>1</v>
      </c>
      <c r="AU199" t="n">
        <v>532500</v>
      </c>
      <c r="AV199" t="n">
        <v>0</v>
      </c>
      <c r="AW199" t="n">
        <v>0</v>
      </c>
      <c r="AX199" s="39" t="n">
        <v>532500</v>
      </c>
      <c r="AY199" s="39" t="n">
        <v>20000</v>
      </c>
      <c r="AZ199" s="39" t="n">
        <v>0</v>
      </c>
      <c r="BA199" t="n">
        <v>0</v>
      </c>
      <c r="BB199" t="inlineStr">
        <is>
          <t>Ahorro</t>
        </is>
      </c>
      <c r="BC199" t="inlineStr">
        <is>
          <t>Scotiabank Perú</t>
        </is>
      </c>
      <c r="BD199" t="inlineStr">
        <is>
          <t>000-2768484</t>
        </is>
      </c>
      <c r="BE199" t="inlineStr">
        <is>
          <t>TRANSFERENCIA BANCARIA</t>
        </is>
      </c>
      <c r="BG199" t="inlineStr">
        <is>
          <t>7844655541508</t>
        </is>
      </c>
      <c r="BH199" t="inlineStr">
        <is>
          <t>No</t>
        </is>
      </c>
      <c r="BJ199" t="n">
        <v>4</v>
      </c>
      <c r="BK199" t="inlineStr">
        <is>
          <t>CANCELADO</t>
        </is>
      </c>
      <c r="BV199" t="inlineStr">
        <is>
          <t>Si</t>
        </is>
      </c>
      <c r="BW199" s="76" t="n">
        <v>45488.65486111111</v>
      </c>
      <c r="BX199" t="inlineStr">
        <is>
          <t>Carla Michue M</t>
        </is>
      </c>
      <c r="BZ199" t="n">
        <v>6</v>
      </c>
      <c r="CA199" t="inlineStr">
        <is>
          <t>29/06/2026 01:08</t>
        </is>
      </c>
      <c r="CB199" t="n">
        <v>0</v>
      </c>
      <c r="CF199" t="inlineStr">
        <is>
          <t>Cobranzas_2025.csv</t>
        </is>
      </c>
      <c r="CG199" t="n">
        <v>2025</v>
      </c>
      <c r="CH199" t="inlineStr">
        <is>
          <t>01/01/2024</t>
        </is>
      </c>
      <c r="CI199" t="inlineStr">
        <is>
          <t>24/08/2031</t>
        </is>
      </c>
    </row>
    <row r="200">
      <c r="A200" t="inlineStr">
        <is>
          <t>RESIDENCIAL PRADA</t>
        </is>
      </c>
      <c r="B200" t="inlineStr">
        <is>
          <t>Etapa 1</t>
        </is>
      </c>
      <c r="C200" t="inlineStr">
        <is>
          <t>Edificio</t>
        </is>
      </c>
      <c r="D200" t="inlineStr">
        <is>
          <t>A</t>
        </is>
      </c>
      <c r="E200" t="inlineStr">
        <is>
          <t>Departamento</t>
        </is>
      </c>
      <c r="F200" t="inlineStr">
        <is>
          <t>201</t>
        </is>
      </c>
      <c r="G200" t="n">
        <v>84</v>
      </c>
      <c r="H200" t="n">
        <v>0</v>
      </c>
      <c r="I200" s="39" t="n">
        <v>622500</v>
      </c>
      <c r="J200" s="39" t="n">
        <v>622500</v>
      </c>
      <c r="Q200" s="39" t="n"/>
      <c r="R200" s="39" t="n"/>
      <c r="Y200" s="39" t="n"/>
      <c r="Z200" s="39" t="n"/>
      <c r="AG200" s="39" t="n"/>
      <c r="AH200" s="39" t="n"/>
      <c r="AI200" t="inlineStr">
        <is>
          <t>Joseluis Gaspar Zapata Flores</t>
        </is>
      </c>
      <c r="AJ200" t="inlineStr">
        <is>
          <t>46730672</t>
        </is>
      </c>
      <c r="AK200" t="inlineStr">
        <is>
          <t>Jr. Los Clavles 141 P. J  El Progreso 1er Sector</t>
        </is>
      </c>
      <c r="AM200" t="inlineStr">
        <is>
          <t>948041027</t>
        </is>
      </c>
      <c r="AN200" t="inlineStr">
        <is>
          <t>jlzapata91@gmail.com</t>
        </is>
      </c>
      <c r="AO200" t="inlineStr">
        <is>
          <t>LIMA</t>
        </is>
      </c>
      <c r="AP200" t="inlineStr">
        <is>
          <t>CARABAYLLO</t>
        </is>
      </c>
      <c r="AQ200" s="75" t="n">
        <v>45688</v>
      </c>
      <c r="AR200" s="75" t="n">
        <v>45747</v>
      </c>
      <c r="AS200" t="inlineStr">
        <is>
          <t>SALDO FINANCIAR</t>
        </is>
      </c>
      <c r="AT200" t="n">
        <v>1</v>
      </c>
      <c r="AU200" t="n">
        <v>0</v>
      </c>
      <c r="AV200" t="n">
        <v>0</v>
      </c>
      <c r="AW200" t="n">
        <v>0</v>
      </c>
      <c r="AX200" s="39" t="n">
        <v>0</v>
      </c>
      <c r="AY200" s="39" t="n">
        <v>512500</v>
      </c>
      <c r="AZ200" s="39" t="n">
        <v>0</v>
      </c>
      <c r="BA200" t="n">
        <v>0</v>
      </c>
      <c r="BB200" t="inlineStr">
        <is>
          <t>Ahorro</t>
        </is>
      </c>
      <c r="BC200" t="inlineStr">
        <is>
          <t>Scotiabank Perú</t>
        </is>
      </c>
      <c r="BD200" t="inlineStr">
        <is>
          <t>000-2768484</t>
        </is>
      </c>
      <c r="BE200" t="inlineStr">
        <is>
          <t>TRANSFERENCIA BANCARIA</t>
        </is>
      </c>
      <c r="BG200" t="inlineStr">
        <is>
          <t>31032025</t>
        </is>
      </c>
      <c r="BH200" t="inlineStr">
        <is>
          <t>No</t>
        </is>
      </c>
      <c r="BJ200" t="n">
        <v>4</v>
      </c>
      <c r="BK200" t="inlineStr">
        <is>
          <t>CANCELADO</t>
        </is>
      </c>
      <c r="BV200" t="inlineStr">
        <is>
          <t>Si</t>
        </is>
      </c>
      <c r="BW200" s="76" t="n">
        <v>45488.65486111111</v>
      </c>
      <c r="BX200" t="inlineStr">
        <is>
          <t>Carla Michue M</t>
        </is>
      </c>
      <c r="BZ200" t="n">
        <v>6</v>
      </c>
      <c r="CA200" t="inlineStr">
        <is>
          <t>29/06/2026 01:09</t>
        </is>
      </c>
      <c r="CB200" t="n">
        <v>0</v>
      </c>
      <c r="CF200" t="inlineStr">
        <is>
          <t>Cobranzas_2025.csv</t>
        </is>
      </c>
      <c r="CG200" t="n">
        <v>2025</v>
      </c>
      <c r="CH200" t="inlineStr">
        <is>
          <t>01/01/2024</t>
        </is>
      </c>
      <c r="CI200" t="inlineStr">
        <is>
          <t>24/08/2031</t>
        </is>
      </c>
    </row>
    <row r="201">
      <c r="A201" t="inlineStr">
        <is>
          <t>RESIDENCIAL PRADA</t>
        </is>
      </c>
      <c r="B201" t="inlineStr">
        <is>
          <t>Etapa 1</t>
        </is>
      </c>
      <c r="C201" t="inlineStr">
        <is>
          <t>Edificio</t>
        </is>
      </c>
      <c r="D201" t="inlineStr">
        <is>
          <t>A</t>
        </is>
      </c>
      <c r="E201" t="inlineStr">
        <is>
          <t>Estacionamiento</t>
        </is>
      </c>
      <c r="F201" t="inlineStr">
        <is>
          <t>E 30</t>
        </is>
      </c>
      <c r="G201" t="n">
        <v>13.52</v>
      </c>
      <c r="H201" t="n">
        <v>0</v>
      </c>
      <c r="I201" s="39" t="n">
        <v>51500</v>
      </c>
      <c r="J201" s="39" t="n">
        <v>51500</v>
      </c>
      <c r="Q201" s="39" t="n"/>
      <c r="R201" s="39" t="n"/>
      <c r="Y201" s="39" t="n"/>
      <c r="Z201" s="39" t="n"/>
      <c r="AG201" s="39" t="n"/>
      <c r="AH201" s="39" t="n"/>
      <c r="AI201" t="inlineStr">
        <is>
          <t>Joseluis Gaspar Zapata Flores</t>
        </is>
      </c>
      <c r="AJ201" t="inlineStr">
        <is>
          <t>46730672</t>
        </is>
      </c>
      <c r="AK201" t="inlineStr">
        <is>
          <t>Jr. Los Clavles 141 P. J  El Progreso 1er Sector</t>
        </is>
      </c>
      <c r="AL201" t="n">
        <v>0</v>
      </c>
      <c r="AM201" t="inlineStr">
        <is>
          <t>948041027</t>
        </is>
      </c>
      <c r="AN201" t="inlineStr">
        <is>
          <t>jlzapata91@gmail.com</t>
        </is>
      </c>
      <c r="AO201" t="inlineStr">
        <is>
          <t>LIMA</t>
        </is>
      </c>
      <c r="AP201" t="inlineStr">
        <is>
          <t>CARABAYLLO</t>
        </is>
      </c>
      <c r="AQ201" s="75" t="n">
        <v>45871</v>
      </c>
      <c r="AR201" s="75" t="n">
        <v>45871</v>
      </c>
      <c r="AS201" t="inlineStr">
        <is>
          <t>SEPARACION</t>
        </is>
      </c>
      <c r="AT201" t="n">
        <v>1</v>
      </c>
      <c r="AU201" t="n">
        <v>5000</v>
      </c>
      <c r="AV201" t="n">
        <v>0</v>
      </c>
      <c r="AW201" t="n">
        <v>0</v>
      </c>
      <c r="AX201" s="39" t="n">
        <v>5000</v>
      </c>
      <c r="AY201" s="39" t="n">
        <v>5000</v>
      </c>
      <c r="AZ201" s="39" t="n">
        <v>0</v>
      </c>
      <c r="BA201" t="n">
        <v>0</v>
      </c>
      <c r="BB201" t="inlineStr">
        <is>
          <t>Crédito Directo</t>
        </is>
      </c>
      <c r="BC201" t="inlineStr">
        <is>
          <t>Scotiabank Perú</t>
        </is>
      </c>
      <c r="BD201" t="inlineStr">
        <is>
          <t>000-2768484</t>
        </is>
      </c>
      <c r="BE201" t="inlineStr">
        <is>
          <t>TRANSFERENCIA BANCARIA</t>
        </is>
      </c>
      <c r="BG201" t="inlineStr">
        <is>
          <t>7844655528664</t>
        </is>
      </c>
      <c r="BH201" t="inlineStr">
        <is>
          <t>No</t>
        </is>
      </c>
      <c r="BJ201" t="n">
        <v>4</v>
      </c>
      <c r="BK201" t="inlineStr">
        <is>
          <t>CANCELADO</t>
        </is>
      </c>
      <c r="BV201" t="inlineStr">
        <is>
          <t>Si</t>
        </is>
      </c>
      <c r="BW201" s="76" t="n">
        <v>45960.71875</v>
      </c>
      <c r="BX201" t="inlineStr">
        <is>
          <t>Magaly Guevara Perez</t>
        </is>
      </c>
      <c r="BZ201" t="n">
        <v>59</v>
      </c>
      <c r="CA201" t="inlineStr">
        <is>
          <t>29/06/2026 20:32</t>
        </is>
      </c>
      <c r="CB201" t="n">
        <v>0</v>
      </c>
      <c r="CF201" t="inlineStr">
        <is>
          <t>Cobranzas_2025.csv</t>
        </is>
      </c>
      <c r="CG201" t="n">
        <v>2025</v>
      </c>
      <c r="CH201" t="inlineStr">
        <is>
          <t>01/01/2024</t>
        </is>
      </c>
      <c r="CI201" t="inlineStr">
        <is>
          <t>24/08/2031</t>
        </is>
      </c>
    </row>
    <row r="202">
      <c r="A202" t="inlineStr">
        <is>
          <t>RESIDENCIAL PRADA</t>
        </is>
      </c>
      <c r="B202" t="inlineStr">
        <is>
          <t>Etapa 1</t>
        </is>
      </c>
      <c r="C202" t="inlineStr">
        <is>
          <t>Edificio</t>
        </is>
      </c>
      <c r="D202" t="inlineStr">
        <is>
          <t>A</t>
        </is>
      </c>
      <c r="E202" t="inlineStr">
        <is>
          <t>Estacionamiento</t>
        </is>
      </c>
      <c r="F202" t="inlineStr">
        <is>
          <t>E 30</t>
        </is>
      </c>
      <c r="G202" t="n">
        <v>13.52</v>
      </c>
      <c r="H202" t="n">
        <v>0</v>
      </c>
      <c r="I202" s="39" t="n">
        <v>51500</v>
      </c>
      <c r="J202" s="39" t="n">
        <v>51500</v>
      </c>
      <c r="Q202" s="39" t="n"/>
      <c r="R202" s="39" t="n"/>
      <c r="Y202" s="39" t="n"/>
      <c r="Z202" s="39" t="n"/>
      <c r="AG202" s="39" t="n"/>
      <c r="AH202" s="39" t="n"/>
      <c r="AI202" t="inlineStr">
        <is>
          <t>Joseluis Gaspar Zapata Flores</t>
        </is>
      </c>
      <c r="AJ202" t="inlineStr">
        <is>
          <t>46730672</t>
        </is>
      </c>
      <c r="AK202" t="inlineStr">
        <is>
          <t>Jr. Los Clavles 141 P. J  El Progreso 1er Sector</t>
        </is>
      </c>
      <c r="AL202" t="n">
        <v>0</v>
      </c>
      <c r="AM202" t="inlineStr">
        <is>
          <t>948041027</t>
        </is>
      </c>
      <c r="AN202" t="inlineStr">
        <is>
          <t>jlzapata91@gmail.com</t>
        </is>
      </c>
      <c r="AO202" t="inlineStr">
        <is>
          <t>LIMA</t>
        </is>
      </c>
      <c r="AP202" t="inlineStr">
        <is>
          <t>CARABAYLLO</t>
        </is>
      </c>
      <c r="AQ202" s="75" t="n">
        <v>45960</v>
      </c>
      <c r="AR202" s="75" t="n">
        <v>45960</v>
      </c>
      <c r="AS202" t="inlineStr">
        <is>
          <t>CUOTA INICIAL</t>
        </is>
      </c>
      <c r="AT202" t="n">
        <v>1</v>
      </c>
      <c r="AU202" t="n">
        <v>3000</v>
      </c>
      <c r="AV202" t="n">
        <v>0</v>
      </c>
      <c r="AW202" t="n">
        <v>0</v>
      </c>
      <c r="AX202" s="39" t="n">
        <v>3000</v>
      </c>
      <c r="AY202" s="39" t="n">
        <v>3000</v>
      </c>
      <c r="AZ202" s="39" t="n">
        <v>0</v>
      </c>
      <c r="BA202" t="n">
        <v>0</v>
      </c>
      <c r="BB202" t="inlineStr">
        <is>
          <t>Crédito Directo</t>
        </is>
      </c>
      <c r="BC202" t="inlineStr">
        <is>
          <t>Scotiabank Perú</t>
        </is>
      </c>
      <c r="BD202" t="inlineStr">
        <is>
          <t>000-2768484</t>
        </is>
      </c>
      <c r="BE202" t="inlineStr">
        <is>
          <t>TRANSFERENCIA BANCARIA</t>
        </is>
      </c>
      <c r="BG202" t="inlineStr">
        <is>
          <t>7844655537844</t>
        </is>
      </c>
      <c r="BH202" t="inlineStr">
        <is>
          <t>No</t>
        </is>
      </c>
      <c r="BJ202" t="n">
        <v>4</v>
      </c>
      <c r="BK202" t="inlineStr">
        <is>
          <t>CANCELADO</t>
        </is>
      </c>
      <c r="BV202" t="inlineStr">
        <is>
          <t>Si</t>
        </is>
      </c>
      <c r="BW202" s="76" t="n">
        <v>45960.71875</v>
      </c>
      <c r="BX202" t="inlineStr">
        <is>
          <t>Magaly Guevara Perez</t>
        </is>
      </c>
      <c r="BZ202" t="n">
        <v>59</v>
      </c>
      <c r="CA202" t="inlineStr">
        <is>
          <t>29/06/2026 20:47</t>
        </is>
      </c>
      <c r="CB202" t="n">
        <v>0</v>
      </c>
      <c r="CF202" t="inlineStr">
        <is>
          <t>Cobranzas_2025.csv</t>
        </is>
      </c>
      <c r="CG202" t="n">
        <v>2025</v>
      </c>
      <c r="CH202" t="inlineStr">
        <is>
          <t>01/01/2024</t>
        </is>
      </c>
      <c r="CI202" t="inlineStr">
        <is>
          <t>24/08/2031</t>
        </is>
      </c>
    </row>
    <row r="203">
      <c r="A203" t="inlineStr">
        <is>
          <t>RESIDENCIAL PRADA</t>
        </is>
      </c>
      <c r="B203" t="inlineStr">
        <is>
          <t>Etapa 1</t>
        </is>
      </c>
      <c r="C203" t="inlineStr">
        <is>
          <t>Edificio</t>
        </is>
      </c>
      <c r="D203" t="inlineStr">
        <is>
          <t>A</t>
        </is>
      </c>
      <c r="E203" t="inlineStr">
        <is>
          <t>Estacionamiento</t>
        </is>
      </c>
      <c r="F203" t="inlineStr">
        <is>
          <t>E 30</t>
        </is>
      </c>
      <c r="G203" t="n">
        <v>13.52</v>
      </c>
      <c r="H203" t="n">
        <v>0</v>
      </c>
      <c r="I203" s="39" t="n">
        <v>51500</v>
      </c>
      <c r="J203" s="39" t="n">
        <v>51500</v>
      </c>
      <c r="Q203" s="39" t="n"/>
      <c r="R203" s="39" t="n"/>
      <c r="Y203" s="39" t="n"/>
      <c r="Z203" s="39" t="n"/>
      <c r="AG203" s="39" t="n"/>
      <c r="AH203" s="39" t="n"/>
      <c r="AI203" t="inlineStr">
        <is>
          <t>Joseluis Gaspar Zapata Flores</t>
        </is>
      </c>
      <c r="AJ203" t="inlineStr">
        <is>
          <t>46730672</t>
        </is>
      </c>
      <c r="AK203" t="inlineStr">
        <is>
          <t>Jr. Los Clavles 141 P. J  El Progreso 1er Sector</t>
        </is>
      </c>
      <c r="AL203" t="n">
        <v>0</v>
      </c>
      <c r="AM203" t="inlineStr">
        <is>
          <t>948041027</t>
        </is>
      </c>
      <c r="AN203" t="inlineStr">
        <is>
          <t>jlzapata91@gmail.com</t>
        </is>
      </c>
      <c r="AO203" t="inlineStr">
        <is>
          <t>LIMA</t>
        </is>
      </c>
      <c r="AP203" t="inlineStr">
        <is>
          <t>CARABAYLLO</t>
        </is>
      </c>
      <c r="AQ203" s="75" t="n">
        <v>45996</v>
      </c>
      <c r="AR203" s="75" t="n">
        <v>45996</v>
      </c>
      <c r="AS203" t="inlineStr">
        <is>
          <t>SALDO FINANCIAR</t>
        </is>
      </c>
      <c r="AT203" t="n">
        <v>1</v>
      </c>
      <c r="AU203" t="n">
        <v>3000</v>
      </c>
      <c r="AV203" t="n">
        <v>0</v>
      </c>
      <c r="AW203" t="n">
        <v>0</v>
      </c>
      <c r="AX203" s="39" t="n">
        <v>3000</v>
      </c>
      <c r="AY203" s="39" t="n">
        <v>3000</v>
      </c>
      <c r="AZ203" s="39" t="n">
        <v>0</v>
      </c>
      <c r="BA203" t="n">
        <v>0</v>
      </c>
      <c r="BB203" t="inlineStr">
        <is>
          <t>Crédito Directo</t>
        </is>
      </c>
      <c r="BC203" t="inlineStr">
        <is>
          <t>Scotiabank Perú</t>
        </is>
      </c>
      <c r="BD203" t="inlineStr">
        <is>
          <t>000-2768484</t>
        </is>
      </c>
      <c r="BE203" t="inlineStr">
        <is>
          <t>TRANSFERENCIA BANCARIA</t>
        </is>
      </c>
      <c r="BG203" t="inlineStr">
        <is>
          <t>7844655573323</t>
        </is>
      </c>
      <c r="BH203" t="inlineStr">
        <is>
          <t>No</t>
        </is>
      </c>
      <c r="BJ203" t="n">
        <v>4</v>
      </c>
      <c r="BK203" t="inlineStr">
        <is>
          <t>CANCELADO</t>
        </is>
      </c>
      <c r="BV203" t="inlineStr">
        <is>
          <t>Si</t>
        </is>
      </c>
      <c r="BW203" s="76" t="n">
        <v>45960.71875</v>
      </c>
      <c r="BX203" t="inlineStr">
        <is>
          <t>Magaly Guevara Perez</t>
        </is>
      </c>
      <c r="BZ203" t="n">
        <v>59</v>
      </c>
      <c r="CA203" t="inlineStr">
        <is>
          <t>29/06/2026 20:50</t>
        </is>
      </c>
      <c r="CB203" t="n">
        <v>0</v>
      </c>
      <c r="CF203" t="inlineStr">
        <is>
          <t>Cobranzas_2025.csv</t>
        </is>
      </c>
      <c r="CG203" t="n">
        <v>2025</v>
      </c>
      <c r="CH203" t="inlineStr">
        <is>
          <t>01/01/2024</t>
        </is>
      </c>
      <c r="CI203" t="inlineStr">
        <is>
          <t>24/08/2031</t>
        </is>
      </c>
    </row>
    <row r="204">
      <c r="A204" t="inlineStr">
        <is>
          <t>RESIDENCIAL PRADA</t>
        </is>
      </c>
      <c r="B204" t="inlineStr">
        <is>
          <t>Etapa 1</t>
        </is>
      </c>
      <c r="C204" t="inlineStr">
        <is>
          <t>Edificio</t>
        </is>
      </c>
      <c r="D204" t="inlineStr">
        <is>
          <t>A</t>
        </is>
      </c>
      <c r="E204" t="inlineStr">
        <is>
          <t>Departamento</t>
        </is>
      </c>
      <c r="F204" t="inlineStr">
        <is>
          <t>501</t>
        </is>
      </c>
      <c r="G204" t="n">
        <v>83</v>
      </c>
      <c r="H204" t="n">
        <v>0</v>
      </c>
      <c r="I204" s="39" t="n">
        <v>612000</v>
      </c>
      <c r="J204" s="39" t="n">
        <v>612000</v>
      </c>
      <c r="Q204" s="39" t="n"/>
      <c r="R204" s="39" t="n"/>
      <c r="Y204" s="39" t="n"/>
      <c r="Z204" s="39" t="n"/>
      <c r="AG204" s="39" t="n"/>
      <c r="AH204" s="39" t="n"/>
      <c r="AI204" t="inlineStr">
        <is>
          <t>Juan Carlos Ángeles Milla</t>
        </is>
      </c>
      <c r="AJ204" t="inlineStr">
        <is>
          <t>32403305</t>
        </is>
      </c>
      <c r="AK204" t="inlineStr">
        <is>
          <t>Av. Miraflores 218</t>
        </is>
      </c>
      <c r="AM204" t="inlineStr">
        <is>
          <t>942097700</t>
        </is>
      </c>
      <c r="AN204" t="inlineStr">
        <is>
          <t>Vidang72@hotmail.com</t>
        </is>
      </c>
      <c r="AO204" t="inlineStr">
        <is>
          <t>HUAYLAS</t>
        </is>
      </c>
      <c r="AP204" t="inlineStr">
        <is>
          <t>HUAYLAS</t>
        </is>
      </c>
      <c r="AQ204" s="75" t="n">
        <v>45687</v>
      </c>
      <c r="AR204" s="75" t="n">
        <v>46018</v>
      </c>
      <c r="AS204" t="inlineStr">
        <is>
          <t>CUOTA INICIAL</t>
        </is>
      </c>
      <c r="AT204" t="n">
        <v>3</v>
      </c>
      <c r="AU204" t="n">
        <v>29500</v>
      </c>
      <c r="AV204" t="n">
        <v>0</v>
      </c>
      <c r="AW204" t="n">
        <v>0</v>
      </c>
      <c r="AX204" s="39" t="n">
        <v>29500</v>
      </c>
      <c r="AY204" s="39" t="n">
        <v>29500</v>
      </c>
      <c r="AZ204" s="39" t="n">
        <v>0</v>
      </c>
      <c r="BA204" t="n">
        <v>0</v>
      </c>
      <c r="BB204" t="inlineStr">
        <is>
          <t>Ahorro</t>
        </is>
      </c>
      <c r="BC204" t="inlineStr">
        <is>
          <t>Scotiabank Perú</t>
        </is>
      </c>
      <c r="BD204" t="inlineStr">
        <is>
          <t>000-2768484</t>
        </is>
      </c>
      <c r="BE204" t="inlineStr">
        <is>
          <t>TRANSFERENCIA BANCARIA</t>
        </is>
      </c>
      <c r="BF204" t="inlineStr">
        <is>
          <t>32403305</t>
        </is>
      </c>
      <c r="BG204" t="inlineStr">
        <is>
          <t>028925</t>
        </is>
      </c>
      <c r="BH204" t="inlineStr">
        <is>
          <t>No</t>
        </is>
      </c>
      <c r="BI204" t="inlineStr">
        <is>
          <t>NO PRECISA</t>
        </is>
      </c>
      <c r="BJ204" t="n">
        <v>1</v>
      </c>
      <c r="BK204" t="inlineStr">
        <is>
          <t>CANCELADO</t>
        </is>
      </c>
      <c r="BV204" t="inlineStr">
        <is>
          <t>Si</t>
        </is>
      </c>
      <c r="BW204" s="76" t="n">
        <v>45541.59444444445</v>
      </c>
      <c r="BX204" t="inlineStr">
        <is>
          <t>Carla Michue M</t>
        </is>
      </c>
      <c r="BZ204" t="n">
        <v>21</v>
      </c>
      <c r="CA204" t="inlineStr">
        <is>
          <t>29/05/2026 12:21</t>
        </is>
      </c>
      <c r="CB204" t="n">
        <v>0</v>
      </c>
      <c r="CF204" t="inlineStr">
        <is>
          <t>Cobranzas_2025.csv</t>
        </is>
      </c>
      <c r="CG204" t="n">
        <v>2025</v>
      </c>
      <c r="CH204" t="inlineStr">
        <is>
          <t>01/01/2024</t>
        </is>
      </c>
      <c r="CI204" t="inlineStr">
        <is>
          <t>24/08/2031</t>
        </is>
      </c>
    </row>
    <row r="205">
      <c r="A205" t="inlineStr">
        <is>
          <t>RESIDENCIAL PRADA</t>
        </is>
      </c>
      <c r="B205" t="inlineStr">
        <is>
          <t>Etapa 1</t>
        </is>
      </c>
      <c r="C205" t="inlineStr">
        <is>
          <t>Edificio</t>
        </is>
      </c>
      <c r="D205" t="inlineStr">
        <is>
          <t>A</t>
        </is>
      </c>
      <c r="E205" t="inlineStr">
        <is>
          <t>Departamento</t>
        </is>
      </c>
      <c r="F205" t="inlineStr">
        <is>
          <t>501</t>
        </is>
      </c>
      <c r="G205" t="n">
        <v>83</v>
      </c>
      <c r="H205" t="n">
        <v>0</v>
      </c>
      <c r="I205" s="39" t="n">
        <v>612000</v>
      </c>
      <c r="J205" s="39" t="n">
        <v>612000</v>
      </c>
      <c r="Q205" s="39" t="n"/>
      <c r="R205" s="39" t="n"/>
      <c r="Y205" s="39" t="n"/>
      <c r="Z205" s="39" t="n"/>
      <c r="AG205" s="39" t="n"/>
      <c r="AH205" s="39" t="n"/>
      <c r="AI205" t="inlineStr">
        <is>
          <t>Juan Carlos Ángeles Milla</t>
        </is>
      </c>
      <c r="AJ205" t="inlineStr">
        <is>
          <t>32403305</t>
        </is>
      </c>
      <c r="AK205" t="inlineStr">
        <is>
          <t>Av. Miraflores 218</t>
        </is>
      </c>
      <c r="AM205" t="inlineStr">
        <is>
          <t>942097700</t>
        </is>
      </c>
      <c r="AN205" t="inlineStr">
        <is>
          <t>Vidang72@hotmail.com</t>
        </is>
      </c>
      <c r="AO205" t="inlineStr">
        <is>
          <t>HUAYLAS</t>
        </is>
      </c>
      <c r="AP205" t="inlineStr">
        <is>
          <t>HUAYLAS</t>
        </is>
      </c>
      <c r="AQ205" s="75" t="n">
        <v>45716</v>
      </c>
      <c r="AR205" s="75" t="n">
        <v>46002</v>
      </c>
      <c r="AS205" t="inlineStr">
        <is>
          <t>SALDO FINANCIAR</t>
        </is>
      </c>
      <c r="AT205" t="n">
        <v>4</v>
      </c>
      <c r="AU205" t="n">
        <v>550000</v>
      </c>
      <c r="AV205" t="n">
        <v>0</v>
      </c>
      <c r="AW205" t="n">
        <v>0</v>
      </c>
      <c r="AX205" s="39" t="n">
        <v>550000</v>
      </c>
      <c r="AY205" s="39" t="n">
        <v>550000</v>
      </c>
      <c r="AZ205" s="39" t="n">
        <v>0</v>
      </c>
      <c r="BA205" t="n">
        <v>0</v>
      </c>
      <c r="BB205" t="inlineStr">
        <is>
          <t>Ahorro</t>
        </is>
      </c>
      <c r="BC205" t="inlineStr">
        <is>
          <t>Scotiabank Perú</t>
        </is>
      </c>
      <c r="BD205" t="inlineStr">
        <is>
          <t>000-2768484</t>
        </is>
      </c>
      <c r="BE205" t="inlineStr">
        <is>
          <t>TRANSFERENCIA BANCARIA</t>
        </is>
      </c>
      <c r="BG205" t="inlineStr">
        <is>
          <t>11122025</t>
        </is>
      </c>
      <c r="BH205" t="inlineStr">
        <is>
          <t>No</t>
        </is>
      </c>
      <c r="BJ205" t="n">
        <v>4</v>
      </c>
      <c r="BK205" t="inlineStr">
        <is>
          <t>CANCELADO</t>
        </is>
      </c>
      <c r="BV205" t="inlineStr">
        <is>
          <t>Si</t>
        </is>
      </c>
      <c r="BW205" s="76" t="n">
        <v>45541.59444444445</v>
      </c>
      <c r="BX205" t="inlineStr">
        <is>
          <t>Carla Michue M</t>
        </is>
      </c>
      <c r="BZ205" t="n">
        <v>21</v>
      </c>
      <c r="CA205" t="inlineStr">
        <is>
          <t>07/07/2026 09:35</t>
        </is>
      </c>
      <c r="CB205" t="n">
        <v>0</v>
      </c>
      <c r="CF205" t="inlineStr">
        <is>
          <t>Cobranzas_2025.csv</t>
        </is>
      </c>
      <c r="CG205" t="n">
        <v>2025</v>
      </c>
      <c r="CH205" t="inlineStr">
        <is>
          <t>01/01/2024</t>
        </is>
      </c>
      <c r="CI205" t="inlineStr">
        <is>
          <t>24/08/2031</t>
        </is>
      </c>
    </row>
    <row r="206">
      <c r="A206" t="inlineStr">
        <is>
          <t>RESIDENCIAL BEYOND</t>
        </is>
      </c>
      <c r="B206" t="inlineStr">
        <is>
          <t>Etapa 1</t>
        </is>
      </c>
      <c r="C206" t="inlineStr">
        <is>
          <t>Edificio</t>
        </is>
      </c>
      <c r="D206" t="inlineStr">
        <is>
          <t>A</t>
        </is>
      </c>
      <c r="E206" t="inlineStr">
        <is>
          <t>Departamento</t>
        </is>
      </c>
      <c r="F206" t="inlineStr">
        <is>
          <t>404</t>
        </is>
      </c>
      <c r="G206" t="n">
        <v>67</v>
      </c>
      <c r="H206" t="n">
        <v>0</v>
      </c>
      <c r="I206" s="39" t="n">
        <v>498000</v>
      </c>
      <c r="J206" s="39" t="n">
        <v>460000</v>
      </c>
      <c r="Q206" s="39" t="n"/>
      <c r="R206" s="39" t="n"/>
      <c r="Y206" s="39" t="n"/>
      <c r="Z206" s="39" t="n"/>
      <c r="AG206" s="39" t="n"/>
      <c r="AH206" s="39" t="n"/>
      <c r="AI206" t="inlineStr">
        <is>
          <t>Juana Mercedes Moran Peralta</t>
        </is>
      </c>
      <c r="AJ206" t="inlineStr">
        <is>
          <t>03495726</t>
        </is>
      </c>
      <c r="AK206" t="inlineStr">
        <is>
          <t>Jr. Ignacio Álvarez Thomas 1573 - Dpto. 302</t>
        </is>
      </c>
      <c r="AL206" t="n">
        <v>0</v>
      </c>
      <c r="AM206" t="inlineStr">
        <is>
          <t>978122557</t>
        </is>
      </c>
      <c r="AN206" t="inlineStr">
        <is>
          <t>Juanamoran2371@gmail.com</t>
        </is>
      </c>
      <c r="AO206" t="inlineStr">
        <is>
          <t>LIMA</t>
        </is>
      </c>
      <c r="AP206" t="inlineStr">
        <is>
          <t>CERCADO DE LIMA</t>
        </is>
      </c>
      <c r="AQ206" s="75" t="n">
        <v>45779</v>
      </c>
      <c r="AR206" s="75" t="n">
        <v>45779</v>
      </c>
      <c r="AS206" t="inlineStr">
        <is>
          <t>SEPARACION</t>
        </is>
      </c>
      <c r="AT206" t="n">
        <v>1</v>
      </c>
      <c r="AU206" t="n">
        <v>3000</v>
      </c>
      <c r="AV206" t="n">
        <v>0</v>
      </c>
      <c r="AW206" t="n">
        <v>0</v>
      </c>
      <c r="AX206" s="39" t="n">
        <v>3000</v>
      </c>
      <c r="AY206" s="39" t="n">
        <v>3000</v>
      </c>
      <c r="AZ206" s="39" t="n">
        <v>0</v>
      </c>
      <c r="BA206" t="n">
        <v>0</v>
      </c>
      <c r="BB206" t="inlineStr">
        <is>
          <t>Ahorro</t>
        </is>
      </c>
      <c r="BC206" t="inlineStr">
        <is>
          <t>Banco de Credito del Perú</t>
        </is>
      </c>
      <c r="BD206" t="inlineStr">
        <is>
          <t>194-7325779-0-65</t>
        </is>
      </c>
      <c r="BE206" t="inlineStr">
        <is>
          <t>TRANSFERENCIA BANCARIA</t>
        </is>
      </c>
      <c r="BG206" t="inlineStr">
        <is>
          <t>03861109</t>
        </is>
      </c>
      <c r="BH206" t="inlineStr">
        <is>
          <t>No</t>
        </is>
      </c>
      <c r="BJ206" t="n">
        <v>4</v>
      </c>
      <c r="BK206" t="inlineStr">
        <is>
          <t>CANCELADO</t>
        </is>
      </c>
      <c r="BV206" t="inlineStr">
        <is>
          <t>Si</t>
        </is>
      </c>
      <c r="BW206" s="76" t="n">
        <v>46178.42777777778</v>
      </c>
      <c r="BX206" t="inlineStr">
        <is>
          <t>Magaly Guevara Perez</t>
        </is>
      </c>
      <c r="BZ206" t="n">
        <v>29</v>
      </c>
      <c r="CA206" t="inlineStr">
        <is>
          <t>01/05/2026 18:02</t>
        </is>
      </c>
      <c r="CB206" t="n">
        <v>0</v>
      </c>
      <c r="CF206" t="inlineStr">
        <is>
          <t>Cobranzas_2025.csv</t>
        </is>
      </c>
      <c r="CG206" t="n">
        <v>2025</v>
      </c>
      <c r="CH206" t="inlineStr">
        <is>
          <t>01/01/2024</t>
        </is>
      </c>
      <c r="CI206" t="inlineStr">
        <is>
          <t>24/08/2031</t>
        </is>
      </c>
    </row>
    <row r="207">
      <c r="A207" t="inlineStr">
        <is>
          <t>RESIDENCIAL PRADA</t>
        </is>
      </c>
      <c r="B207" t="inlineStr">
        <is>
          <t>Etapa 1</t>
        </is>
      </c>
      <c r="C207" t="inlineStr">
        <is>
          <t>Edificio</t>
        </is>
      </c>
      <c r="D207" t="inlineStr">
        <is>
          <t>A</t>
        </is>
      </c>
      <c r="E207" t="inlineStr">
        <is>
          <t>Departamento</t>
        </is>
      </c>
      <c r="F207" t="inlineStr">
        <is>
          <t>903</t>
        </is>
      </c>
      <c r="G207" t="n">
        <v>88.27</v>
      </c>
      <c r="H207" t="n">
        <v>0</v>
      </c>
      <c r="I207" s="39" t="n">
        <v>692000</v>
      </c>
      <c r="J207" s="39" t="n">
        <v>692000</v>
      </c>
      <c r="Q207" s="39" t="n"/>
      <c r="R207" s="39" t="n"/>
      <c r="Y207" s="39" t="n"/>
      <c r="Z207" s="39" t="n"/>
      <c r="AG207" s="39" t="n"/>
      <c r="AH207" s="39" t="n"/>
      <c r="AI207" t="inlineStr">
        <is>
          <t>Karina Cabanillas Correa</t>
        </is>
      </c>
      <c r="AJ207" t="inlineStr">
        <is>
          <t>40065933</t>
        </is>
      </c>
      <c r="AK207" t="inlineStr">
        <is>
          <t xml:space="preserve">Jr. Huiracocha 1639 Dpto. 1503 </t>
        </is>
      </c>
      <c r="AL207" t="n">
        <v>0</v>
      </c>
      <c r="AM207" t="inlineStr">
        <is>
          <t>970096822</t>
        </is>
      </c>
      <c r="AN207" t="inlineStr">
        <is>
          <t>karicab13@gmail.com</t>
        </is>
      </c>
      <c r="AO207" t="inlineStr">
        <is>
          <t>LIMA</t>
        </is>
      </c>
      <c r="AP207" t="inlineStr">
        <is>
          <t>JESUS MARIA</t>
        </is>
      </c>
      <c r="AQ207" s="75" t="n">
        <v>45680</v>
      </c>
      <c r="AR207" s="75" t="n">
        <v>45680</v>
      </c>
      <c r="AS207" t="inlineStr">
        <is>
          <t>SEPARACION</t>
        </is>
      </c>
      <c r="AT207" t="n">
        <v>1</v>
      </c>
      <c r="AU207" t="n">
        <v>3000</v>
      </c>
      <c r="AV207" t="n">
        <v>0</v>
      </c>
      <c r="AW207" t="n">
        <v>0</v>
      </c>
      <c r="AX207" s="39" t="n">
        <v>3000</v>
      </c>
      <c r="AY207" s="39" t="n">
        <v>3000</v>
      </c>
      <c r="AZ207" s="39" t="n">
        <v>0</v>
      </c>
      <c r="BA207" t="n">
        <v>0</v>
      </c>
      <c r="BB207" t="inlineStr">
        <is>
          <t>Crédito Hipotecario</t>
        </is>
      </c>
      <c r="BC207" t="inlineStr">
        <is>
          <t>Scotiabank Perú</t>
        </is>
      </c>
      <c r="BD207" t="inlineStr">
        <is>
          <t>000-2768484</t>
        </is>
      </c>
      <c r="BE207" t="inlineStr">
        <is>
          <t>POS VISA</t>
        </is>
      </c>
      <c r="BG207" t="inlineStr">
        <is>
          <t>234305</t>
        </is>
      </c>
      <c r="BH207" t="inlineStr">
        <is>
          <t>No</t>
        </is>
      </c>
      <c r="BJ207" t="n">
        <v>4</v>
      </c>
      <c r="BK207" t="inlineStr">
        <is>
          <t>CANCELADO</t>
        </is>
      </c>
      <c r="BV207" t="inlineStr">
        <is>
          <t>Si</t>
        </is>
      </c>
      <c r="BW207" s="76" t="n">
        <v>45733.35069444445</v>
      </c>
      <c r="BX207" t="inlineStr">
        <is>
          <t>Magaly Guevara Perez</t>
        </is>
      </c>
      <c r="BZ207" t="n">
        <v>42</v>
      </c>
      <c r="CA207" t="inlineStr">
        <is>
          <t>06/07/2026 08:19</t>
        </is>
      </c>
      <c r="CB207" t="n">
        <v>0</v>
      </c>
      <c r="CF207" t="inlineStr">
        <is>
          <t>Cobranzas_2025.csv</t>
        </is>
      </c>
      <c r="CG207" t="n">
        <v>2025</v>
      </c>
      <c r="CH207" t="inlineStr">
        <is>
          <t>01/01/2024</t>
        </is>
      </c>
      <c r="CI207" t="inlineStr">
        <is>
          <t>24/08/2031</t>
        </is>
      </c>
    </row>
    <row r="208">
      <c r="A208" t="inlineStr">
        <is>
          <t>RESIDENCIAL PRADA</t>
        </is>
      </c>
      <c r="B208" t="inlineStr">
        <is>
          <t>Etapa 1</t>
        </is>
      </c>
      <c r="C208" t="inlineStr">
        <is>
          <t>Edificio</t>
        </is>
      </c>
      <c r="D208" t="inlineStr">
        <is>
          <t>A</t>
        </is>
      </c>
      <c r="E208" t="inlineStr">
        <is>
          <t>Departamento</t>
        </is>
      </c>
      <c r="F208" t="inlineStr">
        <is>
          <t>903</t>
        </is>
      </c>
      <c r="G208" t="n">
        <v>88.27</v>
      </c>
      <c r="H208" t="n">
        <v>0</v>
      </c>
      <c r="I208" s="39" t="n">
        <v>692000</v>
      </c>
      <c r="J208" s="39" t="n">
        <v>692000</v>
      </c>
      <c r="Q208" s="39" t="n"/>
      <c r="R208" s="39" t="n"/>
      <c r="Y208" s="39" t="n"/>
      <c r="Z208" s="39" t="n"/>
      <c r="AG208" s="39" t="n"/>
      <c r="AH208" s="39" t="n"/>
      <c r="AI208" t="inlineStr">
        <is>
          <t>Karina Cabanillas Correa</t>
        </is>
      </c>
      <c r="AJ208" t="inlineStr">
        <is>
          <t>40065933</t>
        </is>
      </c>
      <c r="AK208" t="inlineStr">
        <is>
          <t xml:space="preserve">Jr. Huiracocha 1639 Dpto. 1503 </t>
        </is>
      </c>
      <c r="AL208" t="n">
        <v>0</v>
      </c>
      <c r="AM208" t="inlineStr">
        <is>
          <t>970096822</t>
        </is>
      </c>
      <c r="AN208" t="inlineStr">
        <is>
          <t>karicab13@gmail.com</t>
        </is>
      </c>
      <c r="AO208" t="inlineStr">
        <is>
          <t>LIMA</t>
        </is>
      </c>
      <c r="AP208" t="inlineStr">
        <is>
          <t>JESUS MARIA</t>
        </is>
      </c>
      <c r="AQ208" s="75" t="n">
        <v>45733</v>
      </c>
      <c r="AR208" s="75" t="n">
        <v>45733</v>
      </c>
      <c r="AS208" t="inlineStr">
        <is>
          <t>CUOTA INICIAL</t>
        </is>
      </c>
      <c r="AT208" t="n">
        <v>1</v>
      </c>
      <c r="AU208" t="n">
        <v>53300</v>
      </c>
      <c r="AV208" t="n">
        <v>0</v>
      </c>
      <c r="AW208" t="n">
        <v>0</v>
      </c>
      <c r="AX208" s="39" t="n">
        <v>53300</v>
      </c>
      <c r="AY208" s="39" t="n">
        <v>53300</v>
      </c>
      <c r="AZ208" s="39" t="n">
        <v>0</v>
      </c>
      <c r="BA208" t="n">
        <v>0</v>
      </c>
      <c r="BB208" t="inlineStr">
        <is>
          <t>Crédito Hipotecario</t>
        </is>
      </c>
      <c r="BC208" t="inlineStr">
        <is>
          <t>Scotiabank Perú</t>
        </is>
      </c>
      <c r="BD208" t="inlineStr">
        <is>
          <t>000-2768484</t>
        </is>
      </c>
      <c r="BE208" t="inlineStr">
        <is>
          <t>DEPOSITO EN CUENTA</t>
        </is>
      </c>
      <c r="BG208" t="inlineStr">
        <is>
          <t>U27813</t>
        </is>
      </c>
      <c r="BH208" t="inlineStr">
        <is>
          <t>No</t>
        </is>
      </c>
      <c r="BJ208" t="n">
        <v>4</v>
      </c>
      <c r="BK208" t="inlineStr">
        <is>
          <t>CANCELADO</t>
        </is>
      </c>
      <c r="BV208" t="inlineStr">
        <is>
          <t>Si</t>
        </is>
      </c>
      <c r="BW208" s="76" t="n">
        <v>45733.35069444445</v>
      </c>
      <c r="BX208" t="inlineStr">
        <is>
          <t>Magaly Guevara Perez</t>
        </is>
      </c>
      <c r="BZ208" t="n">
        <v>42</v>
      </c>
      <c r="CA208" t="inlineStr">
        <is>
          <t>06/07/2026 08:21</t>
        </is>
      </c>
      <c r="CB208" t="n">
        <v>0</v>
      </c>
      <c r="CF208" t="inlineStr">
        <is>
          <t>Cobranzas_2025.csv</t>
        </is>
      </c>
      <c r="CG208" t="n">
        <v>2025</v>
      </c>
      <c r="CH208" t="inlineStr">
        <is>
          <t>01/01/2024</t>
        </is>
      </c>
      <c r="CI208" t="inlineStr">
        <is>
          <t>24/08/2031</t>
        </is>
      </c>
    </row>
    <row r="209">
      <c r="A209" t="inlineStr">
        <is>
          <t>RESIDENCIAL PRADA</t>
        </is>
      </c>
      <c r="B209" t="inlineStr">
        <is>
          <t>Etapa 1</t>
        </is>
      </c>
      <c r="C209" t="inlineStr">
        <is>
          <t>Edificio</t>
        </is>
      </c>
      <c r="D209" t="inlineStr">
        <is>
          <t>A</t>
        </is>
      </c>
      <c r="E209" t="inlineStr">
        <is>
          <t>Departamento</t>
        </is>
      </c>
      <c r="F209" t="inlineStr">
        <is>
          <t>903</t>
        </is>
      </c>
      <c r="G209" t="n">
        <v>88.27</v>
      </c>
      <c r="H209" t="n">
        <v>0</v>
      </c>
      <c r="I209" s="39" t="n">
        <v>692000</v>
      </c>
      <c r="J209" s="39" t="n">
        <v>692000</v>
      </c>
      <c r="Q209" s="39" t="n"/>
      <c r="R209" s="39" t="n"/>
      <c r="Y209" s="39" t="n"/>
      <c r="Z209" s="39" t="n"/>
      <c r="AG209" s="39" t="n"/>
      <c r="AH209" s="39" t="n"/>
      <c r="AI209" t="inlineStr">
        <is>
          <t>Karina Cabanillas Correa</t>
        </is>
      </c>
      <c r="AJ209" t="inlineStr">
        <is>
          <t>40065933</t>
        </is>
      </c>
      <c r="AK209" t="inlineStr">
        <is>
          <t xml:space="preserve">Jr. Huiracocha 1639 Dpto. 1503 </t>
        </is>
      </c>
      <c r="AL209" t="n">
        <v>0</v>
      </c>
      <c r="AM209" t="inlineStr">
        <is>
          <t>970096822</t>
        </is>
      </c>
      <c r="AN209" t="inlineStr">
        <is>
          <t>karicab13@gmail.com</t>
        </is>
      </c>
      <c r="AO209" t="inlineStr">
        <is>
          <t>LIMA</t>
        </is>
      </c>
      <c r="AP209" t="inlineStr">
        <is>
          <t>JESUS MARIA</t>
        </is>
      </c>
      <c r="AQ209" s="75" t="n">
        <v>45734</v>
      </c>
      <c r="AR209" s="75" t="n">
        <v>45734</v>
      </c>
      <c r="AS209" t="inlineStr">
        <is>
          <t>CUOTA INICIAL</t>
        </is>
      </c>
      <c r="AT209" t="n">
        <v>2</v>
      </c>
      <c r="AU209" t="n">
        <v>82100</v>
      </c>
      <c r="AV209" t="n">
        <v>0</v>
      </c>
      <c r="AW209" t="n">
        <v>0</v>
      </c>
      <c r="AX209" s="39" t="n">
        <v>82100</v>
      </c>
      <c r="AY209" s="39" t="n">
        <v>82100</v>
      </c>
      <c r="AZ209" s="39" t="n">
        <v>0</v>
      </c>
      <c r="BA209" t="n">
        <v>0</v>
      </c>
      <c r="BB209" t="inlineStr">
        <is>
          <t>Crédito Hipotecario</t>
        </is>
      </c>
      <c r="BC209" t="inlineStr">
        <is>
          <t>Scotiabank Perú</t>
        </is>
      </c>
      <c r="BD209" t="inlineStr">
        <is>
          <t>000-2768484</t>
        </is>
      </c>
      <c r="BE209" t="inlineStr">
        <is>
          <t>DEPOSITO EN CUENTA</t>
        </is>
      </c>
      <c r="BG209" t="inlineStr">
        <is>
          <t>U27102</t>
        </is>
      </c>
      <c r="BH209" t="inlineStr">
        <is>
          <t>No</t>
        </is>
      </c>
      <c r="BJ209" t="n">
        <v>4</v>
      </c>
      <c r="BK209" t="inlineStr">
        <is>
          <t>CANCELADO</t>
        </is>
      </c>
      <c r="BV209" t="inlineStr">
        <is>
          <t>Si</t>
        </is>
      </c>
      <c r="BW209" s="76" t="n">
        <v>45733.35069444445</v>
      </c>
      <c r="BX209" t="inlineStr">
        <is>
          <t>Magaly Guevara Perez</t>
        </is>
      </c>
      <c r="BZ209" t="n">
        <v>42</v>
      </c>
      <c r="CA209" t="inlineStr">
        <is>
          <t>06/07/2026 08:23</t>
        </is>
      </c>
      <c r="CB209" t="n">
        <v>0</v>
      </c>
      <c r="CF209" t="inlineStr">
        <is>
          <t>Cobranzas_2025.csv</t>
        </is>
      </c>
      <c r="CG209" t="n">
        <v>2025</v>
      </c>
      <c r="CH209" t="inlineStr">
        <is>
          <t>01/01/2024</t>
        </is>
      </c>
      <c r="CI209" t="inlineStr">
        <is>
          <t>24/08/2031</t>
        </is>
      </c>
    </row>
    <row r="210">
      <c r="A210" t="inlineStr">
        <is>
          <t>RESIDENCIAL PRADA</t>
        </is>
      </c>
      <c r="B210" t="inlineStr">
        <is>
          <t>Etapa 1</t>
        </is>
      </c>
      <c r="C210" t="inlineStr">
        <is>
          <t>Edificio</t>
        </is>
      </c>
      <c r="D210" t="inlineStr">
        <is>
          <t>A</t>
        </is>
      </c>
      <c r="E210" t="inlineStr">
        <is>
          <t>Departamento</t>
        </is>
      </c>
      <c r="F210" t="inlineStr">
        <is>
          <t>903</t>
        </is>
      </c>
      <c r="G210" t="n">
        <v>88.27</v>
      </c>
      <c r="H210" t="n">
        <v>0</v>
      </c>
      <c r="I210" s="39" t="n">
        <v>692000</v>
      </c>
      <c r="J210" s="39" t="n">
        <v>692000</v>
      </c>
      <c r="Q210" s="39" t="n"/>
      <c r="R210" s="39" t="n"/>
      <c r="Y210" s="39" t="n"/>
      <c r="Z210" s="39" t="n"/>
      <c r="AG210" s="39" t="n"/>
      <c r="AH210" s="39" t="n"/>
      <c r="AI210" t="inlineStr">
        <is>
          <t>Karina Cabanillas Correa</t>
        </is>
      </c>
      <c r="AJ210" t="inlineStr">
        <is>
          <t>40065933</t>
        </is>
      </c>
      <c r="AK210" t="inlineStr">
        <is>
          <t xml:space="preserve">Jr. Huiracocha 1639 Dpto. 1503 </t>
        </is>
      </c>
      <c r="AL210" t="n">
        <v>0</v>
      </c>
      <c r="AM210" t="inlineStr">
        <is>
          <t>970096822</t>
        </is>
      </c>
      <c r="AN210" t="inlineStr">
        <is>
          <t>karicab13@gmail.com</t>
        </is>
      </c>
      <c r="AO210" t="inlineStr">
        <is>
          <t>LIMA</t>
        </is>
      </c>
      <c r="AP210" t="inlineStr">
        <is>
          <t>JESUS MARIA</t>
        </is>
      </c>
      <c r="AQ210" s="75" t="n">
        <v>45746</v>
      </c>
      <c r="AR210" s="75" t="n">
        <v>45747</v>
      </c>
      <c r="AS210" t="inlineStr">
        <is>
          <t>SALDO FINANCIAR</t>
        </is>
      </c>
      <c r="AT210" t="n">
        <v>1</v>
      </c>
      <c r="AU210" t="n">
        <v>553600</v>
      </c>
      <c r="AV210" t="n">
        <v>0</v>
      </c>
      <c r="AW210" t="n">
        <v>0</v>
      </c>
      <c r="AX210" s="39" t="n">
        <v>553600</v>
      </c>
      <c r="AY210" s="39" t="n">
        <v>553600</v>
      </c>
      <c r="AZ210" s="39" t="n">
        <v>0</v>
      </c>
      <c r="BA210" t="n">
        <v>0</v>
      </c>
      <c r="BB210" t="inlineStr">
        <is>
          <t>Crédito Hipotecario</t>
        </is>
      </c>
      <c r="BC210" t="inlineStr">
        <is>
          <t>Scotiabank Perú</t>
        </is>
      </c>
      <c r="BD210" t="inlineStr">
        <is>
          <t>000-2768484</t>
        </is>
      </c>
      <c r="BE210" t="inlineStr">
        <is>
          <t>TRANSFERENCIA BANCARIA</t>
        </is>
      </c>
      <c r="BG210" t="inlineStr">
        <is>
          <t>300320025</t>
        </is>
      </c>
      <c r="BH210" t="inlineStr">
        <is>
          <t>No</t>
        </is>
      </c>
      <c r="BJ210" t="n">
        <v>4</v>
      </c>
      <c r="BK210" t="inlineStr">
        <is>
          <t>CANCELADO</t>
        </is>
      </c>
      <c r="BV210" t="inlineStr">
        <is>
          <t>Si</t>
        </is>
      </c>
      <c r="BW210" s="76" t="n">
        <v>45733.35069444445</v>
      </c>
      <c r="BX210" t="inlineStr">
        <is>
          <t>Magaly Guevara Perez</t>
        </is>
      </c>
      <c r="BZ210" t="n">
        <v>42</v>
      </c>
      <c r="CA210" t="inlineStr">
        <is>
          <t>06/07/2026 08:27</t>
        </is>
      </c>
      <c r="CB210" t="n">
        <v>0</v>
      </c>
      <c r="CF210" t="inlineStr">
        <is>
          <t>Cobranzas_2025.csv</t>
        </is>
      </c>
      <c r="CG210" t="n">
        <v>2025</v>
      </c>
      <c r="CH210" t="inlineStr">
        <is>
          <t>01/01/2024</t>
        </is>
      </c>
      <c r="CI210" t="inlineStr">
        <is>
          <t>24/08/2031</t>
        </is>
      </c>
    </row>
    <row r="211">
      <c r="A211" t="inlineStr">
        <is>
          <t>RESIDENCIAL PRADA</t>
        </is>
      </c>
      <c r="B211" t="inlineStr">
        <is>
          <t>Etapa 1</t>
        </is>
      </c>
      <c r="C211" t="inlineStr">
        <is>
          <t>Edificio</t>
        </is>
      </c>
      <c r="D211" t="inlineStr">
        <is>
          <t>A</t>
        </is>
      </c>
      <c r="E211" t="inlineStr">
        <is>
          <t>Estacionamiento</t>
        </is>
      </c>
      <c r="F211" t="inlineStr">
        <is>
          <t>E 09 - D 06</t>
        </is>
      </c>
      <c r="G211" t="n">
        <v>12.5</v>
      </c>
      <c r="H211" t="n">
        <v>1.83</v>
      </c>
      <c r="I211" s="39" t="n">
        <v>52000</v>
      </c>
      <c r="J211" s="39" t="n">
        <v>52000</v>
      </c>
      <c r="Q211" s="39" t="n"/>
      <c r="R211" s="39" t="n"/>
      <c r="Y211" s="39" t="n"/>
      <c r="Z211" s="39" t="n"/>
      <c r="AG211" s="39" t="n"/>
      <c r="AH211" s="39" t="n"/>
      <c r="AI211" t="inlineStr">
        <is>
          <t>Karina Cabanillas Correa</t>
        </is>
      </c>
      <c r="AJ211" t="inlineStr">
        <is>
          <t>40065933</t>
        </is>
      </c>
      <c r="AK211" t="inlineStr">
        <is>
          <t xml:space="preserve">Jr. Huiracocha 1639 Dpto. 1503 </t>
        </is>
      </c>
      <c r="AL211" t="n">
        <v>0</v>
      </c>
      <c r="AM211" t="inlineStr">
        <is>
          <t>970096822</t>
        </is>
      </c>
      <c r="AN211" t="inlineStr">
        <is>
          <t>karicab13@gmail.com</t>
        </is>
      </c>
      <c r="AO211" t="inlineStr">
        <is>
          <t>LIMA</t>
        </is>
      </c>
      <c r="AP211" t="inlineStr">
        <is>
          <t>JESUS MARIA</t>
        </is>
      </c>
      <c r="AQ211" s="75" t="n">
        <v>45813</v>
      </c>
      <c r="AR211" s="75" t="n">
        <v>45813</v>
      </c>
      <c r="AS211" t="inlineStr">
        <is>
          <t>SEPARACION</t>
        </is>
      </c>
      <c r="AT211" t="n">
        <v>1</v>
      </c>
      <c r="AU211" t="n">
        <v>3000</v>
      </c>
      <c r="AV211" t="n">
        <v>0</v>
      </c>
      <c r="AW211" t="n">
        <v>0</v>
      </c>
      <c r="AX211" s="39" t="n">
        <v>3000</v>
      </c>
      <c r="AY211" s="39" t="n">
        <v>3000</v>
      </c>
      <c r="AZ211" s="39" t="n">
        <v>0</v>
      </c>
      <c r="BA211" t="n">
        <v>0</v>
      </c>
      <c r="BB211" t="inlineStr">
        <is>
          <t>Crédito Directo</t>
        </is>
      </c>
      <c r="BC211" t="inlineStr">
        <is>
          <t>Scotiabank Perú</t>
        </is>
      </c>
      <c r="BD211" t="inlineStr">
        <is>
          <t>000-2768484</t>
        </is>
      </c>
      <c r="BE211" t="inlineStr">
        <is>
          <t>TRANSFERENCIA BANCARIA</t>
        </is>
      </c>
      <c r="BG211" t="inlineStr">
        <is>
          <t>0000064220000000</t>
        </is>
      </c>
      <c r="BH211" t="inlineStr">
        <is>
          <t>No</t>
        </is>
      </c>
      <c r="BJ211" t="n">
        <v>4</v>
      </c>
      <c r="BK211" t="inlineStr">
        <is>
          <t>CANCELADO</t>
        </is>
      </c>
      <c r="BV211" t="inlineStr">
        <is>
          <t>Si</t>
        </is>
      </c>
      <c r="BW211" s="76" t="n">
        <v>45886.67847222222</v>
      </c>
      <c r="BX211" t="inlineStr">
        <is>
          <t>Carla Michue M</t>
        </is>
      </c>
      <c r="BZ211" t="n">
        <v>65</v>
      </c>
      <c r="CA211" t="inlineStr">
        <is>
          <t>07/07/2026 16:46</t>
        </is>
      </c>
      <c r="CB211" t="n">
        <v>0</v>
      </c>
      <c r="CF211" t="inlineStr">
        <is>
          <t>Cobranzas_2025.csv</t>
        </is>
      </c>
      <c r="CG211" t="n">
        <v>2025</v>
      </c>
      <c r="CH211" t="inlineStr">
        <is>
          <t>01/01/2024</t>
        </is>
      </c>
      <c r="CI211" t="inlineStr">
        <is>
          <t>24/08/2031</t>
        </is>
      </c>
    </row>
    <row r="212">
      <c r="A212" t="inlineStr">
        <is>
          <t>RESIDENCIAL PRADA</t>
        </is>
      </c>
      <c r="B212" t="inlineStr">
        <is>
          <t>Etapa 1</t>
        </is>
      </c>
      <c r="C212" t="inlineStr">
        <is>
          <t>Edificio</t>
        </is>
      </c>
      <c r="D212" t="inlineStr">
        <is>
          <t>A</t>
        </is>
      </c>
      <c r="E212" t="inlineStr">
        <is>
          <t>Estacionamiento</t>
        </is>
      </c>
      <c r="F212" t="inlineStr">
        <is>
          <t>E 09 - D 06</t>
        </is>
      </c>
      <c r="G212" t="n">
        <v>12.5</v>
      </c>
      <c r="H212" t="n">
        <v>1.83</v>
      </c>
      <c r="I212" s="39" t="n">
        <v>52000</v>
      </c>
      <c r="J212" s="39" t="n">
        <v>52000</v>
      </c>
      <c r="Q212" s="39" t="n"/>
      <c r="R212" s="39" t="n"/>
      <c r="Y212" s="39" t="n"/>
      <c r="Z212" s="39" t="n"/>
      <c r="AG212" s="39" t="n"/>
      <c r="AH212" s="39" t="n"/>
      <c r="AI212" t="inlineStr">
        <is>
          <t>Karina Cabanillas Correa</t>
        </is>
      </c>
      <c r="AJ212" t="inlineStr">
        <is>
          <t>40065933</t>
        </is>
      </c>
      <c r="AK212" t="inlineStr">
        <is>
          <t xml:space="preserve">Jr. Huiracocha 1639 Dpto. 1503 </t>
        </is>
      </c>
      <c r="AL212" t="n">
        <v>0</v>
      </c>
      <c r="AM212" t="inlineStr">
        <is>
          <t>970096822</t>
        </is>
      </c>
      <c r="AN212" t="inlineStr">
        <is>
          <t>karicab13@gmail.com</t>
        </is>
      </c>
      <c r="AO212" t="inlineStr">
        <is>
          <t>LIMA</t>
        </is>
      </c>
      <c r="AP212" t="inlineStr">
        <is>
          <t>JESUS MARIA</t>
        </is>
      </c>
      <c r="AQ212" s="75" t="n">
        <v>45813</v>
      </c>
      <c r="AR212" s="75" t="n">
        <v>45813</v>
      </c>
      <c r="AS212" t="inlineStr">
        <is>
          <t>CUOTA INICIAL</t>
        </is>
      </c>
      <c r="AT212" t="n">
        <v>1</v>
      </c>
      <c r="AU212" t="n">
        <v>0</v>
      </c>
      <c r="AV212" t="n">
        <v>0</v>
      </c>
      <c r="AW212" t="n">
        <v>0</v>
      </c>
      <c r="AX212" s="39" t="n">
        <v>7000</v>
      </c>
      <c r="AY212" s="39" t="n">
        <v>5000</v>
      </c>
      <c r="AZ212" s="39" t="n">
        <v>0</v>
      </c>
      <c r="BA212" t="n">
        <v>0</v>
      </c>
      <c r="BB212" t="inlineStr">
        <is>
          <t>Crédito Directo</t>
        </is>
      </c>
      <c r="BC212" t="inlineStr">
        <is>
          <t>Scotiabank Perú</t>
        </is>
      </c>
      <c r="BD212" t="inlineStr">
        <is>
          <t>000-2768484</t>
        </is>
      </c>
      <c r="BE212" t="inlineStr">
        <is>
          <t>TRANSFERENCIA BANCARIA</t>
        </is>
      </c>
      <c r="BG212" t="inlineStr">
        <is>
          <t>00000642200000</t>
        </is>
      </c>
      <c r="BH212" t="inlineStr">
        <is>
          <t>No</t>
        </is>
      </c>
      <c r="BJ212" t="n">
        <v>4</v>
      </c>
      <c r="BK212" t="inlineStr">
        <is>
          <t>CANCELADO</t>
        </is>
      </c>
      <c r="BV212" t="inlineStr">
        <is>
          <t>Si</t>
        </is>
      </c>
      <c r="BW212" s="76" t="n">
        <v>45886.67847222222</v>
      </c>
      <c r="BX212" t="inlineStr">
        <is>
          <t>Carla Michue M</t>
        </is>
      </c>
      <c r="BZ212" t="n">
        <v>65</v>
      </c>
      <c r="CA212" t="inlineStr">
        <is>
          <t>07/07/2026 16:48</t>
        </is>
      </c>
      <c r="CB212" t="n">
        <v>0</v>
      </c>
      <c r="CF212" t="inlineStr">
        <is>
          <t>Cobranzas_2025.csv</t>
        </is>
      </c>
      <c r="CG212" t="n">
        <v>2025</v>
      </c>
      <c r="CH212" t="inlineStr">
        <is>
          <t>01/01/2024</t>
        </is>
      </c>
      <c r="CI212" t="inlineStr">
        <is>
          <t>24/08/2031</t>
        </is>
      </c>
    </row>
    <row r="213">
      <c r="A213" t="inlineStr">
        <is>
          <t>RESIDENCIAL PRADA</t>
        </is>
      </c>
      <c r="B213" t="inlineStr">
        <is>
          <t>Etapa 1</t>
        </is>
      </c>
      <c r="C213" t="inlineStr">
        <is>
          <t>Edificio</t>
        </is>
      </c>
      <c r="D213" t="inlineStr">
        <is>
          <t>A</t>
        </is>
      </c>
      <c r="E213" t="inlineStr">
        <is>
          <t>Estacionamiento</t>
        </is>
      </c>
      <c r="F213" t="inlineStr">
        <is>
          <t>E 09 - D 06</t>
        </is>
      </c>
      <c r="G213" t="n">
        <v>12.5</v>
      </c>
      <c r="H213" t="n">
        <v>1.83</v>
      </c>
      <c r="I213" s="39" t="n">
        <v>52000</v>
      </c>
      <c r="J213" s="39" t="n">
        <v>52000</v>
      </c>
      <c r="Q213" s="39" t="n"/>
      <c r="R213" s="39" t="n"/>
      <c r="Y213" s="39" t="n"/>
      <c r="Z213" s="39" t="n"/>
      <c r="AG213" s="39" t="n"/>
      <c r="AH213" s="39" t="n"/>
      <c r="AI213" t="inlineStr">
        <is>
          <t>Karina Cabanillas Correa</t>
        </is>
      </c>
      <c r="AJ213" t="inlineStr">
        <is>
          <t>40065933</t>
        </is>
      </c>
      <c r="AK213" t="inlineStr">
        <is>
          <t xml:space="preserve">Jr. Huiracocha 1639 Dpto. 1503 </t>
        </is>
      </c>
      <c r="AL213" t="n">
        <v>0</v>
      </c>
      <c r="AM213" t="inlineStr">
        <is>
          <t>970096822</t>
        </is>
      </c>
      <c r="AN213" t="inlineStr">
        <is>
          <t>karicab13@gmail.com</t>
        </is>
      </c>
      <c r="AO213" t="inlineStr">
        <is>
          <t>LIMA</t>
        </is>
      </c>
      <c r="AP213" t="inlineStr">
        <is>
          <t>JESUS MARIA</t>
        </is>
      </c>
      <c r="AQ213" s="75" t="n">
        <v>45813</v>
      </c>
      <c r="AR213" s="75" t="n">
        <v>45813</v>
      </c>
      <c r="AS213" t="inlineStr">
        <is>
          <t>CUOTA INICIAL</t>
        </is>
      </c>
      <c r="AT213" t="n">
        <v>1</v>
      </c>
      <c r="AU213" t="n">
        <v>7000</v>
      </c>
      <c r="AV213" t="n">
        <v>0</v>
      </c>
      <c r="AW213" t="n">
        <v>0</v>
      </c>
      <c r="AX213" s="39" t="n">
        <v>0</v>
      </c>
      <c r="AY213" s="39" t="n">
        <v>2000</v>
      </c>
      <c r="AZ213" s="39" t="n">
        <v>0</v>
      </c>
      <c r="BA213" t="n">
        <v>0</v>
      </c>
      <c r="BB213" t="inlineStr">
        <is>
          <t>Crédito Directo</t>
        </is>
      </c>
      <c r="BC213" t="inlineStr">
        <is>
          <t>Scotiabank Perú</t>
        </is>
      </c>
      <c r="BD213" t="inlineStr">
        <is>
          <t>000-2768484</t>
        </is>
      </c>
      <c r="BE213" t="inlineStr">
        <is>
          <t>TRANSFERENCIA BANCARIA</t>
        </is>
      </c>
      <c r="BG213" t="inlineStr">
        <is>
          <t>03332995</t>
        </is>
      </c>
      <c r="BH213" t="inlineStr">
        <is>
          <t>No</t>
        </is>
      </c>
      <c r="BJ213" t="n">
        <v>4</v>
      </c>
      <c r="BK213" t="inlineStr">
        <is>
          <t>CANCELADO</t>
        </is>
      </c>
      <c r="BV213" t="inlineStr">
        <is>
          <t>Si</t>
        </is>
      </c>
      <c r="BW213" s="76" t="n">
        <v>45886.67847222222</v>
      </c>
      <c r="BX213" t="inlineStr">
        <is>
          <t>Carla Michue M</t>
        </is>
      </c>
      <c r="BZ213" t="n">
        <v>65</v>
      </c>
      <c r="CA213" t="inlineStr">
        <is>
          <t>07/07/2026 16:48</t>
        </is>
      </c>
      <c r="CB213" t="n">
        <v>0</v>
      </c>
      <c r="CF213" t="inlineStr">
        <is>
          <t>Cobranzas_2025.csv</t>
        </is>
      </c>
      <c r="CG213" t="n">
        <v>2025</v>
      </c>
      <c r="CH213" t="inlineStr">
        <is>
          <t>01/01/2024</t>
        </is>
      </c>
      <c r="CI213" t="inlineStr">
        <is>
          <t>24/08/2031</t>
        </is>
      </c>
    </row>
    <row r="214">
      <c r="A214" t="inlineStr">
        <is>
          <t>RESIDENCIAL PRADA</t>
        </is>
      </c>
      <c r="B214" t="inlineStr">
        <is>
          <t>Etapa 1</t>
        </is>
      </c>
      <c r="C214" t="inlineStr">
        <is>
          <t>Edificio</t>
        </is>
      </c>
      <c r="D214" t="inlineStr">
        <is>
          <t>A</t>
        </is>
      </c>
      <c r="E214" t="inlineStr">
        <is>
          <t>Estacionamiento</t>
        </is>
      </c>
      <c r="F214" t="inlineStr">
        <is>
          <t>E 09 - D 06</t>
        </is>
      </c>
      <c r="G214" t="n">
        <v>12.5</v>
      </c>
      <c r="H214" t="n">
        <v>1.83</v>
      </c>
      <c r="I214" s="39" t="n">
        <v>52000</v>
      </c>
      <c r="J214" s="39" t="n">
        <v>52000</v>
      </c>
      <c r="Q214" s="39" t="n"/>
      <c r="R214" s="39" t="n"/>
      <c r="Y214" s="39" t="n"/>
      <c r="Z214" s="39" t="n"/>
      <c r="AG214" s="39" t="n"/>
      <c r="AH214" s="39" t="n"/>
      <c r="AI214" t="inlineStr">
        <is>
          <t>Karina Cabanillas Correa</t>
        </is>
      </c>
      <c r="AJ214" t="inlineStr">
        <is>
          <t>40065933</t>
        </is>
      </c>
      <c r="AK214" t="inlineStr">
        <is>
          <t xml:space="preserve">Jr. Huiracocha 1639 Dpto. 1503 </t>
        </is>
      </c>
      <c r="AL214" t="n">
        <v>0</v>
      </c>
      <c r="AM214" t="inlineStr">
        <is>
          <t>970096822</t>
        </is>
      </c>
      <c r="AN214" t="inlineStr">
        <is>
          <t>karicab13@gmail.com</t>
        </is>
      </c>
      <c r="AO214" t="inlineStr">
        <is>
          <t>LIMA</t>
        </is>
      </c>
      <c r="AP214" t="inlineStr">
        <is>
          <t>JESUS MARIA</t>
        </is>
      </c>
      <c r="AQ214" s="75" t="n">
        <v>45900</v>
      </c>
      <c r="AR214" s="75" t="n">
        <v>45886</v>
      </c>
      <c r="AS214" t="inlineStr">
        <is>
          <t>SALDO FINANCIAR</t>
        </is>
      </c>
      <c r="AT214" t="n">
        <v>1</v>
      </c>
      <c r="AU214" t="n">
        <v>8500</v>
      </c>
      <c r="AV214" t="n">
        <v>0</v>
      </c>
      <c r="AW214" t="n">
        <v>0</v>
      </c>
      <c r="AX214" s="39" t="n">
        <v>8500</v>
      </c>
      <c r="AY214" s="39" t="n">
        <v>8500</v>
      </c>
      <c r="AZ214" s="39" t="n">
        <v>0</v>
      </c>
      <c r="BA214" t="n">
        <v>0</v>
      </c>
      <c r="BB214" t="inlineStr">
        <is>
          <t>Crédito Directo</t>
        </is>
      </c>
      <c r="BC214" t="inlineStr">
        <is>
          <t>Scotiabank Perú</t>
        </is>
      </c>
      <c r="BD214" t="inlineStr">
        <is>
          <t>000-2768484</t>
        </is>
      </c>
      <c r="BE214" t="inlineStr">
        <is>
          <t>TRANSFERENCIA BANCARIA</t>
        </is>
      </c>
      <c r="BG214" t="inlineStr">
        <is>
          <t>000064980000000</t>
        </is>
      </c>
      <c r="BH214" t="inlineStr">
        <is>
          <t>No</t>
        </is>
      </c>
      <c r="BJ214" t="n">
        <v>4</v>
      </c>
      <c r="BK214" t="inlineStr">
        <is>
          <t>CANCELADO</t>
        </is>
      </c>
      <c r="BV214" t="inlineStr">
        <is>
          <t>Si</t>
        </is>
      </c>
      <c r="BW214" s="76" t="n">
        <v>45886.67847222222</v>
      </c>
      <c r="BX214" t="inlineStr">
        <is>
          <t>Carla Michue M</t>
        </is>
      </c>
      <c r="BZ214" t="n">
        <v>65</v>
      </c>
      <c r="CA214" t="inlineStr">
        <is>
          <t>07/07/2026 16:49</t>
        </is>
      </c>
      <c r="CB214" t="n">
        <v>0</v>
      </c>
      <c r="CF214" t="inlineStr">
        <is>
          <t>Cobranzas_2025.csv</t>
        </is>
      </c>
      <c r="CG214" t="n">
        <v>2025</v>
      </c>
      <c r="CH214" t="inlineStr">
        <is>
          <t>01/01/2024</t>
        </is>
      </c>
      <c r="CI214" t="inlineStr">
        <is>
          <t>24/08/2031</t>
        </is>
      </c>
    </row>
    <row r="215">
      <c r="A215" t="inlineStr">
        <is>
          <t>RESIDENCIAL PRADA</t>
        </is>
      </c>
      <c r="B215" t="inlineStr">
        <is>
          <t>Etapa 1</t>
        </is>
      </c>
      <c r="C215" t="inlineStr">
        <is>
          <t>Edificio</t>
        </is>
      </c>
      <c r="D215" t="inlineStr">
        <is>
          <t>A</t>
        </is>
      </c>
      <c r="E215" t="inlineStr">
        <is>
          <t>Estacionamiento</t>
        </is>
      </c>
      <c r="F215" t="inlineStr">
        <is>
          <t>E 09 - D 06</t>
        </is>
      </c>
      <c r="G215" t="n">
        <v>12.5</v>
      </c>
      <c r="H215" t="n">
        <v>1.83</v>
      </c>
      <c r="I215" s="39" t="n">
        <v>52000</v>
      </c>
      <c r="J215" s="39" t="n">
        <v>52000</v>
      </c>
      <c r="Q215" s="39" t="n"/>
      <c r="R215" s="39" t="n"/>
      <c r="Y215" s="39" t="n"/>
      <c r="Z215" s="39" t="n"/>
      <c r="AG215" s="39" t="n"/>
      <c r="AH215" s="39" t="n"/>
      <c r="AI215" t="inlineStr">
        <is>
          <t>Karina Cabanillas Correa</t>
        </is>
      </c>
      <c r="AJ215" t="inlineStr">
        <is>
          <t>40065933</t>
        </is>
      </c>
      <c r="AK215" t="inlineStr">
        <is>
          <t xml:space="preserve">Jr. Huiracocha 1639 Dpto. 1503 </t>
        </is>
      </c>
      <c r="AL215" t="n">
        <v>0</v>
      </c>
      <c r="AM215" t="inlineStr">
        <is>
          <t>970096822</t>
        </is>
      </c>
      <c r="AN215" t="inlineStr">
        <is>
          <t>karicab13@gmail.com</t>
        </is>
      </c>
      <c r="AO215" t="inlineStr">
        <is>
          <t>LIMA</t>
        </is>
      </c>
      <c r="AP215" t="inlineStr">
        <is>
          <t>JESUS MARIA</t>
        </is>
      </c>
      <c r="AQ215" s="75" t="n">
        <v>45930</v>
      </c>
      <c r="AR215" s="75" t="n">
        <v>45908</v>
      </c>
      <c r="AS215" t="inlineStr">
        <is>
          <t>SALDO FINANCIAR</t>
        </is>
      </c>
      <c r="AT215" t="n">
        <v>2</v>
      </c>
      <c r="AU215" t="n">
        <v>1350</v>
      </c>
      <c r="AV215" t="n">
        <v>0</v>
      </c>
      <c r="AW215" t="n">
        <v>0</v>
      </c>
      <c r="AX215" s="39" t="n">
        <v>1350</v>
      </c>
      <c r="AY215" s="39" t="n">
        <v>1350</v>
      </c>
      <c r="AZ215" s="39" t="n">
        <v>0</v>
      </c>
      <c r="BA215" t="n">
        <v>0</v>
      </c>
      <c r="BB215" t="inlineStr">
        <is>
          <t>Crédito Directo</t>
        </is>
      </c>
      <c r="BC215" t="inlineStr">
        <is>
          <t>Scotiabank Perú</t>
        </is>
      </c>
      <c r="BD215" t="inlineStr">
        <is>
          <t>000-2768484</t>
        </is>
      </c>
      <c r="BE215" t="inlineStr">
        <is>
          <t>TRANSFERENCIA BANCARIA</t>
        </is>
      </c>
      <c r="BG215" t="inlineStr">
        <is>
          <t>000006520000000</t>
        </is>
      </c>
      <c r="BH215" t="inlineStr">
        <is>
          <t>No</t>
        </is>
      </c>
      <c r="BJ215" t="n">
        <v>4</v>
      </c>
      <c r="BK215" t="inlineStr">
        <is>
          <t>CANCELADO</t>
        </is>
      </c>
      <c r="BV215" t="inlineStr">
        <is>
          <t>Si</t>
        </is>
      </c>
      <c r="BW215" s="76" t="n">
        <v>45886.67847222222</v>
      </c>
      <c r="BX215" t="inlineStr">
        <is>
          <t>Carla Michue M</t>
        </is>
      </c>
      <c r="BZ215" t="n">
        <v>65</v>
      </c>
      <c r="CA215" t="inlineStr">
        <is>
          <t>07/07/2026 16:50</t>
        </is>
      </c>
      <c r="CB215" t="n">
        <v>0</v>
      </c>
      <c r="CF215" t="inlineStr">
        <is>
          <t>Cobranzas_2025.csv</t>
        </is>
      </c>
      <c r="CG215" t="n">
        <v>2025</v>
      </c>
      <c r="CH215" t="inlineStr">
        <is>
          <t>01/01/2024</t>
        </is>
      </c>
      <c r="CI215" t="inlineStr">
        <is>
          <t>24/08/2031</t>
        </is>
      </c>
    </row>
    <row r="216">
      <c r="A216" t="inlineStr">
        <is>
          <t>RESIDENCIAL PRADA</t>
        </is>
      </c>
      <c r="B216" t="inlineStr">
        <is>
          <t>Etapa 1</t>
        </is>
      </c>
      <c r="C216" t="inlineStr">
        <is>
          <t>Edificio</t>
        </is>
      </c>
      <c r="D216" t="inlineStr">
        <is>
          <t>A</t>
        </is>
      </c>
      <c r="E216" t="inlineStr">
        <is>
          <t>Estacionamiento</t>
        </is>
      </c>
      <c r="F216" t="inlineStr">
        <is>
          <t>E 09 - D 06</t>
        </is>
      </c>
      <c r="G216" t="n">
        <v>12.5</v>
      </c>
      <c r="H216" t="n">
        <v>1.83</v>
      </c>
      <c r="I216" s="39" t="n">
        <v>52000</v>
      </c>
      <c r="J216" s="39" t="n">
        <v>52000</v>
      </c>
      <c r="Q216" s="39" t="n"/>
      <c r="R216" s="39" t="n"/>
      <c r="Y216" s="39" t="n"/>
      <c r="Z216" s="39" t="n"/>
      <c r="AG216" s="39" t="n"/>
      <c r="AH216" s="39" t="n"/>
      <c r="AI216" t="inlineStr">
        <is>
          <t>Karina Cabanillas Correa</t>
        </is>
      </c>
      <c r="AJ216" t="inlineStr">
        <is>
          <t>40065933</t>
        </is>
      </c>
      <c r="AK216" t="inlineStr">
        <is>
          <t xml:space="preserve">Jr. Huiracocha 1639 Dpto. 1503 </t>
        </is>
      </c>
      <c r="AL216" t="n">
        <v>0</v>
      </c>
      <c r="AM216" t="inlineStr">
        <is>
          <t>970096822</t>
        </is>
      </c>
      <c r="AN216" t="inlineStr">
        <is>
          <t>karicab13@gmail.com</t>
        </is>
      </c>
      <c r="AO216" t="inlineStr">
        <is>
          <t>LIMA</t>
        </is>
      </c>
      <c r="AP216" t="inlineStr">
        <is>
          <t>JESUS MARIA</t>
        </is>
      </c>
      <c r="AQ216" s="75" t="n">
        <v>45961</v>
      </c>
      <c r="AR216" s="75" t="n">
        <v>45943</v>
      </c>
      <c r="AS216" t="inlineStr">
        <is>
          <t>SALDO FINANCIAR</t>
        </is>
      </c>
      <c r="AT216" t="n">
        <v>3</v>
      </c>
      <c r="AU216" t="n">
        <v>1350</v>
      </c>
      <c r="AV216" t="n">
        <v>0</v>
      </c>
      <c r="AW216" t="n">
        <v>0</v>
      </c>
      <c r="AX216" s="39" t="n">
        <v>1350</v>
      </c>
      <c r="AY216" s="39" t="n">
        <v>1350</v>
      </c>
      <c r="AZ216" s="39" t="n">
        <v>0</v>
      </c>
      <c r="BA216" t="n">
        <v>0</v>
      </c>
      <c r="BB216" t="inlineStr">
        <is>
          <t>Crédito Directo</t>
        </is>
      </c>
      <c r="BC216" t="inlineStr">
        <is>
          <t>Scotiabank Perú</t>
        </is>
      </c>
      <c r="BD216" t="inlineStr">
        <is>
          <t>000-2768484</t>
        </is>
      </c>
      <c r="BE216" t="inlineStr">
        <is>
          <t>TRANSFERENCIA BANCARIA</t>
        </is>
      </c>
      <c r="BG216" t="inlineStr">
        <is>
          <t>6558</t>
        </is>
      </c>
      <c r="BH216" t="inlineStr">
        <is>
          <t>No</t>
        </is>
      </c>
      <c r="BJ216" t="n">
        <v>4</v>
      </c>
      <c r="BK216" t="inlineStr">
        <is>
          <t>CANCELADO</t>
        </is>
      </c>
      <c r="BV216" t="inlineStr">
        <is>
          <t>Si</t>
        </is>
      </c>
      <c r="BW216" s="76" t="n">
        <v>45886.67847222222</v>
      </c>
      <c r="BX216" t="inlineStr">
        <is>
          <t>Carla Michue M</t>
        </is>
      </c>
      <c r="BZ216" t="n">
        <v>65</v>
      </c>
      <c r="CA216" t="inlineStr">
        <is>
          <t>07/07/2026 16:51</t>
        </is>
      </c>
      <c r="CB216" t="n">
        <v>0</v>
      </c>
      <c r="CF216" t="inlineStr">
        <is>
          <t>Cobranzas_2025.csv</t>
        </is>
      </c>
      <c r="CG216" t="n">
        <v>2025</v>
      </c>
      <c r="CH216" t="inlineStr">
        <is>
          <t>01/01/2024</t>
        </is>
      </c>
      <c r="CI216" t="inlineStr">
        <is>
          <t>24/08/2031</t>
        </is>
      </c>
    </row>
    <row r="217">
      <c r="A217" t="inlineStr">
        <is>
          <t>RESIDENCIAL PRADA</t>
        </is>
      </c>
      <c r="B217" t="inlineStr">
        <is>
          <t>Etapa 1</t>
        </is>
      </c>
      <c r="C217" t="inlineStr">
        <is>
          <t>Edificio</t>
        </is>
      </c>
      <c r="D217" t="inlineStr">
        <is>
          <t>A</t>
        </is>
      </c>
      <c r="E217" t="inlineStr">
        <is>
          <t>Estacionamiento</t>
        </is>
      </c>
      <c r="F217" t="inlineStr">
        <is>
          <t>E 09 - D 06</t>
        </is>
      </c>
      <c r="G217" t="n">
        <v>12.5</v>
      </c>
      <c r="H217" t="n">
        <v>1.83</v>
      </c>
      <c r="I217" s="39" t="n">
        <v>52000</v>
      </c>
      <c r="J217" s="39" t="n">
        <v>52000</v>
      </c>
      <c r="Q217" s="39" t="n"/>
      <c r="R217" s="39" t="n"/>
      <c r="Y217" s="39" t="n"/>
      <c r="Z217" s="39" t="n"/>
      <c r="AG217" s="39" t="n"/>
      <c r="AH217" s="39" t="n"/>
      <c r="AI217" t="inlineStr">
        <is>
          <t>Karina Cabanillas Correa</t>
        </is>
      </c>
      <c r="AJ217" t="inlineStr">
        <is>
          <t>40065933</t>
        </is>
      </c>
      <c r="AK217" t="inlineStr">
        <is>
          <t xml:space="preserve">Jr. Huiracocha 1639 Dpto. 1503 </t>
        </is>
      </c>
      <c r="AL217" t="n">
        <v>0</v>
      </c>
      <c r="AM217" t="inlineStr">
        <is>
          <t>970096822</t>
        </is>
      </c>
      <c r="AN217" t="inlineStr">
        <is>
          <t>karicab13@gmail.com</t>
        </is>
      </c>
      <c r="AO217" t="inlineStr">
        <is>
          <t>LIMA</t>
        </is>
      </c>
      <c r="AP217" t="inlineStr">
        <is>
          <t>JESUS MARIA</t>
        </is>
      </c>
      <c r="AQ217" s="75" t="n">
        <v>45991</v>
      </c>
      <c r="AR217" s="75" t="n">
        <v>45967</v>
      </c>
      <c r="AS217" t="inlineStr">
        <is>
          <t>SALDO FINANCIAR</t>
        </is>
      </c>
      <c r="AT217" t="n">
        <v>4</v>
      </c>
      <c r="AU217" t="n">
        <v>1350</v>
      </c>
      <c r="AV217" t="n">
        <v>0</v>
      </c>
      <c r="AW217" t="n">
        <v>0</v>
      </c>
      <c r="AX217" s="39" t="n">
        <v>1350</v>
      </c>
      <c r="AY217" s="39" t="n">
        <v>1350</v>
      </c>
      <c r="AZ217" s="39" t="n">
        <v>0</v>
      </c>
      <c r="BA217" t="n">
        <v>0</v>
      </c>
      <c r="BB217" t="inlineStr">
        <is>
          <t>Crédito Directo</t>
        </is>
      </c>
      <c r="BC217" t="inlineStr">
        <is>
          <t>Scotiabank Perú</t>
        </is>
      </c>
      <c r="BD217" t="inlineStr">
        <is>
          <t>000-2768484</t>
        </is>
      </c>
      <c r="BE217" t="inlineStr">
        <is>
          <t>TRANSFERENCIA BANCARIA</t>
        </is>
      </c>
      <c r="BG217" t="inlineStr">
        <is>
          <t>5546205</t>
        </is>
      </c>
      <c r="BH217" t="inlineStr">
        <is>
          <t>No</t>
        </is>
      </c>
      <c r="BJ217" t="n">
        <v>4</v>
      </c>
      <c r="BK217" t="inlineStr">
        <is>
          <t>CANCELADO</t>
        </is>
      </c>
      <c r="BV217" t="inlineStr">
        <is>
          <t>Si</t>
        </is>
      </c>
      <c r="BW217" s="76" t="n">
        <v>45886.67847222222</v>
      </c>
      <c r="BX217" t="inlineStr">
        <is>
          <t>Carla Michue M</t>
        </is>
      </c>
      <c r="BZ217" t="n">
        <v>65</v>
      </c>
      <c r="CA217" t="inlineStr">
        <is>
          <t>07/07/2026 16:52</t>
        </is>
      </c>
      <c r="CB217" t="n">
        <v>0</v>
      </c>
      <c r="CF217" t="inlineStr">
        <is>
          <t>Cobranzas_2025.csv</t>
        </is>
      </c>
      <c r="CG217" t="n">
        <v>2025</v>
      </c>
      <c r="CH217" t="inlineStr">
        <is>
          <t>01/01/2024</t>
        </is>
      </c>
      <c r="CI217" t="inlineStr">
        <is>
          <t>24/08/2031</t>
        </is>
      </c>
    </row>
    <row r="218">
      <c r="A218" t="inlineStr">
        <is>
          <t>RESIDENCIAL PRADA</t>
        </is>
      </c>
      <c r="B218" t="inlineStr">
        <is>
          <t>Etapa 1</t>
        </is>
      </c>
      <c r="C218" t="inlineStr">
        <is>
          <t>Edificio</t>
        </is>
      </c>
      <c r="D218" t="inlineStr">
        <is>
          <t>A</t>
        </is>
      </c>
      <c r="E218" t="inlineStr">
        <is>
          <t>Estacionamiento</t>
        </is>
      </c>
      <c r="F218" t="inlineStr">
        <is>
          <t>E 09 - D 06</t>
        </is>
      </c>
      <c r="G218" t="n">
        <v>12.5</v>
      </c>
      <c r="H218" t="n">
        <v>1.83</v>
      </c>
      <c r="I218" s="39" t="n">
        <v>52000</v>
      </c>
      <c r="J218" s="39" t="n">
        <v>52000</v>
      </c>
      <c r="Q218" s="39" t="n"/>
      <c r="R218" s="39" t="n"/>
      <c r="Y218" s="39" t="n"/>
      <c r="Z218" s="39" t="n"/>
      <c r="AG218" s="39" t="n"/>
      <c r="AH218" s="39" t="n"/>
      <c r="AI218" t="inlineStr">
        <is>
          <t>Karina Cabanillas Correa</t>
        </is>
      </c>
      <c r="AJ218" t="inlineStr">
        <is>
          <t>40065933</t>
        </is>
      </c>
      <c r="AK218" t="inlineStr">
        <is>
          <t xml:space="preserve">Jr. Huiracocha 1639 Dpto. 1503 </t>
        </is>
      </c>
      <c r="AL218" t="n">
        <v>0</v>
      </c>
      <c r="AM218" t="inlineStr">
        <is>
          <t>970096822</t>
        </is>
      </c>
      <c r="AN218" t="inlineStr">
        <is>
          <t>karicab13@gmail.com</t>
        </is>
      </c>
      <c r="AO218" t="inlineStr">
        <is>
          <t>LIMA</t>
        </is>
      </c>
      <c r="AP218" t="inlineStr">
        <is>
          <t>JESUS MARIA</t>
        </is>
      </c>
      <c r="AQ218" s="75" t="n">
        <v>46022</v>
      </c>
      <c r="AR218" s="75" t="n">
        <v>46007</v>
      </c>
      <c r="AS218" t="inlineStr">
        <is>
          <t>SALDO FINANCIAR</t>
        </is>
      </c>
      <c r="AT218" t="n">
        <v>5</v>
      </c>
      <c r="AU218" t="n">
        <v>1350</v>
      </c>
      <c r="AV218" t="n">
        <v>0</v>
      </c>
      <c r="AW218" t="n">
        <v>0</v>
      </c>
      <c r="AX218" s="39" t="n">
        <v>1350</v>
      </c>
      <c r="AY218" s="39" t="n">
        <v>1350</v>
      </c>
      <c r="AZ218" s="39" t="n">
        <v>0</v>
      </c>
      <c r="BA218" t="n">
        <v>0</v>
      </c>
      <c r="BB218" t="inlineStr">
        <is>
          <t>Crédito Directo</t>
        </is>
      </c>
      <c r="BC218" t="inlineStr">
        <is>
          <t>Scotiabank Perú</t>
        </is>
      </c>
      <c r="BD218" t="inlineStr">
        <is>
          <t>000-2768484</t>
        </is>
      </c>
      <c r="BE218" t="inlineStr">
        <is>
          <t>TRANSFERENCIA BANCARIA</t>
        </is>
      </c>
      <c r="BG218" t="inlineStr">
        <is>
          <t>0000006617000000</t>
        </is>
      </c>
      <c r="BH218" t="inlineStr">
        <is>
          <t>No</t>
        </is>
      </c>
      <c r="BJ218" t="n">
        <v>4</v>
      </c>
      <c r="BK218" t="inlineStr">
        <is>
          <t>CANCELADO</t>
        </is>
      </c>
      <c r="BV218" t="inlineStr">
        <is>
          <t>Si</t>
        </is>
      </c>
      <c r="BW218" s="76" t="n">
        <v>45886.67847222222</v>
      </c>
      <c r="BX218" t="inlineStr">
        <is>
          <t>Carla Michue M</t>
        </is>
      </c>
      <c r="BZ218" t="n">
        <v>65</v>
      </c>
      <c r="CA218" t="inlineStr">
        <is>
          <t>12/08/2026 12:08</t>
        </is>
      </c>
      <c r="CB218" t="n">
        <v>0</v>
      </c>
      <c r="CF218" t="inlineStr">
        <is>
          <t>Cobranzas_2025.csv</t>
        </is>
      </c>
      <c r="CG218" t="n">
        <v>2025</v>
      </c>
      <c r="CH218" t="inlineStr">
        <is>
          <t>01/01/2024</t>
        </is>
      </c>
      <c r="CI218" t="inlineStr">
        <is>
          <t>24/08/2031</t>
        </is>
      </c>
    </row>
    <row r="219">
      <c r="A219" t="inlineStr">
        <is>
          <t>RESIDENCIAL BEYOND</t>
        </is>
      </c>
      <c r="B219" t="inlineStr">
        <is>
          <t>Etapa 1</t>
        </is>
      </c>
      <c r="C219" t="inlineStr">
        <is>
          <t>Edificio</t>
        </is>
      </c>
      <c r="D219" t="inlineStr">
        <is>
          <t>A</t>
        </is>
      </c>
      <c r="E219" t="inlineStr">
        <is>
          <t>Departamento</t>
        </is>
      </c>
      <c r="F219" t="inlineStr">
        <is>
          <t>303</t>
        </is>
      </c>
      <c r="G219" t="n">
        <v>68</v>
      </c>
      <c r="H219" t="n">
        <v>0</v>
      </c>
      <c r="I219" s="39" t="n">
        <v>504700</v>
      </c>
      <c r="J219" s="39" t="n">
        <v>458000</v>
      </c>
      <c r="Q219" s="39" t="n"/>
      <c r="R219" s="39" t="n"/>
      <c r="Y219" s="39" t="n"/>
      <c r="Z219" s="39" t="n"/>
      <c r="AG219" s="39" t="n"/>
      <c r="AH219" s="39" t="n"/>
      <c r="AI219" t="inlineStr">
        <is>
          <t>Leidy Lucero Espíritu Zabarburu</t>
        </is>
      </c>
      <c r="AJ219" t="inlineStr">
        <is>
          <t>76936857</t>
        </is>
      </c>
      <c r="AK219" t="inlineStr">
        <is>
          <t>Av. José Arnaldo Márquez Nº 1655 – Dpto.403</t>
        </is>
      </c>
      <c r="AL219" t="n">
        <v>0</v>
      </c>
      <c r="AM219" t="inlineStr">
        <is>
          <t>966435253</t>
        </is>
      </c>
      <c r="AN219" t="inlineStr">
        <is>
          <t>lespiritu@zgroup.com.pe</t>
        </is>
      </c>
      <c r="AO219" t="inlineStr">
        <is>
          <t>LIMA</t>
        </is>
      </c>
      <c r="AP219" t="inlineStr">
        <is>
          <t>JESUS MARIA</t>
        </is>
      </c>
      <c r="AQ219" s="75" t="n">
        <v>45925</v>
      </c>
      <c r="AR219" s="75" t="n">
        <v>45925</v>
      </c>
      <c r="AS219" t="inlineStr">
        <is>
          <t>SEPARACION</t>
        </is>
      </c>
      <c r="AT219" t="n">
        <v>1</v>
      </c>
      <c r="AU219" t="n">
        <v>3000</v>
      </c>
      <c r="AV219" t="n">
        <v>0</v>
      </c>
      <c r="AW219" t="n">
        <v>0</v>
      </c>
      <c r="AX219" s="39" t="n">
        <v>3000</v>
      </c>
      <c r="AY219" s="39" t="n">
        <v>3000</v>
      </c>
      <c r="AZ219" s="39" t="n">
        <v>0</v>
      </c>
      <c r="BA219" t="n">
        <v>0</v>
      </c>
      <c r="BB219" t="inlineStr">
        <is>
          <t>Ahorro</t>
        </is>
      </c>
      <c r="BC219" t="inlineStr">
        <is>
          <t>Banco de Credito del Perú</t>
        </is>
      </c>
      <c r="BD219" t="inlineStr">
        <is>
          <t>194-7325779-0-65</t>
        </is>
      </c>
      <c r="BE219" t="inlineStr">
        <is>
          <t>TRANSFERENCIA BANCARIA</t>
        </is>
      </c>
      <c r="BG219" t="inlineStr">
        <is>
          <t>04037482</t>
        </is>
      </c>
      <c r="BH219" t="inlineStr">
        <is>
          <t>No</t>
        </is>
      </c>
      <c r="BJ219" t="n">
        <v>4</v>
      </c>
      <c r="BK219" t="inlineStr">
        <is>
          <t>CANCELADO</t>
        </is>
      </c>
      <c r="BV219" t="inlineStr">
        <is>
          <t>No</t>
        </is>
      </c>
      <c r="BW219" s="76" t="n">
        <v>46057.42013888889</v>
      </c>
      <c r="BX219" t="inlineStr">
        <is>
          <t>Magaly Guevara Perez</t>
        </is>
      </c>
      <c r="BZ219" t="n">
        <v>25</v>
      </c>
      <c r="CA219" t="inlineStr">
        <is>
          <t>01/05/2026 16:29</t>
        </is>
      </c>
      <c r="CB219" t="n">
        <v>0</v>
      </c>
      <c r="CF219" t="inlineStr">
        <is>
          <t>Cobranzas_2025.csv</t>
        </is>
      </c>
      <c r="CG219" t="n">
        <v>2025</v>
      </c>
      <c r="CH219" t="inlineStr">
        <is>
          <t>01/01/2024</t>
        </is>
      </c>
      <c r="CI219" t="inlineStr">
        <is>
          <t>24/08/2031</t>
        </is>
      </c>
    </row>
    <row r="220">
      <c r="A220" t="inlineStr">
        <is>
          <t>RESIDENCIAL VENECIA</t>
        </is>
      </c>
      <c r="B220" t="inlineStr">
        <is>
          <t>Etapa 1</t>
        </is>
      </c>
      <c r="C220" t="inlineStr">
        <is>
          <t>Edificio</t>
        </is>
      </c>
      <c r="D220" t="inlineStr">
        <is>
          <t>A</t>
        </is>
      </c>
      <c r="E220" t="inlineStr">
        <is>
          <t>Departamento</t>
        </is>
      </c>
      <c r="F220" t="inlineStr">
        <is>
          <t>301</t>
        </is>
      </c>
      <c r="G220" t="n">
        <v>78</v>
      </c>
      <c r="H220" t="n">
        <v>0</v>
      </c>
      <c r="I220" s="39" t="n">
        <v>534000</v>
      </c>
      <c r="J220" s="39" t="n">
        <v>534000</v>
      </c>
      <c r="K220" t="inlineStr">
        <is>
          <t>Edificio</t>
        </is>
      </c>
      <c r="L220" t="inlineStr">
        <is>
          <t>A</t>
        </is>
      </c>
      <c r="M220" t="inlineStr">
        <is>
          <t>Estacionamiento</t>
        </is>
      </c>
      <c r="N220" t="inlineStr">
        <is>
          <t>E 17</t>
        </is>
      </c>
      <c r="O220" t="n">
        <v>12</v>
      </c>
      <c r="P220" t="n">
        <v>0</v>
      </c>
      <c r="Q220" s="39" t="n">
        <v>43000</v>
      </c>
      <c r="R220" s="39" t="n">
        <v>43000</v>
      </c>
      <c r="Y220" s="39" t="n"/>
      <c r="Z220" s="39" t="n"/>
      <c r="AG220" s="39" t="n"/>
      <c r="AH220" s="39" t="n"/>
      <c r="AI220" t="inlineStr">
        <is>
          <t>Leidy Pilar Espinoza Mariño</t>
        </is>
      </c>
      <c r="AJ220" t="inlineStr">
        <is>
          <t>46546054</t>
        </is>
      </c>
      <c r="AK220" t="inlineStr">
        <is>
          <t>LAS AZUCENAS LT-34 MZ-F- HUMAYA</t>
        </is>
      </c>
      <c r="AL220" t="n">
        <v>0</v>
      </c>
      <c r="AM220" t="inlineStr">
        <is>
          <t>945411554</t>
        </is>
      </c>
      <c r="AN220" t="inlineStr">
        <is>
          <t>leidyespinoza30@gmail.com</t>
        </is>
      </c>
      <c r="AO220" t="inlineStr">
        <is>
          <t>HUAURA</t>
        </is>
      </c>
      <c r="AP220" t="inlineStr">
        <is>
          <t>HUAURA</t>
        </is>
      </c>
      <c r="AQ220" s="75" t="n">
        <v>45897</v>
      </c>
      <c r="AR220" s="75" t="n">
        <v>45897</v>
      </c>
      <c r="AS220" t="inlineStr">
        <is>
          <t>SEPARACION</t>
        </is>
      </c>
      <c r="AT220" t="n">
        <v>1</v>
      </c>
      <c r="AU220" t="n">
        <v>3000</v>
      </c>
      <c r="AV220" t="n">
        <v>0</v>
      </c>
      <c r="AW220" t="n">
        <v>0</v>
      </c>
      <c r="AX220" s="39" t="n">
        <v>3000</v>
      </c>
      <c r="AY220" s="39" t="n">
        <v>3000</v>
      </c>
      <c r="AZ220" s="39" t="n">
        <v>0</v>
      </c>
      <c r="BA220" t="n">
        <v>0</v>
      </c>
      <c r="BB220" t="inlineStr">
        <is>
          <t>Crédito Hipotecario</t>
        </is>
      </c>
      <c r="BC220" t="inlineStr">
        <is>
          <t>Scotiabank Perú</t>
        </is>
      </c>
      <c r="BD220" t="inlineStr">
        <is>
          <t>0004071419</t>
        </is>
      </c>
      <c r="BE220" t="inlineStr">
        <is>
          <t>TRANSFERENCIA BANCARIA</t>
        </is>
      </c>
      <c r="BG220" t="inlineStr">
        <is>
          <t>5545523</t>
        </is>
      </c>
      <c r="BH220" t="inlineStr">
        <is>
          <t>No</t>
        </is>
      </c>
      <c r="BJ220" t="n">
        <v>4</v>
      </c>
      <c r="BK220" t="inlineStr">
        <is>
          <t>CANCELADO</t>
        </is>
      </c>
      <c r="BV220" t="inlineStr">
        <is>
          <t>Si</t>
        </is>
      </c>
      <c r="BW220" s="76" t="n">
        <v>45922.33680555555</v>
      </c>
      <c r="BX220" t="inlineStr">
        <is>
          <t>Magaly Guevara Perez</t>
        </is>
      </c>
      <c r="BZ220" t="n">
        <v>5</v>
      </c>
      <c r="CA220" t="inlineStr">
        <is>
          <t>24/05/2026 16:09</t>
        </is>
      </c>
      <c r="CB220" t="n">
        <v>0</v>
      </c>
      <c r="CF220" t="inlineStr">
        <is>
          <t>Cobranzas_2025.csv</t>
        </is>
      </c>
      <c r="CG220" t="n">
        <v>2025</v>
      </c>
      <c r="CH220" t="inlineStr">
        <is>
          <t>01/01/2024</t>
        </is>
      </c>
      <c r="CI220" t="inlineStr">
        <is>
          <t>24/08/2031</t>
        </is>
      </c>
    </row>
    <row r="221">
      <c r="A221" t="inlineStr">
        <is>
          <t>RESIDENCIAL VENECIA</t>
        </is>
      </c>
      <c r="B221" t="inlineStr">
        <is>
          <t>Etapa 1</t>
        </is>
      </c>
      <c r="C221" t="inlineStr">
        <is>
          <t>Edificio</t>
        </is>
      </c>
      <c r="D221" t="inlineStr">
        <is>
          <t>A</t>
        </is>
      </c>
      <c r="E221" t="inlineStr">
        <is>
          <t>Departamento</t>
        </is>
      </c>
      <c r="F221" t="inlineStr">
        <is>
          <t>301</t>
        </is>
      </c>
      <c r="G221" t="n">
        <v>78</v>
      </c>
      <c r="H221" t="n">
        <v>0</v>
      </c>
      <c r="I221" s="39" t="n">
        <v>534000</v>
      </c>
      <c r="J221" s="39" t="n">
        <v>534000</v>
      </c>
      <c r="K221" t="inlineStr">
        <is>
          <t>Edificio</t>
        </is>
      </c>
      <c r="L221" t="inlineStr">
        <is>
          <t>A</t>
        </is>
      </c>
      <c r="M221" t="inlineStr">
        <is>
          <t>Estacionamiento</t>
        </is>
      </c>
      <c r="N221" t="inlineStr">
        <is>
          <t>E 17</t>
        </is>
      </c>
      <c r="O221" t="n">
        <v>12</v>
      </c>
      <c r="P221" t="n">
        <v>0</v>
      </c>
      <c r="Q221" s="39" t="n">
        <v>43000</v>
      </c>
      <c r="R221" s="39" t="n">
        <v>43000</v>
      </c>
      <c r="Y221" s="39" t="n"/>
      <c r="Z221" s="39" t="n"/>
      <c r="AG221" s="39" t="n"/>
      <c r="AH221" s="39" t="n"/>
      <c r="AI221" t="inlineStr">
        <is>
          <t>Leidy Pilar Espinoza Mariño</t>
        </is>
      </c>
      <c r="AJ221" t="inlineStr">
        <is>
          <t>46546054</t>
        </is>
      </c>
      <c r="AK221" t="inlineStr">
        <is>
          <t>LAS AZUCENAS LT-34 MZ-F- HUMAYA</t>
        </is>
      </c>
      <c r="AL221" t="n">
        <v>0</v>
      </c>
      <c r="AM221" t="inlineStr">
        <is>
          <t>945411554</t>
        </is>
      </c>
      <c r="AN221" t="inlineStr">
        <is>
          <t>leidyespinoza30@gmail.com</t>
        </is>
      </c>
      <c r="AO221" t="inlineStr">
        <is>
          <t>HUAURA</t>
        </is>
      </c>
      <c r="AP221" t="inlineStr">
        <is>
          <t>HUAURA</t>
        </is>
      </c>
      <c r="AQ221" s="75" t="n">
        <v>45922</v>
      </c>
      <c r="AR221" s="75" t="n">
        <v>45922</v>
      </c>
      <c r="AS221" t="inlineStr">
        <is>
          <t>CUOTA INICIAL</t>
        </is>
      </c>
      <c r="AT221" t="n">
        <v>1</v>
      </c>
      <c r="AU221" t="n">
        <v>25850</v>
      </c>
      <c r="AV221" t="n">
        <v>0</v>
      </c>
      <c r="AW221" t="n">
        <v>0</v>
      </c>
      <c r="AX221" s="39" t="n">
        <v>25850</v>
      </c>
      <c r="AY221" s="39" t="n">
        <v>25850</v>
      </c>
      <c r="AZ221" s="39" t="n">
        <v>0</v>
      </c>
      <c r="BA221" t="n">
        <v>0</v>
      </c>
      <c r="BB221" t="inlineStr">
        <is>
          <t>Crédito Hipotecario</t>
        </is>
      </c>
      <c r="BC221" t="inlineStr">
        <is>
          <t>Scotiabank Perú</t>
        </is>
      </c>
      <c r="BD221" t="inlineStr">
        <is>
          <t>0004071419</t>
        </is>
      </c>
      <c r="BE221" t="inlineStr">
        <is>
          <t>TRANSFERENCIA BANCARIA</t>
        </is>
      </c>
      <c r="BG221" t="inlineStr">
        <is>
          <t>5569260</t>
        </is>
      </c>
      <c r="BH221" t="inlineStr">
        <is>
          <t>No</t>
        </is>
      </c>
      <c r="BJ221" t="n">
        <v>4</v>
      </c>
      <c r="BK221" t="inlineStr">
        <is>
          <t>CANCELADO</t>
        </is>
      </c>
      <c r="BV221" t="inlineStr">
        <is>
          <t>Si</t>
        </is>
      </c>
      <c r="BW221" s="76" t="n">
        <v>45922.33680555555</v>
      </c>
      <c r="BX221" t="inlineStr">
        <is>
          <t>Magaly Guevara Perez</t>
        </is>
      </c>
      <c r="BZ221" t="n">
        <v>5</v>
      </c>
      <c r="CA221" t="inlineStr">
        <is>
          <t>24/05/2026 16:13</t>
        </is>
      </c>
      <c r="CB221" t="n">
        <v>0</v>
      </c>
      <c r="CF221" t="inlineStr">
        <is>
          <t>Cobranzas_2025.csv</t>
        </is>
      </c>
      <c r="CG221" t="n">
        <v>2025</v>
      </c>
      <c r="CH221" t="inlineStr">
        <is>
          <t>01/01/2024</t>
        </is>
      </c>
      <c r="CI221" t="inlineStr">
        <is>
          <t>24/08/2031</t>
        </is>
      </c>
    </row>
    <row r="222">
      <c r="A222" t="inlineStr">
        <is>
          <t>RESIDENCIAL PRADA</t>
        </is>
      </c>
      <c r="B222" t="inlineStr">
        <is>
          <t>Etapa 1</t>
        </is>
      </c>
      <c r="C222" t="inlineStr">
        <is>
          <t>Edificio</t>
        </is>
      </c>
      <c r="D222" t="inlineStr">
        <is>
          <t>A</t>
        </is>
      </c>
      <c r="E222" t="inlineStr">
        <is>
          <t>Departamento</t>
        </is>
      </c>
      <c r="F222" t="inlineStr">
        <is>
          <t>603</t>
        </is>
      </c>
      <c r="G222" t="n">
        <v>88.27</v>
      </c>
      <c r="H222" t="n">
        <v>0</v>
      </c>
      <c r="I222" s="39" t="n">
        <v>654000</v>
      </c>
      <c r="J222" s="39" t="n">
        <v>654000</v>
      </c>
      <c r="Q222" s="39" t="n"/>
      <c r="R222" s="39" t="n"/>
      <c r="Y222" s="39" t="n"/>
      <c r="Z222" s="39" t="n"/>
      <c r="AG222" s="39" t="n"/>
      <c r="AH222" s="39" t="n"/>
      <c r="AI222" t="inlineStr">
        <is>
          <t>Luis Alberto Ovalle Huamanguilla</t>
        </is>
      </c>
      <c r="AJ222" t="inlineStr">
        <is>
          <t>43953371</t>
        </is>
      </c>
      <c r="AK222" t="inlineStr">
        <is>
          <t>JR. NAPO NRO. 821</t>
        </is>
      </c>
      <c r="AM222" t="inlineStr">
        <is>
          <t>992764943</t>
        </is>
      </c>
      <c r="AN222" t="inlineStr">
        <is>
          <t>aovalle2212@gmail.com</t>
        </is>
      </c>
      <c r="AO222" t="inlineStr">
        <is>
          <t>LIMA</t>
        </is>
      </c>
      <c r="AP222" t="inlineStr">
        <is>
          <t>BREÑA</t>
        </is>
      </c>
      <c r="AQ222" s="75" t="n">
        <v>45688</v>
      </c>
      <c r="AR222" s="75" t="n">
        <v>45747</v>
      </c>
      <c r="AS222" t="inlineStr">
        <is>
          <t>SALDO FINANCIAR</t>
        </is>
      </c>
      <c r="AT222" t="n">
        <v>1</v>
      </c>
      <c r="AU222" t="n">
        <v>588600</v>
      </c>
      <c r="AV222" t="n">
        <v>0</v>
      </c>
      <c r="AW222" t="n">
        <v>0</v>
      </c>
      <c r="AX222" s="39" t="n">
        <v>588600</v>
      </c>
      <c r="AY222" s="39" t="n">
        <v>588600</v>
      </c>
      <c r="AZ222" s="39" t="n">
        <v>0</v>
      </c>
      <c r="BA222" t="n">
        <v>0</v>
      </c>
      <c r="BB222" t="inlineStr">
        <is>
          <t>Ahorro</t>
        </is>
      </c>
      <c r="BC222" t="inlineStr">
        <is>
          <t>Scotiabank Perú</t>
        </is>
      </c>
      <c r="BD222" t="inlineStr">
        <is>
          <t>000-2768484</t>
        </is>
      </c>
      <c r="BE222" t="inlineStr">
        <is>
          <t>TRANSFERENCIA BANCARIA</t>
        </is>
      </c>
      <c r="BG222" t="inlineStr">
        <is>
          <t>31032025</t>
        </is>
      </c>
      <c r="BH222" t="inlineStr">
        <is>
          <t>No</t>
        </is>
      </c>
      <c r="BJ222" t="n">
        <v>4</v>
      </c>
      <c r="BK222" t="inlineStr">
        <is>
          <t>CANCELADO</t>
        </is>
      </c>
      <c r="BV222" t="inlineStr">
        <is>
          <t>Si</t>
        </is>
      </c>
      <c r="BW222" s="76" t="n">
        <v>45567.69444444445</v>
      </c>
      <c r="BX222" t="inlineStr">
        <is>
          <t>Carla Michue M</t>
        </is>
      </c>
      <c r="BZ222" t="n">
        <v>11</v>
      </c>
      <c r="CA222" t="inlineStr">
        <is>
          <t>07/07/2026 11:06</t>
        </is>
      </c>
      <c r="CB222" t="n">
        <v>0</v>
      </c>
      <c r="CF222" t="inlineStr">
        <is>
          <t>Cobranzas_2025.csv</t>
        </is>
      </c>
      <c r="CG222" t="n">
        <v>2025</v>
      </c>
      <c r="CH222" t="inlineStr">
        <is>
          <t>01/01/2024</t>
        </is>
      </c>
      <c r="CI222" t="inlineStr">
        <is>
          <t>24/08/2031</t>
        </is>
      </c>
    </row>
    <row r="223">
      <c r="A223" t="inlineStr">
        <is>
          <t>RESIDENCIAL PRADA</t>
        </is>
      </c>
      <c r="B223" t="inlineStr">
        <is>
          <t>Etapa 1</t>
        </is>
      </c>
      <c r="C223" t="inlineStr">
        <is>
          <t>Edificio</t>
        </is>
      </c>
      <c r="D223" t="inlineStr">
        <is>
          <t>A</t>
        </is>
      </c>
      <c r="E223" t="inlineStr">
        <is>
          <t>Estacionamiento</t>
        </is>
      </c>
      <c r="F223" t="inlineStr">
        <is>
          <t>E 37 - D 28</t>
        </is>
      </c>
      <c r="G223" t="n">
        <v>12.49</v>
      </c>
      <c r="H223" t="n">
        <v>1.83</v>
      </c>
      <c r="I223" s="39" t="n">
        <v>52000</v>
      </c>
      <c r="J223" s="39" t="n">
        <v>52000</v>
      </c>
      <c r="Q223" s="39" t="n"/>
      <c r="R223" s="39" t="n"/>
      <c r="Y223" s="39" t="n"/>
      <c r="Z223" s="39" t="n"/>
      <c r="AG223" s="39" t="n"/>
      <c r="AH223" s="39" t="n"/>
      <c r="AI223" t="inlineStr">
        <is>
          <t>Luis Alberto Ovalle Huamanguilla</t>
        </is>
      </c>
      <c r="AJ223" t="inlineStr">
        <is>
          <t>43953371</t>
        </is>
      </c>
      <c r="AK223" t="inlineStr">
        <is>
          <t>JR. NAPO NRO. 821</t>
        </is>
      </c>
      <c r="AL223" t="n">
        <v>0</v>
      </c>
      <c r="AM223" t="inlineStr">
        <is>
          <t>992764943</t>
        </is>
      </c>
      <c r="AN223" t="inlineStr">
        <is>
          <t>aovalle2212@gmail.com</t>
        </is>
      </c>
      <c r="AO223" t="inlineStr">
        <is>
          <t>LIMA</t>
        </is>
      </c>
      <c r="AP223" t="inlineStr">
        <is>
          <t>BREÑA</t>
        </is>
      </c>
      <c r="AQ223" s="75" t="n">
        <v>45922</v>
      </c>
      <c r="AR223" s="75" t="n">
        <v>45922</v>
      </c>
      <c r="AS223" t="inlineStr">
        <is>
          <t>SEPARACION</t>
        </is>
      </c>
      <c r="AT223" t="n">
        <v>1</v>
      </c>
      <c r="AU223" t="n">
        <v>5000</v>
      </c>
      <c r="AV223" t="n">
        <v>0</v>
      </c>
      <c r="AW223" t="n">
        <v>0</v>
      </c>
      <c r="AX223" s="39" t="n">
        <v>5000</v>
      </c>
      <c r="AY223" s="39" t="n">
        <v>5000</v>
      </c>
      <c r="AZ223" s="39" t="n">
        <v>0</v>
      </c>
      <c r="BA223" t="n">
        <v>0</v>
      </c>
      <c r="BB223" t="inlineStr">
        <is>
          <t>Crédito Directo</t>
        </is>
      </c>
      <c r="BC223" t="inlineStr">
        <is>
          <t>Scotiabank Perú</t>
        </is>
      </c>
      <c r="BD223" t="inlineStr">
        <is>
          <t>000-2768484</t>
        </is>
      </c>
      <c r="BE223" t="inlineStr">
        <is>
          <t>TRANSFERENCIA BANCARIA</t>
        </is>
      </c>
      <c r="BG223" t="inlineStr">
        <is>
          <t>7844655522346</t>
        </is>
      </c>
      <c r="BH223" t="inlineStr">
        <is>
          <t>No</t>
        </is>
      </c>
      <c r="BJ223" t="n">
        <v>4</v>
      </c>
      <c r="BK223" t="inlineStr">
        <is>
          <t>CANCELADO</t>
        </is>
      </c>
      <c r="BV223" t="inlineStr">
        <is>
          <t>Si</t>
        </is>
      </c>
      <c r="BW223" s="76" t="n">
        <v>46112.72361111111</v>
      </c>
      <c r="BX223" t="inlineStr">
        <is>
          <t>Magaly Guevara Perez</t>
        </is>
      </c>
      <c r="BZ223" t="n">
        <v>60</v>
      </c>
      <c r="CA223" t="inlineStr">
        <is>
          <t>07/07/2026 11:19</t>
        </is>
      </c>
      <c r="CB223" t="n">
        <v>0</v>
      </c>
      <c r="CF223" t="inlineStr">
        <is>
          <t>Cobranzas_2025.csv</t>
        </is>
      </c>
      <c r="CG223" t="n">
        <v>2025</v>
      </c>
      <c r="CH223" t="inlineStr">
        <is>
          <t>01/01/2024</t>
        </is>
      </c>
      <c r="CI223" t="inlineStr">
        <is>
          <t>24/08/2031</t>
        </is>
      </c>
    </row>
    <row r="224">
      <c r="A224" t="inlineStr">
        <is>
          <t>RESIDENCIAL BEYOND</t>
        </is>
      </c>
      <c r="B224" t="inlineStr">
        <is>
          <t>Etapa 1</t>
        </is>
      </c>
      <c r="C224" t="inlineStr">
        <is>
          <t>Edificio</t>
        </is>
      </c>
      <c r="D224" t="inlineStr">
        <is>
          <t>A</t>
        </is>
      </c>
      <c r="E224" t="inlineStr">
        <is>
          <t>Departamento</t>
        </is>
      </c>
      <c r="F224" t="inlineStr">
        <is>
          <t>401</t>
        </is>
      </c>
      <c r="G224" t="n">
        <v>70</v>
      </c>
      <c r="H224" t="n">
        <v>0</v>
      </c>
      <c r="I224" s="39" t="n">
        <v>518500</v>
      </c>
      <c r="J224" s="39" t="n">
        <v>470000</v>
      </c>
      <c r="Q224" s="39" t="n"/>
      <c r="R224" s="39" t="n"/>
      <c r="Y224" s="39" t="n"/>
      <c r="Z224" s="39" t="n"/>
      <c r="AG224" s="39" t="n"/>
      <c r="AH224" s="39" t="n"/>
      <c r="AI224" t="inlineStr">
        <is>
          <t>Luis Alberto Vargas Chacaltana</t>
        </is>
      </c>
      <c r="AJ224" t="inlineStr">
        <is>
          <t>09389936</t>
        </is>
      </c>
      <c r="AK224" t="inlineStr">
        <is>
          <t>Los Tilos 388 – 392</t>
        </is>
      </c>
      <c r="AL224" t="n">
        <v>0</v>
      </c>
      <c r="AM224" t="inlineStr">
        <is>
          <t>946890596</t>
        </is>
      </c>
      <c r="AN224" t="inlineStr">
        <is>
          <t>nicolle1095@gmail.com</t>
        </is>
      </c>
      <c r="AO224" t="inlineStr">
        <is>
          <t>LIMA</t>
        </is>
      </c>
      <c r="AP224" t="inlineStr">
        <is>
          <t>SANTIAGO DE SURCO</t>
        </is>
      </c>
      <c r="AQ224" s="75" t="n">
        <v>45904</v>
      </c>
      <c r="AR224" s="75" t="n">
        <v>45904</v>
      </c>
      <c r="AS224" t="inlineStr">
        <is>
          <t>SEPARACION</t>
        </is>
      </c>
      <c r="AT224" t="n">
        <v>1</v>
      </c>
      <c r="AU224" t="n">
        <v>3000</v>
      </c>
      <c r="AV224" t="n">
        <v>0</v>
      </c>
      <c r="AW224" t="n">
        <v>0</v>
      </c>
      <c r="AX224" s="39" t="n">
        <v>3000</v>
      </c>
      <c r="AY224" s="39" t="n">
        <v>3000</v>
      </c>
      <c r="AZ224" s="39" t="n">
        <v>0</v>
      </c>
      <c r="BA224" t="n">
        <v>0</v>
      </c>
      <c r="BB224" t="inlineStr">
        <is>
          <t>Crédito Directo</t>
        </is>
      </c>
      <c r="BC224" t="inlineStr">
        <is>
          <t>Banco de Credito del Perú</t>
        </is>
      </c>
      <c r="BD224" t="inlineStr">
        <is>
          <t>194-7325779-0-65</t>
        </is>
      </c>
      <c r="BE224" t="inlineStr">
        <is>
          <t>TRANSFERENCIA BANCARIA</t>
        </is>
      </c>
      <c r="BG224" t="inlineStr">
        <is>
          <t>0000254400000</t>
        </is>
      </c>
      <c r="BH224" t="inlineStr">
        <is>
          <t>No</t>
        </is>
      </c>
      <c r="BJ224" t="n">
        <v>4</v>
      </c>
      <c r="BK224" t="inlineStr">
        <is>
          <t>CANCELADO</t>
        </is>
      </c>
      <c r="BV224" t="inlineStr">
        <is>
          <t>No</t>
        </is>
      </c>
      <c r="BW224" s="76" t="n">
        <v>45932.42222222222</v>
      </c>
      <c r="BX224" t="inlineStr">
        <is>
          <t>Magaly Guevara Perez</t>
        </is>
      </c>
      <c r="BZ224" t="n">
        <v>26</v>
      </c>
      <c r="CA224" t="inlineStr">
        <is>
          <t>01/05/2026 17:20</t>
        </is>
      </c>
      <c r="CB224" t="n">
        <v>0</v>
      </c>
      <c r="CF224" t="inlineStr">
        <is>
          <t>Cobranzas_2025.csv</t>
        </is>
      </c>
      <c r="CG224" t="n">
        <v>2025</v>
      </c>
      <c r="CH224" t="inlineStr">
        <is>
          <t>01/01/2024</t>
        </is>
      </c>
      <c r="CI224" t="inlineStr">
        <is>
          <t>24/08/2031</t>
        </is>
      </c>
    </row>
    <row r="225">
      <c r="A225" t="inlineStr">
        <is>
          <t>RESIDENCIAL VENECIA</t>
        </is>
      </c>
      <c r="B225" t="inlineStr">
        <is>
          <t>Etapa 1</t>
        </is>
      </c>
      <c r="C225" t="inlineStr">
        <is>
          <t>Edificio</t>
        </is>
      </c>
      <c r="D225" t="inlineStr">
        <is>
          <t>A</t>
        </is>
      </c>
      <c r="E225" t="inlineStr">
        <is>
          <t>Departamento</t>
        </is>
      </c>
      <c r="F225" t="inlineStr">
        <is>
          <t>104</t>
        </is>
      </c>
      <c r="G225" t="n">
        <v>67</v>
      </c>
      <c r="H225" t="n">
        <v>21</v>
      </c>
      <c r="I225" s="39" t="n">
        <v>553000</v>
      </c>
      <c r="J225" s="39" t="n">
        <v>497000</v>
      </c>
      <c r="Q225" s="39" t="n"/>
      <c r="R225" s="39" t="n"/>
      <c r="Y225" s="39" t="n"/>
      <c r="Z225" s="39" t="n"/>
      <c r="AG225" s="39" t="n"/>
      <c r="AH225" s="39" t="n"/>
      <c r="AI225" t="inlineStr">
        <is>
          <t>Luis Miguel Montero Monteza</t>
        </is>
      </c>
      <c r="AJ225" t="inlineStr">
        <is>
          <t>45611107</t>
        </is>
      </c>
      <c r="AK225" t="inlineStr">
        <is>
          <t>calle los rosales 128</t>
        </is>
      </c>
      <c r="AL225" t="n">
        <v>0</v>
      </c>
      <c r="AM225" t="inlineStr">
        <is>
          <t>970277190</t>
        </is>
      </c>
      <c r="AN225" t="inlineStr">
        <is>
          <t>monter25@hotmail.com</t>
        </is>
      </c>
      <c r="AO225" t="inlineStr">
        <is>
          <t>JAEN</t>
        </is>
      </c>
      <c r="AP225" t="inlineStr">
        <is>
          <t>JAEN</t>
        </is>
      </c>
      <c r="AQ225" s="75" t="n">
        <v>45972</v>
      </c>
      <c r="AR225" s="75" t="n">
        <v>45972</v>
      </c>
      <c r="AS225" t="inlineStr">
        <is>
          <t>SEPARACION</t>
        </is>
      </c>
      <c r="AT225" t="n">
        <v>1</v>
      </c>
      <c r="AU225" t="n">
        <v>3000</v>
      </c>
      <c r="AV225" t="n">
        <v>0</v>
      </c>
      <c r="AW225" t="n">
        <v>0</v>
      </c>
      <c r="AX225" s="39" t="n">
        <v>3000</v>
      </c>
      <c r="AY225" s="39" t="n">
        <v>3000</v>
      </c>
      <c r="AZ225" s="39" t="n">
        <v>0</v>
      </c>
      <c r="BA225" t="n">
        <v>0</v>
      </c>
      <c r="BB225" t="inlineStr">
        <is>
          <t>Ahorro</t>
        </is>
      </c>
      <c r="BC225" t="inlineStr">
        <is>
          <t>Scotiabank Perú</t>
        </is>
      </c>
      <c r="BD225" t="inlineStr">
        <is>
          <t>0004071419</t>
        </is>
      </c>
      <c r="BE225" t="inlineStr">
        <is>
          <t>TRANSFERENCIA BANCARIA</t>
        </is>
      </c>
      <c r="BG225" t="inlineStr">
        <is>
          <t>7844655520829</t>
        </is>
      </c>
      <c r="BH225" t="inlineStr">
        <is>
          <t>Si</t>
        </is>
      </c>
      <c r="BJ225" t="n">
        <v>4</v>
      </c>
      <c r="BK225" t="inlineStr">
        <is>
          <t>CANCELADO</t>
        </is>
      </c>
      <c r="BV225" t="inlineStr">
        <is>
          <t>Si</t>
        </is>
      </c>
      <c r="BW225" s="76" t="n">
        <v>45988.33333333334</v>
      </c>
      <c r="BX225" t="inlineStr">
        <is>
          <t>Magaly Guevara Perez</t>
        </is>
      </c>
      <c r="BZ225" t="n">
        <v>3</v>
      </c>
      <c r="CA225" t="inlineStr">
        <is>
          <t>12/05/2026 10:16</t>
        </is>
      </c>
      <c r="CB225" t="n">
        <v>0</v>
      </c>
      <c r="CF225" t="inlineStr">
        <is>
          <t>Cobranzas_2025.csv</t>
        </is>
      </c>
      <c r="CG225" t="n">
        <v>2025</v>
      </c>
      <c r="CH225" t="inlineStr">
        <is>
          <t>01/01/2024</t>
        </is>
      </c>
      <c r="CI225" t="inlineStr">
        <is>
          <t>24/08/2031</t>
        </is>
      </c>
    </row>
    <row r="226">
      <c r="A226" t="inlineStr">
        <is>
          <t>RESIDENCIAL VENECIA</t>
        </is>
      </c>
      <c r="B226" t="inlineStr">
        <is>
          <t>Etapa 1</t>
        </is>
      </c>
      <c r="C226" t="inlineStr">
        <is>
          <t>Edificio</t>
        </is>
      </c>
      <c r="D226" t="inlineStr">
        <is>
          <t>A</t>
        </is>
      </c>
      <c r="E226" t="inlineStr">
        <is>
          <t>Departamento</t>
        </is>
      </c>
      <c r="F226" t="inlineStr">
        <is>
          <t>104</t>
        </is>
      </c>
      <c r="G226" t="n">
        <v>67</v>
      </c>
      <c r="H226" t="n">
        <v>21</v>
      </c>
      <c r="I226" s="39" t="n">
        <v>553000</v>
      </c>
      <c r="J226" s="39" t="n">
        <v>497000</v>
      </c>
      <c r="Q226" s="39" t="n"/>
      <c r="R226" s="39" t="n"/>
      <c r="Y226" s="39" t="n"/>
      <c r="Z226" s="39" t="n"/>
      <c r="AG226" s="39" t="n"/>
      <c r="AH226" s="39" t="n"/>
      <c r="AI226" t="inlineStr">
        <is>
          <t>Luis Miguel Montero Monteza</t>
        </is>
      </c>
      <c r="AJ226" t="inlineStr">
        <is>
          <t>45611107</t>
        </is>
      </c>
      <c r="AK226" t="inlineStr">
        <is>
          <t>calle los rosales 128</t>
        </is>
      </c>
      <c r="AL226" t="n">
        <v>0</v>
      </c>
      <c r="AM226" t="inlineStr">
        <is>
          <t>970277190</t>
        </is>
      </c>
      <c r="AN226" t="inlineStr">
        <is>
          <t>monter25@hotmail.com</t>
        </is>
      </c>
      <c r="AO226" t="inlineStr">
        <is>
          <t>JAEN</t>
        </is>
      </c>
      <c r="AP226" t="inlineStr">
        <is>
          <t>JAEN</t>
        </is>
      </c>
      <c r="AQ226" s="75" t="n">
        <v>45983</v>
      </c>
      <c r="AR226" s="75" t="n">
        <v>45983</v>
      </c>
      <c r="AS226" t="inlineStr">
        <is>
          <t>CUOTA INICIAL</t>
        </is>
      </c>
      <c r="AT226" t="n">
        <v>1</v>
      </c>
      <c r="AU226" t="n">
        <v>17000</v>
      </c>
      <c r="AV226" t="n">
        <v>0</v>
      </c>
      <c r="AW226" t="n">
        <v>0</v>
      </c>
      <c r="AX226" s="39" t="n">
        <v>17000</v>
      </c>
      <c r="AY226" s="39" t="n">
        <v>17000</v>
      </c>
      <c r="AZ226" s="39" t="n">
        <v>0</v>
      </c>
      <c r="BA226" t="n">
        <v>0</v>
      </c>
      <c r="BB226" t="inlineStr">
        <is>
          <t>Ahorro</t>
        </is>
      </c>
      <c r="BC226" t="inlineStr">
        <is>
          <t>Scotiabank Perú</t>
        </is>
      </c>
      <c r="BD226" t="inlineStr">
        <is>
          <t>0004071419</t>
        </is>
      </c>
      <c r="BE226" t="inlineStr">
        <is>
          <t>TRANSFERENCIA BANCARIA</t>
        </is>
      </c>
      <c r="BG226" t="inlineStr">
        <is>
          <t>U26790</t>
        </is>
      </c>
      <c r="BH226" t="inlineStr">
        <is>
          <t>No</t>
        </is>
      </c>
      <c r="BJ226" t="n">
        <v>4</v>
      </c>
      <c r="BK226" t="inlineStr">
        <is>
          <t>CANCELADO</t>
        </is>
      </c>
      <c r="BV226" t="inlineStr">
        <is>
          <t>Si</t>
        </is>
      </c>
      <c r="BW226" s="76" t="n">
        <v>45988.33333333334</v>
      </c>
      <c r="BX226" t="inlineStr">
        <is>
          <t>Magaly Guevara Perez</t>
        </is>
      </c>
      <c r="BZ226" t="n">
        <v>3</v>
      </c>
      <c r="CA226" t="inlineStr">
        <is>
          <t>24/05/2026 14:46</t>
        </is>
      </c>
      <c r="CB226" t="n">
        <v>0</v>
      </c>
      <c r="CF226" t="inlineStr">
        <is>
          <t>Cobranzas_2025.csv</t>
        </is>
      </c>
      <c r="CG226" t="n">
        <v>2025</v>
      </c>
      <c r="CH226" t="inlineStr">
        <is>
          <t>01/01/2024</t>
        </is>
      </c>
      <c r="CI226" t="inlineStr">
        <is>
          <t>24/08/2031</t>
        </is>
      </c>
    </row>
    <row r="227">
      <c r="A227" t="inlineStr">
        <is>
          <t>RESIDENCIAL BEYOND</t>
        </is>
      </c>
      <c r="B227" t="inlineStr">
        <is>
          <t>Etapa 1</t>
        </is>
      </c>
      <c r="C227" t="inlineStr">
        <is>
          <t>Edificio</t>
        </is>
      </c>
      <c r="D227" t="inlineStr">
        <is>
          <t>A</t>
        </is>
      </c>
      <c r="E227" t="inlineStr">
        <is>
          <t>Departamento</t>
        </is>
      </c>
      <c r="F227" t="inlineStr">
        <is>
          <t>201</t>
        </is>
      </c>
      <c r="G227" t="n">
        <v>70</v>
      </c>
      <c r="H227" t="n">
        <v>0</v>
      </c>
      <c r="I227" s="39" t="n">
        <v>518500</v>
      </c>
      <c r="J227" s="39" t="n">
        <v>469500</v>
      </c>
      <c r="K227" t="inlineStr">
        <is>
          <t>Edificio</t>
        </is>
      </c>
      <c r="L227" t="inlineStr">
        <is>
          <t>A</t>
        </is>
      </c>
      <c r="M227" t="inlineStr">
        <is>
          <t>Estacionamiento</t>
        </is>
      </c>
      <c r="N227" t="inlineStr">
        <is>
          <t>E 16</t>
        </is>
      </c>
      <c r="O227" t="n">
        <v>12.5</v>
      </c>
      <c r="P227" t="n">
        <v>0</v>
      </c>
      <c r="Q227" s="39" t="n">
        <v>50400</v>
      </c>
      <c r="R227" s="39" t="n">
        <v>50400</v>
      </c>
      <c r="Y227" s="39" t="n"/>
      <c r="Z227" s="39" t="n"/>
      <c r="AG227" s="39" t="n"/>
      <c r="AH227" s="39" t="n"/>
      <c r="AI227" t="inlineStr">
        <is>
          <t>Marco Antonio Cordova Oropeza</t>
        </is>
      </c>
      <c r="AJ227" t="inlineStr">
        <is>
          <t>22079563</t>
        </is>
      </c>
      <c r="AK227" t="inlineStr">
        <is>
          <t>Av.Cayetano Heredia 435 Int.1 Urb Fundo Oyague</t>
        </is>
      </c>
      <c r="AL227" t="n">
        <v>0</v>
      </c>
      <c r="AM227" t="inlineStr">
        <is>
          <t>1513-257-6062</t>
        </is>
      </c>
      <c r="AN227" t="inlineStr">
        <is>
          <t>maancoor@gmail.com</t>
        </is>
      </c>
      <c r="AO227" t="inlineStr">
        <is>
          <t>LIMA</t>
        </is>
      </c>
      <c r="AP227" t="inlineStr">
        <is>
          <t>JESUS MARIA</t>
        </is>
      </c>
      <c r="AQ227" s="75" t="n">
        <v>45986</v>
      </c>
      <c r="AR227" s="75" t="n">
        <v>45986</v>
      </c>
      <c r="AS227" t="inlineStr">
        <is>
          <t>SEPARACION</t>
        </is>
      </c>
      <c r="AT227" t="n">
        <v>1</v>
      </c>
      <c r="AU227" t="n">
        <v>20000</v>
      </c>
      <c r="AV227" t="n">
        <v>0</v>
      </c>
      <c r="AW227" t="n">
        <v>0</v>
      </c>
      <c r="AX227" s="39" t="n">
        <v>20000</v>
      </c>
      <c r="AY227" s="39" t="n">
        <v>20000</v>
      </c>
      <c r="AZ227" s="39" t="n">
        <v>0</v>
      </c>
      <c r="BA227" t="n">
        <v>0</v>
      </c>
      <c r="BB227" t="inlineStr">
        <is>
          <t>Crédito Directo</t>
        </is>
      </c>
      <c r="BC227" t="inlineStr">
        <is>
          <t>Banco de Credito del Perú</t>
        </is>
      </c>
      <c r="BD227" t="inlineStr">
        <is>
          <t>194-7325779-0-65</t>
        </is>
      </c>
      <c r="BE227" t="inlineStr">
        <is>
          <t>TRANSFERENCIA BANCARIA</t>
        </is>
      </c>
      <c r="BF227" t="inlineStr">
        <is>
          <t>22079563</t>
        </is>
      </c>
      <c r="BG227" t="inlineStr">
        <is>
          <t>03836154</t>
        </is>
      </c>
      <c r="BH227" t="inlineStr">
        <is>
          <t>No</t>
        </is>
      </c>
      <c r="BI227" t="inlineStr">
        <is>
          <t>AHORROS PERSONALES</t>
        </is>
      </c>
      <c r="BJ227" t="n">
        <v>4</v>
      </c>
      <c r="BK227" t="inlineStr">
        <is>
          <t>CANCELADO</t>
        </is>
      </c>
      <c r="BV227" t="inlineStr">
        <is>
          <t>Si</t>
        </is>
      </c>
      <c r="BW227" s="76" t="n">
        <v>45986.54513888889</v>
      </c>
      <c r="BX227" t="inlineStr">
        <is>
          <t>Magaly Guevara Perez</t>
        </is>
      </c>
      <c r="BZ227" t="n">
        <v>1</v>
      </c>
      <c r="CA227" t="inlineStr">
        <is>
          <t>01/05/2026 09:27</t>
        </is>
      </c>
      <c r="CB227" t="n">
        <v>0</v>
      </c>
      <c r="CF227" t="inlineStr">
        <is>
          <t>Cobranzas_2025.csv</t>
        </is>
      </c>
      <c r="CG227" t="n">
        <v>2025</v>
      </c>
      <c r="CH227" t="inlineStr">
        <is>
          <t>01/01/2024</t>
        </is>
      </c>
      <c r="CI227" t="inlineStr">
        <is>
          <t>24/08/2031</t>
        </is>
      </c>
    </row>
    <row r="228">
      <c r="A228" t="inlineStr">
        <is>
          <t>RESIDENCIAL PRADA</t>
        </is>
      </c>
      <c r="B228" t="inlineStr">
        <is>
          <t>Etapa 1</t>
        </is>
      </c>
      <c r="C228" t="inlineStr">
        <is>
          <t>Edificio</t>
        </is>
      </c>
      <c r="D228" t="inlineStr">
        <is>
          <t>A</t>
        </is>
      </c>
      <c r="E228" t="inlineStr">
        <is>
          <t>Departamento</t>
        </is>
      </c>
      <c r="F228" t="inlineStr">
        <is>
          <t>803</t>
        </is>
      </c>
      <c r="G228" t="n">
        <v>88.27</v>
      </c>
      <c r="H228" t="n">
        <v>0</v>
      </c>
      <c r="I228" s="39" t="n">
        <v>654000</v>
      </c>
      <c r="J228" s="39" t="n">
        <v>654000</v>
      </c>
      <c r="K228" t="inlineStr">
        <is>
          <t>Edificio</t>
        </is>
      </c>
      <c r="L228" t="inlineStr">
        <is>
          <t>A</t>
        </is>
      </c>
      <c r="M228" t="inlineStr">
        <is>
          <t>Estacionamiento</t>
        </is>
      </c>
      <c r="N228" t="inlineStr">
        <is>
          <t>E 32 - D 24</t>
        </is>
      </c>
      <c r="O228" t="n">
        <v>13.5</v>
      </c>
      <c r="P228" t="n">
        <v>1.82</v>
      </c>
      <c r="Q228" s="39" t="n">
        <v>55800</v>
      </c>
      <c r="R228" s="39" t="n">
        <v>55800</v>
      </c>
      <c r="S228" t="inlineStr">
        <is>
          <t>Edificio</t>
        </is>
      </c>
      <c r="T228" t="inlineStr">
        <is>
          <t>A</t>
        </is>
      </c>
      <c r="U228" t="inlineStr">
        <is>
          <t>Estacionamiento</t>
        </is>
      </c>
      <c r="V228" t="inlineStr">
        <is>
          <t>E 33 - D 25</t>
        </is>
      </c>
      <c r="W228" t="n">
        <v>17.1</v>
      </c>
      <c r="X228" t="n">
        <v>2.43</v>
      </c>
      <c r="Y228" s="39" t="n">
        <v>60000</v>
      </c>
      <c r="Z228" s="39" t="n">
        <v>60000</v>
      </c>
      <c r="AG228" s="39" t="n"/>
      <c r="AH228" s="39" t="n"/>
      <c r="AI228" t="inlineStr">
        <is>
          <t>Marco Antonio Cordova Oropeza</t>
        </is>
      </c>
      <c r="AJ228" t="inlineStr">
        <is>
          <t>22079563</t>
        </is>
      </c>
      <c r="AK228" t="inlineStr">
        <is>
          <t>Av.Cayetano Heredia 435 Int.1 Urb Fundo Oyague</t>
        </is>
      </c>
      <c r="AL228" t="n">
        <v>0</v>
      </c>
      <c r="AM228" t="inlineStr">
        <is>
          <t>1513-257-6062</t>
        </is>
      </c>
      <c r="AN228" t="inlineStr">
        <is>
          <t>maancoor@gmail.com</t>
        </is>
      </c>
      <c r="AO228" t="inlineStr">
        <is>
          <t>LIMA</t>
        </is>
      </c>
      <c r="AP228" t="inlineStr">
        <is>
          <t>JESUS MARIA</t>
        </is>
      </c>
      <c r="AQ228" s="75" t="n">
        <v>45813</v>
      </c>
      <c r="AR228" s="75" t="n">
        <v>45813</v>
      </c>
      <c r="AS228" t="inlineStr">
        <is>
          <t>SEPARACION</t>
        </is>
      </c>
      <c r="AT228" t="n">
        <v>1</v>
      </c>
      <c r="AU228" t="n">
        <v>3000</v>
      </c>
      <c r="AV228" t="n">
        <v>0</v>
      </c>
      <c r="AW228" t="n">
        <v>0</v>
      </c>
      <c r="AX228" s="39" t="n">
        <v>3000</v>
      </c>
      <c r="AY228" s="39" t="n">
        <v>3000</v>
      </c>
      <c r="AZ228" s="39" t="n">
        <v>0</v>
      </c>
      <c r="BA228" t="n">
        <v>0</v>
      </c>
      <c r="BB228" t="inlineStr">
        <is>
          <t>Crédito Directo</t>
        </is>
      </c>
      <c r="BC228" t="inlineStr">
        <is>
          <t>Scotiabank Perú</t>
        </is>
      </c>
      <c r="BD228" t="inlineStr">
        <is>
          <t>000-2768484</t>
        </is>
      </c>
      <c r="BE228" t="inlineStr">
        <is>
          <t>TRANSFERENCIA BANCARIA</t>
        </is>
      </c>
      <c r="BG228" t="inlineStr">
        <is>
          <t>02822017</t>
        </is>
      </c>
      <c r="BH228" t="inlineStr">
        <is>
          <t>No</t>
        </is>
      </c>
      <c r="BJ228" t="n">
        <v>4</v>
      </c>
      <c r="BK228" t="inlineStr">
        <is>
          <t>CANCELADO</t>
        </is>
      </c>
      <c r="BV228" t="inlineStr">
        <is>
          <t>Si</t>
        </is>
      </c>
      <c r="BW228" s="76" t="n">
        <v>45863.7375</v>
      </c>
      <c r="BX228" t="inlineStr">
        <is>
          <t>Magaly Guevara Perez</t>
        </is>
      </c>
      <c r="BZ228" t="n">
        <v>40</v>
      </c>
      <c r="CA228" t="inlineStr">
        <is>
          <t>03/07/2026 17:34</t>
        </is>
      </c>
      <c r="CB228" t="n">
        <v>0</v>
      </c>
      <c r="CF228" t="inlineStr">
        <is>
          <t>Cobranzas_2025.csv</t>
        </is>
      </c>
      <c r="CG228" t="n">
        <v>2025</v>
      </c>
      <c r="CH228" t="inlineStr">
        <is>
          <t>01/01/2024</t>
        </is>
      </c>
      <c r="CI228" t="inlineStr">
        <is>
          <t>24/08/2031</t>
        </is>
      </c>
    </row>
    <row r="229">
      <c r="A229" t="inlineStr">
        <is>
          <t>RESIDENCIAL PRADA</t>
        </is>
      </c>
      <c r="B229" t="inlineStr">
        <is>
          <t>Etapa 1</t>
        </is>
      </c>
      <c r="C229" t="inlineStr">
        <is>
          <t>Edificio</t>
        </is>
      </c>
      <c r="D229" t="inlineStr">
        <is>
          <t>A</t>
        </is>
      </c>
      <c r="E229" t="inlineStr">
        <is>
          <t>Departamento</t>
        </is>
      </c>
      <c r="F229" t="inlineStr">
        <is>
          <t>803</t>
        </is>
      </c>
      <c r="G229" t="n">
        <v>88.27</v>
      </c>
      <c r="H229" t="n">
        <v>0</v>
      </c>
      <c r="I229" s="39" t="n">
        <v>654000</v>
      </c>
      <c r="J229" s="39" t="n">
        <v>654000</v>
      </c>
      <c r="K229" t="inlineStr">
        <is>
          <t>Edificio</t>
        </is>
      </c>
      <c r="L229" t="inlineStr">
        <is>
          <t>A</t>
        </is>
      </c>
      <c r="M229" t="inlineStr">
        <is>
          <t>Estacionamiento</t>
        </is>
      </c>
      <c r="N229" t="inlineStr">
        <is>
          <t>E 32 - D 24</t>
        </is>
      </c>
      <c r="O229" t="n">
        <v>13.5</v>
      </c>
      <c r="P229" t="n">
        <v>1.82</v>
      </c>
      <c r="Q229" s="39" t="n">
        <v>55800</v>
      </c>
      <c r="R229" s="39" t="n">
        <v>55800</v>
      </c>
      <c r="S229" t="inlineStr">
        <is>
          <t>Edificio</t>
        </is>
      </c>
      <c r="T229" t="inlineStr">
        <is>
          <t>A</t>
        </is>
      </c>
      <c r="U229" t="inlineStr">
        <is>
          <t>Estacionamiento</t>
        </is>
      </c>
      <c r="V229" t="inlineStr">
        <is>
          <t>E 33 - D 25</t>
        </is>
      </c>
      <c r="W229" t="n">
        <v>17.1</v>
      </c>
      <c r="X229" t="n">
        <v>2.43</v>
      </c>
      <c r="Y229" s="39" t="n">
        <v>60000</v>
      </c>
      <c r="Z229" s="39" t="n">
        <v>60000</v>
      </c>
      <c r="AG229" s="39" t="n"/>
      <c r="AH229" s="39" t="n"/>
      <c r="AI229" t="inlineStr">
        <is>
          <t>Marco Antonio Cordova Oropeza</t>
        </is>
      </c>
      <c r="AJ229" t="inlineStr">
        <is>
          <t>22079563</t>
        </is>
      </c>
      <c r="AK229" t="inlineStr">
        <is>
          <t>Av.Cayetano Heredia 435 Int.1 Urb Fundo Oyague</t>
        </is>
      </c>
      <c r="AL229" t="n">
        <v>0</v>
      </c>
      <c r="AM229" t="inlineStr">
        <is>
          <t>1513-257-6062</t>
        </is>
      </c>
      <c r="AN229" t="inlineStr">
        <is>
          <t>maancoor@gmail.com</t>
        </is>
      </c>
      <c r="AO229" t="inlineStr">
        <is>
          <t>LIMA</t>
        </is>
      </c>
      <c r="AP229" t="inlineStr">
        <is>
          <t>JESUS MARIA</t>
        </is>
      </c>
      <c r="AQ229" s="75" t="n">
        <v>45863</v>
      </c>
      <c r="AR229" s="75" t="n">
        <v>45863</v>
      </c>
      <c r="AS229" t="inlineStr">
        <is>
          <t>CUOTA INICIAL</t>
        </is>
      </c>
      <c r="AT229" t="n">
        <v>1</v>
      </c>
      <c r="AU229" t="n">
        <v>304920</v>
      </c>
      <c r="AV229" t="n">
        <v>0</v>
      </c>
      <c r="AW229" t="n">
        <v>0</v>
      </c>
      <c r="AX229" s="39" t="n">
        <v>304920</v>
      </c>
      <c r="AY229" s="39" t="n">
        <v>304920</v>
      </c>
      <c r="AZ229" s="39" t="n">
        <v>0</v>
      </c>
      <c r="BA229" t="n">
        <v>0</v>
      </c>
      <c r="BB229" t="inlineStr">
        <is>
          <t>Crédito Directo</t>
        </is>
      </c>
      <c r="BC229" t="inlineStr">
        <is>
          <t>Scotiabank Perú</t>
        </is>
      </c>
      <c r="BD229" t="inlineStr">
        <is>
          <t>000-2768484</t>
        </is>
      </c>
      <c r="BE229" t="inlineStr">
        <is>
          <t>TRANSFERENCIA BANCARIA</t>
        </is>
      </c>
      <c r="BG229" t="inlineStr">
        <is>
          <t>0713083</t>
        </is>
      </c>
      <c r="BH229" t="inlineStr">
        <is>
          <t>No</t>
        </is>
      </c>
      <c r="BJ229" t="n">
        <v>4</v>
      </c>
      <c r="BK229" t="inlineStr">
        <is>
          <t>CANCELADO</t>
        </is>
      </c>
      <c r="BV229" t="inlineStr">
        <is>
          <t>Si</t>
        </is>
      </c>
      <c r="BW229" s="76" t="n">
        <v>45863.7375</v>
      </c>
      <c r="BX229" t="inlineStr">
        <is>
          <t>Magaly Guevara Perez</t>
        </is>
      </c>
      <c r="BZ229" t="n">
        <v>40</v>
      </c>
      <c r="CA229" t="inlineStr">
        <is>
          <t>03/07/2026 17:03</t>
        </is>
      </c>
      <c r="CB229" t="n">
        <v>0</v>
      </c>
      <c r="CF229" t="inlineStr">
        <is>
          <t>Cobranzas_2025.csv</t>
        </is>
      </c>
      <c r="CG229" t="n">
        <v>2025</v>
      </c>
      <c r="CH229" t="inlineStr">
        <is>
          <t>01/01/2024</t>
        </is>
      </c>
      <c r="CI229" t="inlineStr">
        <is>
          <t>24/08/2031</t>
        </is>
      </c>
    </row>
    <row r="230">
      <c r="A230" t="inlineStr">
        <is>
          <t>RESIDENCIAL PRADA</t>
        </is>
      </c>
      <c r="B230" t="inlineStr">
        <is>
          <t>Etapa 1</t>
        </is>
      </c>
      <c r="C230" t="inlineStr">
        <is>
          <t>Edificio</t>
        </is>
      </c>
      <c r="D230" t="inlineStr">
        <is>
          <t>A</t>
        </is>
      </c>
      <c r="E230" t="inlineStr">
        <is>
          <t>Departamento</t>
        </is>
      </c>
      <c r="F230" t="inlineStr">
        <is>
          <t>803</t>
        </is>
      </c>
      <c r="G230" t="n">
        <v>88.27</v>
      </c>
      <c r="H230" t="n">
        <v>0</v>
      </c>
      <c r="I230" s="39" t="n">
        <v>654000</v>
      </c>
      <c r="J230" s="39" t="n">
        <v>654000</v>
      </c>
      <c r="K230" t="inlineStr">
        <is>
          <t>Edificio</t>
        </is>
      </c>
      <c r="L230" t="inlineStr">
        <is>
          <t>A</t>
        </is>
      </c>
      <c r="M230" t="inlineStr">
        <is>
          <t>Estacionamiento</t>
        </is>
      </c>
      <c r="N230" t="inlineStr">
        <is>
          <t>E 32 - D 24</t>
        </is>
      </c>
      <c r="O230" t="n">
        <v>13.5</v>
      </c>
      <c r="P230" t="n">
        <v>1.82</v>
      </c>
      <c r="Q230" s="39" t="n">
        <v>55800</v>
      </c>
      <c r="R230" s="39" t="n">
        <v>55800</v>
      </c>
      <c r="S230" t="inlineStr">
        <is>
          <t>Edificio</t>
        </is>
      </c>
      <c r="T230" t="inlineStr">
        <is>
          <t>A</t>
        </is>
      </c>
      <c r="U230" t="inlineStr">
        <is>
          <t>Estacionamiento</t>
        </is>
      </c>
      <c r="V230" t="inlineStr">
        <is>
          <t>E 33 - D 25</t>
        </is>
      </c>
      <c r="W230" t="n">
        <v>17.1</v>
      </c>
      <c r="X230" t="n">
        <v>2.43</v>
      </c>
      <c r="Y230" s="39" t="n">
        <v>60000</v>
      </c>
      <c r="Z230" s="39" t="n">
        <v>60000</v>
      </c>
      <c r="AG230" s="39" t="n"/>
      <c r="AH230" s="39" t="n"/>
      <c r="AI230" t="inlineStr">
        <is>
          <t>Marco Antonio Cordova Oropeza</t>
        </is>
      </c>
      <c r="AJ230" t="inlineStr">
        <is>
          <t>22079563</t>
        </is>
      </c>
      <c r="AK230" t="inlineStr">
        <is>
          <t>Av.Cayetano Heredia 435 Int.1 Urb Fundo Oyague</t>
        </is>
      </c>
      <c r="AL230" t="n">
        <v>0</v>
      </c>
      <c r="AM230" t="inlineStr">
        <is>
          <t>1513-257-6062</t>
        </is>
      </c>
      <c r="AN230" t="inlineStr">
        <is>
          <t>maancoor@gmail.com</t>
        </is>
      </c>
      <c r="AO230" t="inlineStr">
        <is>
          <t>LIMA</t>
        </is>
      </c>
      <c r="AP230" t="inlineStr">
        <is>
          <t>JESUS MARIA</t>
        </is>
      </c>
      <c r="AQ230" s="75" t="n">
        <v>45915</v>
      </c>
      <c r="AR230" s="75" t="n">
        <v>45908</v>
      </c>
      <c r="AS230" t="inlineStr">
        <is>
          <t>SALDO FINANCIAR</t>
        </is>
      </c>
      <c r="AT230" t="n">
        <v>1</v>
      </c>
      <c r="AU230" t="n">
        <v>65982.86</v>
      </c>
      <c r="AV230" t="n">
        <v>0</v>
      </c>
      <c r="AW230" t="n">
        <v>0</v>
      </c>
      <c r="AX230" s="39" t="n">
        <v>65982.86</v>
      </c>
      <c r="AY230" s="39" t="n">
        <v>65982.86</v>
      </c>
      <c r="AZ230" s="39" t="n">
        <v>0</v>
      </c>
      <c r="BA230" t="n">
        <v>0</v>
      </c>
      <c r="BB230" t="inlineStr">
        <is>
          <t>Crédito Directo</t>
        </is>
      </c>
      <c r="BC230" t="inlineStr">
        <is>
          <t>Scotiabank Perú</t>
        </is>
      </c>
      <c r="BD230" t="inlineStr">
        <is>
          <t>000-2768484</t>
        </is>
      </c>
      <c r="BE230" t="inlineStr">
        <is>
          <t>TRANSFERENCIA BANCARIA</t>
        </is>
      </c>
      <c r="BG230" t="inlineStr">
        <is>
          <t>04169503</t>
        </is>
      </c>
      <c r="BH230" t="inlineStr">
        <is>
          <t>No</t>
        </is>
      </c>
      <c r="BJ230" t="n">
        <v>4</v>
      </c>
      <c r="BK230" t="inlineStr">
        <is>
          <t>CANCELADO</t>
        </is>
      </c>
      <c r="BV230" t="inlineStr">
        <is>
          <t>Si</t>
        </is>
      </c>
      <c r="BW230" s="76" t="n">
        <v>45863.7375</v>
      </c>
      <c r="BX230" t="inlineStr">
        <is>
          <t>Magaly Guevara Perez</t>
        </is>
      </c>
      <c r="BZ230" t="n">
        <v>40</v>
      </c>
      <c r="CA230" t="inlineStr">
        <is>
          <t>03/07/2026 17:35</t>
        </is>
      </c>
      <c r="CB230" t="n">
        <v>0</v>
      </c>
      <c r="CF230" t="inlineStr">
        <is>
          <t>Cobranzas_2025.csv</t>
        </is>
      </c>
      <c r="CG230" t="n">
        <v>2025</v>
      </c>
      <c r="CH230" t="inlineStr">
        <is>
          <t>01/01/2024</t>
        </is>
      </c>
      <c r="CI230" t="inlineStr">
        <is>
          <t>24/08/2031</t>
        </is>
      </c>
    </row>
    <row r="231">
      <c r="A231" t="inlineStr">
        <is>
          <t>RESIDENCIAL PRADA</t>
        </is>
      </c>
      <c r="B231" t="inlineStr">
        <is>
          <t>Etapa 1</t>
        </is>
      </c>
      <c r="C231" t="inlineStr">
        <is>
          <t>Edificio</t>
        </is>
      </c>
      <c r="D231" t="inlineStr">
        <is>
          <t>A</t>
        </is>
      </c>
      <c r="E231" t="inlineStr">
        <is>
          <t>Departamento</t>
        </is>
      </c>
      <c r="F231" t="inlineStr">
        <is>
          <t>803</t>
        </is>
      </c>
      <c r="G231" t="n">
        <v>88.27</v>
      </c>
      <c r="H231" t="n">
        <v>0</v>
      </c>
      <c r="I231" s="39" t="n">
        <v>654000</v>
      </c>
      <c r="J231" s="39" t="n">
        <v>654000</v>
      </c>
      <c r="K231" t="inlineStr">
        <is>
          <t>Edificio</t>
        </is>
      </c>
      <c r="L231" t="inlineStr">
        <is>
          <t>A</t>
        </is>
      </c>
      <c r="M231" t="inlineStr">
        <is>
          <t>Estacionamiento</t>
        </is>
      </c>
      <c r="N231" t="inlineStr">
        <is>
          <t>E 32 - D 24</t>
        </is>
      </c>
      <c r="O231" t="n">
        <v>13.5</v>
      </c>
      <c r="P231" t="n">
        <v>1.82</v>
      </c>
      <c r="Q231" s="39" t="n">
        <v>55800</v>
      </c>
      <c r="R231" s="39" t="n">
        <v>55800</v>
      </c>
      <c r="S231" t="inlineStr">
        <is>
          <t>Edificio</t>
        </is>
      </c>
      <c r="T231" t="inlineStr">
        <is>
          <t>A</t>
        </is>
      </c>
      <c r="U231" t="inlineStr">
        <is>
          <t>Estacionamiento</t>
        </is>
      </c>
      <c r="V231" t="inlineStr">
        <is>
          <t>E 33 - D 25</t>
        </is>
      </c>
      <c r="W231" t="n">
        <v>17.1</v>
      </c>
      <c r="X231" t="n">
        <v>2.43</v>
      </c>
      <c r="Y231" s="39" t="n">
        <v>60000</v>
      </c>
      <c r="Z231" s="39" t="n">
        <v>60000</v>
      </c>
      <c r="AG231" s="39" t="n"/>
      <c r="AH231" s="39" t="n"/>
      <c r="AI231" t="inlineStr">
        <is>
          <t>Marco Antonio Cordova Oropeza</t>
        </is>
      </c>
      <c r="AJ231" t="inlineStr">
        <is>
          <t>22079563</t>
        </is>
      </c>
      <c r="AK231" t="inlineStr">
        <is>
          <t>Av.Cayetano Heredia 435 Int.1 Urb Fundo Oyague</t>
        </is>
      </c>
      <c r="AL231" t="n">
        <v>0</v>
      </c>
      <c r="AM231" t="inlineStr">
        <is>
          <t>1513-257-6062</t>
        </is>
      </c>
      <c r="AN231" t="inlineStr">
        <is>
          <t>maancoor@gmail.com</t>
        </is>
      </c>
      <c r="AO231" t="inlineStr">
        <is>
          <t>LIMA</t>
        </is>
      </c>
      <c r="AP231" t="inlineStr">
        <is>
          <t>JESUS MARIA</t>
        </is>
      </c>
      <c r="AQ231" s="75" t="n">
        <v>45945</v>
      </c>
      <c r="AR231" s="75" t="n">
        <v>45941</v>
      </c>
      <c r="AS231" t="inlineStr">
        <is>
          <t>SALDO FINANCIAR</t>
        </is>
      </c>
      <c r="AT231" t="n">
        <v>2</v>
      </c>
      <c r="AU231" t="n">
        <v>65982.86</v>
      </c>
      <c r="AV231" t="n">
        <v>0</v>
      </c>
      <c r="AW231" t="n">
        <v>0</v>
      </c>
      <c r="AX231" s="39" t="n">
        <v>65982.86</v>
      </c>
      <c r="AY231" s="39" t="n">
        <v>65982.86</v>
      </c>
      <c r="AZ231" s="39" t="n">
        <v>0</v>
      </c>
      <c r="BA231" t="n">
        <v>0</v>
      </c>
      <c r="BB231" t="inlineStr">
        <is>
          <t>Crédito Directo</t>
        </is>
      </c>
      <c r="BC231" t="inlineStr">
        <is>
          <t>Scotiabank Perú</t>
        </is>
      </c>
      <c r="BD231" t="inlineStr">
        <is>
          <t>000-2768484</t>
        </is>
      </c>
      <c r="BE231" t="inlineStr">
        <is>
          <t>TRANSFERENCIA BANCARIA</t>
        </is>
      </c>
      <c r="BG231" t="inlineStr">
        <is>
          <t>02244690</t>
        </is>
      </c>
      <c r="BH231" t="inlineStr">
        <is>
          <t>No</t>
        </is>
      </c>
      <c r="BJ231" t="n">
        <v>4</v>
      </c>
      <c r="BK231" t="inlineStr">
        <is>
          <t>CANCELADO</t>
        </is>
      </c>
      <c r="BV231" t="inlineStr">
        <is>
          <t>Si</t>
        </is>
      </c>
      <c r="BW231" s="76" t="n">
        <v>45863.7375</v>
      </c>
      <c r="BX231" t="inlineStr">
        <is>
          <t>Magaly Guevara Perez</t>
        </is>
      </c>
      <c r="BZ231" t="n">
        <v>40</v>
      </c>
      <c r="CA231" t="inlineStr">
        <is>
          <t>03/07/2026 17:36</t>
        </is>
      </c>
      <c r="CB231" t="n">
        <v>0</v>
      </c>
      <c r="CF231" t="inlineStr">
        <is>
          <t>Cobranzas_2025.csv</t>
        </is>
      </c>
      <c r="CG231" t="n">
        <v>2025</v>
      </c>
      <c r="CH231" t="inlineStr">
        <is>
          <t>01/01/2024</t>
        </is>
      </c>
      <c r="CI231" t="inlineStr">
        <is>
          <t>24/08/2031</t>
        </is>
      </c>
    </row>
    <row r="232">
      <c r="A232" t="inlineStr">
        <is>
          <t>RESIDENCIAL PRADA</t>
        </is>
      </c>
      <c r="B232" t="inlineStr">
        <is>
          <t>Etapa 1</t>
        </is>
      </c>
      <c r="C232" t="inlineStr">
        <is>
          <t>Edificio</t>
        </is>
      </c>
      <c r="D232" t="inlineStr">
        <is>
          <t>A</t>
        </is>
      </c>
      <c r="E232" t="inlineStr">
        <is>
          <t>Departamento</t>
        </is>
      </c>
      <c r="F232" t="inlineStr">
        <is>
          <t>803</t>
        </is>
      </c>
      <c r="G232" t="n">
        <v>88.27</v>
      </c>
      <c r="H232" t="n">
        <v>0</v>
      </c>
      <c r="I232" s="39" t="n">
        <v>654000</v>
      </c>
      <c r="J232" s="39" t="n">
        <v>654000</v>
      </c>
      <c r="K232" t="inlineStr">
        <is>
          <t>Edificio</t>
        </is>
      </c>
      <c r="L232" t="inlineStr">
        <is>
          <t>A</t>
        </is>
      </c>
      <c r="M232" t="inlineStr">
        <is>
          <t>Estacionamiento</t>
        </is>
      </c>
      <c r="N232" t="inlineStr">
        <is>
          <t>E 32 - D 24</t>
        </is>
      </c>
      <c r="O232" t="n">
        <v>13.5</v>
      </c>
      <c r="P232" t="n">
        <v>1.82</v>
      </c>
      <c r="Q232" s="39" t="n">
        <v>55800</v>
      </c>
      <c r="R232" s="39" t="n">
        <v>55800</v>
      </c>
      <c r="S232" t="inlineStr">
        <is>
          <t>Edificio</t>
        </is>
      </c>
      <c r="T232" t="inlineStr">
        <is>
          <t>A</t>
        </is>
      </c>
      <c r="U232" t="inlineStr">
        <is>
          <t>Estacionamiento</t>
        </is>
      </c>
      <c r="V232" t="inlineStr">
        <is>
          <t>E 33 - D 25</t>
        </is>
      </c>
      <c r="W232" t="n">
        <v>17.1</v>
      </c>
      <c r="X232" t="n">
        <v>2.43</v>
      </c>
      <c r="Y232" s="39" t="n">
        <v>60000</v>
      </c>
      <c r="Z232" s="39" t="n">
        <v>60000</v>
      </c>
      <c r="AG232" s="39" t="n"/>
      <c r="AH232" s="39" t="n"/>
      <c r="AI232" t="inlineStr">
        <is>
          <t>Marco Antonio Cordova Oropeza</t>
        </is>
      </c>
      <c r="AJ232" t="inlineStr">
        <is>
          <t>22079563</t>
        </is>
      </c>
      <c r="AK232" t="inlineStr">
        <is>
          <t>Av.Cayetano Heredia 435 Int.1 Urb Fundo Oyague</t>
        </is>
      </c>
      <c r="AL232" t="n">
        <v>0</v>
      </c>
      <c r="AM232" t="inlineStr">
        <is>
          <t>1513-257-6062</t>
        </is>
      </c>
      <c r="AN232" t="inlineStr">
        <is>
          <t>maancoor@gmail.com</t>
        </is>
      </c>
      <c r="AO232" t="inlineStr">
        <is>
          <t>LIMA</t>
        </is>
      </c>
      <c r="AP232" t="inlineStr">
        <is>
          <t>JESUS MARIA</t>
        </is>
      </c>
      <c r="AQ232" s="75" t="n">
        <v>45976</v>
      </c>
      <c r="AR232" s="75" t="n">
        <v>45964</v>
      </c>
      <c r="AS232" t="inlineStr">
        <is>
          <t>SALDO FINANCIAR</t>
        </is>
      </c>
      <c r="AT232" t="n">
        <v>3</v>
      </c>
      <c r="AU232" t="n">
        <v>65982.86</v>
      </c>
      <c r="AV232" t="n">
        <v>0</v>
      </c>
      <c r="AW232" t="n">
        <v>0</v>
      </c>
      <c r="AX232" s="39" t="n">
        <v>65982.86</v>
      </c>
      <c r="AY232" s="39" t="n">
        <v>65982.86</v>
      </c>
      <c r="AZ232" s="39" t="n">
        <v>0</v>
      </c>
      <c r="BA232" t="n">
        <v>0</v>
      </c>
      <c r="BB232" t="inlineStr">
        <is>
          <t>Crédito Directo</t>
        </is>
      </c>
      <c r="BC232" t="inlineStr">
        <is>
          <t>Scotiabank Perú</t>
        </is>
      </c>
      <c r="BD232" t="inlineStr">
        <is>
          <t>000-2768484</t>
        </is>
      </c>
      <c r="BE232" t="inlineStr">
        <is>
          <t>TRANSFERENCIA BANCARIA</t>
        </is>
      </c>
      <c r="BG232" t="inlineStr">
        <is>
          <t>0210772</t>
        </is>
      </c>
      <c r="BH232" t="inlineStr">
        <is>
          <t>No</t>
        </is>
      </c>
      <c r="BJ232" t="n">
        <v>4</v>
      </c>
      <c r="BK232" t="inlineStr">
        <is>
          <t>CANCELADO</t>
        </is>
      </c>
      <c r="BV232" t="inlineStr">
        <is>
          <t>Si</t>
        </is>
      </c>
      <c r="BW232" s="76" t="n">
        <v>45863.7375</v>
      </c>
      <c r="BX232" t="inlineStr">
        <is>
          <t>Magaly Guevara Perez</t>
        </is>
      </c>
      <c r="BZ232" t="n">
        <v>40</v>
      </c>
      <c r="CA232" t="inlineStr">
        <is>
          <t>03/07/2026 17:38</t>
        </is>
      </c>
      <c r="CB232" t="n">
        <v>0</v>
      </c>
      <c r="CF232" t="inlineStr">
        <is>
          <t>Cobranzas_2025.csv</t>
        </is>
      </c>
      <c r="CG232" t="n">
        <v>2025</v>
      </c>
      <c r="CH232" t="inlineStr">
        <is>
          <t>01/01/2024</t>
        </is>
      </c>
      <c r="CI232" t="inlineStr">
        <is>
          <t>24/08/2031</t>
        </is>
      </c>
    </row>
    <row r="233">
      <c r="A233" t="inlineStr">
        <is>
          <t>RESIDENCIAL PRADA</t>
        </is>
      </c>
      <c r="B233" t="inlineStr">
        <is>
          <t>Etapa 1</t>
        </is>
      </c>
      <c r="C233" t="inlineStr">
        <is>
          <t>Edificio</t>
        </is>
      </c>
      <c r="D233" t="inlineStr">
        <is>
          <t>A</t>
        </is>
      </c>
      <c r="E233" t="inlineStr">
        <is>
          <t>Departamento</t>
        </is>
      </c>
      <c r="F233" t="inlineStr">
        <is>
          <t>803</t>
        </is>
      </c>
      <c r="G233" t="n">
        <v>88.27</v>
      </c>
      <c r="H233" t="n">
        <v>0</v>
      </c>
      <c r="I233" s="39" t="n">
        <v>654000</v>
      </c>
      <c r="J233" s="39" t="n">
        <v>654000</v>
      </c>
      <c r="K233" t="inlineStr">
        <is>
          <t>Edificio</t>
        </is>
      </c>
      <c r="L233" t="inlineStr">
        <is>
          <t>A</t>
        </is>
      </c>
      <c r="M233" t="inlineStr">
        <is>
          <t>Estacionamiento</t>
        </is>
      </c>
      <c r="N233" t="inlineStr">
        <is>
          <t>E 32 - D 24</t>
        </is>
      </c>
      <c r="O233" t="n">
        <v>13.5</v>
      </c>
      <c r="P233" t="n">
        <v>1.82</v>
      </c>
      <c r="Q233" s="39" t="n">
        <v>55800</v>
      </c>
      <c r="R233" s="39" t="n">
        <v>55800</v>
      </c>
      <c r="S233" t="inlineStr">
        <is>
          <t>Edificio</t>
        </is>
      </c>
      <c r="T233" t="inlineStr">
        <is>
          <t>A</t>
        </is>
      </c>
      <c r="U233" t="inlineStr">
        <is>
          <t>Estacionamiento</t>
        </is>
      </c>
      <c r="V233" t="inlineStr">
        <is>
          <t>E 33 - D 25</t>
        </is>
      </c>
      <c r="W233" t="n">
        <v>17.1</v>
      </c>
      <c r="X233" t="n">
        <v>2.43</v>
      </c>
      <c r="Y233" s="39" t="n">
        <v>60000</v>
      </c>
      <c r="Z233" s="39" t="n">
        <v>60000</v>
      </c>
      <c r="AG233" s="39" t="n"/>
      <c r="AH233" s="39" t="n"/>
      <c r="AI233" t="inlineStr">
        <is>
          <t>Marco Antonio Cordova Oropeza</t>
        </is>
      </c>
      <c r="AJ233" t="inlineStr">
        <is>
          <t>22079563</t>
        </is>
      </c>
      <c r="AK233" t="inlineStr">
        <is>
          <t>Av.Cayetano Heredia 435 Int.1 Urb Fundo Oyague</t>
        </is>
      </c>
      <c r="AL233" t="n">
        <v>0</v>
      </c>
      <c r="AM233" t="inlineStr">
        <is>
          <t>1513-257-6062</t>
        </is>
      </c>
      <c r="AN233" t="inlineStr">
        <is>
          <t>maancoor@gmail.com</t>
        </is>
      </c>
      <c r="AO233" t="inlineStr">
        <is>
          <t>LIMA</t>
        </is>
      </c>
      <c r="AP233" t="inlineStr">
        <is>
          <t>JESUS MARIA</t>
        </is>
      </c>
      <c r="AQ233" s="75" t="n">
        <v>46006</v>
      </c>
      <c r="AR233" s="75" t="n">
        <v>45964</v>
      </c>
      <c r="AS233" t="inlineStr">
        <is>
          <t>SALDO FINANCIAR</t>
        </is>
      </c>
      <c r="AT233" t="n">
        <v>4</v>
      </c>
      <c r="AU233" t="n">
        <v>65982.86</v>
      </c>
      <c r="AV233" t="n">
        <v>0</v>
      </c>
      <c r="AW233" t="n">
        <v>0</v>
      </c>
      <c r="AX233" s="39" t="n">
        <v>65982.86</v>
      </c>
      <c r="AY233" s="39" t="n">
        <v>65982.86</v>
      </c>
      <c r="AZ233" s="39" t="n">
        <v>0</v>
      </c>
      <c r="BA233" t="n">
        <v>0</v>
      </c>
      <c r="BB233" t="inlineStr">
        <is>
          <t>Crédito Directo</t>
        </is>
      </c>
      <c r="BC233" t="inlineStr">
        <is>
          <t>Scotiabank Perú</t>
        </is>
      </c>
      <c r="BD233" t="inlineStr">
        <is>
          <t>000-2768484</t>
        </is>
      </c>
      <c r="BE233" t="inlineStr">
        <is>
          <t>TRANSFERENCIA BANCARIA</t>
        </is>
      </c>
      <c r="BG233" t="inlineStr">
        <is>
          <t>0210772</t>
        </is>
      </c>
      <c r="BH233" t="inlineStr">
        <is>
          <t>No</t>
        </is>
      </c>
      <c r="BJ233" t="n">
        <v>4</v>
      </c>
      <c r="BK233" t="inlineStr">
        <is>
          <t>CANCELADO</t>
        </is>
      </c>
      <c r="BV233" t="inlineStr">
        <is>
          <t>Si</t>
        </is>
      </c>
      <c r="BW233" s="76" t="n">
        <v>45863.7375</v>
      </c>
      <c r="BX233" t="inlineStr">
        <is>
          <t>Magaly Guevara Perez</t>
        </is>
      </c>
      <c r="BZ233" t="n">
        <v>40</v>
      </c>
      <c r="CA233" t="inlineStr">
        <is>
          <t>03/07/2026 17:38</t>
        </is>
      </c>
      <c r="CB233" t="n">
        <v>0</v>
      </c>
      <c r="CF233" t="inlineStr">
        <is>
          <t>Cobranzas_2025.csv</t>
        </is>
      </c>
      <c r="CG233" t="n">
        <v>2025</v>
      </c>
      <c r="CH233" t="inlineStr">
        <is>
          <t>01/01/2024</t>
        </is>
      </c>
      <c r="CI233" t="inlineStr">
        <is>
          <t>24/08/2031</t>
        </is>
      </c>
    </row>
    <row r="234">
      <c r="A234" t="inlineStr">
        <is>
          <t>RESIDENCIAL BEYOND</t>
        </is>
      </c>
      <c r="B234" t="inlineStr">
        <is>
          <t>Etapa 1</t>
        </is>
      </c>
      <c r="C234" t="inlineStr">
        <is>
          <t>Edificio</t>
        </is>
      </c>
      <c r="D234" t="inlineStr">
        <is>
          <t>A</t>
        </is>
      </c>
      <c r="E234" t="inlineStr">
        <is>
          <t>Estacionamiento</t>
        </is>
      </c>
      <c r="F234" t="inlineStr">
        <is>
          <t>E 02</t>
        </is>
      </c>
      <c r="G234" t="n">
        <v>12.5</v>
      </c>
      <c r="H234" t="n">
        <v>0</v>
      </c>
      <c r="I234" s="39" t="n">
        <v>47500</v>
      </c>
      <c r="J234" s="39" t="n">
        <v>47500</v>
      </c>
      <c r="Q234" s="39" t="n"/>
      <c r="R234" s="39" t="n"/>
      <c r="Y234" s="39" t="n"/>
      <c r="Z234" s="39" t="n"/>
      <c r="AG234" s="39" t="n"/>
      <c r="AH234" s="39" t="n"/>
      <c r="AI234" t="inlineStr">
        <is>
          <t>Margarita Mercedes Lujan Paredes</t>
        </is>
      </c>
      <c r="AJ234" t="inlineStr">
        <is>
          <t>06772294</t>
        </is>
      </c>
      <c r="AK234" t="inlineStr">
        <is>
          <t>Jr. Aguarico 1412 Dpto. 202</t>
        </is>
      </c>
      <c r="AL234" t="n">
        <v>0</v>
      </c>
      <c r="AM234" t="inlineStr">
        <is>
          <t>949196249</t>
        </is>
      </c>
      <c r="AN234" t="inlineStr">
        <is>
          <t>maggilujan@hotmail.com</t>
        </is>
      </c>
      <c r="AO234" t="inlineStr">
        <is>
          <t>LIMA</t>
        </is>
      </c>
      <c r="AP234" t="inlineStr">
        <is>
          <t>BREÑA</t>
        </is>
      </c>
      <c r="AQ234" s="75" t="n">
        <v>45958</v>
      </c>
      <c r="AR234" s="75" t="n">
        <v>45958</v>
      </c>
      <c r="AS234" t="inlineStr">
        <is>
          <t>SEPARACION</t>
        </is>
      </c>
      <c r="AT234" t="n">
        <v>1</v>
      </c>
      <c r="AU234" t="n">
        <v>3000</v>
      </c>
      <c r="AV234" t="n">
        <v>0</v>
      </c>
      <c r="AW234" t="n">
        <v>0</v>
      </c>
      <c r="AX234" s="39" t="n">
        <v>3000</v>
      </c>
      <c r="AY234" s="39" t="n">
        <v>3000</v>
      </c>
      <c r="AZ234" s="39" t="n">
        <v>0</v>
      </c>
      <c r="BA234" t="n">
        <v>0</v>
      </c>
      <c r="BB234" t="inlineStr">
        <is>
          <t>Crédito Directo</t>
        </is>
      </c>
      <c r="BC234" t="inlineStr">
        <is>
          <t>Banco de Credito del Perú</t>
        </is>
      </c>
      <c r="BD234" t="inlineStr">
        <is>
          <t>002-19400732577906596</t>
        </is>
      </c>
      <c r="BE234" t="inlineStr">
        <is>
          <t>TRANSFERENCIA BANCARIA</t>
        </is>
      </c>
      <c r="BG234" t="inlineStr">
        <is>
          <t>000074240000000000</t>
        </is>
      </c>
      <c r="BH234" t="inlineStr">
        <is>
          <t>No</t>
        </is>
      </c>
      <c r="BJ234" t="n">
        <v>4</v>
      </c>
      <c r="BK234" t="inlineStr">
        <is>
          <t>CANCELADO</t>
        </is>
      </c>
      <c r="BV234" t="inlineStr">
        <is>
          <t>Si</t>
        </is>
      </c>
      <c r="BW234" s="76" t="n">
        <v>46020.63680555556</v>
      </c>
      <c r="BX234" t="inlineStr">
        <is>
          <t>Magaly Guevara Perez</t>
        </is>
      </c>
      <c r="BZ234" t="n">
        <v>48</v>
      </c>
      <c r="CA234" t="inlineStr">
        <is>
          <t>19/08/2026 15:08</t>
        </is>
      </c>
      <c r="CB234" t="n">
        <v>0</v>
      </c>
      <c r="CF234" t="inlineStr">
        <is>
          <t>Cobranzas_2025.csv</t>
        </is>
      </c>
      <c r="CG234" t="n">
        <v>2025</v>
      </c>
      <c r="CH234" t="inlineStr">
        <is>
          <t>01/01/2024</t>
        </is>
      </c>
      <c r="CI234" t="inlineStr">
        <is>
          <t>24/08/2031</t>
        </is>
      </c>
    </row>
    <row r="235">
      <c r="A235" t="inlineStr">
        <is>
          <t>RESIDENCIAL BEYOND</t>
        </is>
      </c>
      <c r="B235" t="inlineStr">
        <is>
          <t>Etapa 1</t>
        </is>
      </c>
      <c r="C235" t="inlineStr">
        <is>
          <t>Edificio</t>
        </is>
      </c>
      <c r="D235" t="inlineStr">
        <is>
          <t>A</t>
        </is>
      </c>
      <c r="E235" t="inlineStr">
        <is>
          <t>Estacionamiento</t>
        </is>
      </c>
      <c r="F235" t="inlineStr">
        <is>
          <t>E 02</t>
        </is>
      </c>
      <c r="G235" t="n">
        <v>12.5</v>
      </c>
      <c r="H235" t="n">
        <v>0</v>
      </c>
      <c r="I235" s="39" t="n">
        <v>47500</v>
      </c>
      <c r="J235" s="39" t="n">
        <v>47500</v>
      </c>
      <c r="Q235" s="39" t="n"/>
      <c r="R235" s="39" t="n"/>
      <c r="Y235" s="39" t="n"/>
      <c r="Z235" s="39" t="n"/>
      <c r="AG235" s="39" t="n"/>
      <c r="AH235" s="39" t="n"/>
      <c r="AI235" t="inlineStr">
        <is>
          <t>Margarita Mercedes Lujan Paredes</t>
        </is>
      </c>
      <c r="AJ235" t="inlineStr">
        <is>
          <t>06772294</t>
        </is>
      </c>
      <c r="AK235" t="inlineStr">
        <is>
          <t>Jr. Aguarico 1412 Dpto. 202</t>
        </is>
      </c>
      <c r="AL235" t="n">
        <v>0</v>
      </c>
      <c r="AM235" t="inlineStr">
        <is>
          <t>949196249</t>
        </is>
      </c>
      <c r="AN235" t="inlineStr">
        <is>
          <t>maggilujan@hotmail.com</t>
        </is>
      </c>
      <c r="AO235" t="inlineStr">
        <is>
          <t>LIMA</t>
        </is>
      </c>
      <c r="AP235" t="inlineStr">
        <is>
          <t>BREÑA</t>
        </is>
      </c>
      <c r="AQ235" s="75" t="n">
        <v>46020</v>
      </c>
      <c r="AR235" s="75" t="n">
        <v>46020</v>
      </c>
      <c r="AS235" t="inlineStr">
        <is>
          <t>CUOTA INICIAL</t>
        </is>
      </c>
      <c r="AT235" t="n">
        <v>1</v>
      </c>
      <c r="AU235" t="n">
        <v>6500</v>
      </c>
      <c r="AV235" t="n">
        <v>0</v>
      </c>
      <c r="AW235" t="n">
        <v>0</v>
      </c>
      <c r="AX235" s="39" t="n">
        <v>6500</v>
      </c>
      <c r="AY235" s="39" t="n">
        <v>6500</v>
      </c>
      <c r="AZ235" s="39" t="n">
        <v>0</v>
      </c>
      <c r="BA235" t="n">
        <v>0</v>
      </c>
      <c r="BB235" t="inlineStr">
        <is>
          <t>Crédito Directo</t>
        </is>
      </c>
      <c r="BC235" t="inlineStr">
        <is>
          <t>Banco de Credito del Perú</t>
        </is>
      </c>
      <c r="BD235" t="inlineStr">
        <is>
          <t>002-19400732577906596</t>
        </is>
      </c>
      <c r="BE235" t="inlineStr">
        <is>
          <t>TRANSFERENCIA BANCARIA</t>
        </is>
      </c>
      <c r="BG235" t="inlineStr">
        <is>
          <t>00007516000000000</t>
        </is>
      </c>
      <c r="BH235" t="inlineStr">
        <is>
          <t>No</t>
        </is>
      </c>
      <c r="BJ235" t="n">
        <v>4</v>
      </c>
      <c r="BK235" t="inlineStr">
        <is>
          <t>CANCELADO</t>
        </is>
      </c>
      <c r="BV235" t="inlineStr">
        <is>
          <t>Si</t>
        </is>
      </c>
      <c r="BW235" s="76" t="n">
        <v>46020.63680555556</v>
      </c>
      <c r="BX235" t="inlineStr">
        <is>
          <t>Magaly Guevara Perez</t>
        </is>
      </c>
      <c r="BZ235" t="n">
        <v>48</v>
      </c>
      <c r="CA235" t="inlineStr">
        <is>
          <t>19/08/2026 15:18</t>
        </is>
      </c>
      <c r="CB235" t="n">
        <v>0</v>
      </c>
      <c r="CF235" t="inlineStr">
        <is>
          <t>Cobranzas_2025.csv</t>
        </is>
      </c>
      <c r="CG235" t="n">
        <v>2025</v>
      </c>
      <c r="CH235" t="inlineStr">
        <is>
          <t>01/01/2024</t>
        </is>
      </c>
      <c r="CI235" t="inlineStr">
        <is>
          <t>24/08/2031</t>
        </is>
      </c>
    </row>
    <row r="236">
      <c r="A236" t="inlineStr">
        <is>
          <t>RESIDENCIAL BEYOND</t>
        </is>
      </c>
      <c r="B236" t="inlineStr">
        <is>
          <t>Etapa 1</t>
        </is>
      </c>
      <c r="C236" t="inlineStr">
        <is>
          <t>Edificio</t>
        </is>
      </c>
      <c r="D236" t="inlineStr">
        <is>
          <t>A</t>
        </is>
      </c>
      <c r="E236" t="inlineStr">
        <is>
          <t>Departamento</t>
        </is>
      </c>
      <c r="F236" t="inlineStr">
        <is>
          <t>202</t>
        </is>
      </c>
      <c r="G236" t="n">
        <v>57</v>
      </c>
      <c r="H236" t="n">
        <v>0</v>
      </c>
      <c r="I236" s="39" t="n">
        <v>430000</v>
      </c>
      <c r="J236" s="39" t="n">
        <v>430000</v>
      </c>
      <c r="Q236" s="39" t="n"/>
      <c r="R236" s="39" t="n"/>
      <c r="Y236" s="39" t="n"/>
      <c r="Z236" s="39" t="n"/>
      <c r="AG236" s="39" t="n"/>
      <c r="AH236" s="39" t="n"/>
      <c r="AI236" t="inlineStr">
        <is>
          <t>Margarita Mercedes Lujas Paredes</t>
        </is>
      </c>
      <c r="AJ236" t="inlineStr">
        <is>
          <t>06772294</t>
        </is>
      </c>
      <c r="AK236" t="inlineStr">
        <is>
          <t>Jr. Aguarico 1412 Dpto. 202</t>
        </is>
      </c>
      <c r="AL236" t="n">
        <v>0</v>
      </c>
      <c r="AM236" t="inlineStr">
        <is>
          <t>949196249</t>
        </is>
      </c>
      <c r="AN236" t="inlineStr">
        <is>
          <t>maggilujan@hotmail.com</t>
        </is>
      </c>
      <c r="AO236" t="inlineStr">
        <is>
          <t>LIMA</t>
        </is>
      </c>
      <c r="AP236" t="inlineStr">
        <is>
          <t>BREÑA</t>
        </is>
      </c>
      <c r="AQ236" s="75" t="n">
        <v>45837</v>
      </c>
      <c r="AR236" s="75" t="n">
        <v>45837</v>
      </c>
      <c r="AS236" t="inlineStr">
        <is>
          <t>SEPARACION</t>
        </is>
      </c>
      <c r="AT236" t="n">
        <v>1</v>
      </c>
      <c r="AU236" t="n">
        <v>3000</v>
      </c>
      <c r="AV236" t="n">
        <v>0</v>
      </c>
      <c r="AW236" t="n">
        <v>0</v>
      </c>
      <c r="AX236" s="39" t="n">
        <v>3000</v>
      </c>
      <c r="AY236" s="39" t="n">
        <v>3000</v>
      </c>
      <c r="AZ236" s="39" t="n">
        <v>0</v>
      </c>
      <c r="BA236" t="n">
        <v>0</v>
      </c>
      <c r="BB236" t="inlineStr">
        <is>
          <t>Ahorro</t>
        </is>
      </c>
      <c r="BC236" t="inlineStr">
        <is>
          <t>Banco de Credito del Perú</t>
        </is>
      </c>
      <c r="BD236" t="inlineStr">
        <is>
          <t>194-7325779-0-65</t>
        </is>
      </c>
      <c r="BE236" t="inlineStr">
        <is>
          <t>TRANSFERENCIA BANCARIA</t>
        </is>
      </c>
      <c r="BF236" t="inlineStr">
        <is>
          <t>06772294</t>
        </is>
      </c>
      <c r="BG236" t="inlineStr">
        <is>
          <t>00007175000000000</t>
        </is>
      </c>
      <c r="BH236" t="inlineStr">
        <is>
          <t>No</t>
        </is>
      </c>
      <c r="BI236" t="inlineStr">
        <is>
          <t>NO PRECISA</t>
        </is>
      </c>
      <c r="BJ236" t="n">
        <v>4</v>
      </c>
      <c r="BK236" t="inlineStr">
        <is>
          <t>CANCELADO</t>
        </is>
      </c>
      <c r="BV236" t="inlineStr">
        <is>
          <t>Si</t>
        </is>
      </c>
      <c r="BW236" s="76" t="n">
        <v>45917.17222222222</v>
      </c>
      <c r="BX236" t="inlineStr">
        <is>
          <t>Carla Michue M</t>
        </is>
      </c>
      <c r="BZ236" t="n">
        <v>2</v>
      </c>
      <c r="CA236" t="inlineStr">
        <is>
          <t>01/05/2026 09:58</t>
        </is>
      </c>
      <c r="CB236" t="n">
        <v>0</v>
      </c>
      <c r="CF236" t="inlineStr">
        <is>
          <t>Cobranzas_2025.csv</t>
        </is>
      </c>
      <c r="CG236" t="n">
        <v>2025</v>
      </c>
      <c r="CH236" t="inlineStr">
        <is>
          <t>01/01/2024</t>
        </is>
      </c>
      <c r="CI236" t="inlineStr">
        <is>
          <t>24/08/2031</t>
        </is>
      </c>
    </row>
    <row r="237">
      <c r="A237" t="inlineStr">
        <is>
          <t>RESIDENCIAL BEYOND</t>
        </is>
      </c>
      <c r="B237" t="inlineStr">
        <is>
          <t>Etapa 1</t>
        </is>
      </c>
      <c r="C237" t="inlineStr">
        <is>
          <t>Edificio</t>
        </is>
      </c>
      <c r="D237" t="inlineStr">
        <is>
          <t>A</t>
        </is>
      </c>
      <c r="E237" t="inlineStr">
        <is>
          <t>Departamento</t>
        </is>
      </c>
      <c r="F237" t="inlineStr">
        <is>
          <t>202</t>
        </is>
      </c>
      <c r="G237" t="n">
        <v>57</v>
      </c>
      <c r="H237" t="n">
        <v>0</v>
      </c>
      <c r="I237" s="39" t="n">
        <v>430000</v>
      </c>
      <c r="J237" s="39" t="n">
        <v>430000</v>
      </c>
      <c r="Q237" s="39" t="n"/>
      <c r="R237" s="39" t="n"/>
      <c r="Y237" s="39" t="n"/>
      <c r="Z237" s="39" t="n"/>
      <c r="AG237" s="39" t="n"/>
      <c r="AH237" s="39" t="n"/>
      <c r="AI237" t="inlineStr">
        <is>
          <t>Margarita Mercedes Lujas Paredes</t>
        </is>
      </c>
      <c r="AJ237" t="inlineStr">
        <is>
          <t>06772294</t>
        </is>
      </c>
      <c r="AK237" t="inlineStr">
        <is>
          <t>Jr. Aguarico 1412 Dpto. 202</t>
        </is>
      </c>
      <c r="AL237" t="n">
        <v>0</v>
      </c>
      <c r="AM237" t="inlineStr">
        <is>
          <t>949196249</t>
        </is>
      </c>
      <c r="AN237" t="inlineStr">
        <is>
          <t>maggilujan@hotmail.com</t>
        </is>
      </c>
      <c r="AO237" t="inlineStr">
        <is>
          <t>LIMA</t>
        </is>
      </c>
      <c r="AP237" t="inlineStr">
        <is>
          <t>BREÑA</t>
        </is>
      </c>
      <c r="AQ237" s="75" t="n">
        <v>45917</v>
      </c>
      <c r="AR237" s="75" t="n">
        <v>45917</v>
      </c>
      <c r="AS237" t="inlineStr">
        <is>
          <t>CUOTA INICIAL</t>
        </is>
      </c>
      <c r="AT237" t="n">
        <v>1</v>
      </c>
      <c r="AU237" t="n">
        <v>20000</v>
      </c>
      <c r="AV237" t="n">
        <v>0</v>
      </c>
      <c r="AW237" t="n">
        <v>0</v>
      </c>
      <c r="AX237" s="39" t="n">
        <v>20000</v>
      </c>
      <c r="AY237" s="39" t="n">
        <v>20000</v>
      </c>
      <c r="AZ237" s="39" t="n">
        <v>0</v>
      </c>
      <c r="BA237" t="n">
        <v>0</v>
      </c>
      <c r="BB237" t="inlineStr">
        <is>
          <t>Ahorro</t>
        </is>
      </c>
      <c r="BC237" t="inlineStr">
        <is>
          <t>Banco de Credito del Perú</t>
        </is>
      </c>
      <c r="BD237" t="inlineStr">
        <is>
          <t>194-7325779-0-65</t>
        </is>
      </c>
      <c r="BE237" t="inlineStr">
        <is>
          <t>TRANSFERENCIA BANCARIA</t>
        </is>
      </c>
      <c r="BF237" t="inlineStr">
        <is>
          <t>06772294</t>
        </is>
      </c>
      <c r="BG237" t="inlineStr">
        <is>
          <t>00007344000000000</t>
        </is>
      </c>
      <c r="BH237" t="inlineStr">
        <is>
          <t>No</t>
        </is>
      </c>
      <c r="BI237" t="inlineStr">
        <is>
          <t>NO PRECISA</t>
        </is>
      </c>
      <c r="BJ237" t="n">
        <v>4</v>
      </c>
      <c r="BK237" t="inlineStr">
        <is>
          <t>CANCELADO</t>
        </is>
      </c>
      <c r="BV237" t="inlineStr">
        <is>
          <t>Si</t>
        </is>
      </c>
      <c r="BW237" s="76" t="n">
        <v>45917.17222222222</v>
      </c>
      <c r="BX237" t="inlineStr">
        <is>
          <t>Carla Michue M</t>
        </is>
      </c>
      <c r="BZ237" t="n">
        <v>2</v>
      </c>
      <c r="CA237" t="inlineStr">
        <is>
          <t>18/05/2026 04:17</t>
        </is>
      </c>
      <c r="CB237" t="n">
        <v>0</v>
      </c>
      <c r="CF237" t="inlineStr">
        <is>
          <t>Cobranzas_2025.csv</t>
        </is>
      </c>
      <c r="CG237" t="n">
        <v>2025</v>
      </c>
      <c r="CH237" t="inlineStr">
        <is>
          <t>01/01/2024</t>
        </is>
      </c>
      <c r="CI237" t="inlineStr">
        <is>
          <t>24/08/2031</t>
        </is>
      </c>
    </row>
    <row r="238">
      <c r="A238" t="inlineStr">
        <is>
          <t>RESIDENCIAL PRADA</t>
        </is>
      </c>
      <c r="B238" t="inlineStr">
        <is>
          <t>Etapa 1</t>
        </is>
      </c>
      <c r="C238" t="inlineStr">
        <is>
          <t>Edificio</t>
        </is>
      </c>
      <c r="D238" t="inlineStr">
        <is>
          <t>A</t>
        </is>
      </c>
      <c r="E238" t="inlineStr">
        <is>
          <t>Departamento</t>
        </is>
      </c>
      <c r="F238" t="inlineStr">
        <is>
          <t>202</t>
        </is>
      </c>
      <c r="G238" t="n">
        <v>56</v>
      </c>
      <c r="H238" t="n">
        <v>0</v>
      </c>
      <c r="I238" s="39" t="n">
        <v>446900</v>
      </c>
      <c r="J238" s="39" t="n">
        <v>446900</v>
      </c>
      <c r="Q238" s="39" t="n"/>
      <c r="R238" s="39" t="n"/>
      <c r="Y238" s="39" t="n"/>
      <c r="Z238" s="39" t="n"/>
      <c r="AG238" s="39" t="n"/>
      <c r="AH238" s="39" t="n"/>
      <c r="AI238" t="inlineStr">
        <is>
          <t>María Cristina Collazos Romero</t>
        </is>
      </c>
      <c r="AJ238" t="inlineStr">
        <is>
          <t>31676885</t>
        </is>
      </c>
      <c r="AK238" t="inlineStr">
        <is>
          <t>Jr. Huandoy 242</t>
        </is>
      </c>
      <c r="AL238" t="n">
        <v>969870030</v>
      </c>
      <c r="AM238" t="inlineStr">
        <is>
          <t>969870030</t>
        </is>
      </c>
      <c r="AN238" t="inlineStr">
        <is>
          <t>gerenciasnacks1@gmail.com</t>
        </is>
      </c>
      <c r="AO238" t="inlineStr">
        <is>
          <t>HUARAZ</t>
        </is>
      </c>
      <c r="AP238" t="inlineStr">
        <is>
          <t>HUARAZ</t>
        </is>
      </c>
      <c r="AQ238" s="75" t="n">
        <v>45911</v>
      </c>
      <c r="AR238" s="75" t="n">
        <v>45911</v>
      </c>
      <c r="AS238" t="inlineStr">
        <is>
          <t>CUOTA INICIAL</t>
        </is>
      </c>
      <c r="AT238" t="n">
        <v>1</v>
      </c>
      <c r="AU238" t="n">
        <v>86380</v>
      </c>
      <c r="AV238" t="n">
        <v>0</v>
      </c>
      <c r="AW238" t="n">
        <v>0</v>
      </c>
      <c r="AX238" s="39" t="n">
        <v>86380</v>
      </c>
      <c r="AY238" s="39" t="n">
        <v>86380</v>
      </c>
      <c r="AZ238" s="39" t="n">
        <v>0</v>
      </c>
      <c r="BA238" t="n">
        <v>0</v>
      </c>
      <c r="BB238" t="inlineStr">
        <is>
          <t>Crédito Hipotecario</t>
        </is>
      </c>
      <c r="BC238" t="inlineStr">
        <is>
          <t>Scotiabank Perú</t>
        </is>
      </c>
      <c r="BD238" t="inlineStr">
        <is>
          <t>000-2768484</t>
        </is>
      </c>
      <c r="BE238" t="inlineStr">
        <is>
          <t>TRANSFERENCIA BANCARIA</t>
        </is>
      </c>
      <c r="BG238" t="inlineStr">
        <is>
          <t>U100030</t>
        </is>
      </c>
      <c r="BH238" t="inlineStr">
        <is>
          <t>No</t>
        </is>
      </c>
      <c r="BJ238" t="n">
        <v>4</v>
      </c>
      <c r="BK238" t="inlineStr">
        <is>
          <t>CANCELADO</t>
        </is>
      </c>
      <c r="BV238" t="inlineStr">
        <is>
          <t>Si</t>
        </is>
      </c>
      <c r="BW238" s="76" t="n">
        <v>45911.60694444444</v>
      </c>
      <c r="BX238" t="inlineStr">
        <is>
          <t>Kenny Salazar S</t>
        </is>
      </c>
      <c r="BZ238" t="n">
        <v>33</v>
      </c>
      <c r="CA238" t="inlineStr">
        <is>
          <t>29/06/2026 21:11</t>
        </is>
      </c>
      <c r="CB238" t="n">
        <v>0</v>
      </c>
      <c r="CF238" t="inlineStr">
        <is>
          <t>Cobranzas_2025.csv</t>
        </is>
      </c>
      <c r="CG238" t="n">
        <v>2025</v>
      </c>
      <c r="CH238" t="inlineStr">
        <is>
          <t>01/01/2024</t>
        </is>
      </c>
      <c r="CI238" t="inlineStr">
        <is>
          <t>24/08/2031</t>
        </is>
      </c>
    </row>
    <row r="239">
      <c r="A239" t="inlineStr">
        <is>
          <t>RESIDENCIAL PRADA</t>
        </is>
      </c>
      <c r="B239" t="inlineStr">
        <is>
          <t>Etapa 1</t>
        </is>
      </c>
      <c r="C239" t="inlineStr">
        <is>
          <t>Edificio</t>
        </is>
      </c>
      <c r="D239" t="inlineStr">
        <is>
          <t>A</t>
        </is>
      </c>
      <c r="E239" t="inlineStr">
        <is>
          <t>Departamento</t>
        </is>
      </c>
      <c r="F239" t="inlineStr">
        <is>
          <t>202</t>
        </is>
      </c>
      <c r="G239" t="n">
        <v>56</v>
      </c>
      <c r="H239" t="n">
        <v>0</v>
      </c>
      <c r="I239" s="39" t="n">
        <v>446900</v>
      </c>
      <c r="J239" s="39" t="n">
        <v>446900</v>
      </c>
      <c r="Q239" s="39" t="n"/>
      <c r="R239" s="39" t="n"/>
      <c r="Y239" s="39" t="n"/>
      <c r="Z239" s="39" t="n"/>
      <c r="AG239" s="39" t="n"/>
      <c r="AH239" s="39" t="n"/>
      <c r="AI239" t="inlineStr">
        <is>
          <t>María Cristina Collazos Romero</t>
        </is>
      </c>
      <c r="AJ239" t="inlineStr">
        <is>
          <t>31676885</t>
        </is>
      </c>
      <c r="AK239" t="inlineStr">
        <is>
          <t>Jr. Huandoy 242</t>
        </is>
      </c>
      <c r="AL239" t="n">
        <v>969870030</v>
      </c>
      <c r="AM239" t="inlineStr">
        <is>
          <t>969870030</t>
        </is>
      </c>
      <c r="AN239" t="inlineStr">
        <is>
          <t>gerenciasnacks1@gmail.com</t>
        </is>
      </c>
      <c r="AO239" t="inlineStr">
        <is>
          <t>HUARAZ</t>
        </is>
      </c>
      <c r="AP239" t="inlineStr">
        <is>
          <t>HUARAZ</t>
        </is>
      </c>
      <c r="AQ239" s="75" t="n">
        <v>46021</v>
      </c>
      <c r="AR239" s="75" t="n">
        <v>46021</v>
      </c>
      <c r="AS239" t="inlineStr">
        <is>
          <t>SALDO FINANCIAR</t>
        </is>
      </c>
      <c r="AT239" t="n">
        <v>1</v>
      </c>
      <c r="AU239" t="n">
        <v>357520</v>
      </c>
      <c r="AV239" t="n">
        <v>0</v>
      </c>
      <c r="AW239" t="n">
        <v>0</v>
      </c>
      <c r="AX239" s="39" t="n">
        <v>357520</v>
      </c>
      <c r="AY239" s="39" t="n">
        <v>357520</v>
      </c>
      <c r="AZ239" s="39" t="n">
        <v>0</v>
      </c>
      <c r="BA239" t="n">
        <v>0</v>
      </c>
      <c r="BB239" t="inlineStr">
        <is>
          <t>Crédito Hipotecario</t>
        </is>
      </c>
      <c r="BC239" t="inlineStr">
        <is>
          <t>Scotiabank Perú</t>
        </is>
      </c>
      <c r="BD239" t="inlineStr">
        <is>
          <t>000-2768484</t>
        </is>
      </c>
      <c r="BE239" t="inlineStr">
        <is>
          <t>TRANSFERENCIA BANCARIA</t>
        </is>
      </c>
      <c r="BG239" t="inlineStr">
        <is>
          <t>30102025</t>
        </is>
      </c>
      <c r="BH239" t="inlineStr">
        <is>
          <t>No</t>
        </is>
      </c>
      <c r="BJ239" t="n">
        <v>4</v>
      </c>
      <c r="BK239" t="inlineStr">
        <is>
          <t>CANCELADO</t>
        </is>
      </c>
      <c r="BV239" t="inlineStr">
        <is>
          <t>Si</t>
        </is>
      </c>
      <c r="BW239" s="76" t="n">
        <v>45911.60694444444</v>
      </c>
      <c r="BX239" t="inlineStr">
        <is>
          <t>Kenny Salazar S</t>
        </is>
      </c>
      <c r="BZ239" t="n">
        <v>33</v>
      </c>
      <c r="CA239" t="inlineStr">
        <is>
          <t>29/06/2026 21:12</t>
        </is>
      </c>
      <c r="CB239" t="n">
        <v>0</v>
      </c>
      <c r="CF239" t="inlineStr">
        <is>
          <t>Cobranzas_2025.csv</t>
        </is>
      </c>
      <c r="CG239" t="n">
        <v>2025</v>
      </c>
      <c r="CH239" t="inlineStr">
        <is>
          <t>01/01/2024</t>
        </is>
      </c>
      <c r="CI239" t="inlineStr">
        <is>
          <t>24/08/2031</t>
        </is>
      </c>
    </row>
    <row r="240">
      <c r="A240" t="inlineStr">
        <is>
          <t>RESIDENCIAL PRADA</t>
        </is>
      </c>
      <c r="B240" t="inlineStr">
        <is>
          <t>Etapa 1</t>
        </is>
      </c>
      <c r="C240" t="inlineStr">
        <is>
          <t>Edificio</t>
        </is>
      </c>
      <c r="D240" t="inlineStr">
        <is>
          <t>A</t>
        </is>
      </c>
      <c r="E240" t="inlineStr">
        <is>
          <t>Departamento</t>
        </is>
      </c>
      <c r="F240" t="inlineStr">
        <is>
          <t>1002</t>
        </is>
      </c>
      <c r="G240" t="n">
        <v>56</v>
      </c>
      <c r="H240" t="n">
        <v>0</v>
      </c>
      <c r="I240" s="39" t="n">
        <v>415000</v>
      </c>
      <c r="J240" s="39" t="n">
        <v>415000</v>
      </c>
      <c r="Q240" s="39" t="n"/>
      <c r="R240" s="39" t="n"/>
      <c r="Y240" s="39" t="n"/>
      <c r="Z240" s="39" t="n"/>
      <c r="AG240" s="39" t="n"/>
      <c r="AH240" s="39" t="n"/>
      <c r="AI240" t="inlineStr">
        <is>
          <t>Maria de los Angeles Ibañez Mogrovejo</t>
        </is>
      </c>
      <c r="AJ240" t="inlineStr">
        <is>
          <t>72190258</t>
        </is>
      </c>
      <c r="AK240" t="inlineStr">
        <is>
          <t xml:space="preserve">Coop.Colegio de Abogados Mz.ELT.1 </t>
        </is>
      </c>
      <c r="AM240" t="inlineStr">
        <is>
          <t>982570759</t>
        </is>
      </c>
      <c r="AN240" t="inlineStr">
        <is>
          <t>maria.benezmogrovejo@gmail.com</t>
        </is>
      </c>
      <c r="AO240" t="inlineStr">
        <is>
          <t>AREQUIPA</t>
        </is>
      </c>
      <c r="AP240" t="inlineStr">
        <is>
          <t>YANAHUARA</t>
        </is>
      </c>
      <c r="AQ240" s="75" t="n">
        <v>45921</v>
      </c>
      <c r="AR240" s="75" t="n">
        <v>45921</v>
      </c>
      <c r="AS240" t="inlineStr">
        <is>
          <t>SEPARACION</t>
        </is>
      </c>
      <c r="AT240" t="n">
        <v>1</v>
      </c>
      <c r="AU240" t="n">
        <v>3000</v>
      </c>
      <c r="AV240" t="n">
        <v>0</v>
      </c>
      <c r="AW240" t="n">
        <v>0</v>
      </c>
      <c r="AX240" s="39" t="n">
        <v>3000</v>
      </c>
      <c r="AY240" s="39" t="n">
        <v>3000</v>
      </c>
      <c r="AZ240" s="39" t="n">
        <v>0</v>
      </c>
      <c r="BA240" t="n">
        <v>0</v>
      </c>
      <c r="BB240" t="inlineStr">
        <is>
          <t>Ahorro</t>
        </is>
      </c>
      <c r="BC240" t="inlineStr">
        <is>
          <t>Scotiabank Perú</t>
        </is>
      </c>
      <c r="BD240" t="inlineStr">
        <is>
          <t>000-2768484</t>
        </is>
      </c>
      <c r="BE240" t="inlineStr">
        <is>
          <t>TRANSFERENCIA BANCARIA</t>
        </is>
      </c>
      <c r="BF240" t="inlineStr">
        <is>
          <t>72190258</t>
        </is>
      </c>
      <c r="BG240" t="inlineStr">
        <is>
          <t>2335911</t>
        </is>
      </c>
      <c r="BH240" t="inlineStr">
        <is>
          <t>No</t>
        </is>
      </c>
      <c r="BI240" t="inlineStr">
        <is>
          <t>NO PRECISA</t>
        </is>
      </c>
      <c r="BJ240" t="n">
        <v>1</v>
      </c>
      <c r="BK240" t="inlineStr">
        <is>
          <t>CANCELADO</t>
        </is>
      </c>
      <c r="BV240" t="inlineStr">
        <is>
          <t>Si</t>
        </is>
      </c>
      <c r="BW240" s="76" t="n">
        <v>45993.73611111111</v>
      </c>
      <c r="BX240" t="inlineStr">
        <is>
          <t>Carla Michue M</t>
        </is>
      </c>
      <c r="BZ240" t="n">
        <v>16</v>
      </c>
      <c r="CA240" t="inlineStr">
        <is>
          <t>29/05/2026 12:21</t>
        </is>
      </c>
      <c r="CB240" t="n">
        <v>0</v>
      </c>
      <c r="CF240" t="inlineStr">
        <is>
          <t>Cobranzas_2025.csv</t>
        </is>
      </c>
      <c r="CG240" t="n">
        <v>2025</v>
      </c>
      <c r="CH240" t="inlineStr">
        <is>
          <t>01/01/2024</t>
        </is>
      </c>
      <c r="CI240" t="inlineStr">
        <is>
          <t>24/08/2031</t>
        </is>
      </c>
    </row>
    <row r="241">
      <c r="A241" t="inlineStr">
        <is>
          <t>RESIDENCIAL PRADA</t>
        </is>
      </c>
      <c r="B241" t="inlineStr">
        <is>
          <t>Etapa 1</t>
        </is>
      </c>
      <c r="C241" t="inlineStr">
        <is>
          <t>Edificio</t>
        </is>
      </c>
      <c r="D241" t="inlineStr">
        <is>
          <t>A</t>
        </is>
      </c>
      <c r="E241" t="inlineStr">
        <is>
          <t>Departamento</t>
        </is>
      </c>
      <c r="F241" t="inlineStr">
        <is>
          <t>1002</t>
        </is>
      </c>
      <c r="G241" t="n">
        <v>56</v>
      </c>
      <c r="H241" t="n">
        <v>0</v>
      </c>
      <c r="I241" s="39" t="n">
        <v>415000</v>
      </c>
      <c r="J241" s="39" t="n">
        <v>415000</v>
      </c>
      <c r="Q241" s="39" t="n"/>
      <c r="R241" s="39" t="n"/>
      <c r="Y241" s="39" t="n"/>
      <c r="Z241" s="39" t="n"/>
      <c r="AG241" s="39" t="n"/>
      <c r="AH241" s="39" t="n"/>
      <c r="AI241" t="inlineStr">
        <is>
          <t>Maria de los Angeles Ibañez Mogrovejo</t>
        </is>
      </c>
      <c r="AJ241" t="inlineStr">
        <is>
          <t>72190258</t>
        </is>
      </c>
      <c r="AK241" t="inlineStr">
        <is>
          <t xml:space="preserve">Coop.Colegio de Abogados Mz.ELT.1 </t>
        </is>
      </c>
      <c r="AM241" t="inlineStr">
        <is>
          <t>982570759</t>
        </is>
      </c>
      <c r="AN241" t="inlineStr">
        <is>
          <t>maria.benezmogrovejo@gmail.com</t>
        </is>
      </c>
      <c r="AO241" t="inlineStr">
        <is>
          <t>AREQUIPA</t>
        </is>
      </c>
      <c r="AP241" t="inlineStr">
        <is>
          <t>YANAHUARA</t>
        </is>
      </c>
      <c r="AQ241" s="75" t="n">
        <v>45993</v>
      </c>
      <c r="AR241" s="75" t="n">
        <v>45993</v>
      </c>
      <c r="AS241" t="inlineStr">
        <is>
          <t>CUOTA INICIAL</t>
        </is>
      </c>
      <c r="AT241" t="n">
        <v>1</v>
      </c>
      <c r="AU241" t="n">
        <v>38500</v>
      </c>
      <c r="AV241" t="n">
        <v>0</v>
      </c>
      <c r="AW241" t="n">
        <v>0</v>
      </c>
      <c r="AX241" s="39" t="n">
        <v>38500</v>
      </c>
      <c r="AY241" s="39" t="n">
        <v>38500</v>
      </c>
      <c r="AZ241" s="39" t="n">
        <v>0</v>
      </c>
      <c r="BA241" t="n">
        <v>0</v>
      </c>
      <c r="BB241" t="inlineStr">
        <is>
          <t>Ahorro</t>
        </is>
      </c>
      <c r="BC241" t="inlineStr">
        <is>
          <t>Scotiabank Perú</t>
        </is>
      </c>
      <c r="BD241" t="inlineStr">
        <is>
          <t>000-2768484</t>
        </is>
      </c>
      <c r="BE241" t="inlineStr">
        <is>
          <t>TRANSFERENCIA BANCARIA</t>
        </is>
      </c>
      <c r="BG241" t="inlineStr">
        <is>
          <t>0241196</t>
        </is>
      </c>
      <c r="BH241" t="inlineStr">
        <is>
          <t>No</t>
        </is>
      </c>
      <c r="BJ241" t="n">
        <v>4</v>
      </c>
      <c r="BK241" t="inlineStr">
        <is>
          <t>CANCELADO</t>
        </is>
      </c>
      <c r="BV241" t="inlineStr">
        <is>
          <t>Si</t>
        </is>
      </c>
      <c r="BW241" s="76" t="n">
        <v>45993.73611111111</v>
      </c>
      <c r="BX241" t="inlineStr">
        <is>
          <t>Carla Michue M</t>
        </is>
      </c>
      <c r="BZ241" t="n">
        <v>16</v>
      </c>
      <c r="CA241" t="inlineStr">
        <is>
          <t>03/07/2026 19:10</t>
        </is>
      </c>
      <c r="CB241" t="n">
        <v>0</v>
      </c>
      <c r="CF241" t="inlineStr">
        <is>
          <t>Cobranzas_2025.csv</t>
        </is>
      </c>
      <c r="CG241" t="n">
        <v>2025</v>
      </c>
      <c r="CH241" t="inlineStr">
        <is>
          <t>01/01/2024</t>
        </is>
      </c>
      <c r="CI241" t="inlineStr">
        <is>
          <t>24/08/2031</t>
        </is>
      </c>
    </row>
    <row r="242">
      <c r="A242" t="inlineStr">
        <is>
          <t>RESIDENCIAL PRADA</t>
        </is>
      </c>
      <c r="B242" t="inlineStr">
        <is>
          <t>Etapa 1</t>
        </is>
      </c>
      <c r="C242" t="inlineStr">
        <is>
          <t>Edificio</t>
        </is>
      </c>
      <c r="D242" t="inlineStr">
        <is>
          <t>A</t>
        </is>
      </c>
      <c r="E242" t="inlineStr">
        <is>
          <t>Departamento</t>
        </is>
      </c>
      <c r="F242" t="inlineStr">
        <is>
          <t>1002</t>
        </is>
      </c>
      <c r="G242" t="n">
        <v>56</v>
      </c>
      <c r="H242" t="n">
        <v>0</v>
      </c>
      <c r="I242" s="39" t="n">
        <v>415000</v>
      </c>
      <c r="J242" s="39" t="n">
        <v>415000</v>
      </c>
      <c r="Q242" s="39" t="n"/>
      <c r="R242" s="39" t="n"/>
      <c r="Y242" s="39" t="n"/>
      <c r="Z242" s="39" t="n"/>
      <c r="AG242" s="39" t="n"/>
      <c r="AH242" s="39" t="n"/>
      <c r="AI242" t="inlineStr">
        <is>
          <t>Maria de los Angeles Ibañez Mogrovejo</t>
        </is>
      </c>
      <c r="AJ242" t="inlineStr">
        <is>
          <t>72190258</t>
        </is>
      </c>
      <c r="AK242" t="inlineStr">
        <is>
          <t xml:space="preserve">Coop.Colegio de Abogados Mz.ELT.1 </t>
        </is>
      </c>
      <c r="AM242" t="inlineStr">
        <is>
          <t>982570759</t>
        </is>
      </c>
      <c r="AN242" t="inlineStr">
        <is>
          <t>maria.benezmogrovejo@gmail.com</t>
        </is>
      </c>
      <c r="AO242" t="inlineStr">
        <is>
          <t>AREQUIPA</t>
        </is>
      </c>
      <c r="AP242" t="inlineStr">
        <is>
          <t>YANAHUARA</t>
        </is>
      </c>
      <c r="AQ242" s="75" t="n">
        <v>45746</v>
      </c>
      <c r="AR242" s="75" t="n">
        <v>46203</v>
      </c>
      <c r="AS242" t="inlineStr">
        <is>
          <t>SALDO FINANCIAR</t>
        </is>
      </c>
      <c r="AT242" t="n">
        <v>1</v>
      </c>
      <c r="AU242" t="n">
        <v>244000</v>
      </c>
      <c r="AV242" t="n">
        <v>0</v>
      </c>
      <c r="AW242" t="n">
        <v>0</v>
      </c>
      <c r="AX242" s="39" t="n">
        <v>244000</v>
      </c>
      <c r="AY242" s="39" t="n">
        <v>244000</v>
      </c>
      <c r="AZ242" s="39" t="n">
        <v>0</v>
      </c>
      <c r="BA242" t="n">
        <v>0</v>
      </c>
      <c r="BB242" t="inlineStr">
        <is>
          <t>Ahorro</t>
        </is>
      </c>
      <c r="BC242" t="inlineStr">
        <is>
          <t>Scotiabank Perú</t>
        </is>
      </c>
      <c r="BD242" t="inlineStr">
        <is>
          <t>000-2768484</t>
        </is>
      </c>
      <c r="BE242" t="inlineStr">
        <is>
          <t>TRANSFERENCIA BANCARIA</t>
        </is>
      </c>
      <c r="BG242" t="inlineStr">
        <is>
          <t>30062026</t>
        </is>
      </c>
      <c r="BH242" t="inlineStr">
        <is>
          <t>Si</t>
        </is>
      </c>
      <c r="BJ242" t="n">
        <v>4</v>
      </c>
      <c r="BK242" t="inlineStr">
        <is>
          <t>CANCELADO</t>
        </is>
      </c>
      <c r="BV242" t="inlineStr">
        <is>
          <t>Si</t>
        </is>
      </c>
      <c r="BW242" s="76" t="n">
        <v>45993.73611111111</v>
      </c>
      <c r="BX242" t="inlineStr">
        <is>
          <t>Carla Michue M</t>
        </is>
      </c>
      <c r="BZ242" t="n">
        <v>16</v>
      </c>
      <c r="CA242" t="inlineStr">
        <is>
          <t>03/07/2026 19:12</t>
        </is>
      </c>
      <c r="CB242" t="n">
        <v>0</v>
      </c>
      <c r="CF242" t="inlineStr">
        <is>
          <t>Cobranzas_2025.csv</t>
        </is>
      </c>
      <c r="CG242" t="n">
        <v>2025</v>
      </c>
      <c r="CH242" t="inlineStr">
        <is>
          <t>01/01/2024</t>
        </is>
      </c>
      <c r="CI242" t="inlineStr">
        <is>
          <t>24/08/2031</t>
        </is>
      </c>
    </row>
    <row r="243">
      <c r="A243" t="inlineStr">
        <is>
          <t>RESIDENCIAL VENECIA</t>
        </is>
      </c>
      <c r="B243" t="inlineStr">
        <is>
          <t>Etapa 1</t>
        </is>
      </c>
      <c r="C243" t="inlineStr">
        <is>
          <t>Edificio</t>
        </is>
      </c>
      <c r="D243" t="inlineStr">
        <is>
          <t>A</t>
        </is>
      </c>
      <c r="E243" t="inlineStr">
        <is>
          <t>Departamento</t>
        </is>
      </c>
      <c r="F243" t="inlineStr">
        <is>
          <t>205</t>
        </is>
      </c>
      <c r="G243" t="n">
        <v>61</v>
      </c>
      <c r="H243" t="n">
        <v>0</v>
      </c>
      <c r="I243" s="39" t="n">
        <v>386000</v>
      </c>
      <c r="J243" s="39" t="n">
        <v>386000</v>
      </c>
      <c r="K243" t="inlineStr">
        <is>
          <t>Edificio</t>
        </is>
      </c>
      <c r="L243" t="inlineStr">
        <is>
          <t>A</t>
        </is>
      </c>
      <c r="M243" t="inlineStr">
        <is>
          <t>Estacionamiento</t>
        </is>
      </c>
      <c r="N243" t="inlineStr">
        <is>
          <t>E 20</t>
        </is>
      </c>
      <c r="O243" t="n">
        <v>13.5</v>
      </c>
      <c r="P243" t="n">
        <v>0</v>
      </c>
      <c r="Q243" s="39" t="n">
        <v>46800</v>
      </c>
      <c r="R243" s="39" t="n">
        <v>46800</v>
      </c>
      <c r="Y243" s="39" t="n"/>
      <c r="Z243" s="39" t="n"/>
      <c r="AG243" s="39" t="n"/>
      <c r="AH243" s="39" t="n"/>
      <c r="AI243" t="inlineStr">
        <is>
          <t>Mariela Gabriela Zapata Santivañez</t>
        </is>
      </c>
      <c r="AJ243" t="inlineStr">
        <is>
          <t>47172559</t>
        </is>
      </c>
      <c r="AK243" t="inlineStr">
        <is>
          <t>Calle Manuel de Falla 233 - 237 Dpto. 102</t>
        </is>
      </c>
      <c r="AL243" t="n">
        <v>0</v>
      </c>
      <c r="AM243" t="inlineStr">
        <is>
          <t>998346460</t>
        </is>
      </c>
      <c r="AN243" t="inlineStr">
        <is>
          <t>g.zapata.santivanez@gmail.com</t>
        </is>
      </c>
      <c r="AO243" t="inlineStr">
        <is>
          <t>LIMA</t>
        </is>
      </c>
      <c r="AP243" t="inlineStr">
        <is>
          <t>SAN BORJA</t>
        </is>
      </c>
      <c r="AQ243" s="75" t="n">
        <v>46009</v>
      </c>
      <c r="AR243" s="75" t="n">
        <v>46009</v>
      </c>
      <c r="AS243" t="inlineStr">
        <is>
          <t>SEPARACION</t>
        </is>
      </c>
      <c r="AT243" t="n">
        <v>1</v>
      </c>
      <c r="AU243" t="n">
        <v>3000</v>
      </c>
      <c r="AV243" t="n">
        <v>0</v>
      </c>
      <c r="AW243" t="n">
        <v>0</v>
      </c>
      <c r="AX243" s="39" t="n">
        <v>3000</v>
      </c>
      <c r="AY243" s="39" t="n">
        <v>3000</v>
      </c>
      <c r="AZ243" s="39" t="n">
        <v>0</v>
      </c>
      <c r="BA243" t="n">
        <v>0</v>
      </c>
      <c r="BB243" t="inlineStr">
        <is>
          <t>Crédito Hipotecario</t>
        </is>
      </c>
      <c r="BC243" t="inlineStr">
        <is>
          <t>Scotiabank Perú</t>
        </is>
      </c>
      <c r="BD243" t="inlineStr">
        <is>
          <t>0004071419</t>
        </is>
      </c>
      <c r="BE243" t="inlineStr">
        <is>
          <t>TRANSFERENCIA BANCARIA</t>
        </is>
      </c>
      <c r="BG243" t="inlineStr">
        <is>
          <t>007246</t>
        </is>
      </c>
      <c r="BH243" t="inlineStr">
        <is>
          <t>No</t>
        </is>
      </c>
      <c r="BJ243" t="n">
        <v>4</v>
      </c>
      <c r="BK243" t="inlineStr">
        <is>
          <t>CANCELADO</t>
        </is>
      </c>
      <c r="BV243" t="inlineStr">
        <is>
          <t>Si</t>
        </is>
      </c>
      <c r="BW243" s="76" t="n">
        <v>46032.38194444445</v>
      </c>
      <c r="BX243" t="inlineStr">
        <is>
          <t>Magaly Guevara Perez</t>
        </is>
      </c>
      <c r="BZ243" t="n">
        <v>4</v>
      </c>
      <c r="CA243" t="inlineStr">
        <is>
          <t>14/07/2026 16:48</t>
        </is>
      </c>
      <c r="CB243" t="n">
        <v>0</v>
      </c>
      <c r="CF243" t="inlineStr">
        <is>
          <t>Cobranzas_2025.csv</t>
        </is>
      </c>
      <c r="CG243" t="n">
        <v>2025</v>
      </c>
      <c r="CH243" t="inlineStr">
        <is>
          <t>01/01/2024</t>
        </is>
      </c>
      <c r="CI243" t="inlineStr">
        <is>
          <t>24/08/2031</t>
        </is>
      </c>
    </row>
    <row r="244">
      <c r="A244" t="inlineStr">
        <is>
          <t>RESIDENCIAL PRADA</t>
        </is>
      </c>
      <c r="B244" t="inlineStr">
        <is>
          <t>Etapa 1</t>
        </is>
      </c>
      <c r="C244" t="inlineStr">
        <is>
          <t>Edificio</t>
        </is>
      </c>
      <c r="D244" t="inlineStr">
        <is>
          <t>A</t>
        </is>
      </c>
      <c r="E244" t="inlineStr">
        <is>
          <t>Departamento</t>
        </is>
      </c>
      <c r="F244" t="inlineStr">
        <is>
          <t>505</t>
        </is>
      </c>
      <c r="G244" t="n">
        <v>68.72</v>
      </c>
      <c r="H244" t="n">
        <v>0</v>
      </c>
      <c r="I244" s="39" t="n">
        <v>490000</v>
      </c>
      <c r="J244" s="39" t="n">
        <v>490000</v>
      </c>
      <c r="Q244" s="39" t="n"/>
      <c r="R244" s="39" t="n"/>
      <c r="Y244" s="39" t="n"/>
      <c r="Z244" s="39" t="n"/>
      <c r="AG244" s="39" t="n"/>
      <c r="AH244" s="39" t="n"/>
      <c r="AI244" t="inlineStr">
        <is>
          <t xml:space="preserve">Marina Francisca Vasquez Samaniego </t>
        </is>
      </c>
      <c r="AJ244" t="inlineStr">
        <is>
          <t>19907001</t>
        </is>
      </c>
      <c r="AK244" t="inlineStr">
        <is>
          <t>Huandoy 887</t>
        </is>
      </c>
      <c r="AL244" t="n">
        <v>964247615</v>
      </c>
      <c r="AM244" t="inlineStr">
        <is>
          <t>964247615</t>
        </is>
      </c>
      <c r="AN244" t="inlineStr">
        <is>
          <t>francisca4547@hotmail.com</t>
        </is>
      </c>
      <c r="AO244" t="inlineStr">
        <is>
          <t>LIMA</t>
        </is>
      </c>
      <c r="AP244" t="inlineStr">
        <is>
          <t>SAN MIGUEL</t>
        </is>
      </c>
      <c r="AQ244" s="75" t="n">
        <v>45682</v>
      </c>
      <c r="AR244" s="75" t="n">
        <v>45682</v>
      </c>
      <c r="AS244" t="inlineStr">
        <is>
          <t>CUOTA INICIAL</t>
        </is>
      </c>
      <c r="AT244" t="n">
        <v>2</v>
      </c>
      <c r="AU244" t="n">
        <v>10000</v>
      </c>
      <c r="AV244" t="n">
        <v>0</v>
      </c>
      <c r="AW244" t="n">
        <v>0</v>
      </c>
      <c r="AX244" s="39" t="n">
        <v>10000</v>
      </c>
      <c r="AY244" s="39" t="n">
        <v>10000</v>
      </c>
      <c r="AZ244" s="39" t="n">
        <v>0</v>
      </c>
      <c r="BA244" t="n">
        <v>0</v>
      </c>
      <c r="BB244" t="inlineStr">
        <is>
          <t>Crédito Hipotecario</t>
        </is>
      </c>
      <c r="BC244" t="inlineStr">
        <is>
          <t>Scotiabank Perú</t>
        </is>
      </c>
      <c r="BD244" t="inlineStr">
        <is>
          <t>000-2768484</t>
        </is>
      </c>
      <c r="BE244" t="inlineStr">
        <is>
          <t>TRANSFERENCIA BANCARIA</t>
        </is>
      </c>
      <c r="BF244" t="inlineStr">
        <is>
          <t>19907001</t>
        </is>
      </c>
      <c r="BG244" t="inlineStr">
        <is>
          <t>15623468</t>
        </is>
      </c>
      <c r="BH244" t="inlineStr">
        <is>
          <t>No</t>
        </is>
      </c>
      <c r="BI244" t="inlineStr">
        <is>
          <t>NO PRECISA</t>
        </is>
      </c>
      <c r="BJ244" t="n">
        <v>4</v>
      </c>
      <c r="BK244" t="inlineStr">
        <is>
          <t>CANCELADO</t>
        </is>
      </c>
      <c r="BV244" t="inlineStr">
        <is>
          <t>Si</t>
        </is>
      </c>
      <c r="BW244" s="76" t="n">
        <v>45652.61666666667</v>
      </c>
      <c r="BX244" t="inlineStr">
        <is>
          <t>Carla Michue M</t>
        </is>
      </c>
      <c r="BZ244" t="n">
        <v>37</v>
      </c>
      <c r="CA244" t="inlineStr">
        <is>
          <t>05/06/2026 09:11</t>
        </is>
      </c>
      <c r="CB244" t="n">
        <v>0</v>
      </c>
      <c r="CF244" t="inlineStr">
        <is>
          <t>Cobranzas_2025.csv</t>
        </is>
      </c>
      <c r="CG244" t="n">
        <v>2025</v>
      </c>
      <c r="CH244" t="inlineStr">
        <is>
          <t>01/01/2024</t>
        </is>
      </c>
      <c r="CI244" t="inlineStr">
        <is>
          <t>24/08/2031</t>
        </is>
      </c>
    </row>
    <row r="245">
      <c r="A245" t="inlineStr">
        <is>
          <t>RESIDENCIAL PRADA</t>
        </is>
      </c>
      <c r="B245" t="inlineStr">
        <is>
          <t>Etapa 1</t>
        </is>
      </c>
      <c r="C245" t="inlineStr">
        <is>
          <t>Edificio</t>
        </is>
      </c>
      <c r="D245" t="inlineStr">
        <is>
          <t>A</t>
        </is>
      </c>
      <c r="E245" t="inlineStr">
        <is>
          <t>Departamento</t>
        </is>
      </c>
      <c r="F245" t="inlineStr">
        <is>
          <t>505</t>
        </is>
      </c>
      <c r="G245" t="n">
        <v>68.72</v>
      </c>
      <c r="H245" t="n">
        <v>0</v>
      </c>
      <c r="I245" s="39" t="n">
        <v>490000</v>
      </c>
      <c r="J245" s="39" t="n">
        <v>490000</v>
      </c>
      <c r="Q245" s="39" t="n"/>
      <c r="R245" s="39" t="n"/>
      <c r="Y245" s="39" t="n"/>
      <c r="Z245" s="39" t="n"/>
      <c r="AG245" s="39" t="n"/>
      <c r="AH245" s="39" t="n"/>
      <c r="AI245" t="inlineStr">
        <is>
          <t xml:space="preserve">Marina Francisca Vasquez Samaniego </t>
        </is>
      </c>
      <c r="AJ245" t="inlineStr">
        <is>
          <t>19907001</t>
        </is>
      </c>
      <c r="AK245" t="inlineStr">
        <is>
          <t>Huandoy 887</t>
        </is>
      </c>
      <c r="AL245" t="n">
        <v>964247615</v>
      </c>
      <c r="AM245" t="inlineStr">
        <is>
          <t>964247615</t>
        </is>
      </c>
      <c r="AN245" t="inlineStr">
        <is>
          <t>francisca4547@hotmail.com</t>
        </is>
      </c>
      <c r="AO245" t="inlineStr">
        <is>
          <t>LIMA</t>
        </is>
      </c>
      <c r="AP245" t="inlineStr">
        <is>
          <t>SAN MIGUEL</t>
        </is>
      </c>
      <c r="AQ245" s="75" t="n">
        <v>45706</v>
      </c>
      <c r="AR245" s="75" t="n">
        <v>45709</v>
      </c>
      <c r="AS245" t="inlineStr">
        <is>
          <t>CUOTA INICIAL</t>
        </is>
      </c>
      <c r="AT245" t="n">
        <v>3</v>
      </c>
      <c r="AU245" t="n">
        <v>30000</v>
      </c>
      <c r="AV245" t="n">
        <v>0</v>
      </c>
      <c r="AW245" t="n">
        <v>0</v>
      </c>
      <c r="AX245" s="39" t="n">
        <v>30000</v>
      </c>
      <c r="AY245" s="39" t="n">
        <v>30000</v>
      </c>
      <c r="AZ245" s="39" t="n">
        <v>0</v>
      </c>
      <c r="BA245" t="n">
        <v>0</v>
      </c>
      <c r="BB245" t="inlineStr">
        <is>
          <t>Crédito Hipotecario</t>
        </is>
      </c>
      <c r="BC245" t="inlineStr">
        <is>
          <t>Scotiabank Perú</t>
        </is>
      </c>
      <c r="BD245" t="inlineStr">
        <is>
          <t>000-2768484</t>
        </is>
      </c>
      <c r="BE245" t="inlineStr">
        <is>
          <t>TRANSFERENCIA BANCARIA</t>
        </is>
      </c>
      <c r="BF245" t="inlineStr">
        <is>
          <t>19907001</t>
        </is>
      </c>
      <c r="BG245" t="inlineStr">
        <is>
          <t>050003001</t>
        </is>
      </c>
      <c r="BH245" t="inlineStr">
        <is>
          <t>No</t>
        </is>
      </c>
      <c r="BI245" t="inlineStr">
        <is>
          <t>NO PRECISA</t>
        </is>
      </c>
      <c r="BJ245" t="n">
        <v>4</v>
      </c>
      <c r="BK245" t="inlineStr">
        <is>
          <t>CANCELADO</t>
        </is>
      </c>
      <c r="BV245" t="inlineStr">
        <is>
          <t>Si</t>
        </is>
      </c>
      <c r="BW245" s="76" t="n">
        <v>45652.61666666667</v>
      </c>
      <c r="BX245" t="inlineStr">
        <is>
          <t>Carla Michue M</t>
        </is>
      </c>
      <c r="BZ245" t="n">
        <v>37</v>
      </c>
      <c r="CA245" t="inlineStr">
        <is>
          <t>05/06/2026 09:08</t>
        </is>
      </c>
      <c r="CB245" t="n">
        <v>0</v>
      </c>
      <c r="CF245" t="inlineStr">
        <is>
          <t>Cobranzas_2025.csv</t>
        </is>
      </c>
      <c r="CG245" t="n">
        <v>2025</v>
      </c>
      <c r="CH245" t="inlineStr">
        <is>
          <t>01/01/2024</t>
        </is>
      </c>
      <c r="CI245" t="inlineStr">
        <is>
          <t>24/08/2031</t>
        </is>
      </c>
    </row>
    <row r="246">
      <c r="A246" t="inlineStr">
        <is>
          <t>RESIDENCIAL PRADA</t>
        </is>
      </c>
      <c r="B246" t="inlineStr">
        <is>
          <t>Etapa 1</t>
        </is>
      </c>
      <c r="C246" t="inlineStr">
        <is>
          <t>Edificio</t>
        </is>
      </c>
      <c r="D246" t="inlineStr">
        <is>
          <t>A</t>
        </is>
      </c>
      <c r="E246" t="inlineStr">
        <is>
          <t>Departamento</t>
        </is>
      </c>
      <c r="F246" t="inlineStr">
        <is>
          <t>505</t>
        </is>
      </c>
      <c r="G246" t="n">
        <v>68.72</v>
      </c>
      <c r="H246" t="n">
        <v>0</v>
      </c>
      <c r="I246" s="39" t="n">
        <v>490000</v>
      </c>
      <c r="J246" s="39" t="n">
        <v>490000</v>
      </c>
      <c r="Q246" s="39" t="n"/>
      <c r="R246" s="39" t="n"/>
      <c r="Y246" s="39" t="n"/>
      <c r="Z246" s="39" t="n"/>
      <c r="AG246" s="39" t="n"/>
      <c r="AH246" s="39" t="n"/>
      <c r="AI246" t="inlineStr">
        <is>
          <t xml:space="preserve">Marina Francisca Vasquez Samaniego </t>
        </is>
      </c>
      <c r="AJ246" t="inlineStr">
        <is>
          <t>19907001</t>
        </is>
      </c>
      <c r="AK246" t="inlineStr">
        <is>
          <t>Huandoy 887</t>
        </is>
      </c>
      <c r="AL246" t="n">
        <v>964247615</v>
      </c>
      <c r="AM246" t="inlineStr">
        <is>
          <t>964247615</t>
        </is>
      </c>
      <c r="AN246" t="inlineStr">
        <is>
          <t>francisca4547@hotmail.com</t>
        </is>
      </c>
      <c r="AO246" t="inlineStr">
        <is>
          <t>LIMA</t>
        </is>
      </c>
      <c r="AP246" t="inlineStr">
        <is>
          <t>SAN MIGUEL</t>
        </is>
      </c>
      <c r="AQ246" s="75" t="n">
        <v>45746</v>
      </c>
      <c r="AR246" s="75" t="n">
        <v>45736</v>
      </c>
      <c r="AS246" t="inlineStr">
        <is>
          <t>SALDO FINANCIAR</t>
        </is>
      </c>
      <c r="AT246" t="n">
        <v>1</v>
      </c>
      <c r="AU246" t="n">
        <v>427000</v>
      </c>
      <c r="AV246" t="n">
        <v>0</v>
      </c>
      <c r="AW246" t="n">
        <v>0</v>
      </c>
      <c r="AX246" s="39" t="n">
        <v>427000</v>
      </c>
      <c r="AY246" s="39" t="n">
        <v>427000</v>
      </c>
      <c r="AZ246" s="39" t="n">
        <v>0</v>
      </c>
      <c r="BA246" t="n">
        <v>0</v>
      </c>
      <c r="BB246" t="inlineStr">
        <is>
          <t>Crédito Hipotecario</t>
        </is>
      </c>
      <c r="BC246" t="inlineStr">
        <is>
          <t>Scotiabank Perú</t>
        </is>
      </c>
      <c r="BD246" t="inlineStr">
        <is>
          <t>000-2768484</t>
        </is>
      </c>
      <c r="BE246" t="inlineStr">
        <is>
          <t>TRANSFERENCIA BANCARIA</t>
        </is>
      </c>
      <c r="BG246" t="inlineStr">
        <is>
          <t>20032025</t>
        </is>
      </c>
      <c r="BH246" t="inlineStr">
        <is>
          <t>No</t>
        </is>
      </c>
      <c r="BJ246" t="n">
        <v>4</v>
      </c>
      <c r="BK246" t="inlineStr">
        <is>
          <t>CANCELADO</t>
        </is>
      </c>
      <c r="BV246" t="inlineStr">
        <is>
          <t>Si</t>
        </is>
      </c>
      <c r="BW246" s="76" t="n">
        <v>45652.61666666667</v>
      </c>
      <c r="BX246" t="inlineStr">
        <is>
          <t>Carla Michue M</t>
        </is>
      </c>
      <c r="BZ246" t="n">
        <v>37</v>
      </c>
      <c r="CA246" t="inlineStr">
        <is>
          <t>07/07/2026 10:36</t>
        </is>
      </c>
      <c r="CB246" t="n">
        <v>0</v>
      </c>
      <c r="CF246" t="inlineStr">
        <is>
          <t>Cobranzas_2025.csv</t>
        </is>
      </c>
      <c r="CG246" t="n">
        <v>2025</v>
      </c>
      <c r="CH246" t="inlineStr">
        <is>
          <t>01/01/2024</t>
        </is>
      </c>
      <c r="CI246" t="inlineStr">
        <is>
          <t>24/08/2031</t>
        </is>
      </c>
    </row>
    <row r="247">
      <c r="A247" t="inlineStr">
        <is>
          <t>RESIDENCIAL BEYOND</t>
        </is>
      </c>
      <c r="B247" t="inlineStr">
        <is>
          <t>Etapa 1</t>
        </is>
      </c>
      <c r="C247" t="inlineStr">
        <is>
          <t>Edificio</t>
        </is>
      </c>
      <c r="D247" t="inlineStr">
        <is>
          <t>A</t>
        </is>
      </c>
      <c r="E247" t="inlineStr">
        <is>
          <t>Departamento</t>
        </is>
      </c>
      <c r="F247" t="inlineStr">
        <is>
          <t>605</t>
        </is>
      </c>
      <c r="G247" t="n">
        <v>72</v>
      </c>
      <c r="H247" t="n">
        <v>0</v>
      </c>
      <c r="I247" s="39" t="n">
        <v>532100</v>
      </c>
      <c r="J247" s="39" t="n">
        <v>495000</v>
      </c>
      <c r="Q247" s="39" t="n"/>
      <c r="R247" s="39" t="n"/>
      <c r="Y247" s="39" t="n"/>
      <c r="Z247" s="39" t="n"/>
      <c r="AG247" s="39" t="n"/>
      <c r="AH247" s="39" t="n"/>
      <c r="AI247" t="inlineStr">
        <is>
          <t>Mayra Andrea Montenegro Gomez</t>
        </is>
      </c>
      <c r="AJ247" t="inlineStr">
        <is>
          <t>73214647</t>
        </is>
      </c>
      <c r="AK247" t="inlineStr">
        <is>
          <t>Jr. Huiracocha 1740 Dpto. 202 Edif Maldonado</t>
        </is>
      </c>
      <c r="AL247" t="n">
        <v>0</v>
      </c>
      <c r="AM247" t="inlineStr">
        <is>
          <t>987505094</t>
        </is>
      </c>
      <c r="AN247" t="inlineStr">
        <is>
          <t>maya.monte18@hotmail.com</t>
        </is>
      </c>
      <c r="AO247" t="inlineStr">
        <is>
          <t>LIMA</t>
        </is>
      </c>
      <c r="AP247" t="inlineStr">
        <is>
          <t>JESUS MARIA</t>
        </is>
      </c>
      <c r="AQ247" s="75" t="n">
        <v>45844</v>
      </c>
      <c r="AR247" s="75" t="n">
        <v>45844</v>
      </c>
      <c r="AS247" t="inlineStr">
        <is>
          <t>SEPARACION</t>
        </is>
      </c>
      <c r="AT247" t="n">
        <v>1</v>
      </c>
      <c r="AU247" t="n">
        <v>3000</v>
      </c>
      <c r="AV247" t="n">
        <v>0</v>
      </c>
      <c r="AW247" t="n">
        <v>0</v>
      </c>
      <c r="AX247" s="39" t="n">
        <v>3000</v>
      </c>
      <c r="AY247" s="39" t="n">
        <v>3000</v>
      </c>
      <c r="AZ247" s="39" t="n">
        <v>0</v>
      </c>
      <c r="BA247" t="n">
        <v>0</v>
      </c>
      <c r="BB247" t="inlineStr">
        <is>
          <t>Crédito Hipotecario</t>
        </is>
      </c>
      <c r="BC247" t="inlineStr">
        <is>
          <t>Banco de Credito del Perú</t>
        </is>
      </c>
      <c r="BD247" t="inlineStr">
        <is>
          <t>194-7325779-0-65</t>
        </is>
      </c>
      <c r="BE247" t="inlineStr">
        <is>
          <t>TRANSFERENCIA BANCARIA</t>
        </is>
      </c>
      <c r="BG247" t="inlineStr">
        <is>
          <t>02111811</t>
        </is>
      </c>
      <c r="BH247" t="inlineStr">
        <is>
          <t>No</t>
        </is>
      </c>
      <c r="BJ247" t="n">
        <v>4</v>
      </c>
      <c r="BK247" t="inlineStr">
        <is>
          <t>CANCELADO</t>
        </is>
      </c>
      <c r="BV247" t="inlineStr">
        <is>
          <t>Si</t>
        </is>
      </c>
      <c r="BW247" s="76" t="n">
        <v>45868.40763888889</v>
      </c>
      <c r="BX247" t="inlineStr">
        <is>
          <t>Carla Michue M</t>
        </is>
      </c>
      <c r="BZ247" t="n">
        <v>22</v>
      </c>
      <c r="CA247" t="inlineStr">
        <is>
          <t>19/08/2026 12:06</t>
        </is>
      </c>
      <c r="CB247" t="n">
        <v>0</v>
      </c>
      <c r="CF247" t="inlineStr">
        <is>
          <t>Cobranzas_2025.csv</t>
        </is>
      </c>
      <c r="CG247" t="n">
        <v>2025</v>
      </c>
      <c r="CH247" t="inlineStr">
        <is>
          <t>01/01/2024</t>
        </is>
      </c>
      <c r="CI247" t="inlineStr">
        <is>
          <t>24/08/2031</t>
        </is>
      </c>
    </row>
    <row r="248">
      <c r="A248" t="inlineStr">
        <is>
          <t>RESIDENCIAL VENECIA</t>
        </is>
      </c>
      <c r="B248" t="inlineStr">
        <is>
          <t>Etapa 1</t>
        </is>
      </c>
      <c r="C248" t="inlineStr">
        <is>
          <t>Edificio</t>
        </is>
      </c>
      <c r="D248" t="inlineStr">
        <is>
          <t>A</t>
        </is>
      </c>
      <c r="E248" t="inlineStr">
        <is>
          <t>Departamento</t>
        </is>
      </c>
      <c r="F248" t="inlineStr">
        <is>
          <t>1005</t>
        </is>
      </c>
      <c r="G248" t="n">
        <v>58</v>
      </c>
      <c r="H248" t="n">
        <v>0</v>
      </c>
      <c r="I248" s="39" t="n">
        <v>372000</v>
      </c>
      <c r="J248" s="39" t="n">
        <v>372000</v>
      </c>
      <c r="Q248" s="39" t="n"/>
      <c r="R248" s="39" t="n"/>
      <c r="Y248" s="39" t="n"/>
      <c r="Z248" s="39" t="n"/>
      <c r="AG248" s="39" t="n"/>
      <c r="AH248" s="39" t="n"/>
      <c r="AI248" t="inlineStr">
        <is>
          <t>Noelia Abarca Chavez</t>
        </is>
      </c>
      <c r="AJ248" t="inlineStr">
        <is>
          <t>74834392</t>
        </is>
      </c>
      <c r="AK248" t="inlineStr">
        <is>
          <t xml:space="preserve"> Juan  Dávalos 570 Piso Nº2  Urbanización Pamplona Baj</t>
        </is>
      </c>
      <c r="AL248" t="n">
        <v>0</v>
      </c>
      <c r="AM248" t="inlineStr">
        <is>
          <t>977162821</t>
        </is>
      </c>
      <c r="AN248" t="inlineStr">
        <is>
          <t>noeliaabarca@outlook.com</t>
        </is>
      </c>
      <c r="AO248" t="inlineStr">
        <is>
          <t>LIMA</t>
        </is>
      </c>
      <c r="AP248" t="inlineStr">
        <is>
          <t>SAN JUAN DE MIRAFLORES</t>
        </is>
      </c>
      <c r="AQ248" s="75" t="n">
        <v>45878</v>
      </c>
      <c r="AR248" s="75" t="n">
        <v>45878</v>
      </c>
      <c r="AS248" t="inlineStr">
        <is>
          <t>SEPARACION</t>
        </is>
      </c>
      <c r="AT248" t="n">
        <v>1</v>
      </c>
      <c r="AU248" t="n">
        <v>18600</v>
      </c>
      <c r="AV248" t="n">
        <v>0</v>
      </c>
      <c r="AW248" t="n">
        <v>0</v>
      </c>
      <c r="AX248" s="39" t="n">
        <v>18600</v>
      </c>
      <c r="AY248" s="39" t="n">
        <v>18600</v>
      </c>
      <c r="AZ248" s="39" t="n">
        <v>0</v>
      </c>
      <c r="BA248" t="n">
        <v>0</v>
      </c>
      <c r="BB248" t="inlineStr">
        <is>
          <t>Crédito Hipotecario</t>
        </is>
      </c>
      <c r="BC248" t="inlineStr">
        <is>
          <t>Scotiabank Perú</t>
        </is>
      </c>
      <c r="BD248" t="inlineStr">
        <is>
          <t>0004071419</t>
        </is>
      </c>
      <c r="BE248" t="inlineStr">
        <is>
          <t>TRANSFERENCIA BANCARIA</t>
        </is>
      </c>
      <c r="BG248" t="inlineStr">
        <is>
          <t>1859313</t>
        </is>
      </c>
      <c r="BH248" t="inlineStr">
        <is>
          <t>No</t>
        </is>
      </c>
      <c r="BJ248" t="n">
        <v>4</v>
      </c>
      <c r="BK248" t="inlineStr">
        <is>
          <t>CANCELADO</t>
        </is>
      </c>
      <c r="BV248" t="inlineStr">
        <is>
          <t>Si</t>
        </is>
      </c>
      <c r="BW248" s="76" t="n">
        <v>45878.92083333333</v>
      </c>
      <c r="BX248" t="inlineStr">
        <is>
          <t>Magaly Guevara Perez</t>
        </is>
      </c>
      <c r="BZ248" t="n">
        <v>15</v>
      </c>
      <c r="CA248" t="inlineStr">
        <is>
          <t>24/05/2026 22:02</t>
        </is>
      </c>
      <c r="CB248" t="n">
        <v>0</v>
      </c>
      <c r="CF248" t="inlineStr">
        <is>
          <t>Cobranzas_2025.csv</t>
        </is>
      </c>
      <c r="CG248" t="n">
        <v>2025</v>
      </c>
      <c r="CH248" t="inlineStr">
        <is>
          <t>01/01/2024</t>
        </is>
      </c>
      <c r="CI248" t="inlineStr">
        <is>
          <t>24/08/2031</t>
        </is>
      </c>
    </row>
    <row r="249">
      <c r="A249" t="inlineStr">
        <is>
          <t>RESIDENCIAL VENECIA</t>
        </is>
      </c>
      <c r="B249" t="inlineStr">
        <is>
          <t>Etapa 1</t>
        </is>
      </c>
      <c r="C249" t="inlineStr">
        <is>
          <t>Edificio</t>
        </is>
      </c>
      <c r="D249" t="inlineStr">
        <is>
          <t>A</t>
        </is>
      </c>
      <c r="E249" t="inlineStr">
        <is>
          <t>Departamento</t>
        </is>
      </c>
      <c r="F249" t="inlineStr">
        <is>
          <t>601</t>
        </is>
      </c>
      <c r="G249" t="n">
        <v>78</v>
      </c>
      <c r="H249" t="n">
        <v>0</v>
      </c>
      <c r="I249" s="39" t="n">
        <v>545000</v>
      </c>
      <c r="J249" s="39" t="n">
        <v>545000</v>
      </c>
      <c r="K249" t="inlineStr">
        <is>
          <t>Edificio</t>
        </is>
      </c>
      <c r="L249" t="inlineStr">
        <is>
          <t>A</t>
        </is>
      </c>
      <c r="M249" t="inlineStr">
        <is>
          <t>Estacionamiento</t>
        </is>
      </c>
      <c r="N249" t="inlineStr">
        <is>
          <t>E 11</t>
        </is>
      </c>
      <c r="O249" t="n">
        <v>14.25</v>
      </c>
      <c r="P249" t="n">
        <v>0</v>
      </c>
      <c r="Q249" s="39" t="n">
        <v>50800</v>
      </c>
      <c r="R249" s="39" t="n">
        <v>50800</v>
      </c>
      <c r="Y249" s="39" t="n"/>
      <c r="Z249" s="39" t="n"/>
      <c r="AG249" s="39" t="n"/>
      <c r="AH249" s="39" t="n"/>
      <c r="AI249" t="inlineStr">
        <is>
          <t>Norma Luz Tello Contreras</t>
        </is>
      </c>
      <c r="AJ249" t="inlineStr">
        <is>
          <t>04063971</t>
        </is>
      </c>
      <c r="AK249" t="inlineStr">
        <is>
          <t>Av. Militar 1745 - Dpto. 1202</t>
        </is>
      </c>
      <c r="AL249" t="n">
        <v>0</v>
      </c>
      <c r="AM249" t="inlineStr">
        <is>
          <t>952305311</t>
        </is>
      </c>
      <c r="AN249" t="inlineStr">
        <is>
          <t>normatello@gmail.com</t>
        </is>
      </c>
      <c r="AO249" t="inlineStr">
        <is>
          <t>LIMA</t>
        </is>
      </c>
      <c r="AP249" t="inlineStr">
        <is>
          <t>LA VICTORIA</t>
        </is>
      </c>
      <c r="AQ249" s="75" t="n">
        <v>45831</v>
      </c>
      <c r="AR249" s="75" t="n">
        <v>45831</v>
      </c>
      <c r="AS249" t="inlineStr">
        <is>
          <t>SEPARACION</t>
        </is>
      </c>
      <c r="AT249" t="n">
        <v>1</v>
      </c>
      <c r="AU249" t="n">
        <v>3000</v>
      </c>
      <c r="AV249" t="n">
        <v>0</v>
      </c>
      <c r="AW249" t="n">
        <v>0</v>
      </c>
      <c r="AX249" s="39" t="n">
        <v>3000</v>
      </c>
      <c r="AY249" s="39" t="n">
        <v>3000</v>
      </c>
      <c r="AZ249" s="39" t="n">
        <v>0</v>
      </c>
      <c r="BA249" t="n">
        <v>0</v>
      </c>
      <c r="BB249" t="inlineStr">
        <is>
          <t>Crédito Directo</t>
        </is>
      </c>
      <c r="BC249" t="inlineStr">
        <is>
          <t>Scotiabank Perú</t>
        </is>
      </c>
      <c r="BD249" t="inlineStr">
        <is>
          <t>0004071419</t>
        </is>
      </c>
      <c r="BE249" t="inlineStr">
        <is>
          <t>TRANSFERENCIA BANCARIA</t>
        </is>
      </c>
      <c r="BG249" t="inlineStr">
        <is>
          <t>U26267</t>
        </is>
      </c>
      <c r="BH249" t="inlineStr">
        <is>
          <t>No</t>
        </is>
      </c>
      <c r="BJ249" t="n">
        <v>4</v>
      </c>
      <c r="BK249" t="inlineStr">
        <is>
          <t>CANCELADO</t>
        </is>
      </c>
      <c r="BV249" t="inlineStr">
        <is>
          <t>Si</t>
        </is>
      </c>
      <c r="BW249" s="76" t="n">
        <v>45857.51944444444</v>
      </c>
      <c r="BX249" t="inlineStr">
        <is>
          <t>Magaly Guevara Perez</t>
        </is>
      </c>
      <c r="BZ249" t="n">
        <v>11</v>
      </c>
      <c r="CA249" t="inlineStr">
        <is>
          <t>21/07/2026 14:18</t>
        </is>
      </c>
      <c r="CB249" t="n">
        <v>0</v>
      </c>
      <c r="CF249" t="inlineStr">
        <is>
          <t>Cobranzas_2025.csv</t>
        </is>
      </c>
      <c r="CG249" t="n">
        <v>2025</v>
      </c>
      <c r="CH249" t="inlineStr">
        <is>
          <t>01/01/2024</t>
        </is>
      </c>
      <c r="CI249" t="inlineStr">
        <is>
          <t>24/08/2031</t>
        </is>
      </c>
    </row>
    <row r="250">
      <c r="A250" t="inlineStr">
        <is>
          <t>RESIDENCIAL VENECIA</t>
        </is>
      </c>
      <c r="B250" t="inlineStr">
        <is>
          <t>Etapa 1</t>
        </is>
      </c>
      <c r="C250" t="inlineStr">
        <is>
          <t>Edificio</t>
        </is>
      </c>
      <c r="D250" t="inlineStr">
        <is>
          <t>A</t>
        </is>
      </c>
      <c r="E250" t="inlineStr">
        <is>
          <t>Departamento</t>
        </is>
      </c>
      <c r="F250" t="inlineStr">
        <is>
          <t>601</t>
        </is>
      </c>
      <c r="G250" t="n">
        <v>78</v>
      </c>
      <c r="H250" t="n">
        <v>0</v>
      </c>
      <c r="I250" s="39" t="n">
        <v>545000</v>
      </c>
      <c r="J250" s="39" t="n">
        <v>545000</v>
      </c>
      <c r="K250" t="inlineStr">
        <is>
          <t>Edificio</t>
        </is>
      </c>
      <c r="L250" t="inlineStr">
        <is>
          <t>A</t>
        </is>
      </c>
      <c r="M250" t="inlineStr">
        <is>
          <t>Estacionamiento</t>
        </is>
      </c>
      <c r="N250" t="inlineStr">
        <is>
          <t>E 11</t>
        </is>
      </c>
      <c r="O250" t="n">
        <v>14.25</v>
      </c>
      <c r="P250" t="n">
        <v>0</v>
      </c>
      <c r="Q250" s="39" t="n">
        <v>50800</v>
      </c>
      <c r="R250" s="39" t="n">
        <v>50800</v>
      </c>
      <c r="Y250" s="39" t="n"/>
      <c r="Z250" s="39" t="n"/>
      <c r="AG250" s="39" t="n"/>
      <c r="AH250" s="39" t="n"/>
      <c r="AI250" t="inlineStr">
        <is>
          <t>Norma Luz Tello Contreras</t>
        </is>
      </c>
      <c r="AJ250" t="inlineStr">
        <is>
          <t>04063971</t>
        </is>
      </c>
      <c r="AK250" t="inlineStr">
        <is>
          <t>Av. Militar 1745 - Dpto. 1202</t>
        </is>
      </c>
      <c r="AL250" t="n">
        <v>0</v>
      </c>
      <c r="AM250" t="inlineStr">
        <is>
          <t>952305311</t>
        </is>
      </c>
      <c r="AN250" t="inlineStr">
        <is>
          <t>normatello@gmail.com</t>
        </is>
      </c>
      <c r="AO250" t="inlineStr">
        <is>
          <t>LIMA</t>
        </is>
      </c>
      <c r="AP250" t="inlineStr">
        <is>
          <t>LA VICTORIA</t>
        </is>
      </c>
      <c r="AQ250" s="75" t="n">
        <v>45876</v>
      </c>
      <c r="AR250" s="75" t="n">
        <v>45876</v>
      </c>
      <c r="AS250" t="inlineStr">
        <is>
          <t>CUOTA INICIAL</t>
        </is>
      </c>
      <c r="AT250" t="n">
        <v>1</v>
      </c>
      <c r="AU250" t="n">
        <v>72000</v>
      </c>
      <c r="AV250" t="n">
        <v>0</v>
      </c>
      <c r="AW250" t="n">
        <v>0</v>
      </c>
      <c r="AX250" s="39" t="n">
        <v>72000</v>
      </c>
      <c r="AY250" s="39" t="n">
        <v>72000</v>
      </c>
      <c r="AZ250" s="39" t="n">
        <v>0</v>
      </c>
      <c r="BA250" t="n">
        <v>0</v>
      </c>
      <c r="BB250" t="inlineStr">
        <is>
          <t>Crédito Directo</t>
        </is>
      </c>
      <c r="BC250" t="inlineStr">
        <is>
          <t>Scotiabank Perú</t>
        </is>
      </c>
      <c r="BD250" t="inlineStr">
        <is>
          <t>0004071419</t>
        </is>
      </c>
      <c r="BE250" t="inlineStr">
        <is>
          <t>TRANSFERENCIA BANCARIA</t>
        </is>
      </c>
      <c r="BG250" t="inlineStr">
        <is>
          <t>U28740</t>
        </is>
      </c>
      <c r="BH250" t="inlineStr">
        <is>
          <t>No</t>
        </is>
      </c>
      <c r="BJ250" t="n">
        <v>4</v>
      </c>
      <c r="BK250" t="inlineStr">
        <is>
          <t>CANCELADO</t>
        </is>
      </c>
      <c r="BV250" t="inlineStr">
        <is>
          <t>Si</t>
        </is>
      </c>
      <c r="BW250" s="76" t="n">
        <v>45857.51944444444</v>
      </c>
      <c r="BX250" t="inlineStr">
        <is>
          <t>Magaly Guevara Perez</t>
        </is>
      </c>
      <c r="BZ250" t="n">
        <v>11</v>
      </c>
      <c r="CA250" t="inlineStr">
        <is>
          <t>21/07/2026 14:21</t>
        </is>
      </c>
      <c r="CB250" t="n">
        <v>0</v>
      </c>
      <c r="CF250" t="inlineStr">
        <is>
          <t>Cobranzas_2025.csv</t>
        </is>
      </c>
      <c r="CG250" t="n">
        <v>2025</v>
      </c>
      <c r="CH250" t="inlineStr">
        <is>
          <t>01/01/2024</t>
        </is>
      </c>
      <c r="CI250" t="inlineStr">
        <is>
          <t>24/08/2031</t>
        </is>
      </c>
    </row>
    <row r="251">
      <c r="A251" t="inlineStr">
        <is>
          <t>RESIDENCIAL VENECIA</t>
        </is>
      </c>
      <c r="B251" t="inlineStr">
        <is>
          <t>Etapa 1</t>
        </is>
      </c>
      <c r="C251" t="inlineStr">
        <is>
          <t>Edificio</t>
        </is>
      </c>
      <c r="D251" t="inlineStr">
        <is>
          <t>A</t>
        </is>
      </c>
      <c r="E251" t="inlineStr">
        <is>
          <t>Departamento</t>
        </is>
      </c>
      <c r="F251" t="inlineStr">
        <is>
          <t>601</t>
        </is>
      </c>
      <c r="G251" t="n">
        <v>78</v>
      </c>
      <c r="H251" t="n">
        <v>0</v>
      </c>
      <c r="I251" s="39" t="n">
        <v>545000</v>
      </c>
      <c r="J251" s="39" t="n">
        <v>545000</v>
      </c>
      <c r="K251" t="inlineStr">
        <is>
          <t>Edificio</t>
        </is>
      </c>
      <c r="L251" t="inlineStr">
        <is>
          <t>A</t>
        </is>
      </c>
      <c r="M251" t="inlineStr">
        <is>
          <t>Estacionamiento</t>
        </is>
      </c>
      <c r="N251" t="inlineStr">
        <is>
          <t>E 11</t>
        </is>
      </c>
      <c r="O251" t="n">
        <v>14.25</v>
      </c>
      <c r="P251" t="n">
        <v>0</v>
      </c>
      <c r="Q251" s="39" t="n">
        <v>50800</v>
      </c>
      <c r="R251" s="39" t="n">
        <v>50800</v>
      </c>
      <c r="Y251" s="39" t="n"/>
      <c r="Z251" s="39" t="n"/>
      <c r="AG251" s="39" t="n"/>
      <c r="AH251" s="39" t="n"/>
      <c r="AI251" t="inlineStr">
        <is>
          <t>Norma Luz Tello Contreras</t>
        </is>
      </c>
      <c r="AJ251" t="inlineStr">
        <is>
          <t>04063971</t>
        </is>
      </c>
      <c r="AK251" t="inlineStr">
        <is>
          <t>Av. Militar 1745 - Dpto. 1202</t>
        </is>
      </c>
      <c r="AL251" t="n">
        <v>0</v>
      </c>
      <c r="AM251" t="inlineStr">
        <is>
          <t>952305311</t>
        </is>
      </c>
      <c r="AN251" t="inlineStr">
        <is>
          <t>normatello@gmail.com</t>
        </is>
      </c>
      <c r="AO251" t="inlineStr">
        <is>
          <t>LIMA</t>
        </is>
      </c>
      <c r="AP251" t="inlineStr">
        <is>
          <t>LA VICTORIA</t>
        </is>
      </c>
      <c r="AQ251" s="75" t="n">
        <v>45883</v>
      </c>
      <c r="AR251" s="75" t="n">
        <v>45883</v>
      </c>
      <c r="AS251" t="inlineStr">
        <is>
          <t>CUOTA INICIAL</t>
        </is>
      </c>
      <c r="AT251" t="n">
        <v>2</v>
      </c>
      <c r="AU251" t="n">
        <v>70000</v>
      </c>
      <c r="AV251" t="n">
        <v>0</v>
      </c>
      <c r="AW251" t="n">
        <v>0</v>
      </c>
      <c r="AX251" s="39" t="n">
        <v>70000</v>
      </c>
      <c r="AY251" s="39" t="n">
        <v>70000</v>
      </c>
      <c r="AZ251" s="39" t="n">
        <v>0</v>
      </c>
      <c r="BA251" t="n">
        <v>0</v>
      </c>
      <c r="BB251" t="inlineStr">
        <is>
          <t>Crédito Directo</t>
        </is>
      </c>
      <c r="BC251" t="inlineStr">
        <is>
          <t>Scotiabank Perú</t>
        </is>
      </c>
      <c r="BD251" t="inlineStr">
        <is>
          <t>0004071419</t>
        </is>
      </c>
      <c r="BE251" t="inlineStr">
        <is>
          <t>TRANSFERENCIA BANCARIA</t>
        </is>
      </c>
      <c r="BG251" t="inlineStr">
        <is>
          <t>261843</t>
        </is>
      </c>
      <c r="BH251" t="inlineStr">
        <is>
          <t>No</t>
        </is>
      </c>
      <c r="BJ251" t="n">
        <v>4</v>
      </c>
      <c r="BK251" t="inlineStr">
        <is>
          <t>CANCELADO</t>
        </is>
      </c>
      <c r="BV251" t="inlineStr">
        <is>
          <t>Si</t>
        </is>
      </c>
      <c r="BW251" s="76" t="n">
        <v>45857.51944444444</v>
      </c>
      <c r="BX251" t="inlineStr">
        <is>
          <t>Magaly Guevara Perez</t>
        </is>
      </c>
      <c r="BZ251" t="n">
        <v>11</v>
      </c>
      <c r="CA251" t="inlineStr">
        <is>
          <t>21/07/2026 14:19</t>
        </is>
      </c>
      <c r="CB251" t="n">
        <v>0</v>
      </c>
      <c r="CF251" t="inlineStr">
        <is>
          <t>Cobranzas_2025.csv</t>
        </is>
      </c>
      <c r="CG251" t="n">
        <v>2025</v>
      </c>
      <c r="CH251" t="inlineStr">
        <is>
          <t>01/01/2024</t>
        </is>
      </c>
      <c r="CI251" t="inlineStr">
        <is>
          <t>24/08/2031</t>
        </is>
      </c>
    </row>
    <row r="252">
      <c r="A252" t="inlineStr">
        <is>
          <t>RESIDENCIAL VENECIA</t>
        </is>
      </c>
      <c r="B252" t="inlineStr">
        <is>
          <t>Etapa 1</t>
        </is>
      </c>
      <c r="C252" t="inlineStr">
        <is>
          <t>Edificio</t>
        </is>
      </c>
      <c r="D252" t="inlineStr">
        <is>
          <t>A</t>
        </is>
      </c>
      <c r="E252" t="inlineStr">
        <is>
          <t>Departamento</t>
        </is>
      </c>
      <c r="F252" t="inlineStr">
        <is>
          <t>601</t>
        </is>
      </c>
      <c r="G252" t="n">
        <v>78</v>
      </c>
      <c r="H252" t="n">
        <v>0</v>
      </c>
      <c r="I252" s="39" t="n">
        <v>545000</v>
      </c>
      <c r="J252" s="39" t="n">
        <v>545000</v>
      </c>
      <c r="K252" t="inlineStr">
        <is>
          <t>Edificio</t>
        </is>
      </c>
      <c r="L252" t="inlineStr">
        <is>
          <t>A</t>
        </is>
      </c>
      <c r="M252" t="inlineStr">
        <is>
          <t>Estacionamiento</t>
        </is>
      </c>
      <c r="N252" t="inlineStr">
        <is>
          <t>E 11</t>
        </is>
      </c>
      <c r="O252" t="n">
        <v>14.25</v>
      </c>
      <c r="P252" t="n">
        <v>0</v>
      </c>
      <c r="Q252" s="39" t="n">
        <v>50800</v>
      </c>
      <c r="R252" s="39" t="n">
        <v>50800</v>
      </c>
      <c r="Y252" s="39" t="n"/>
      <c r="Z252" s="39" t="n"/>
      <c r="AG252" s="39" t="n"/>
      <c r="AH252" s="39" t="n"/>
      <c r="AI252" t="inlineStr">
        <is>
          <t>Norma Luz Tello Contreras</t>
        </is>
      </c>
      <c r="AJ252" t="inlineStr">
        <is>
          <t>04063971</t>
        </is>
      </c>
      <c r="AK252" t="inlineStr">
        <is>
          <t>Av. Militar 1745 - Dpto. 1202</t>
        </is>
      </c>
      <c r="AL252" t="n">
        <v>0</v>
      </c>
      <c r="AM252" t="inlineStr">
        <is>
          <t>952305311</t>
        </is>
      </c>
      <c r="AN252" t="inlineStr">
        <is>
          <t>normatello@gmail.com</t>
        </is>
      </c>
      <c r="AO252" t="inlineStr">
        <is>
          <t>LIMA</t>
        </is>
      </c>
      <c r="AP252" t="inlineStr">
        <is>
          <t>LA VICTORIA</t>
        </is>
      </c>
      <c r="AQ252" s="75" t="n">
        <v>45944</v>
      </c>
      <c r="AR252" s="75" t="n">
        <v>45855</v>
      </c>
      <c r="AS252" t="inlineStr">
        <is>
          <t>CUOTA INICIAL</t>
        </is>
      </c>
      <c r="AT252" t="n">
        <v>3</v>
      </c>
      <c r="AU252" t="n">
        <v>95000</v>
      </c>
      <c r="AV252" t="n">
        <v>0</v>
      </c>
      <c r="AW252" t="n">
        <v>0</v>
      </c>
      <c r="AX252" s="39" t="n">
        <v>95000</v>
      </c>
      <c r="AY252" s="39" t="n">
        <v>95000</v>
      </c>
      <c r="AZ252" s="39" t="n">
        <v>0</v>
      </c>
      <c r="BA252" t="n">
        <v>0</v>
      </c>
      <c r="BB252" t="inlineStr">
        <is>
          <t>Crédito Directo</t>
        </is>
      </c>
      <c r="BC252" t="inlineStr">
        <is>
          <t>Scotiabank Perú</t>
        </is>
      </c>
      <c r="BD252" t="inlineStr">
        <is>
          <t>0004071419</t>
        </is>
      </c>
      <c r="BE252" t="inlineStr">
        <is>
          <t>TRANSFERENCIA BANCARIA</t>
        </is>
      </c>
      <c r="BG252" t="inlineStr">
        <is>
          <t>0439131</t>
        </is>
      </c>
      <c r="BH252" t="inlineStr">
        <is>
          <t>No</t>
        </is>
      </c>
      <c r="BJ252" t="n">
        <v>4</v>
      </c>
      <c r="BK252" t="inlineStr">
        <is>
          <t>CANCELADO</t>
        </is>
      </c>
      <c r="BV252" t="inlineStr">
        <is>
          <t>Si</t>
        </is>
      </c>
      <c r="BW252" s="76" t="n">
        <v>45857.51944444444</v>
      </c>
      <c r="BX252" t="inlineStr">
        <is>
          <t>Magaly Guevara Perez</t>
        </is>
      </c>
      <c r="BZ252" t="n">
        <v>11</v>
      </c>
      <c r="CA252" t="inlineStr">
        <is>
          <t>19/08/2026 08:34</t>
        </is>
      </c>
      <c r="CB252" t="n">
        <v>0</v>
      </c>
      <c r="CF252" t="inlineStr">
        <is>
          <t>Cobranzas_2025.csv</t>
        </is>
      </c>
      <c r="CG252" t="n">
        <v>2025</v>
      </c>
      <c r="CH252" t="inlineStr">
        <is>
          <t>01/01/2024</t>
        </is>
      </c>
      <c r="CI252" t="inlineStr">
        <is>
          <t>24/08/2031</t>
        </is>
      </c>
    </row>
    <row r="253">
      <c r="A253" t="inlineStr">
        <is>
          <t>RESIDENCIAL VENECIA</t>
        </is>
      </c>
      <c r="B253" t="inlineStr">
        <is>
          <t>Etapa 1</t>
        </is>
      </c>
      <c r="C253" t="inlineStr">
        <is>
          <t>Edificio</t>
        </is>
      </c>
      <c r="D253" t="inlineStr">
        <is>
          <t>A</t>
        </is>
      </c>
      <c r="E253" t="inlineStr">
        <is>
          <t>Departamento</t>
        </is>
      </c>
      <c r="F253" t="inlineStr">
        <is>
          <t>601</t>
        </is>
      </c>
      <c r="G253" t="n">
        <v>78</v>
      </c>
      <c r="H253" t="n">
        <v>0</v>
      </c>
      <c r="I253" s="39" t="n">
        <v>545000</v>
      </c>
      <c r="J253" s="39" t="n">
        <v>545000</v>
      </c>
      <c r="K253" t="inlineStr">
        <is>
          <t>Edificio</t>
        </is>
      </c>
      <c r="L253" t="inlineStr">
        <is>
          <t>A</t>
        </is>
      </c>
      <c r="M253" t="inlineStr">
        <is>
          <t>Estacionamiento</t>
        </is>
      </c>
      <c r="N253" t="inlineStr">
        <is>
          <t>E 11</t>
        </is>
      </c>
      <c r="O253" t="n">
        <v>14.25</v>
      </c>
      <c r="P253" t="n">
        <v>0</v>
      </c>
      <c r="Q253" s="39" t="n">
        <v>50800</v>
      </c>
      <c r="R253" s="39" t="n">
        <v>50800</v>
      </c>
      <c r="Y253" s="39" t="n"/>
      <c r="Z253" s="39" t="n"/>
      <c r="AG253" s="39" t="n"/>
      <c r="AH253" s="39" t="n"/>
      <c r="AI253" t="inlineStr">
        <is>
          <t>Norma Luz Tello Contreras</t>
        </is>
      </c>
      <c r="AJ253" t="inlineStr">
        <is>
          <t>04063971</t>
        </is>
      </c>
      <c r="AK253" t="inlineStr">
        <is>
          <t>Av. Militar 1745 - Dpto. 1202</t>
        </is>
      </c>
      <c r="AL253" t="n">
        <v>0</v>
      </c>
      <c r="AM253" t="inlineStr">
        <is>
          <t>952305311</t>
        </is>
      </c>
      <c r="AN253" t="inlineStr">
        <is>
          <t>normatello@gmail.com</t>
        </is>
      </c>
      <c r="AO253" t="inlineStr">
        <is>
          <t>LIMA</t>
        </is>
      </c>
      <c r="AP253" t="inlineStr">
        <is>
          <t>LA VICTORIA</t>
        </is>
      </c>
      <c r="AQ253" s="75" t="n">
        <v>45930</v>
      </c>
      <c r="AR253" s="75" t="n">
        <v>45896</v>
      </c>
      <c r="AS253" t="inlineStr">
        <is>
          <t>SALDO FINANCIAR</t>
        </is>
      </c>
      <c r="AT253" t="n">
        <v>1</v>
      </c>
      <c r="AU253" t="n">
        <v>6800</v>
      </c>
      <c r="AV253" t="n">
        <v>0</v>
      </c>
      <c r="AW253" t="n">
        <v>0</v>
      </c>
      <c r="AX253" s="39" t="n">
        <v>6800</v>
      </c>
      <c r="AY253" s="39" t="n">
        <v>6800</v>
      </c>
      <c r="AZ253" s="39" t="n">
        <v>0</v>
      </c>
      <c r="BA253" t="n">
        <v>0</v>
      </c>
      <c r="BB253" t="inlineStr">
        <is>
          <t>Crédito Directo</t>
        </is>
      </c>
      <c r="BC253" t="inlineStr">
        <is>
          <t>Scotiabank Perú</t>
        </is>
      </c>
      <c r="BD253" t="inlineStr">
        <is>
          <t>0004071419</t>
        </is>
      </c>
      <c r="BE253" t="inlineStr">
        <is>
          <t>TRANSFERENCIA BANCARIA</t>
        </is>
      </c>
      <c r="BF253" t="inlineStr">
        <is>
          <t>22079563</t>
        </is>
      </c>
      <c r="BG253" t="inlineStr">
        <is>
          <t>0500010134</t>
        </is>
      </c>
      <c r="BH253" t="inlineStr">
        <is>
          <t>No</t>
        </is>
      </c>
      <c r="BI253" t="inlineStr">
        <is>
          <t>NO PRECISA</t>
        </is>
      </c>
      <c r="BJ253" t="n">
        <v>4</v>
      </c>
      <c r="BK253" t="inlineStr">
        <is>
          <t>CANCELADO</t>
        </is>
      </c>
      <c r="BV253" t="inlineStr">
        <is>
          <t>Si</t>
        </is>
      </c>
      <c r="BW253" s="76" t="n">
        <v>45857.51944444444</v>
      </c>
      <c r="BX253" t="inlineStr">
        <is>
          <t>Magaly Guevara Perez</t>
        </is>
      </c>
      <c r="BZ253" t="n">
        <v>11</v>
      </c>
      <c r="CA253" t="inlineStr">
        <is>
          <t>04/06/2026 09:05</t>
        </is>
      </c>
      <c r="CB253" t="n">
        <v>0</v>
      </c>
      <c r="CF253" t="inlineStr">
        <is>
          <t>Cobranzas_2025.csv</t>
        </is>
      </c>
      <c r="CG253" t="n">
        <v>2025</v>
      </c>
      <c r="CH253" t="inlineStr">
        <is>
          <t>01/01/2024</t>
        </is>
      </c>
      <c r="CI253" t="inlineStr">
        <is>
          <t>24/08/2031</t>
        </is>
      </c>
    </row>
    <row r="254">
      <c r="A254" t="inlineStr">
        <is>
          <t>RESIDENCIAL VENECIA</t>
        </is>
      </c>
      <c r="B254" t="inlineStr">
        <is>
          <t>Etapa 1</t>
        </is>
      </c>
      <c r="C254" t="inlineStr">
        <is>
          <t>Edificio</t>
        </is>
      </c>
      <c r="D254" t="inlineStr">
        <is>
          <t>A</t>
        </is>
      </c>
      <c r="E254" t="inlineStr">
        <is>
          <t>Departamento</t>
        </is>
      </c>
      <c r="F254" t="inlineStr">
        <is>
          <t>601</t>
        </is>
      </c>
      <c r="G254" t="n">
        <v>78</v>
      </c>
      <c r="H254" t="n">
        <v>0</v>
      </c>
      <c r="I254" s="39" t="n">
        <v>545000</v>
      </c>
      <c r="J254" s="39" t="n">
        <v>545000</v>
      </c>
      <c r="K254" t="inlineStr">
        <is>
          <t>Edificio</t>
        </is>
      </c>
      <c r="L254" t="inlineStr">
        <is>
          <t>A</t>
        </is>
      </c>
      <c r="M254" t="inlineStr">
        <is>
          <t>Estacionamiento</t>
        </is>
      </c>
      <c r="N254" t="inlineStr">
        <is>
          <t>E 11</t>
        </is>
      </c>
      <c r="O254" t="n">
        <v>14.25</v>
      </c>
      <c r="P254" t="n">
        <v>0</v>
      </c>
      <c r="Q254" s="39" t="n">
        <v>50800</v>
      </c>
      <c r="R254" s="39" t="n">
        <v>50800</v>
      </c>
      <c r="Y254" s="39" t="n"/>
      <c r="Z254" s="39" t="n"/>
      <c r="AG254" s="39" t="n"/>
      <c r="AH254" s="39" t="n"/>
      <c r="AI254" t="inlineStr">
        <is>
          <t>Norma Luz Tello Contreras</t>
        </is>
      </c>
      <c r="AJ254" t="inlineStr">
        <is>
          <t>04063971</t>
        </is>
      </c>
      <c r="AK254" t="inlineStr">
        <is>
          <t>Av. Militar 1745 - Dpto. 1202</t>
        </is>
      </c>
      <c r="AL254" t="n">
        <v>0</v>
      </c>
      <c r="AM254" t="inlineStr">
        <is>
          <t>952305311</t>
        </is>
      </c>
      <c r="AN254" t="inlineStr">
        <is>
          <t>normatello@gmail.com</t>
        </is>
      </c>
      <c r="AO254" t="inlineStr">
        <is>
          <t>LIMA</t>
        </is>
      </c>
      <c r="AP254" t="inlineStr">
        <is>
          <t>LA VICTORIA</t>
        </is>
      </c>
      <c r="AQ254" s="75" t="n">
        <v>45960</v>
      </c>
      <c r="AR254" s="75" t="n">
        <v>45932</v>
      </c>
      <c r="AS254" t="inlineStr">
        <is>
          <t>SALDO FINANCIAR</t>
        </is>
      </c>
      <c r="AT254" t="n">
        <v>2</v>
      </c>
      <c r="AU254" t="n">
        <v>7500</v>
      </c>
      <c r="AV254" t="n">
        <v>0</v>
      </c>
      <c r="AW254" t="n">
        <v>0</v>
      </c>
      <c r="AX254" s="39" t="n">
        <v>7500</v>
      </c>
      <c r="AY254" s="39" t="n">
        <v>7500</v>
      </c>
      <c r="AZ254" s="39" t="n">
        <v>0</v>
      </c>
      <c r="BA254" t="n">
        <v>0</v>
      </c>
      <c r="BB254" t="inlineStr">
        <is>
          <t>Crédito Directo</t>
        </is>
      </c>
      <c r="BC254" t="inlineStr">
        <is>
          <t>Scotiabank Perú</t>
        </is>
      </c>
      <c r="BD254" t="inlineStr">
        <is>
          <t>0004071419</t>
        </is>
      </c>
      <c r="BE254" t="inlineStr">
        <is>
          <t>TRANSFERENCIA BANCARIA</t>
        </is>
      </c>
      <c r="BF254" t="inlineStr">
        <is>
          <t>22079563</t>
        </is>
      </c>
      <c r="BG254" t="inlineStr">
        <is>
          <t>0500010144</t>
        </is>
      </c>
      <c r="BH254" t="inlineStr">
        <is>
          <t>No</t>
        </is>
      </c>
      <c r="BI254" t="inlineStr">
        <is>
          <t>NO PRECISA</t>
        </is>
      </c>
      <c r="BJ254" t="n">
        <v>4</v>
      </c>
      <c r="BK254" t="inlineStr">
        <is>
          <t>CANCELADO</t>
        </is>
      </c>
      <c r="BV254" t="inlineStr">
        <is>
          <t>Si</t>
        </is>
      </c>
      <c r="BW254" s="76" t="n">
        <v>45857.51944444444</v>
      </c>
      <c r="BX254" t="inlineStr">
        <is>
          <t>Magaly Guevara Perez</t>
        </is>
      </c>
      <c r="BZ254" t="n">
        <v>11</v>
      </c>
      <c r="CA254" t="inlineStr">
        <is>
          <t>04/06/2026 09:17</t>
        </is>
      </c>
      <c r="CB254" t="n">
        <v>0</v>
      </c>
      <c r="CF254" t="inlineStr">
        <is>
          <t>Cobranzas_2025.csv</t>
        </is>
      </c>
      <c r="CG254" t="n">
        <v>2025</v>
      </c>
      <c r="CH254" t="inlineStr">
        <is>
          <t>01/01/2024</t>
        </is>
      </c>
      <c r="CI254" t="inlineStr">
        <is>
          <t>24/08/2031</t>
        </is>
      </c>
    </row>
    <row r="255">
      <c r="A255" t="inlineStr">
        <is>
          <t>RESIDENCIAL VENECIA</t>
        </is>
      </c>
      <c r="B255" t="inlineStr">
        <is>
          <t>Etapa 1</t>
        </is>
      </c>
      <c r="C255" t="inlineStr">
        <is>
          <t>Edificio</t>
        </is>
      </c>
      <c r="D255" t="inlineStr">
        <is>
          <t>A</t>
        </is>
      </c>
      <c r="E255" t="inlineStr">
        <is>
          <t>Departamento</t>
        </is>
      </c>
      <c r="F255" t="inlineStr">
        <is>
          <t>601</t>
        </is>
      </c>
      <c r="G255" t="n">
        <v>78</v>
      </c>
      <c r="H255" t="n">
        <v>0</v>
      </c>
      <c r="I255" s="39" t="n">
        <v>545000</v>
      </c>
      <c r="J255" s="39" t="n">
        <v>545000</v>
      </c>
      <c r="K255" t="inlineStr">
        <is>
          <t>Edificio</t>
        </is>
      </c>
      <c r="L255" t="inlineStr">
        <is>
          <t>A</t>
        </is>
      </c>
      <c r="M255" t="inlineStr">
        <is>
          <t>Estacionamiento</t>
        </is>
      </c>
      <c r="N255" t="inlineStr">
        <is>
          <t>E 11</t>
        </is>
      </c>
      <c r="O255" t="n">
        <v>14.25</v>
      </c>
      <c r="P255" t="n">
        <v>0</v>
      </c>
      <c r="Q255" s="39" t="n">
        <v>50800</v>
      </c>
      <c r="R255" s="39" t="n">
        <v>50800</v>
      </c>
      <c r="Y255" s="39" t="n"/>
      <c r="Z255" s="39" t="n"/>
      <c r="AG255" s="39" t="n"/>
      <c r="AH255" s="39" t="n"/>
      <c r="AI255" t="inlineStr">
        <is>
          <t>Norma Luz Tello Contreras</t>
        </is>
      </c>
      <c r="AJ255" t="inlineStr">
        <is>
          <t>04063971</t>
        </is>
      </c>
      <c r="AK255" t="inlineStr">
        <is>
          <t>Av. Militar 1745 - Dpto. 1202</t>
        </is>
      </c>
      <c r="AL255" t="n">
        <v>0</v>
      </c>
      <c r="AM255" t="inlineStr">
        <is>
          <t>952305311</t>
        </is>
      </c>
      <c r="AN255" t="inlineStr">
        <is>
          <t>normatello@gmail.com</t>
        </is>
      </c>
      <c r="AO255" t="inlineStr">
        <is>
          <t>LIMA</t>
        </is>
      </c>
      <c r="AP255" t="inlineStr">
        <is>
          <t>LA VICTORIA</t>
        </is>
      </c>
      <c r="AQ255" s="75" t="n">
        <v>45991</v>
      </c>
      <c r="AR255" s="75" t="n">
        <v>45964</v>
      </c>
      <c r="AS255" t="inlineStr">
        <is>
          <t>SALDO FINANCIAR</t>
        </is>
      </c>
      <c r="AT255" t="n">
        <v>3</v>
      </c>
      <c r="AU255" t="n">
        <v>7500</v>
      </c>
      <c r="AV255" t="n">
        <v>0</v>
      </c>
      <c r="AW255" t="n">
        <v>0</v>
      </c>
      <c r="AX255" s="39" t="n">
        <v>7500</v>
      </c>
      <c r="AY255" s="39" t="n">
        <v>7500</v>
      </c>
      <c r="AZ255" s="39" t="n">
        <v>0</v>
      </c>
      <c r="BA255" t="n">
        <v>0</v>
      </c>
      <c r="BB255" t="inlineStr">
        <is>
          <t>Crédito Directo</t>
        </is>
      </c>
      <c r="BC255" t="inlineStr">
        <is>
          <t>Scotiabank Perú</t>
        </is>
      </c>
      <c r="BD255" t="inlineStr">
        <is>
          <t>0004071419</t>
        </is>
      </c>
      <c r="BE255" t="inlineStr">
        <is>
          <t>TRANSFERENCIA BANCARIA</t>
        </is>
      </c>
      <c r="BG255" t="inlineStr">
        <is>
          <t>U100169</t>
        </is>
      </c>
      <c r="BH255" t="inlineStr">
        <is>
          <t>No</t>
        </is>
      </c>
      <c r="BJ255" t="n">
        <v>4</v>
      </c>
      <c r="BK255" t="inlineStr">
        <is>
          <t>CANCELADO</t>
        </is>
      </c>
      <c r="BV255" t="inlineStr">
        <is>
          <t>Si</t>
        </is>
      </c>
      <c r="BW255" s="76" t="n">
        <v>45857.51944444444</v>
      </c>
      <c r="BX255" t="inlineStr">
        <is>
          <t>Magaly Guevara Perez</t>
        </is>
      </c>
      <c r="BZ255" t="n">
        <v>11</v>
      </c>
      <c r="CA255" t="inlineStr">
        <is>
          <t>19/08/2026 08:36</t>
        </is>
      </c>
      <c r="CB255" t="n">
        <v>0</v>
      </c>
      <c r="CF255" t="inlineStr">
        <is>
          <t>Cobranzas_2025.csv</t>
        </is>
      </c>
      <c r="CG255" t="n">
        <v>2025</v>
      </c>
      <c r="CH255" t="inlineStr">
        <is>
          <t>01/01/2024</t>
        </is>
      </c>
      <c r="CI255" t="inlineStr">
        <is>
          <t>24/08/2031</t>
        </is>
      </c>
    </row>
    <row r="256">
      <c r="A256" t="inlineStr">
        <is>
          <t>RESIDENCIAL VENECIA</t>
        </is>
      </c>
      <c r="B256" t="inlineStr">
        <is>
          <t>Etapa 1</t>
        </is>
      </c>
      <c r="C256" t="inlineStr">
        <is>
          <t>Edificio</t>
        </is>
      </c>
      <c r="D256" t="inlineStr">
        <is>
          <t>A</t>
        </is>
      </c>
      <c r="E256" t="inlineStr">
        <is>
          <t>Departamento</t>
        </is>
      </c>
      <c r="F256" t="inlineStr">
        <is>
          <t>601</t>
        </is>
      </c>
      <c r="G256" t="n">
        <v>78</v>
      </c>
      <c r="H256" t="n">
        <v>0</v>
      </c>
      <c r="I256" s="39" t="n">
        <v>545000</v>
      </c>
      <c r="J256" s="39" t="n">
        <v>545000</v>
      </c>
      <c r="K256" t="inlineStr">
        <is>
          <t>Edificio</t>
        </is>
      </c>
      <c r="L256" t="inlineStr">
        <is>
          <t>A</t>
        </is>
      </c>
      <c r="M256" t="inlineStr">
        <is>
          <t>Estacionamiento</t>
        </is>
      </c>
      <c r="N256" t="inlineStr">
        <is>
          <t>E 11</t>
        </is>
      </c>
      <c r="O256" t="n">
        <v>14.25</v>
      </c>
      <c r="P256" t="n">
        <v>0</v>
      </c>
      <c r="Q256" s="39" t="n">
        <v>50800</v>
      </c>
      <c r="R256" s="39" t="n">
        <v>50800</v>
      </c>
      <c r="Y256" s="39" t="n"/>
      <c r="Z256" s="39" t="n"/>
      <c r="AG256" s="39" t="n"/>
      <c r="AH256" s="39" t="n"/>
      <c r="AI256" t="inlineStr">
        <is>
          <t>Norma Luz Tello Contreras</t>
        </is>
      </c>
      <c r="AJ256" t="inlineStr">
        <is>
          <t>04063971</t>
        </is>
      </c>
      <c r="AK256" t="inlineStr">
        <is>
          <t>Av. Militar 1745 - Dpto. 1202</t>
        </is>
      </c>
      <c r="AL256" t="n">
        <v>0</v>
      </c>
      <c r="AM256" t="inlineStr">
        <is>
          <t>952305311</t>
        </is>
      </c>
      <c r="AN256" t="inlineStr">
        <is>
          <t>normatello@gmail.com</t>
        </is>
      </c>
      <c r="AO256" t="inlineStr">
        <is>
          <t>LIMA</t>
        </is>
      </c>
      <c r="AP256" t="inlineStr">
        <is>
          <t>LA VICTORIA</t>
        </is>
      </c>
      <c r="AQ256" s="75" t="n">
        <v>46021</v>
      </c>
      <c r="AR256" s="75" t="n">
        <v>45992</v>
      </c>
      <c r="AS256" t="inlineStr">
        <is>
          <t>SALDO FINANCIAR</t>
        </is>
      </c>
      <c r="AT256" t="n">
        <v>4</v>
      </c>
      <c r="AU256" t="n">
        <v>6000</v>
      </c>
      <c r="AV256" t="n">
        <v>0</v>
      </c>
      <c r="AW256" t="n">
        <v>0</v>
      </c>
      <c r="AX256" s="39" t="n">
        <v>6000</v>
      </c>
      <c r="AY256" s="39" t="n">
        <v>6000</v>
      </c>
      <c r="AZ256" s="39" t="n">
        <v>0</v>
      </c>
      <c r="BA256" t="n">
        <v>0</v>
      </c>
      <c r="BB256" t="inlineStr">
        <is>
          <t>Crédito Directo</t>
        </is>
      </c>
      <c r="BC256" t="inlineStr">
        <is>
          <t>Scotiabank Perú</t>
        </is>
      </c>
      <c r="BD256" t="inlineStr">
        <is>
          <t>0004071419</t>
        </is>
      </c>
      <c r="BE256" t="inlineStr">
        <is>
          <t>DEPOSITO EN CUENTA</t>
        </is>
      </c>
      <c r="BG256" t="inlineStr">
        <is>
          <t>U28740</t>
        </is>
      </c>
      <c r="BH256" t="inlineStr">
        <is>
          <t>No</t>
        </is>
      </c>
      <c r="BJ256" t="n">
        <v>4</v>
      </c>
      <c r="BK256" t="inlineStr">
        <is>
          <t>CANCELADO</t>
        </is>
      </c>
      <c r="BV256" t="inlineStr">
        <is>
          <t>Si</t>
        </is>
      </c>
      <c r="BW256" s="76" t="n">
        <v>45857.51944444444</v>
      </c>
      <c r="BX256" t="inlineStr">
        <is>
          <t>Magaly Guevara Perez</t>
        </is>
      </c>
      <c r="BZ256" t="n">
        <v>11</v>
      </c>
      <c r="CA256" t="inlineStr">
        <is>
          <t>19/08/2026 08:42</t>
        </is>
      </c>
      <c r="CB256" t="n">
        <v>0</v>
      </c>
      <c r="CF256" t="inlineStr">
        <is>
          <t>Cobranzas_2025.csv</t>
        </is>
      </c>
      <c r="CG256" t="n">
        <v>2025</v>
      </c>
      <c r="CH256" t="inlineStr">
        <is>
          <t>01/01/2024</t>
        </is>
      </c>
      <c r="CI256" t="inlineStr">
        <is>
          <t>24/08/2031</t>
        </is>
      </c>
    </row>
    <row r="257">
      <c r="A257" t="inlineStr">
        <is>
          <t>RESIDENCIAL BEYOND</t>
        </is>
      </c>
      <c r="B257" t="inlineStr">
        <is>
          <t>Etapa 1</t>
        </is>
      </c>
      <c r="C257" t="inlineStr">
        <is>
          <t>Edificio</t>
        </is>
      </c>
      <c r="D257" t="inlineStr">
        <is>
          <t>A</t>
        </is>
      </c>
      <c r="E257" t="inlineStr">
        <is>
          <t>Departamento</t>
        </is>
      </c>
      <c r="F257" t="inlineStr">
        <is>
          <t>604</t>
        </is>
      </c>
      <c r="G257" t="n">
        <v>67</v>
      </c>
      <c r="H257" t="n">
        <v>0</v>
      </c>
      <c r="I257" s="39" t="n">
        <v>460000</v>
      </c>
      <c r="J257" s="39" t="n">
        <v>460000</v>
      </c>
      <c r="K257" t="inlineStr">
        <is>
          <t>Edificio</t>
        </is>
      </c>
      <c r="L257" t="inlineStr">
        <is>
          <t>A</t>
        </is>
      </c>
      <c r="M257" t="inlineStr">
        <is>
          <t>Estacionamiento</t>
        </is>
      </c>
      <c r="N257" t="inlineStr">
        <is>
          <t>E 11</t>
        </is>
      </c>
      <c r="O257" t="n">
        <v>12.5</v>
      </c>
      <c r="P257" t="n">
        <v>0</v>
      </c>
      <c r="Q257" s="39" t="n">
        <v>47500</v>
      </c>
      <c r="R257" s="39" t="n">
        <v>47500</v>
      </c>
      <c r="S257" t="inlineStr">
        <is>
          <t>Edificio</t>
        </is>
      </c>
      <c r="T257" t="inlineStr">
        <is>
          <t>A</t>
        </is>
      </c>
      <c r="U257" t="inlineStr">
        <is>
          <t>Depósito</t>
        </is>
      </c>
      <c r="V257" t="inlineStr">
        <is>
          <t>D 06</t>
        </is>
      </c>
      <c r="W257" t="n">
        <v>6</v>
      </c>
      <c r="X257" t="n">
        <v>0</v>
      </c>
      <c r="Y257" s="39" t="n">
        <v>21700</v>
      </c>
      <c r="Z257" s="39" t="n">
        <v>21700</v>
      </c>
      <c r="AA257" t="inlineStr">
        <is>
          <t>Edificio</t>
        </is>
      </c>
      <c r="AB257" t="inlineStr">
        <is>
          <t>A</t>
        </is>
      </c>
      <c r="AC257" t="inlineStr">
        <is>
          <t>Depósito</t>
        </is>
      </c>
      <c r="AD257" t="inlineStr">
        <is>
          <t>D 07</t>
        </is>
      </c>
      <c r="AE257" t="n">
        <v>2.62</v>
      </c>
      <c r="AF257" t="n">
        <v>0</v>
      </c>
      <c r="AG257" s="39" t="n">
        <v>9500</v>
      </c>
      <c r="AH257" s="39" t="n">
        <v>9500</v>
      </c>
      <c r="AI257" t="inlineStr">
        <is>
          <t>PABLO JAIME CORNEJO PEREDA</t>
        </is>
      </c>
      <c r="AJ257" t="inlineStr">
        <is>
          <t>07763504</t>
        </is>
      </c>
      <c r="AK257" t="inlineStr">
        <is>
          <t>Lima - Lima - San Miguel - Jr. Simon Bolivar 105 Dpto 1201</t>
        </is>
      </c>
      <c r="AM257" t="inlineStr">
        <is>
          <t>998912031</t>
        </is>
      </c>
      <c r="AN257" t="inlineStr">
        <is>
          <t>pablocornejo@yahoo.com</t>
        </is>
      </c>
      <c r="AO257" t="inlineStr">
        <is>
          <t>LIMA</t>
        </is>
      </c>
      <c r="AP257" t="inlineStr">
        <is>
          <t>SAN MIGUEL</t>
        </is>
      </c>
      <c r="AQ257" s="75" t="n">
        <v>45756</v>
      </c>
      <c r="AR257" s="75" t="n">
        <v>45756</v>
      </c>
      <c r="AS257" t="inlineStr">
        <is>
          <t>SEPARACION</t>
        </is>
      </c>
      <c r="AT257" t="n">
        <v>1</v>
      </c>
      <c r="AU257" t="n">
        <v>3000</v>
      </c>
      <c r="AV257" t="n">
        <v>0</v>
      </c>
      <c r="AW257" t="n">
        <v>0</v>
      </c>
      <c r="AX257" s="39" t="n">
        <v>3000</v>
      </c>
      <c r="AY257" s="39" t="n">
        <v>3000</v>
      </c>
      <c r="AZ257" s="39" t="n">
        <v>0</v>
      </c>
      <c r="BA257" t="n">
        <v>0</v>
      </c>
      <c r="BB257" t="inlineStr">
        <is>
          <t>Crédito Directo</t>
        </is>
      </c>
      <c r="BC257" t="inlineStr">
        <is>
          <t>Banco de Credito del Perú</t>
        </is>
      </c>
      <c r="BD257" t="inlineStr">
        <is>
          <t>194-7325779-0-65</t>
        </is>
      </c>
      <c r="BG257" t="inlineStr">
        <is>
          <t>435048</t>
        </is>
      </c>
      <c r="BH257" t="inlineStr">
        <is>
          <t>No</t>
        </is>
      </c>
      <c r="BJ257" t="n">
        <v>1</v>
      </c>
      <c r="BK257" t="inlineStr">
        <is>
          <t>CANCELADO</t>
        </is>
      </c>
      <c r="BV257" t="inlineStr">
        <is>
          <t>Si</t>
        </is>
      </c>
      <c r="BW257" s="76" t="n">
        <v>45761.40694444445</v>
      </c>
      <c r="BX257" t="inlineStr">
        <is>
          <t>Carla Michue M</t>
        </is>
      </c>
      <c r="BZ257" t="n">
        <v>38</v>
      </c>
      <c r="CA257" t="inlineStr">
        <is>
          <t>29/05/2026 02:48</t>
        </is>
      </c>
      <c r="CB257" t="n">
        <v>0</v>
      </c>
      <c r="CF257" t="inlineStr">
        <is>
          <t>Cobranzas_2025.csv</t>
        </is>
      </c>
      <c r="CG257" t="n">
        <v>2025</v>
      </c>
      <c r="CH257" t="inlineStr">
        <is>
          <t>01/01/2024</t>
        </is>
      </c>
      <c r="CI257" t="inlineStr">
        <is>
          <t>24/08/2031</t>
        </is>
      </c>
    </row>
    <row r="258">
      <c r="A258" t="inlineStr">
        <is>
          <t>RESIDENCIAL BEYOND</t>
        </is>
      </c>
      <c r="B258" t="inlineStr">
        <is>
          <t>Etapa 1</t>
        </is>
      </c>
      <c r="C258" t="inlineStr">
        <is>
          <t>Edificio</t>
        </is>
      </c>
      <c r="D258" t="inlineStr">
        <is>
          <t>A</t>
        </is>
      </c>
      <c r="E258" t="inlineStr">
        <is>
          <t>Departamento</t>
        </is>
      </c>
      <c r="F258" t="inlineStr">
        <is>
          <t>604</t>
        </is>
      </c>
      <c r="G258" t="n">
        <v>67</v>
      </c>
      <c r="H258" t="n">
        <v>0</v>
      </c>
      <c r="I258" s="39" t="n">
        <v>460000</v>
      </c>
      <c r="J258" s="39" t="n">
        <v>460000</v>
      </c>
      <c r="K258" t="inlineStr">
        <is>
          <t>Edificio</t>
        </is>
      </c>
      <c r="L258" t="inlineStr">
        <is>
          <t>A</t>
        </is>
      </c>
      <c r="M258" t="inlineStr">
        <is>
          <t>Estacionamiento</t>
        </is>
      </c>
      <c r="N258" t="inlineStr">
        <is>
          <t>E 11</t>
        </is>
      </c>
      <c r="O258" t="n">
        <v>12.5</v>
      </c>
      <c r="P258" t="n">
        <v>0</v>
      </c>
      <c r="Q258" s="39" t="n">
        <v>47500</v>
      </c>
      <c r="R258" s="39" t="n">
        <v>47500</v>
      </c>
      <c r="S258" t="inlineStr">
        <is>
          <t>Edificio</t>
        </is>
      </c>
      <c r="T258" t="inlineStr">
        <is>
          <t>A</t>
        </is>
      </c>
      <c r="U258" t="inlineStr">
        <is>
          <t>Depósito</t>
        </is>
      </c>
      <c r="V258" t="inlineStr">
        <is>
          <t>D 06</t>
        </is>
      </c>
      <c r="W258" t="n">
        <v>6</v>
      </c>
      <c r="X258" t="n">
        <v>0</v>
      </c>
      <c r="Y258" s="39" t="n">
        <v>21700</v>
      </c>
      <c r="Z258" s="39" t="n">
        <v>21700</v>
      </c>
      <c r="AA258" t="inlineStr">
        <is>
          <t>Edificio</t>
        </is>
      </c>
      <c r="AB258" t="inlineStr">
        <is>
          <t>A</t>
        </is>
      </c>
      <c r="AC258" t="inlineStr">
        <is>
          <t>Depósito</t>
        </is>
      </c>
      <c r="AD258" t="inlineStr">
        <is>
          <t>D 07</t>
        </is>
      </c>
      <c r="AE258" t="n">
        <v>2.62</v>
      </c>
      <c r="AF258" t="n">
        <v>0</v>
      </c>
      <c r="AG258" s="39" t="n">
        <v>9500</v>
      </c>
      <c r="AH258" s="39" t="n">
        <v>9500</v>
      </c>
      <c r="AI258" t="inlineStr">
        <is>
          <t>PABLO JAIME CORNEJO PEREDA</t>
        </is>
      </c>
      <c r="AJ258" t="inlineStr">
        <is>
          <t>07763504</t>
        </is>
      </c>
      <c r="AK258" t="inlineStr">
        <is>
          <t>Lima - Lima - San Miguel - Jr. Simon Bolivar 105 Dpto 1201</t>
        </is>
      </c>
      <c r="AM258" t="inlineStr">
        <is>
          <t>998912031</t>
        </is>
      </c>
      <c r="AN258" t="inlineStr">
        <is>
          <t>pablocornejo@yahoo.com</t>
        </is>
      </c>
      <c r="AO258" t="inlineStr">
        <is>
          <t>LIMA</t>
        </is>
      </c>
      <c r="AP258" t="inlineStr">
        <is>
          <t>SAN MIGUEL</t>
        </is>
      </c>
      <c r="AQ258" s="75" t="n">
        <v>45761</v>
      </c>
      <c r="AR258" s="75" t="n">
        <v>45761</v>
      </c>
      <c r="AS258" t="inlineStr">
        <is>
          <t>CUOTA INICIAL</t>
        </is>
      </c>
      <c r="AT258" t="n">
        <v>2</v>
      </c>
      <c r="AU258" t="n">
        <v>104340</v>
      </c>
      <c r="AV258" t="n">
        <v>0</v>
      </c>
      <c r="AW258" t="n">
        <v>0</v>
      </c>
      <c r="AX258" s="39" t="n">
        <v>104340</v>
      </c>
      <c r="AY258" s="39" t="n">
        <v>104340</v>
      </c>
      <c r="AZ258" s="39" t="n">
        <v>0</v>
      </c>
      <c r="BA258" t="n">
        <v>0</v>
      </c>
      <c r="BB258" t="inlineStr">
        <is>
          <t>Crédito Directo</t>
        </is>
      </c>
      <c r="BC258" t="inlineStr">
        <is>
          <t>Banco de Credito del Perú</t>
        </is>
      </c>
      <c r="BD258" t="inlineStr">
        <is>
          <t>194-7325779-0-65</t>
        </is>
      </c>
      <c r="BG258" t="inlineStr">
        <is>
          <t>004422892</t>
        </is>
      </c>
      <c r="BH258" t="inlineStr">
        <is>
          <t>No</t>
        </is>
      </c>
      <c r="BJ258" t="n">
        <v>1</v>
      </c>
      <c r="BK258" t="inlineStr">
        <is>
          <t>CANCELADO</t>
        </is>
      </c>
      <c r="BV258" t="inlineStr">
        <is>
          <t>Si</t>
        </is>
      </c>
      <c r="BW258" s="76" t="n">
        <v>45761.40694444445</v>
      </c>
      <c r="BX258" t="inlineStr">
        <is>
          <t>Carla Michue M</t>
        </is>
      </c>
      <c r="BZ258" t="n">
        <v>38</v>
      </c>
      <c r="CA258" t="inlineStr">
        <is>
          <t>29/05/2026 02:48</t>
        </is>
      </c>
      <c r="CB258" t="n">
        <v>0</v>
      </c>
      <c r="CF258" t="inlineStr">
        <is>
          <t>Cobranzas_2025.csv</t>
        </is>
      </c>
      <c r="CG258" t="n">
        <v>2025</v>
      </c>
      <c r="CH258" t="inlineStr">
        <is>
          <t>01/01/2024</t>
        </is>
      </c>
      <c r="CI258" t="inlineStr">
        <is>
          <t>24/08/2031</t>
        </is>
      </c>
    </row>
    <row r="259">
      <c r="A259" t="inlineStr">
        <is>
          <t>RESIDENCIAL BEYOND</t>
        </is>
      </c>
      <c r="B259" t="inlineStr">
        <is>
          <t>Etapa 1</t>
        </is>
      </c>
      <c r="C259" t="inlineStr">
        <is>
          <t>Edificio</t>
        </is>
      </c>
      <c r="D259" t="inlineStr">
        <is>
          <t>A</t>
        </is>
      </c>
      <c r="E259" t="inlineStr">
        <is>
          <t>Departamento</t>
        </is>
      </c>
      <c r="F259" t="inlineStr">
        <is>
          <t>604</t>
        </is>
      </c>
      <c r="G259" t="n">
        <v>67</v>
      </c>
      <c r="H259" t="n">
        <v>0</v>
      </c>
      <c r="I259" s="39" t="n">
        <v>460000</v>
      </c>
      <c r="J259" s="39" t="n">
        <v>460000</v>
      </c>
      <c r="K259" t="inlineStr">
        <is>
          <t>Edificio</t>
        </is>
      </c>
      <c r="L259" t="inlineStr">
        <is>
          <t>A</t>
        </is>
      </c>
      <c r="M259" t="inlineStr">
        <is>
          <t>Estacionamiento</t>
        </is>
      </c>
      <c r="N259" t="inlineStr">
        <is>
          <t>E 11</t>
        </is>
      </c>
      <c r="O259" t="n">
        <v>12.5</v>
      </c>
      <c r="P259" t="n">
        <v>0</v>
      </c>
      <c r="Q259" s="39" t="n">
        <v>47500</v>
      </c>
      <c r="R259" s="39" t="n">
        <v>47500</v>
      </c>
      <c r="S259" t="inlineStr">
        <is>
          <t>Edificio</t>
        </is>
      </c>
      <c r="T259" t="inlineStr">
        <is>
          <t>A</t>
        </is>
      </c>
      <c r="U259" t="inlineStr">
        <is>
          <t>Depósito</t>
        </is>
      </c>
      <c r="V259" t="inlineStr">
        <is>
          <t>D 06</t>
        </is>
      </c>
      <c r="W259" t="n">
        <v>6</v>
      </c>
      <c r="X259" t="n">
        <v>0</v>
      </c>
      <c r="Y259" s="39" t="n">
        <v>21700</v>
      </c>
      <c r="Z259" s="39" t="n">
        <v>21700</v>
      </c>
      <c r="AA259" t="inlineStr">
        <is>
          <t>Edificio</t>
        </is>
      </c>
      <c r="AB259" t="inlineStr">
        <is>
          <t>A</t>
        </is>
      </c>
      <c r="AC259" t="inlineStr">
        <is>
          <t>Depósito</t>
        </is>
      </c>
      <c r="AD259" t="inlineStr">
        <is>
          <t>D 07</t>
        </is>
      </c>
      <c r="AE259" t="n">
        <v>2.62</v>
      </c>
      <c r="AF259" t="n">
        <v>0</v>
      </c>
      <c r="AG259" s="39" t="n">
        <v>9500</v>
      </c>
      <c r="AH259" s="39" t="n">
        <v>9500</v>
      </c>
      <c r="AI259" t="inlineStr">
        <is>
          <t>PABLO JAIME CORNEJO PEREDA</t>
        </is>
      </c>
      <c r="AJ259" t="inlineStr">
        <is>
          <t>07763504</t>
        </is>
      </c>
      <c r="AK259" t="inlineStr">
        <is>
          <t>Lima - Lima - San Miguel - Jr. Simon Bolivar 105 Dpto 1201</t>
        </is>
      </c>
      <c r="AM259" t="inlineStr">
        <is>
          <t>998912031</t>
        </is>
      </c>
      <c r="AN259" t="inlineStr">
        <is>
          <t>pablocornejo@yahoo.com</t>
        </is>
      </c>
      <c r="AO259" t="inlineStr">
        <is>
          <t>LIMA</t>
        </is>
      </c>
      <c r="AP259" t="inlineStr">
        <is>
          <t>SAN MIGUEL</t>
        </is>
      </c>
      <c r="AQ259" s="75" t="n">
        <v>45800</v>
      </c>
      <c r="AR259" s="75" t="n">
        <v>45800</v>
      </c>
      <c r="AS259" t="inlineStr">
        <is>
          <t>CUOTA INICIAL</t>
        </is>
      </c>
      <c r="AT259" t="n">
        <v>3</v>
      </c>
      <c r="AU259" t="n">
        <v>104340</v>
      </c>
      <c r="AV259" t="n">
        <v>0</v>
      </c>
      <c r="AW259" t="n">
        <v>0</v>
      </c>
      <c r="AX259" s="39" t="n">
        <v>104340</v>
      </c>
      <c r="AY259" s="39" t="n">
        <v>104340</v>
      </c>
      <c r="AZ259" s="39" t="n">
        <v>0</v>
      </c>
      <c r="BA259" t="n">
        <v>0</v>
      </c>
      <c r="BB259" t="inlineStr">
        <is>
          <t>Crédito Directo</t>
        </is>
      </c>
      <c r="BC259" t="inlineStr">
        <is>
          <t>Banco de Credito del Perú</t>
        </is>
      </c>
      <c r="BD259" t="inlineStr">
        <is>
          <t>194-7325779-0-65</t>
        </is>
      </c>
      <c r="BG259" t="inlineStr">
        <is>
          <t>0748099</t>
        </is>
      </c>
      <c r="BH259" t="inlineStr">
        <is>
          <t>No</t>
        </is>
      </c>
      <c r="BJ259" t="n">
        <v>1</v>
      </c>
      <c r="BK259" t="inlineStr">
        <is>
          <t>CANCELADO</t>
        </is>
      </c>
      <c r="BV259" t="inlineStr">
        <is>
          <t>Si</t>
        </is>
      </c>
      <c r="BW259" s="76" t="n">
        <v>45761.40694444445</v>
      </c>
      <c r="BX259" t="inlineStr">
        <is>
          <t>Carla Michue M</t>
        </is>
      </c>
      <c r="BZ259" t="n">
        <v>38</v>
      </c>
      <c r="CA259" t="inlineStr">
        <is>
          <t>29/05/2026 02:48</t>
        </is>
      </c>
      <c r="CB259" t="n">
        <v>0</v>
      </c>
      <c r="CF259" t="inlineStr">
        <is>
          <t>Cobranzas_2025.csv</t>
        </is>
      </c>
      <c r="CG259" t="n">
        <v>2025</v>
      </c>
      <c r="CH259" t="inlineStr">
        <is>
          <t>01/01/2024</t>
        </is>
      </c>
      <c r="CI259" t="inlineStr">
        <is>
          <t>24/08/2031</t>
        </is>
      </c>
    </row>
    <row r="260">
      <c r="A260" t="inlineStr">
        <is>
          <t>RESIDENCIAL BEYOND</t>
        </is>
      </c>
      <c r="B260" t="inlineStr">
        <is>
          <t>Etapa 1</t>
        </is>
      </c>
      <c r="C260" t="inlineStr">
        <is>
          <t>Edificio</t>
        </is>
      </c>
      <c r="D260" t="inlineStr">
        <is>
          <t>A</t>
        </is>
      </c>
      <c r="E260" t="inlineStr">
        <is>
          <t>Departamento</t>
        </is>
      </c>
      <c r="F260" t="inlineStr">
        <is>
          <t>604</t>
        </is>
      </c>
      <c r="G260" t="n">
        <v>67</v>
      </c>
      <c r="H260" t="n">
        <v>0</v>
      </c>
      <c r="I260" s="39" t="n">
        <v>460000</v>
      </c>
      <c r="J260" s="39" t="n">
        <v>460000</v>
      </c>
      <c r="K260" t="inlineStr">
        <is>
          <t>Edificio</t>
        </is>
      </c>
      <c r="L260" t="inlineStr">
        <is>
          <t>A</t>
        </is>
      </c>
      <c r="M260" t="inlineStr">
        <is>
          <t>Estacionamiento</t>
        </is>
      </c>
      <c r="N260" t="inlineStr">
        <is>
          <t>E 11</t>
        </is>
      </c>
      <c r="O260" t="n">
        <v>12.5</v>
      </c>
      <c r="P260" t="n">
        <v>0</v>
      </c>
      <c r="Q260" s="39" t="n">
        <v>47500</v>
      </c>
      <c r="R260" s="39" t="n">
        <v>47500</v>
      </c>
      <c r="S260" t="inlineStr">
        <is>
          <t>Edificio</t>
        </is>
      </c>
      <c r="T260" t="inlineStr">
        <is>
          <t>A</t>
        </is>
      </c>
      <c r="U260" t="inlineStr">
        <is>
          <t>Depósito</t>
        </is>
      </c>
      <c r="V260" t="inlineStr">
        <is>
          <t>D 06</t>
        </is>
      </c>
      <c r="W260" t="n">
        <v>6</v>
      </c>
      <c r="X260" t="n">
        <v>0</v>
      </c>
      <c r="Y260" s="39" t="n">
        <v>21700</v>
      </c>
      <c r="Z260" s="39" t="n">
        <v>21700</v>
      </c>
      <c r="AA260" t="inlineStr">
        <is>
          <t>Edificio</t>
        </is>
      </c>
      <c r="AB260" t="inlineStr">
        <is>
          <t>A</t>
        </is>
      </c>
      <c r="AC260" t="inlineStr">
        <is>
          <t>Depósito</t>
        </is>
      </c>
      <c r="AD260" t="inlineStr">
        <is>
          <t>D 07</t>
        </is>
      </c>
      <c r="AE260" t="n">
        <v>2.62</v>
      </c>
      <c r="AF260" t="n">
        <v>0</v>
      </c>
      <c r="AG260" s="39" t="n">
        <v>9500</v>
      </c>
      <c r="AH260" s="39" t="n">
        <v>9500</v>
      </c>
      <c r="AI260" t="inlineStr">
        <is>
          <t>PABLO JAIME CORNEJO PEREDA</t>
        </is>
      </c>
      <c r="AJ260" t="inlineStr">
        <is>
          <t>07763504</t>
        </is>
      </c>
      <c r="AK260" t="inlineStr">
        <is>
          <t>Lima - Lima - San Miguel - Jr. Simon Bolivar 105 Dpto 1201</t>
        </is>
      </c>
      <c r="AM260" t="inlineStr">
        <is>
          <t>998912031</t>
        </is>
      </c>
      <c r="AN260" t="inlineStr">
        <is>
          <t>pablocornejo@yahoo.com</t>
        </is>
      </c>
      <c r="AO260" t="inlineStr">
        <is>
          <t>LIMA</t>
        </is>
      </c>
      <c r="AP260" t="inlineStr">
        <is>
          <t>SAN MIGUEL</t>
        </is>
      </c>
      <c r="AQ260" s="75" t="n">
        <v>45800</v>
      </c>
      <c r="AR260" s="75" t="n">
        <v>45800</v>
      </c>
      <c r="AS260" t="inlineStr">
        <is>
          <t>SALDO FINANCIAR</t>
        </is>
      </c>
      <c r="AT260" t="n">
        <v>4</v>
      </c>
      <c r="AU260" t="n">
        <v>9500</v>
      </c>
      <c r="AV260" t="n">
        <v>0</v>
      </c>
      <c r="AW260" t="n">
        <v>0</v>
      </c>
      <c r="AX260" s="39" t="n">
        <v>9500</v>
      </c>
      <c r="AY260" s="39" t="n">
        <v>9500</v>
      </c>
      <c r="AZ260" s="39" t="n">
        <v>0</v>
      </c>
      <c r="BA260" t="n">
        <v>0</v>
      </c>
      <c r="BB260" t="inlineStr">
        <is>
          <t>Crédito Directo</t>
        </is>
      </c>
      <c r="BC260" t="inlineStr">
        <is>
          <t>Banco de Credito del Perú</t>
        </is>
      </c>
      <c r="BD260" t="inlineStr">
        <is>
          <t>194-7325779-0-65</t>
        </is>
      </c>
      <c r="BG260" t="inlineStr">
        <is>
          <t>0737014</t>
        </is>
      </c>
      <c r="BH260" t="inlineStr">
        <is>
          <t>No</t>
        </is>
      </c>
      <c r="BJ260" t="n">
        <v>1</v>
      </c>
      <c r="BK260" t="inlineStr">
        <is>
          <t>CANCELADO</t>
        </is>
      </c>
      <c r="BV260" t="inlineStr">
        <is>
          <t>Si</t>
        </is>
      </c>
      <c r="BW260" s="76" t="n">
        <v>45761.40694444445</v>
      </c>
      <c r="BX260" t="inlineStr">
        <is>
          <t>Carla Michue M</t>
        </is>
      </c>
      <c r="BZ260" t="n">
        <v>38</v>
      </c>
      <c r="CA260" t="inlineStr">
        <is>
          <t>29/05/2026 02:48</t>
        </is>
      </c>
      <c r="CB260" t="n">
        <v>0</v>
      </c>
      <c r="CF260" t="inlineStr">
        <is>
          <t>Cobranzas_2025.csv</t>
        </is>
      </c>
      <c r="CG260" t="n">
        <v>2025</v>
      </c>
      <c r="CH260" t="inlineStr">
        <is>
          <t>01/01/2024</t>
        </is>
      </c>
      <c r="CI260" t="inlineStr">
        <is>
          <t>24/08/2031</t>
        </is>
      </c>
    </row>
    <row r="261">
      <c r="A261" t="inlineStr">
        <is>
          <t>RESIDENCIAL BEYOND</t>
        </is>
      </c>
      <c r="B261" t="inlineStr">
        <is>
          <t>Etapa 1</t>
        </is>
      </c>
      <c r="C261" t="inlineStr">
        <is>
          <t>Edificio</t>
        </is>
      </c>
      <c r="D261" t="inlineStr">
        <is>
          <t>A</t>
        </is>
      </c>
      <c r="E261" t="inlineStr">
        <is>
          <t>Departamento</t>
        </is>
      </c>
      <c r="F261" t="inlineStr">
        <is>
          <t>604</t>
        </is>
      </c>
      <c r="G261" t="n">
        <v>67</v>
      </c>
      <c r="H261" t="n">
        <v>0</v>
      </c>
      <c r="I261" s="39" t="n">
        <v>460000</v>
      </c>
      <c r="J261" s="39" t="n">
        <v>460000</v>
      </c>
      <c r="K261" t="inlineStr">
        <is>
          <t>Edificio</t>
        </is>
      </c>
      <c r="L261" t="inlineStr">
        <is>
          <t>A</t>
        </is>
      </c>
      <c r="M261" t="inlineStr">
        <is>
          <t>Estacionamiento</t>
        </is>
      </c>
      <c r="N261" t="inlineStr">
        <is>
          <t>E 11</t>
        </is>
      </c>
      <c r="O261" t="n">
        <v>12.5</v>
      </c>
      <c r="P261" t="n">
        <v>0</v>
      </c>
      <c r="Q261" s="39" t="n">
        <v>47500</v>
      </c>
      <c r="R261" s="39" t="n">
        <v>47500</v>
      </c>
      <c r="S261" t="inlineStr">
        <is>
          <t>Edificio</t>
        </is>
      </c>
      <c r="T261" t="inlineStr">
        <is>
          <t>A</t>
        </is>
      </c>
      <c r="U261" t="inlineStr">
        <is>
          <t>Depósito</t>
        </is>
      </c>
      <c r="V261" t="inlineStr">
        <is>
          <t>D 06</t>
        </is>
      </c>
      <c r="W261" t="n">
        <v>6</v>
      </c>
      <c r="X261" t="n">
        <v>0</v>
      </c>
      <c r="Y261" s="39" t="n">
        <v>21700</v>
      </c>
      <c r="Z261" s="39" t="n">
        <v>21700</v>
      </c>
      <c r="AA261" t="inlineStr">
        <is>
          <t>Edificio</t>
        </is>
      </c>
      <c r="AB261" t="inlineStr">
        <is>
          <t>A</t>
        </is>
      </c>
      <c r="AC261" t="inlineStr">
        <is>
          <t>Depósito</t>
        </is>
      </c>
      <c r="AD261" t="inlineStr">
        <is>
          <t>D 07</t>
        </is>
      </c>
      <c r="AE261" t="n">
        <v>2.62</v>
      </c>
      <c r="AF261" t="n">
        <v>0</v>
      </c>
      <c r="AG261" s="39" t="n">
        <v>9500</v>
      </c>
      <c r="AH261" s="39" t="n">
        <v>9500</v>
      </c>
      <c r="AI261" t="inlineStr">
        <is>
          <t>PABLO JAIME CORNEJO PEREDA</t>
        </is>
      </c>
      <c r="AJ261" t="inlineStr">
        <is>
          <t>07763504</t>
        </is>
      </c>
      <c r="AK261" t="inlineStr">
        <is>
          <t>Lima - Lima - San Miguel - Jr. Simon Bolivar 105 Dpto 1201</t>
        </is>
      </c>
      <c r="AM261" t="inlineStr">
        <is>
          <t>998912031</t>
        </is>
      </c>
      <c r="AN261" t="inlineStr">
        <is>
          <t>pablocornejo@yahoo.com</t>
        </is>
      </c>
      <c r="AO261" t="inlineStr">
        <is>
          <t>LIMA</t>
        </is>
      </c>
      <c r="AP261" t="inlineStr">
        <is>
          <t>SAN MIGUEL</t>
        </is>
      </c>
      <c r="AQ261" s="75" t="n">
        <v>45819</v>
      </c>
      <c r="AR261" s="75" t="n">
        <v>45819</v>
      </c>
      <c r="AS261" t="inlineStr">
        <is>
          <t>SALDO FINANCIAR</t>
        </is>
      </c>
      <c r="AT261" t="n">
        <v>5</v>
      </c>
      <c r="AU261" t="n">
        <v>21168</v>
      </c>
      <c r="AV261" t="n">
        <v>0</v>
      </c>
      <c r="AW261" t="n">
        <v>0</v>
      </c>
      <c r="AX261" s="39" t="n">
        <v>21168</v>
      </c>
      <c r="AY261" s="39" t="n">
        <v>21168</v>
      </c>
      <c r="AZ261" s="39" t="n">
        <v>0</v>
      </c>
      <c r="BA261" t="n">
        <v>0</v>
      </c>
      <c r="BB261" t="inlineStr">
        <is>
          <t>Crédito Directo</t>
        </is>
      </c>
      <c r="BC261" t="inlineStr">
        <is>
          <t>Banco de Credito del Perú</t>
        </is>
      </c>
      <c r="BD261" t="inlineStr">
        <is>
          <t>194-7325779-0-65</t>
        </is>
      </c>
      <c r="BG261" t="inlineStr">
        <is>
          <t>0825269</t>
        </is>
      </c>
      <c r="BH261" t="inlineStr">
        <is>
          <t>No</t>
        </is>
      </c>
      <c r="BJ261" t="n">
        <v>1</v>
      </c>
      <c r="BK261" t="inlineStr">
        <is>
          <t>CANCELADO</t>
        </is>
      </c>
      <c r="BV261" t="inlineStr">
        <is>
          <t>Si</t>
        </is>
      </c>
      <c r="BW261" s="76" t="n">
        <v>45761.40694444445</v>
      </c>
      <c r="BX261" t="inlineStr">
        <is>
          <t>Carla Michue M</t>
        </is>
      </c>
      <c r="BZ261" t="n">
        <v>38</v>
      </c>
      <c r="CA261" t="inlineStr">
        <is>
          <t>29/05/2026 02:48</t>
        </is>
      </c>
      <c r="CB261" t="n">
        <v>0</v>
      </c>
      <c r="CF261" t="inlineStr">
        <is>
          <t>Cobranzas_2025.csv</t>
        </is>
      </c>
      <c r="CG261" t="n">
        <v>2025</v>
      </c>
      <c r="CH261" t="inlineStr">
        <is>
          <t>01/01/2024</t>
        </is>
      </c>
      <c r="CI261" t="inlineStr">
        <is>
          <t>24/08/2031</t>
        </is>
      </c>
    </row>
    <row r="262">
      <c r="A262" t="inlineStr">
        <is>
          <t>RESIDENCIAL BEYOND</t>
        </is>
      </c>
      <c r="B262" t="inlineStr">
        <is>
          <t>Etapa 1</t>
        </is>
      </c>
      <c r="C262" t="inlineStr">
        <is>
          <t>Edificio</t>
        </is>
      </c>
      <c r="D262" t="inlineStr">
        <is>
          <t>A</t>
        </is>
      </c>
      <c r="E262" t="inlineStr">
        <is>
          <t>Departamento</t>
        </is>
      </c>
      <c r="F262" t="inlineStr">
        <is>
          <t>604</t>
        </is>
      </c>
      <c r="G262" t="n">
        <v>67</v>
      </c>
      <c r="H262" t="n">
        <v>0</v>
      </c>
      <c r="I262" s="39" t="n">
        <v>460000</v>
      </c>
      <c r="J262" s="39" t="n">
        <v>460000</v>
      </c>
      <c r="K262" t="inlineStr">
        <is>
          <t>Edificio</t>
        </is>
      </c>
      <c r="L262" t="inlineStr">
        <is>
          <t>A</t>
        </is>
      </c>
      <c r="M262" t="inlineStr">
        <is>
          <t>Estacionamiento</t>
        </is>
      </c>
      <c r="N262" t="inlineStr">
        <is>
          <t>E 11</t>
        </is>
      </c>
      <c r="O262" t="n">
        <v>12.5</v>
      </c>
      <c r="P262" t="n">
        <v>0</v>
      </c>
      <c r="Q262" s="39" t="n">
        <v>47500</v>
      </c>
      <c r="R262" s="39" t="n">
        <v>47500</v>
      </c>
      <c r="S262" t="inlineStr">
        <is>
          <t>Edificio</t>
        </is>
      </c>
      <c r="T262" t="inlineStr">
        <is>
          <t>A</t>
        </is>
      </c>
      <c r="U262" t="inlineStr">
        <is>
          <t>Depósito</t>
        </is>
      </c>
      <c r="V262" t="inlineStr">
        <is>
          <t>D 06</t>
        </is>
      </c>
      <c r="W262" t="n">
        <v>6</v>
      </c>
      <c r="X262" t="n">
        <v>0</v>
      </c>
      <c r="Y262" s="39" t="n">
        <v>21700</v>
      </c>
      <c r="Z262" s="39" t="n">
        <v>21700</v>
      </c>
      <c r="AA262" t="inlineStr">
        <is>
          <t>Edificio</t>
        </is>
      </c>
      <c r="AB262" t="inlineStr">
        <is>
          <t>A</t>
        </is>
      </c>
      <c r="AC262" t="inlineStr">
        <is>
          <t>Depósito</t>
        </is>
      </c>
      <c r="AD262" t="inlineStr">
        <is>
          <t>D 07</t>
        </is>
      </c>
      <c r="AE262" t="n">
        <v>2.62</v>
      </c>
      <c r="AF262" t="n">
        <v>0</v>
      </c>
      <c r="AG262" s="39" t="n">
        <v>9500</v>
      </c>
      <c r="AH262" s="39" t="n">
        <v>9500</v>
      </c>
      <c r="AI262" t="inlineStr">
        <is>
          <t>PABLO JAIME CORNEJO PEREDA</t>
        </is>
      </c>
      <c r="AJ262" t="inlineStr">
        <is>
          <t>07763504</t>
        </is>
      </c>
      <c r="AK262" t="inlineStr">
        <is>
          <t>Lima - Lima - San Miguel - Jr. Simon Bolivar 105 Dpto 1201</t>
        </is>
      </c>
      <c r="AM262" t="inlineStr">
        <is>
          <t>998912031</t>
        </is>
      </c>
      <c r="AN262" t="inlineStr">
        <is>
          <t>pablocornejo@yahoo.com</t>
        </is>
      </c>
      <c r="AO262" t="inlineStr">
        <is>
          <t>LIMA</t>
        </is>
      </c>
      <c r="AP262" t="inlineStr">
        <is>
          <t>SAN MIGUEL</t>
        </is>
      </c>
      <c r="AQ262" s="75" t="n">
        <v>45819</v>
      </c>
      <c r="AR262" s="75" t="n">
        <v>45819</v>
      </c>
      <c r="AS262" t="inlineStr">
        <is>
          <t>SALDO FINANCIAR</t>
        </is>
      </c>
      <c r="AT262" t="n">
        <v>6</v>
      </c>
      <c r="AU262" t="n">
        <v>21168</v>
      </c>
      <c r="AV262" t="n">
        <v>0</v>
      </c>
      <c r="AW262" t="n">
        <v>0</v>
      </c>
      <c r="AX262" s="39" t="n">
        <v>21168</v>
      </c>
      <c r="AY262" s="39" t="n">
        <v>21168</v>
      </c>
      <c r="AZ262" s="39" t="n">
        <v>0</v>
      </c>
      <c r="BA262" t="n">
        <v>0</v>
      </c>
      <c r="BB262" t="inlineStr">
        <is>
          <t>Crédito Directo</t>
        </is>
      </c>
      <c r="BC262" t="inlineStr">
        <is>
          <t>Banco de Credito del Perú</t>
        </is>
      </c>
      <c r="BD262" t="inlineStr">
        <is>
          <t>194-7325779-0-65</t>
        </is>
      </c>
      <c r="BG262" t="inlineStr">
        <is>
          <t>0828384</t>
        </is>
      </c>
      <c r="BH262" t="inlineStr">
        <is>
          <t>No</t>
        </is>
      </c>
      <c r="BJ262" t="n">
        <v>1</v>
      </c>
      <c r="BK262" t="inlineStr">
        <is>
          <t>CANCELADO</t>
        </is>
      </c>
      <c r="BV262" t="inlineStr">
        <is>
          <t>Si</t>
        </is>
      </c>
      <c r="BW262" s="76" t="n">
        <v>45761.40694444445</v>
      </c>
      <c r="BX262" t="inlineStr">
        <is>
          <t>Carla Michue M</t>
        </is>
      </c>
      <c r="BZ262" t="n">
        <v>38</v>
      </c>
      <c r="CA262" t="inlineStr">
        <is>
          <t>29/05/2026 02:48</t>
        </is>
      </c>
      <c r="CB262" t="n">
        <v>0</v>
      </c>
      <c r="CF262" t="inlineStr">
        <is>
          <t>Cobranzas_2025.csv</t>
        </is>
      </c>
      <c r="CG262" t="n">
        <v>2025</v>
      </c>
      <c r="CH262" t="inlineStr">
        <is>
          <t>01/01/2024</t>
        </is>
      </c>
      <c r="CI262" t="inlineStr">
        <is>
          <t>24/08/2031</t>
        </is>
      </c>
    </row>
    <row r="263">
      <c r="A263" t="inlineStr">
        <is>
          <t>RESIDENCIAL BEYOND</t>
        </is>
      </c>
      <c r="B263" t="inlineStr">
        <is>
          <t>Etapa 1</t>
        </is>
      </c>
      <c r="C263" t="inlineStr">
        <is>
          <t>Edificio</t>
        </is>
      </c>
      <c r="D263" t="inlineStr">
        <is>
          <t>A</t>
        </is>
      </c>
      <c r="E263" t="inlineStr">
        <is>
          <t>Departamento</t>
        </is>
      </c>
      <c r="F263" t="inlineStr">
        <is>
          <t>604</t>
        </is>
      </c>
      <c r="G263" t="n">
        <v>67</v>
      </c>
      <c r="H263" t="n">
        <v>0</v>
      </c>
      <c r="I263" s="39" t="n">
        <v>460000</v>
      </c>
      <c r="J263" s="39" t="n">
        <v>460000</v>
      </c>
      <c r="K263" t="inlineStr">
        <is>
          <t>Edificio</t>
        </is>
      </c>
      <c r="L263" t="inlineStr">
        <is>
          <t>A</t>
        </is>
      </c>
      <c r="M263" t="inlineStr">
        <is>
          <t>Estacionamiento</t>
        </is>
      </c>
      <c r="N263" t="inlineStr">
        <is>
          <t>E 11</t>
        </is>
      </c>
      <c r="O263" t="n">
        <v>12.5</v>
      </c>
      <c r="P263" t="n">
        <v>0</v>
      </c>
      <c r="Q263" s="39" t="n">
        <v>47500</v>
      </c>
      <c r="R263" s="39" t="n">
        <v>47500</v>
      </c>
      <c r="S263" t="inlineStr">
        <is>
          <t>Edificio</t>
        </is>
      </c>
      <c r="T263" t="inlineStr">
        <is>
          <t>A</t>
        </is>
      </c>
      <c r="U263" t="inlineStr">
        <is>
          <t>Depósito</t>
        </is>
      </c>
      <c r="V263" t="inlineStr">
        <is>
          <t>D 06</t>
        </is>
      </c>
      <c r="W263" t="n">
        <v>6</v>
      </c>
      <c r="X263" t="n">
        <v>0</v>
      </c>
      <c r="Y263" s="39" t="n">
        <v>21700</v>
      </c>
      <c r="Z263" s="39" t="n">
        <v>21700</v>
      </c>
      <c r="AA263" t="inlineStr">
        <is>
          <t>Edificio</t>
        </is>
      </c>
      <c r="AB263" t="inlineStr">
        <is>
          <t>A</t>
        </is>
      </c>
      <c r="AC263" t="inlineStr">
        <is>
          <t>Depósito</t>
        </is>
      </c>
      <c r="AD263" t="inlineStr">
        <is>
          <t>D 07</t>
        </is>
      </c>
      <c r="AE263" t="n">
        <v>2.62</v>
      </c>
      <c r="AF263" t="n">
        <v>0</v>
      </c>
      <c r="AG263" s="39" t="n">
        <v>9500</v>
      </c>
      <c r="AH263" s="39" t="n">
        <v>9500</v>
      </c>
      <c r="AI263" t="inlineStr">
        <is>
          <t>PABLO JAIME CORNEJO PEREDA</t>
        </is>
      </c>
      <c r="AJ263" t="inlineStr">
        <is>
          <t>07763504</t>
        </is>
      </c>
      <c r="AK263" t="inlineStr">
        <is>
          <t>Lima - Lima - San Miguel - Jr. Simon Bolivar 105 Dpto 1201</t>
        </is>
      </c>
      <c r="AM263" t="inlineStr">
        <is>
          <t>998912031</t>
        </is>
      </c>
      <c r="AN263" t="inlineStr">
        <is>
          <t>pablocornejo@yahoo.com</t>
        </is>
      </c>
      <c r="AO263" t="inlineStr">
        <is>
          <t>LIMA</t>
        </is>
      </c>
      <c r="AP263" t="inlineStr">
        <is>
          <t>SAN MIGUEL</t>
        </is>
      </c>
      <c r="AQ263" s="75" t="n">
        <v>45819</v>
      </c>
      <c r="AR263" s="75" t="n">
        <v>45819</v>
      </c>
      <c r="AS263" t="inlineStr">
        <is>
          <t>SALDO FINANCIAR</t>
        </is>
      </c>
      <c r="AT263" t="n">
        <v>7</v>
      </c>
      <c r="AU263" t="n">
        <v>21168</v>
      </c>
      <c r="AV263" t="n">
        <v>0</v>
      </c>
      <c r="AW263" t="n">
        <v>0</v>
      </c>
      <c r="AX263" s="39" t="n">
        <v>21168</v>
      </c>
      <c r="AY263" s="39" t="n">
        <v>21168</v>
      </c>
      <c r="AZ263" s="39" t="n">
        <v>0</v>
      </c>
      <c r="BA263" t="n">
        <v>0</v>
      </c>
      <c r="BB263" t="inlineStr">
        <is>
          <t>Crédito Directo</t>
        </is>
      </c>
      <c r="BC263" t="inlineStr">
        <is>
          <t>Banco de Credito del Perú</t>
        </is>
      </c>
      <c r="BD263" t="inlineStr">
        <is>
          <t>194-7325779-0-65</t>
        </is>
      </c>
      <c r="BG263" t="inlineStr">
        <is>
          <t>0831202</t>
        </is>
      </c>
      <c r="BH263" t="inlineStr">
        <is>
          <t>No</t>
        </is>
      </c>
      <c r="BJ263" t="n">
        <v>1</v>
      </c>
      <c r="BK263" t="inlineStr">
        <is>
          <t>CANCELADO</t>
        </is>
      </c>
      <c r="BV263" t="inlineStr">
        <is>
          <t>Si</t>
        </is>
      </c>
      <c r="BW263" s="76" t="n">
        <v>45761.40694444445</v>
      </c>
      <c r="BX263" t="inlineStr">
        <is>
          <t>Carla Michue M</t>
        </is>
      </c>
      <c r="BZ263" t="n">
        <v>38</v>
      </c>
      <c r="CA263" t="inlineStr">
        <is>
          <t>29/05/2026 02:48</t>
        </is>
      </c>
      <c r="CB263" t="n">
        <v>0</v>
      </c>
      <c r="CF263" t="inlineStr">
        <is>
          <t>Cobranzas_2025.csv</t>
        </is>
      </c>
      <c r="CG263" t="n">
        <v>2025</v>
      </c>
      <c r="CH263" t="inlineStr">
        <is>
          <t>01/01/2024</t>
        </is>
      </c>
      <c r="CI263" t="inlineStr">
        <is>
          <t>24/08/2031</t>
        </is>
      </c>
    </row>
    <row r="264">
      <c r="A264" t="inlineStr">
        <is>
          <t>RESIDENCIAL BEYOND</t>
        </is>
      </c>
      <c r="B264" t="inlineStr">
        <is>
          <t>Etapa 1</t>
        </is>
      </c>
      <c r="C264" t="inlineStr">
        <is>
          <t>Edificio</t>
        </is>
      </c>
      <c r="D264" t="inlineStr">
        <is>
          <t>A</t>
        </is>
      </c>
      <c r="E264" t="inlineStr">
        <is>
          <t>Departamento</t>
        </is>
      </c>
      <c r="F264" t="inlineStr">
        <is>
          <t>604</t>
        </is>
      </c>
      <c r="G264" t="n">
        <v>67</v>
      </c>
      <c r="H264" t="n">
        <v>0</v>
      </c>
      <c r="I264" s="39" t="n">
        <v>460000</v>
      </c>
      <c r="J264" s="39" t="n">
        <v>460000</v>
      </c>
      <c r="K264" t="inlineStr">
        <is>
          <t>Edificio</t>
        </is>
      </c>
      <c r="L264" t="inlineStr">
        <is>
          <t>A</t>
        </is>
      </c>
      <c r="M264" t="inlineStr">
        <is>
          <t>Estacionamiento</t>
        </is>
      </c>
      <c r="N264" t="inlineStr">
        <is>
          <t>E 11</t>
        </is>
      </c>
      <c r="O264" t="n">
        <v>12.5</v>
      </c>
      <c r="P264" t="n">
        <v>0</v>
      </c>
      <c r="Q264" s="39" t="n">
        <v>47500</v>
      </c>
      <c r="R264" s="39" t="n">
        <v>47500</v>
      </c>
      <c r="S264" t="inlineStr">
        <is>
          <t>Edificio</t>
        </is>
      </c>
      <c r="T264" t="inlineStr">
        <is>
          <t>A</t>
        </is>
      </c>
      <c r="U264" t="inlineStr">
        <is>
          <t>Depósito</t>
        </is>
      </c>
      <c r="V264" t="inlineStr">
        <is>
          <t>D 06</t>
        </is>
      </c>
      <c r="W264" t="n">
        <v>6</v>
      </c>
      <c r="X264" t="n">
        <v>0</v>
      </c>
      <c r="Y264" s="39" t="n">
        <v>21700</v>
      </c>
      <c r="Z264" s="39" t="n">
        <v>21700</v>
      </c>
      <c r="AA264" t="inlineStr">
        <is>
          <t>Edificio</t>
        </is>
      </c>
      <c r="AB264" t="inlineStr">
        <is>
          <t>A</t>
        </is>
      </c>
      <c r="AC264" t="inlineStr">
        <is>
          <t>Depósito</t>
        </is>
      </c>
      <c r="AD264" t="inlineStr">
        <is>
          <t>D 07</t>
        </is>
      </c>
      <c r="AE264" t="n">
        <v>2.62</v>
      </c>
      <c r="AF264" t="n">
        <v>0</v>
      </c>
      <c r="AG264" s="39" t="n">
        <v>9500</v>
      </c>
      <c r="AH264" s="39" t="n">
        <v>9500</v>
      </c>
      <c r="AI264" t="inlineStr">
        <is>
          <t>PABLO JAIME CORNEJO PEREDA</t>
        </is>
      </c>
      <c r="AJ264" t="inlineStr">
        <is>
          <t>07763504</t>
        </is>
      </c>
      <c r="AK264" t="inlineStr">
        <is>
          <t>Lima - Lima - San Miguel - Jr. Simon Bolivar 105 Dpto 1201</t>
        </is>
      </c>
      <c r="AM264" t="inlineStr">
        <is>
          <t>998912031</t>
        </is>
      </c>
      <c r="AN264" t="inlineStr">
        <is>
          <t>pablocornejo@yahoo.com</t>
        </is>
      </c>
      <c r="AO264" t="inlineStr">
        <is>
          <t>LIMA</t>
        </is>
      </c>
      <c r="AP264" t="inlineStr">
        <is>
          <t>SAN MIGUEL</t>
        </is>
      </c>
      <c r="AQ264" s="75" t="n">
        <v>45819</v>
      </c>
      <c r="AR264" s="75" t="n">
        <v>45819</v>
      </c>
      <c r="AS264" t="inlineStr">
        <is>
          <t>SALDO FINANCIAR</t>
        </is>
      </c>
      <c r="AT264" t="n">
        <v>8</v>
      </c>
      <c r="AU264" t="n">
        <v>21168</v>
      </c>
      <c r="AV264" t="n">
        <v>0</v>
      </c>
      <c r="AW264" t="n">
        <v>0</v>
      </c>
      <c r="AX264" s="39" t="n">
        <v>21168</v>
      </c>
      <c r="AY264" s="39" t="n">
        <v>21168</v>
      </c>
      <c r="AZ264" s="39" t="n">
        <v>0</v>
      </c>
      <c r="BA264" t="n">
        <v>0</v>
      </c>
      <c r="BB264" t="inlineStr">
        <is>
          <t>Crédito Directo</t>
        </is>
      </c>
      <c r="BC264" t="inlineStr">
        <is>
          <t>Banco de Credito del Perú</t>
        </is>
      </c>
      <c r="BD264" t="inlineStr">
        <is>
          <t>194-7325779-0-65</t>
        </is>
      </c>
      <c r="BG264" t="inlineStr">
        <is>
          <t>0836496</t>
        </is>
      </c>
      <c r="BH264" t="inlineStr">
        <is>
          <t>No</t>
        </is>
      </c>
      <c r="BJ264" t="n">
        <v>1</v>
      </c>
      <c r="BK264" t="inlineStr">
        <is>
          <t>CANCELADO</t>
        </is>
      </c>
      <c r="BV264" t="inlineStr">
        <is>
          <t>Si</t>
        </is>
      </c>
      <c r="BW264" s="76" t="n">
        <v>45761.40694444445</v>
      </c>
      <c r="BX264" t="inlineStr">
        <is>
          <t>Carla Michue M</t>
        </is>
      </c>
      <c r="BZ264" t="n">
        <v>38</v>
      </c>
      <c r="CA264" t="inlineStr">
        <is>
          <t>29/05/2026 02:48</t>
        </is>
      </c>
      <c r="CB264" t="n">
        <v>0</v>
      </c>
      <c r="CF264" t="inlineStr">
        <is>
          <t>Cobranzas_2025.csv</t>
        </is>
      </c>
      <c r="CG264" t="n">
        <v>2025</v>
      </c>
      <c r="CH264" t="inlineStr">
        <is>
          <t>01/01/2024</t>
        </is>
      </c>
      <c r="CI264" t="inlineStr">
        <is>
          <t>24/08/2031</t>
        </is>
      </c>
    </row>
    <row r="265">
      <c r="A265" t="inlineStr">
        <is>
          <t>RESIDENCIAL BEYOND</t>
        </is>
      </c>
      <c r="B265" t="inlineStr">
        <is>
          <t>Etapa 1</t>
        </is>
      </c>
      <c r="C265" t="inlineStr">
        <is>
          <t>Edificio</t>
        </is>
      </c>
      <c r="D265" t="inlineStr">
        <is>
          <t>A</t>
        </is>
      </c>
      <c r="E265" t="inlineStr">
        <is>
          <t>Departamento</t>
        </is>
      </c>
      <c r="F265" t="inlineStr">
        <is>
          <t>604</t>
        </is>
      </c>
      <c r="G265" t="n">
        <v>67</v>
      </c>
      <c r="H265" t="n">
        <v>0</v>
      </c>
      <c r="I265" s="39" t="n">
        <v>460000</v>
      </c>
      <c r="J265" s="39" t="n">
        <v>460000</v>
      </c>
      <c r="K265" t="inlineStr">
        <is>
          <t>Edificio</t>
        </is>
      </c>
      <c r="L265" t="inlineStr">
        <is>
          <t>A</t>
        </is>
      </c>
      <c r="M265" t="inlineStr">
        <is>
          <t>Estacionamiento</t>
        </is>
      </c>
      <c r="N265" t="inlineStr">
        <is>
          <t>E 11</t>
        </is>
      </c>
      <c r="O265" t="n">
        <v>12.5</v>
      </c>
      <c r="P265" t="n">
        <v>0</v>
      </c>
      <c r="Q265" s="39" t="n">
        <v>47500</v>
      </c>
      <c r="R265" s="39" t="n">
        <v>47500</v>
      </c>
      <c r="S265" t="inlineStr">
        <is>
          <t>Edificio</t>
        </is>
      </c>
      <c r="T265" t="inlineStr">
        <is>
          <t>A</t>
        </is>
      </c>
      <c r="U265" t="inlineStr">
        <is>
          <t>Depósito</t>
        </is>
      </c>
      <c r="V265" t="inlineStr">
        <is>
          <t>D 06</t>
        </is>
      </c>
      <c r="W265" t="n">
        <v>6</v>
      </c>
      <c r="X265" t="n">
        <v>0</v>
      </c>
      <c r="Y265" s="39" t="n">
        <v>21700</v>
      </c>
      <c r="Z265" s="39" t="n">
        <v>21700</v>
      </c>
      <c r="AA265" t="inlineStr">
        <is>
          <t>Edificio</t>
        </is>
      </c>
      <c r="AB265" t="inlineStr">
        <is>
          <t>A</t>
        </is>
      </c>
      <c r="AC265" t="inlineStr">
        <is>
          <t>Depósito</t>
        </is>
      </c>
      <c r="AD265" t="inlineStr">
        <is>
          <t>D 07</t>
        </is>
      </c>
      <c r="AE265" t="n">
        <v>2.62</v>
      </c>
      <c r="AF265" t="n">
        <v>0</v>
      </c>
      <c r="AG265" s="39" t="n">
        <v>9500</v>
      </c>
      <c r="AH265" s="39" t="n">
        <v>9500</v>
      </c>
      <c r="AI265" t="inlineStr">
        <is>
          <t>PABLO JAIME CORNEJO PEREDA</t>
        </is>
      </c>
      <c r="AJ265" t="inlineStr">
        <is>
          <t>07763504</t>
        </is>
      </c>
      <c r="AK265" t="inlineStr">
        <is>
          <t>Lima - Lima - San Miguel - Jr. Simon Bolivar 105 Dpto 1201</t>
        </is>
      </c>
      <c r="AM265" t="inlineStr">
        <is>
          <t>998912031</t>
        </is>
      </c>
      <c r="AN265" t="inlineStr">
        <is>
          <t>pablocornejo@yahoo.com</t>
        </is>
      </c>
      <c r="AO265" t="inlineStr">
        <is>
          <t>LIMA</t>
        </is>
      </c>
      <c r="AP265" t="inlineStr">
        <is>
          <t>SAN MIGUEL</t>
        </is>
      </c>
      <c r="AQ265" s="75" t="n">
        <v>45819</v>
      </c>
      <c r="AR265" s="75" t="n">
        <v>45819</v>
      </c>
      <c r="AS265" t="inlineStr">
        <is>
          <t>SALDO FINANCIAR</t>
        </is>
      </c>
      <c r="AT265" t="n">
        <v>9</v>
      </c>
      <c r="AU265" t="n">
        <v>21168</v>
      </c>
      <c r="AV265" t="n">
        <v>0</v>
      </c>
      <c r="AW265" t="n">
        <v>0</v>
      </c>
      <c r="AX265" s="39" t="n">
        <v>21168</v>
      </c>
      <c r="AY265" s="39" t="n">
        <v>21168</v>
      </c>
      <c r="AZ265" s="39" t="n">
        <v>0</v>
      </c>
      <c r="BA265" t="n">
        <v>0</v>
      </c>
      <c r="BB265" t="inlineStr">
        <is>
          <t>Crédito Directo</t>
        </is>
      </c>
      <c r="BC265" t="inlineStr">
        <is>
          <t>Banco de Credito del Perú</t>
        </is>
      </c>
      <c r="BD265" t="inlineStr">
        <is>
          <t>194-7325779-0-65</t>
        </is>
      </c>
      <c r="BG265" t="inlineStr">
        <is>
          <t>0836780</t>
        </is>
      </c>
      <c r="BH265" t="inlineStr">
        <is>
          <t>No</t>
        </is>
      </c>
      <c r="BJ265" t="n">
        <v>1</v>
      </c>
      <c r="BK265" t="inlineStr">
        <is>
          <t>CANCELADO</t>
        </is>
      </c>
      <c r="BV265" t="inlineStr">
        <is>
          <t>Si</t>
        </is>
      </c>
      <c r="BW265" s="76" t="n">
        <v>45761.40694444445</v>
      </c>
      <c r="BX265" t="inlineStr">
        <is>
          <t>Carla Michue M</t>
        </is>
      </c>
      <c r="BZ265" t="n">
        <v>38</v>
      </c>
      <c r="CA265" t="inlineStr">
        <is>
          <t>29/05/2026 02:48</t>
        </is>
      </c>
      <c r="CB265" t="n">
        <v>0</v>
      </c>
      <c r="CF265" t="inlineStr">
        <is>
          <t>Cobranzas_2025.csv</t>
        </is>
      </c>
      <c r="CG265" t="n">
        <v>2025</v>
      </c>
      <c r="CH265" t="inlineStr">
        <is>
          <t>01/01/2024</t>
        </is>
      </c>
      <c r="CI265" t="inlineStr">
        <is>
          <t>24/08/2031</t>
        </is>
      </c>
    </row>
    <row r="266">
      <c r="A266" t="inlineStr">
        <is>
          <t>RESIDENCIAL BEYOND</t>
        </is>
      </c>
      <c r="B266" t="inlineStr">
        <is>
          <t>Etapa 1</t>
        </is>
      </c>
      <c r="C266" t="inlineStr">
        <is>
          <t>Edificio</t>
        </is>
      </c>
      <c r="D266" t="inlineStr">
        <is>
          <t>A</t>
        </is>
      </c>
      <c r="E266" t="inlineStr">
        <is>
          <t>Departamento</t>
        </is>
      </c>
      <c r="F266" t="inlineStr">
        <is>
          <t>604</t>
        </is>
      </c>
      <c r="G266" t="n">
        <v>67</v>
      </c>
      <c r="H266" t="n">
        <v>0</v>
      </c>
      <c r="I266" s="39" t="n">
        <v>460000</v>
      </c>
      <c r="J266" s="39" t="n">
        <v>460000</v>
      </c>
      <c r="K266" t="inlineStr">
        <is>
          <t>Edificio</t>
        </is>
      </c>
      <c r="L266" t="inlineStr">
        <is>
          <t>A</t>
        </is>
      </c>
      <c r="M266" t="inlineStr">
        <is>
          <t>Estacionamiento</t>
        </is>
      </c>
      <c r="N266" t="inlineStr">
        <is>
          <t>E 11</t>
        </is>
      </c>
      <c r="O266" t="n">
        <v>12.5</v>
      </c>
      <c r="P266" t="n">
        <v>0</v>
      </c>
      <c r="Q266" s="39" t="n">
        <v>47500</v>
      </c>
      <c r="R266" s="39" t="n">
        <v>47500</v>
      </c>
      <c r="S266" t="inlineStr">
        <is>
          <t>Edificio</t>
        </is>
      </c>
      <c r="T266" t="inlineStr">
        <is>
          <t>A</t>
        </is>
      </c>
      <c r="U266" t="inlineStr">
        <is>
          <t>Depósito</t>
        </is>
      </c>
      <c r="V266" t="inlineStr">
        <is>
          <t>D 06</t>
        </is>
      </c>
      <c r="W266" t="n">
        <v>6</v>
      </c>
      <c r="X266" t="n">
        <v>0</v>
      </c>
      <c r="Y266" s="39" t="n">
        <v>21700</v>
      </c>
      <c r="Z266" s="39" t="n">
        <v>21700</v>
      </c>
      <c r="AA266" t="inlineStr">
        <is>
          <t>Edificio</t>
        </is>
      </c>
      <c r="AB266" t="inlineStr">
        <is>
          <t>A</t>
        </is>
      </c>
      <c r="AC266" t="inlineStr">
        <is>
          <t>Depósito</t>
        </is>
      </c>
      <c r="AD266" t="inlineStr">
        <is>
          <t>D 07</t>
        </is>
      </c>
      <c r="AE266" t="n">
        <v>2.62</v>
      </c>
      <c r="AF266" t="n">
        <v>0</v>
      </c>
      <c r="AG266" s="39" t="n">
        <v>9500</v>
      </c>
      <c r="AH266" s="39" t="n">
        <v>9500</v>
      </c>
      <c r="AI266" t="inlineStr">
        <is>
          <t>PABLO JAIME CORNEJO PEREDA</t>
        </is>
      </c>
      <c r="AJ266" t="inlineStr">
        <is>
          <t>07763504</t>
        </is>
      </c>
      <c r="AK266" t="inlineStr">
        <is>
          <t>Lima - Lima - San Miguel - Jr. Simon Bolivar 105 Dpto 1201</t>
        </is>
      </c>
      <c r="AM266" t="inlineStr">
        <is>
          <t>998912031</t>
        </is>
      </c>
      <c r="AN266" t="inlineStr">
        <is>
          <t>pablocornejo@yahoo.com</t>
        </is>
      </c>
      <c r="AO266" t="inlineStr">
        <is>
          <t>LIMA</t>
        </is>
      </c>
      <c r="AP266" t="inlineStr">
        <is>
          <t>SAN MIGUEL</t>
        </is>
      </c>
      <c r="AQ266" s="75" t="n">
        <v>45819</v>
      </c>
      <c r="AR266" s="75" t="n">
        <v>45819</v>
      </c>
      <c r="AS266" t="inlineStr">
        <is>
          <t>SALDO FINANCIAR</t>
        </is>
      </c>
      <c r="AT266" t="n">
        <v>10</v>
      </c>
      <c r="AU266" t="n">
        <v>21168</v>
      </c>
      <c r="AV266" t="n">
        <v>0</v>
      </c>
      <c r="AW266" t="n">
        <v>0</v>
      </c>
      <c r="AX266" s="39" t="n">
        <v>21168</v>
      </c>
      <c r="AY266" s="39" t="n">
        <v>21168</v>
      </c>
      <c r="AZ266" s="39" t="n">
        <v>0</v>
      </c>
      <c r="BA266" t="n">
        <v>0</v>
      </c>
      <c r="BB266" t="inlineStr">
        <is>
          <t>Crédito Directo</t>
        </is>
      </c>
      <c r="BC266" t="inlineStr">
        <is>
          <t>Banco de Credito del Perú</t>
        </is>
      </c>
      <c r="BD266" t="inlineStr">
        <is>
          <t>194-7325779-0-65</t>
        </is>
      </c>
      <c r="BG266" t="inlineStr">
        <is>
          <t>0837109</t>
        </is>
      </c>
      <c r="BH266" t="inlineStr">
        <is>
          <t>No</t>
        </is>
      </c>
      <c r="BJ266" t="n">
        <v>1</v>
      </c>
      <c r="BK266" t="inlineStr">
        <is>
          <t>CANCELADO</t>
        </is>
      </c>
      <c r="BV266" t="inlineStr">
        <is>
          <t>Si</t>
        </is>
      </c>
      <c r="BW266" s="76" t="n">
        <v>45761.40694444445</v>
      </c>
      <c r="BX266" t="inlineStr">
        <is>
          <t>Carla Michue M</t>
        </is>
      </c>
      <c r="BZ266" t="n">
        <v>38</v>
      </c>
      <c r="CA266" t="inlineStr">
        <is>
          <t>29/05/2026 02:48</t>
        </is>
      </c>
      <c r="CB266" t="n">
        <v>0</v>
      </c>
      <c r="CF266" t="inlineStr">
        <is>
          <t>Cobranzas_2025.csv</t>
        </is>
      </c>
      <c r="CG266" t="n">
        <v>2025</v>
      </c>
      <c r="CH266" t="inlineStr">
        <is>
          <t>01/01/2024</t>
        </is>
      </c>
      <c r="CI266" t="inlineStr">
        <is>
          <t>24/08/2031</t>
        </is>
      </c>
    </row>
    <row r="267">
      <c r="A267" t="inlineStr">
        <is>
          <t>RESIDENCIAL PRADA</t>
        </is>
      </c>
      <c r="B267" t="inlineStr">
        <is>
          <t>Etapa 1</t>
        </is>
      </c>
      <c r="C267" t="inlineStr">
        <is>
          <t>Edificio</t>
        </is>
      </c>
      <c r="D267" t="inlineStr">
        <is>
          <t>A</t>
        </is>
      </c>
      <c r="E267" t="inlineStr">
        <is>
          <t>Departamento</t>
        </is>
      </c>
      <c r="F267" t="inlineStr">
        <is>
          <t>503</t>
        </is>
      </c>
      <c r="G267" t="n">
        <v>88</v>
      </c>
      <c r="H267" t="n">
        <v>0</v>
      </c>
      <c r="I267" s="39" t="n">
        <v>660000</v>
      </c>
      <c r="J267" s="39" t="n">
        <v>660000</v>
      </c>
      <c r="Q267" s="39" t="n"/>
      <c r="R267" s="39" t="n"/>
      <c r="Y267" s="39" t="n"/>
      <c r="Z267" s="39" t="n"/>
      <c r="AG267" s="39" t="n"/>
      <c r="AH267" s="39" t="n"/>
      <c r="AI267" t="inlineStr">
        <is>
          <t>PATROCINIO HUAMANI CUEVAS</t>
        </is>
      </c>
      <c r="AJ267" t="inlineStr">
        <is>
          <t>28965506</t>
        </is>
      </c>
      <c r="AK267" t="inlineStr">
        <is>
          <t>AV. SALAVERRY N°2080 DPTO. 304</t>
        </is>
      </c>
      <c r="AM267" t="inlineStr">
        <is>
          <t>991730000</t>
        </is>
      </c>
      <c r="AN267" t="inlineStr">
        <is>
          <t>oftalmconsulta@gmail.com</t>
        </is>
      </c>
      <c r="AO267" t="inlineStr">
        <is>
          <t>LIMA</t>
        </is>
      </c>
      <c r="AP267" t="inlineStr">
        <is>
          <t>JESUS MARIA</t>
        </is>
      </c>
      <c r="AQ267" s="75" t="n">
        <v>45805</v>
      </c>
      <c r="AR267" s="75" t="n">
        <v>45805</v>
      </c>
      <c r="AS267" t="inlineStr">
        <is>
          <t>SEPARACION</t>
        </is>
      </c>
      <c r="AT267" t="n">
        <v>1</v>
      </c>
      <c r="AU267" t="n">
        <v>3000</v>
      </c>
      <c r="AV267" t="n">
        <v>0</v>
      </c>
      <c r="AW267" t="n">
        <v>0</v>
      </c>
      <c r="AX267" s="39" t="n">
        <v>3000</v>
      </c>
      <c r="AY267" s="39" t="n">
        <v>3000</v>
      </c>
      <c r="AZ267" s="39" t="n">
        <v>0</v>
      </c>
      <c r="BA267" t="n">
        <v>0</v>
      </c>
      <c r="BB267" t="inlineStr">
        <is>
          <t>Crédito Directo</t>
        </is>
      </c>
      <c r="BC267" t="inlineStr">
        <is>
          <t>Scotiabank Perú</t>
        </is>
      </c>
      <c r="BD267" t="inlineStr">
        <is>
          <t>000-2768484</t>
        </is>
      </c>
      <c r="BE267" t="inlineStr">
        <is>
          <t>TRANSFERENCIA BANCARIA</t>
        </is>
      </c>
      <c r="BF267" t="inlineStr">
        <is>
          <t>28965506</t>
        </is>
      </c>
      <c r="BG267" t="inlineStr">
        <is>
          <t>00016000000018</t>
        </is>
      </c>
      <c r="BH267" t="inlineStr">
        <is>
          <t>No</t>
        </is>
      </c>
      <c r="BI267" t="inlineStr">
        <is>
          <t>NO PRECISA</t>
        </is>
      </c>
      <c r="BJ267" t="n">
        <v>1</v>
      </c>
      <c r="BK267" t="inlineStr">
        <is>
          <t>CANCELADO</t>
        </is>
      </c>
      <c r="BV267" t="inlineStr">
        <is>
          <t>Si</t>
        </is>
      </c>
      <c r="BW267" s="76" t="n">
        <v>45856.68958333333</v>
      </c>
      <c r="BX267" t="inlineStr">
        <is>
          <t>Carla Michue M</t>
        </is>
      </c>
      <c r="BZ267" t="n">
        <v>14</v>
      </c>
      <c r="CA267" t="inlineStr">
        <is>
          <t>29/05/2026 12:21</t>
        </is>
      </c>
      <c r="CB267" t="n">
        <v>0</v>
      </c>
      <c r="CF267" t="inlineStr">
        <is>
          <t>Cobranzas_2025.csv</t>
        </is>
      </c>
      <c r="CG267" t="n">
        <v>2025</v>
      </c>
      <c r="CH267" t="inlineStr">
        <is>
          <t>01/01/2024</t>
        </is>
      </c>
      <c r="CI267" t="inlineStr">
        <is>
          <t>24/08/2031</t>
        </is>
      </c>
    </row>
    <row r="268">
      <c r="A268" t="inlineStr">
        <is>
          <t>RESIDENCIAL PRADA</t>
        </is>
      </c>
      <c r="B268" t="inlineStr">
        <is>
          <t>Etapa 1</t>
        </is>
      </c>
      <c r="C268" t="inlineStr">
        <is>
          <t>Edificio</t>
        </is>
      </c>
      <c r="D268" t="inlineStr">
        <is>
          <t>A</t>
        </is>
      </c>
      <c r="E268" t="inlineStr">
        <is>
          <t>Departamento</t>
        </is>
      </c>
      <c r="F268" t="inlineStr">
        <is>
          <t>503</t>
        </is>
      </c>
      <c r="G268" t="n">
        <v>88</v>
      </c>
      <c r="H268" t="n">
        <v>0</v>
      </c>
      <c r="I268" s="39" t="n">
        <v>660000</v>
      </c>
      <c r="J268" s="39" t="n">
        <v>660000</v>
      </c>
      <c r="Q268" s="39" t="n"/>
      <c r="R268" s="39" t="n"/>
      <c r="Y268" s="39" t="n"/>
      <c r="Z268" s="39" t="n"/>
      <c r="AG268" s="39" t="n"/>
      <c r="AH268" s="39" t="n"/>
      <c r="AI268" t="inlineStr">
        <is>
          <t>PATROCINIO HUAMANI CUEVAS</t>
        </is>
      </c>
      <c r="AJ268" t="inlineStr">
        <is>
          <t>28965506</t>
        </is>
      </c>
      <c r="AK268" t="inlineStr">
        <is>
          <t>AV. SALAVERRY N°2080 DPTO. 304</t>
        </is>
      </c>
      <c r="AM268" t="inlineStr">
        <is>
          <t>991730000</t>
        </is>
      </c>
      <c r="AN268" t="inlineStr">
        <is>
          <t>oftalmconsulta@gmail.com</t>
        </is>
      </c>
      <c r="AO268" t="inlineStr">
        <is>
          <t>LIMA</t>
        </is>
      </c>
      <c r="AP268" t="inlineStr">
        <is>
          <t>JESUS MARIA</t>
        </is>
      </c>
      <c r="AQ268" s="75" t="n">
        <v>45856</v>
      </c>
      <c r="AR268" s="75" t="n">
        <v>45856</v>
      </c>
      <c r="AS268" t="inlineStr">
        <is>
          <t>CUOTA INICIAL</t>
        </is>
      </c>
      <c r="AT268" t="n">
        <v>2</v>
      </c>
      <c r="AU268" t="n">
        <v>162000</v>
      </c>
      <c r="AV268" t="n">
        <v>0</v>
      </c>
      <c r="AW268" t="n">
        <v>0</v>
      </c>
      <c r="AX268" s="39" t="n">
        <v>162000</v>
      </c>
      <c r="AY268" s="39" t="n">
        <v>162</v>
      </c>
      <c r="AZ268" s="39" t="n">
        <v>0</v>
      </c>
      <c r="BA268" t="n">
        <v>0</v>
      </c>
      <c r="BB268" t="inlineStr">
        <is>
          <t>Crédito Directo</t>
        </is>
      </c>
      <c r="BC268" t="inlineStr">
        <is>
          <t>Scotiabank Perú</t>
        </is>
      </c>
      <c r="BD268" t="inlineStr">
        <is>
          <t>000-2768484</t>
        </is>
      </c>
      <c r="BE268" t="inlineStr">
        <is>
          <t>TRANSFERENCIA BANCARIA</t>
        </is>
      </c>
      <c r="BG268" t="inlineStr">
        <is>
          <t>006905091</t>
        </is>
      </c>
      <c r="BH268" t="inlineStr">
        <is>
          <t>No</t>
        </is>
      </c>
      <c r="BI268" t="inlineStr">
        <is>
          <t>NO PRECISA</t>
        </is>
      </c>
      <c r="BJ268" t="n">
        <v>4</v>
      </c>
      <c r="BK268" t="inlineStr">
        <is>
          <t>CANCELADO</t>
        </is>
      </c>
      <c r="BV268" t="inlineStr">
        <is>
          <t>Si</t>
        </is>
      </c>
      <c r="BW268" s="76" t="n">
        <v>45856.68958333333</v>
      </c>
      <c r="BX268" t="inlineStr">
        <is>
          <t>Carla Michue M</t>
        </is>
      </c>
      <c r="BZ268" t="n">
        <v>14</v>
      </c>
      <c r="CA268" t="inlineStr">
        <is>
          <t>07/07/2026 09:46</t>
        </is>
      </c>
      <c r="CB268" t="n">
        <v>0</v>
      </c>
      <c r="CF268" t="inlineStr">
        <is>
          <t>Cobranzas_2025.csv</t>
        </is>
      </c>
      <c r="CG268" t="n">
        <v>2025</v>
      </c>
      <c r="CH268" t="inlineStr">
        <is>
          <t>01/01/2024</t>
        </is>
      </c>
      <c r="CI268" t="inlineStr">
        <is>
          <t>24/08/2031</t>
        </is>
      </c>
    </row>
    <row r="269">
      <c r="A269" t="inlineStr">
        <is>
          <t>RESIDENCIAL PRADA</t>
        </is>
      </c>
      <c r="B269" t="inlineStr">
        <is>
          <t>Etapa 1</t>
        </is>
      </c>
      <c r="C269" t="inlineStr">
        <is>
          <t>Edificio</t>
        </is>
      </c>
      <c r="D269" t="inlineStr">
        <is>
          <t>A</t>
        </is>
      </c>
      <c r="E269" t="inlineStr">
        <is>
          <t>Departamento</t>
        </is>
      </c>
      <c r="F269" t="inlineStr">
        <is>
          <t>503</t>
        </is>
      </c>
      <c r="G269" t="n">
        <v>88</v>
      </c>
      <c r="H269" t="n">
        <v>0</v>
      </c>
      <c r="I269" s="39" t="n">
        <v>660000</v>
      </c>
      <c r="J269" s="39" t="n">
        <v>660000</v>
      </c>
      <c r="Q269" s="39" t="n"/>
      <c r="R269" s="39" t="n"/>
      <c r="Y269" s="39" t="n"/>
      <c r="Z269" s="39" t="n"/>
      <c r="AG269" s="39" t="n"/>
      <c r="AH269" s="39" t="n"/>
      <c r="AI269" t="inlineStr">
        <is>
          <t>PATROCINIO HUAMANI CUEVAS</t>
        </is>
      </c>
      <c r="AJ269" t="inlineStr">
        <is>
          <t>28965506</t>
        </is>
      </c>
      <c r="AK269" t="inlineStr">
        <is>
          <t>AV. SALAVERRY N°2080 DPTO. 304</t>
        </is>
      </c>
      <c r="AM269" t="inlineStr">
        <is>
          <t>991730000</t>
        </is>
      </c>
      <c r="AN269" t="inlineStr">
        <is>
          <t>oftalmconsulta@gmail.com</t>
        </is>
      </c>
      <c r="AO269" t="inlineStr">
        <is>
          <t>LIMA</t>
        </is>
      </c>
      <c r="AP269" t="inlineStr">
        <is>
          <t>JESUS MARIA</t>
        </is>
      </c>
      <c r="AQ269" s="75" t="n">
        <v>45856</v>
      </c>
      <c r="AR269" s="75" t="n">
        <v>45856</v>
      </c>
      <c r="AS269" t="inlineStr">
        <is>
          <t>CUOTA INICIAL</t>
        </is>
      </c>
      <c r="AT269" t="n">
        <v>2</v>
      </c>
      <c r="AU269" t="n">
        <v>0</v>
      </c>
      <c r="AV269" t="n">
        <v>0</v>
      </c>
      <c r="AW269" t="n">
        <v>0</v>
      </c>
      <c r="AX269" s="39" t="n">
        <v>0</v>
      </c>
      <c r="AY269" s="39" t="n">
        <v>161838</v>
      </c>
      <c r="AZ269" s="39" t="n">
        <v>0</v>
      </c>
      <c r="BA269" t="n">
        <v>0</v>
      </c>
      <c r="BB269" t="inlineStr">
        <is>
          <t>Crédito Directo</t>
        </is>
      </c>
      <c r="BC269" t="inlineStr">
        <is>
          <t>Scotiabank Perú</t>
        </is>
      </c>
      <c r="BD269" t="inlineStr">
        <is>
          <t>000-2768484</t>
        </is>
      </c>
      <c r="BE269" t="inlineStr">
        <is>
          <t>TRANSFERENCIA BANCARIA</t>
        </is>
      </c>
      <c r="BG269" t="inlineStr">
        <is>
          <t>006913096</t>
        </is>
      </c>
      <c r="BH269" t="inlineStr">
        <is>
          <t>No</t>
        </is>
      </c>
      <c r="BI269" t="inlineStr">
        <is>
          <t>NO PRECISA</t>
        </is>
      </c>
      <c r="BJ269" t="n">
        <v>4</v>
      </c>
      <c r="BK269" t="inlineStr">
        <is>
          <t>CANCELADO</t>
        </is>
      </c>
      <c r="BV269" t="inlineStr">
        <is>
          <t>Si</t>
        </is>
      </c>
      <c r="BW269" s="76" t="n">
        <v>45856.68958333333</v>
      </c>
      <c r="BX269" t="inlineStr">
        <is>
          <t>Carla Michue M</t>
        </is>
      </c>
      <c r="BZ269" t="n">
        <v>14</v>
      </c>
      <c r="CA269" t="inlineStr">
        <is>
          <t>07/07/2026 09:46</t>
        </is>
      </c>
      <c r="CB269" t="n">
        <v>0</v>
      </c>
      <c r="CF269" t="inlineStr">
        <is>
          <t>Cobranzas_2025.csv</t>
        </is>
      </c>
      <c r="CG269" t="n">
        <v>2025</v>
      </c>
      <c r="CH269" t="inlineStr">
        <is>
          <t>01/01/2024</t>
        </is>
      </c>
      <c r="CI269" t="inlineStr">
        <is>
          <t>24/08/2031</t>
        </is>
      </c>
    </row>
    <row r="270">
      <c r="A270" t="inlineStr">
        <is>
          <t>RESIDENCIAL VENECIA</t>
        </is>
      </c>
      <c r="B270" t="inlineStr">
        <is>
          <t>Etapa 1</t>
        </is>
      </c>
      <c r="C270" t="inlineStr">
        <is>
          <t>Edificio</t>
        </is>
      </c>
      <c r="D270" t="inlineStr">
        <is>
          <t>A</t>
        </is>
      </c>
      <c r="E270" t="inlineStr">
        <is>
          <t>Departamento</t>
        </is>
      </c>
      <c r="F270" t="inlineStr">
        <is>
          <t>405</t>
        </is>
      </c>
      <c r="G270" t="n">
        <v>61</v>
      </c>
      <c r="H270" t="n">
        <v>0</v>
      </c>
      <c r="I270" s="39" t="n">
        <v>392000</v>
      </c>
      <c r="J270" s="39" t="n">
        <v>392000</v>
      </c>
      <c r="K270" t="inlineStr">
        <is>
          <t>Edificio</t>
        </is>
      </c>
      <c r="L270" t="inlineStr">
        <is>
          <t>A</t>
        </is>
      </c>
      <c r="M270" t="inlineStr">
        <is>
          <t>Estacionamiento</t>
        </is>
      </c>
      <c r="N270" t="inlineStr">
        <is>
          <t>E 29 - D 14</t>
        </is>
      </c>
      <c r="O270" t="n">
        <v>14.5</v>
      </c>
      <c r="P270" t="n">
        <v>0</v>
      </c>
      <c r="Q270" s="39" t="n">
        <v>43000</v>
      </c>
      <c r="R270" s="39" t="n">
        <v>43000</v>
      </c>
      <c r="Y270" s="39" t="n"/>
      <c r="Z270" s="39" t="n"/>
      <c r="AG270" s="39" t="n"/>
      <c r="AH270" s="39" t="n"/>
      <c r="AI270" t="inlineStr">
        <is>
          <t>Petronila Tisnado Meneses</t>
        </is>
      </c>
      <c r="AJ270" t="inlineStr">
        <is>
          <t>01207150</t>
        </is>
      </c>
      <c r="AK270" t="inlineStr">
        <is>
          <t>Jr. Jose de La Mar Nº 460 Barrio San Josè</t>
        </is>
      </c>
      <c r="AL270" t="n">
        <v>0</v>
      </c>
      <c r="AM270" t="inlineStr">
        <is>
          <t>989735959</t>
        </is>
      </c>
      <c r="AN270" t="inlineStr">
        <is>
          <t>lupequis60@hotmail.com</t>
        </is>
      </c>
      <c r="AO270" t="inlineStr">
        <is>
          <t>PUNO</t>
        </is>
      </c>
      <c r="AP270" t="inlineStr">
        <is>
          <t>PUNO</t>
        </is>
      </c>
      <c r="AQ270" s="75" t="n">
        <v>45896</v>
      </c>
      <c r="AR270" s="75" t="n">
        <v>45896</v>
      </c>
      <c r="AS270" t="inlineStr">
        <is>
          <t>SEPARACION</t>
        </is>
      </c>
      <c r="AT270" t="n">
        <v>1</v>
      </c>
      <c r="AU270" t="n">
        <v>3000</v>
      </c>
      <c r="AV270" t="n">
        <v>0</v>
      </c>
      <c r="AW270" t="n">
        <v>0</v>
      </c>
      <c r="AX270" s="39" t="n">
        <v>3000</v>
      </c>
      <c r="AY270" s="39" t="n">
        <v>3000</v>
      </c>
      <c r="AZ270" s="39" t="n">
        <v>0</v>
      </c>
      <c r="BA270" t="n">
        <v>0</v>
      </c>
      <c r="BB270" t="inlineStr">
        <is>
          <t>Crédito Directo</t>
        </is>
      </c>
      <c r="BG270" t="inlineStr">
        <is>
          <t>00921160</t>
        </is>
      </c>
      <c r="BH270" t="inlineStr">
        <is>
          <t>No</t>
        </is>
      </c>
      <c r="BJ270" t="n">
        <v>4</v>
      </c>
      <c r="BK270" t="inlineStr">
        <is>
          <t>CANCELADO</t>
        </is>
      </c>
      <c r="BV270" t="inlineStr">
        <is>
          <t>Si</t>
        </is>
      </c>
      <c r="BW270" s="76" t="n">
        <v>46178.34305555555</v>
      </c>
      <c r="BX270" t="inlineStr">
        <is>
          <t>Magaly Guevara Perez</t>
        </is>
      </c>
      <c r="BZ270" t="n">
        <v>9</v>
      </c>
      <c r="CA270" t="inlineStr">
        <is>
          <t>24/05/2026 19:37</t>
        </is>
      </c>
      <c r="CB270" t="n">
        <v>0</v>
      </c>
      <c r="CF270" t="inlineStr">
        <is>
          <t>Cobranzas_2025.csv</t>
        </is>
      </c>
      <c r="CG270" t="n">
        <v>2025</v>
      </c>
      <c r="CH270" t="inlineStr">
        <is>
          <t>01/01/2024</t>
        </is>
      </c>
      <c r="CI270" t="inlineStr">
        <is>
          <t>24/08/2031</t>
        </is>
      </c>
    </row>
    <row r="271">
      <c r="A271" t="inlineStr">
        <is>
          <t>RESIDENCIAL VENECIA</t>
        </is>
      </c>
      <c r="B271" t="inlineStr">
        <is>
          <t>Etapa 1</t>
        </is>
      </c>
      <c r="C271" t="inlineStr">
        <is>
          <t>Edificio</t>
        </is>
      </c>
      <c r="D271" t="inlineStr">
        <is>
          <t>A</t>
        </is>
      </c>
      <c r="E271" t="inlineStr">
        <is>
          <t>Departamento</t>
        </is>
      </c>
      <c r="F271" t="inlineStr">
        <is>
          <t>405</t>
        </is>
      </c>
      <c r="G271" t="n">
        <v>61</v>
      </c>
      <c r="H271" t="n">
        <v>0</v>
      </c>
      <c r="I271" s="39" t="n">
        <v>392000</v>
      </c>
      <c r="J271" s="39" t="n">
        <v>392000</v>
      </c>
      <c r="K271" t="inlineStr">
        <is>
          <t>Edificio</t>
        </is>
      </c>
      <c r="L271" t="inlineStr">
        <is>
          <t>A</t>
        </is>
      </c>
      <c r="M271" t="inlineStr">
        <is>
          <t>Estacionamiento</t>
        </is>
      </c>
      <c r="N271" t="inlineStr">
        <is>
          <t>E 29 - D 14</t>
        </is>
      </c>
      <c r="O271" t="n">
        <v>14.5</v>
      </c>
      <c r="P271" t="n">
        <v>0</v>
      </c>
      <c r="Q271" s="39" t="n">
        <v>43000</v>
      </c>
      <c r="R271" s="39" t="n">
        <v>43000</v>
      </c>
      <c r="Y271" s="39" t="n"/>
      <c r="Z271" s="39" t="n"/>
      <c r="AG271" s="39" t="n"/>
      <c r="AH271" s="39" t="n"/>
      <c r="AI271" t="inlineStr">
        <is>
          <t>Petronila Tisnado Meneses</t>
        </is>
      </c>
      <c r="AJ271" t="inlineStr">
        <is>
          <t>01207150</t>
        </is>
      </c>
      <c r="AK271" t="inlineStr">
        <is>
          <t>Jr. Jose de La Mar Nº 460 Barrio San Josè</t>
        </is>
      </c>
      <c r="AL271" t="n">
        <v>0</v>
      </c>
      <c r="AM271" t="inlineStr">
        <is>
          <t>989735959</t>
        </is>
      </c>
      <c r="AN271" t="inlineStr">
        <is>
          <t>lupequis60@hotmail.com</t>
        </is>
      </c>
      <c r="AO271" t="inlineStr">
        <is>
          <t>PUNO</t>
        </is>
      </c>
      <c r="AP271" t="inlineStr">
        <is>
          <t>PUNO</t>
        </is>
      </c>
      <c r="AQ271" s="75" t="n">
        <v>45905</v>
      </c>
      <c r="AR271" s="75" t="n">
        <v>45905</v>
      </c>
      <c r="AS271" t="inlineStr">
        <is>
          <t>CUOTA INICIAL</t>
        </is>
      </c>
      <c r="AT271" t="n">
        <v>1</v>
      </c>
      <c r="AU271" t="n">
        <v>217500</v>
      </c>
      <c r="AV271" t="n">
        <v>0</v>
      </c>
      <c r="AW271" t="n">
        <v>0</v>
      </c>
      <c r="AX271" s="39" t="n">
        <v>217500</v>
      </c>
      <c r="AY271" s="39" t="n">
        <v>217500</v>
      </c>
      <c r="AZ271" s="39" t="n">
        <v>0</v>
      </c>
      <c r="BA271" t="n">
        <v>0</v>
      </c>
      <c r="BB271" t="inlineStr">
        <is>
          <t>Crédito Directo</t>
        </is>
      </c>
      <c r="BC271" t="inlineStr">
        <is>
          <t>Scotiabank Perú</t>
        </is>
      </c>
      <c r="BD271" t="inlineStr">
        <is>
          <t>0004071419</t>
        </is>
      </c>
      <c r="BE271" t="inlineStr">
        <is>
          <t>CHEQUE DE GERENCIA</t>
        </is>
      </c>
      <c r="BF271" t="inlineStr">
        <is>
          <t>01202614</t>
        </is>
      </c>
      <c r="BG271" t="inlineStr">
        <is>
          <t>000031195011094090000001705</t>
        </is>
      </c>
      <c r="BH271" t="inlineStr">
        <is>
          <t>No</t>
        </is>
      </c>
      <c r="BI271" t="inlineStr">
        <is>
          <t>NO PRECISA</t>
        </is>
      </c>
      <c r="BJ271" t="n">
        <v>4</v>
      </c>
      <c r="BK271" t="inlineStr">
        <is>
          <t>CANCELADO</t>
        </is>
      </c>
      <c r="BV271" t="inlineStr">
        <is>
          <t>Si</t>
        </is>
      </c>
      <c r="BW271" s="76" t="n">
        <v>46178.34305555555</v>
      </c>
      <c r="BX271" t="inlineStr">
        <is>
          <t>Magaly Guevara Perez</t>
        </is>
      </c>
      <c r="BZ271" t="n">
        <v>9</v>
      </c>
      <c r="CA271" t="inlineStr">
        <is>
          <t>04/06/2026 08:45</t>
        </is>
      </c>
      <c r="CB271" t="n">
        <v>0</v>
      </c>
      <c r="CF271" t="inlineStr">
        <is>
          <t>Cobranzas_2025.csv</t>
        </is>
      </c>
      <c r="CG271" t="n">
        <v>2025</v>
      </c>
      <c r="CH271" t="inlineStr">
        <is>
          <t>01/01/2024</t>
        </is>
      </c>
      <c r="CI271" t="inlineStr">
        <is>
          <t>24/08/2031</t>
        </is>
      </c>
    </row>
    <row r="272">
      <c r="A272" t="inlineStr">
        <is>
          <t>RESIDENCIAL VENECIA</t>
        </is>
      </c>
      <c r="B272" t="inlineStr">
        <is>
          <t>Etapa 1</t>
        </is>
      </c>
      <c r="C272" t="inlineStr">
        <is>
          <t>Edificio</t>
        </is>
      </c>
      <c r="D272" t="inlineStr">
        <is>
          <t>A</t>
        </is>
      </c>
      <c r="E272" t="inlineStr">
        <is>
          <t>Departamento</t>
        </is>
      </c>
      <c r="F272" t="inlineStr">
        <is>
          <t>405</t>
        </is>
      </c>
      <c r="G272" t="n">
        <v>61</v>
      </c>
      <c r="H272" t="n">
        <v>0</v>
      </c>
      <c r="I272" s="39" t="n">
        <v>392000</v>
      </c>
      <c r="J272" s="39" t="n">
        <v>392000</v>
      </c>
      <c r="K272" t="inlineStr">
        <is>
          <t>Edificio</t>
        </is>
      </c>
      <c r="L272" t="inlineStr">
        <is>
          <t>A</t>
        </is>
      </c>
      <c r="M272" t="inlineStr">
        <is>
          <t>Estacionamiento</t>
        </is>
      </c>
      <c r="N272" t="inlineStr">
        <is>
          <t>E 29 - D 14</t>
        </is>
      </c>
      <c r="O272" t="n">
        <v>14.5</v>
      </c>
      <c r="P272" t="n">
        <v>0</v>
      </c>
      <c r="Q272" s="39" t="n">
        <v>43000</v>
      </c>
      <c r="R272" s="39" t="n">
        <v>43000</v>
      </c>
      <c r="Y272" s="39" t="n"/>
      <c r="Z272" s="39" t="n"/>
      <c r="AG272" s="39" t="n"/>
      <c r="AH272" s="39" t="n"/>
      <c r="AI272" t="inlineStr">
        <is>
          <t>Petronila Tisnado Meneses</t>
        </is>
      </c>
      <c r="AJ272" t="inlineStr">
        <is>
          <t>01207150</t>
        </is>
      </c>
      <c r="AK272" t="inlineStr">
        <is>
          <t>Jr. Jose de La Mar Nº 460 Barrio San Josè</t>
        </is>
      </c>
      <c r="AL272" t="n">
        <v>0</v>
      </c>
      <c r="AM272" t="inlineStr">
        <is>
          <t>989735959</t>
        </is>
      </c>
      <c r="AN272" t="inlineStr">
        <is>
          <t>lupequis60@hotmail.com</t>
        </is>
      </c>
      <c r="AO272" t="inlineStr">
        <is>
          <t>PUNO</t>
        </is>
      </c>
      <c r="AP272" t="inlineStr">
        <is>
          <t>PUNO</t>
        </is>
      </c>
      <c r="AQ272" s="75" t="n">
        <v>45961</v>
      </c>
      <c r="AR272" s="75" t="n">
        <v>45954</v>
      </c>
      <c r="AS272" t="inlineStr">
        <is>
          <t>SALDO FINANCIAR</t>
        </is>
      </c>
      <c r="AT272" t="n">
        <v>1</v>
      </c>
      <c r="AU272" t="n">
        <v>14300</v>
      </c>
      <c r="AV272" t="n">
        <v>0</v>
      </c>
      <c r="AW272" t="n">
        <v>0</v>
      </c>
      <c r="AX272" s="39" t="n">
        <v>14300</v>
      </c>
      <c r="AY272" s="39" t="n">
        <v>14300</v>
      </c>
      <c r="AZ272" s="39" t="n">
        <v>0</v>
      </c>
      <c r="BA272" t="n">
        <v>0</v>
      </c>
      <c r="BB272" t="inlineStr">
        <is>
          <t>Crédito Directo</t>
        </is>
      </c>
      <c r="BC272" t="inlineStr">
        <is>
          <t>Scotiabank Perú</t>
        </is>
      </c>
      <c r="BD272" t="inlineStr">
        <is>
          <t>0004071419</t>
        </is>
      </c>
      <c r="BE272" t="inlineStr">
        <is>
          <t>DEPOSITO EN CUENTA</t>
        </is>
      </c>
      <c r="BG272" t="inlineStr">
        <is>
          <t>U28921</t>
        </is>
      </c>
      <c r="BH272" t="inlineStr">
        <is>
          <t>Si</t>
        </is>
      </c>
      <c r="BJ272" t="n">
        <v>4</v>
      </c>
      <c r="BK272" t="inlineStr">
        <is>
          <t>CANCELADO</t>
        </is>
      </c>
      <c r="BV272" t="inlineStr">
        <is>
          <t>Si</t>
        </is>
      </c>
      <c r="BW272" s="76" t="n">
        <v>46178.34305555555</v>
      </c>
      <c r="BX272" t="inlineStr">
        <is>
          <t>Magaly Guevara Perez</t>
        </is>
      </c>
      <c r="BZ272" t="n">
        <v>9</v>
      </c>
      <c r="CA272" t="inlineStr">
        <is>
          <t>08/06/2026 11:42</t>
        </is>
      </c>
      <c r="CB272" t="n">
        <v>0</v>
      </c>
      <c r="CF272" t="inlineStr">
        <is>
          <t>Cobranzas_2025.csv</t>
        </is>
      </c>
      <c r="CG272" t="n">
        <v>2025</v>
      </c>
      <c r="CH272" t="inlineStr">
        <is>
          <t>01/01/2024</t>
        </is>
      </c>
      <c r="CI272" t="inlineStr">
        <is>
          <t>24/08/2031</t>
        </is>
      </c>
    </row>
    <row r="273">
      <c r="A273" t="inlineStr">
        <is>
          <t>RESIDENCIAL VENECIA</t>
        </is>
      </c>
      <c r="B273" t="inlineStr">
        <is>
          <t>Etapa 1</t>
        </is>
      </c>
      <c r="C273" t="inlineStr">
        <is>
          <t>Edificio</t>
        </is>
      </c>
      <c r="D273" t="inlineStr">
        <is>
          <t>A</t>
        </is>
      </c>
      <c r="E273" t="inlineStr">
        <is>
          <t>Departamento</t>
        </is>
      </c>
      <c r="F273" t="inlineStr">
        <is>
          <t>405</t>
        </is>
      </c>
      <c r="G273" t="n">
        <v>61</v>
      </c>
      <c r="H273" t="n">
        <v>0</v>
      </c>
      <c r="I273" s="39" t="n">
        <v>392000</v>
      </c>
      <c r="J273" s="39" t="n">
        <v>392000</v>
      </c>
      <c r="K273" t="inlineStr">
        <is>
          <t>Edificio</t>
        </is>
      </c>
      <c r="L273" t="inlineStr">
        <is>
          <t>A</t>
        </is>
      </c>
      <c r="M273" t="inlineStr">
        <is>
          <t>Estacionamiento</t>
        </is>
      </c>
      <c r="N273" t="inlineStr">
        <is>
          <t>E 29 - D 14</t>
        </is>
      </c>
      <c r="O273" t="n">
        <v>14.5</v>
      </c>
      <c r="P273" t="n">
        <v>0</v>
      </c>
      <c r="Q273" s="39" t="n">
        <v>43000</v>
      </c>
      <c r="R273" s="39" t="n">
        <v>43000</v>
      </c>
      <c r="Y273" s="39" t="n"/>
      <c r="Z273" s="39" t="n"/>
      <c r="AG273" s="39" t="n"/>
      <c r="AH273" s="39" t="n"/>
      <c r="AI273" t="inlineStr">
        <is>
          <t>Petronila Tisnado Meneses</t>
        </is>
      </c>
      <c r="AJ273" t="inlineStr">
        <is>
          <t>01207150</t>
        </is>
      </c>
      <c r="AK273" t="inlineStr">
        <is>
          <t>Jr. Jose de La Mar Nº 460 Barrio San Josè</t>
        </is>
      </c>
      <c r="AL273" t="n">
        <v>0</v>
      </c>
      <c r="AM273" t="inlineStr">
        <is>
          <t>989735959</t>
        </is>
      </c>
      <c r="AN273" t="inlineStr">
        <is>
          <t>lupequis60@hotmail.com</t>
        </is>
      </c>
      <c r="AO273" t="inlineStr">
        <is>
          <t>PUNO</t>
        </is>
      </c>
      <c r="AP273" t="inlineStr">
        <is>
          <t>PUNO</t>
        </is>
      </c>
      <c r="AQ273" s="75" t="n">
        <v>45991</v>
      </c>
      <c r="AR273" s="75" t="n">
        <v>45988</v>
      </c>
      <c r="AS273" t="inlineStr">
        <is>
          <t>SALDO FINANCIAR</t>
        </is>
      </c>
      <c r="AT273" t="n">
        <v>2</v>
      </c>
      <c r="AU273" t="n">
        <v>14300</v>
      </c>
      <c r="AV273" t="n">
        <v>0</v>
      </c>
      <c r="AW273" t="n">
        <v>0</v>
      </c>
      <c r="AX273" s="39" t="n">
        <v>14300</v>
      </c>
      <c r="AY273" s="39" t="n">
        <v>14300</v>
      </c>
      <c r="AZ273" s="39" t="n">
        <v>0</v>
      </c>
      <c r="BA273" t="n">
        <v>0</v>
      </c>
      <c r="BB273" t="inlineStr">
        <is>
          <t>Crédito Directo</t>
        </is>
      </c>
      <c r="BC273" t="inlineStr">
        <is>
          <t>Scotiabank Perú</t>
        </is>
      </c>
      <c r="BD273" t="inlineStr">
        <is>
          <t>0004071419</t>
        </is>
      </c>
      <c r="BE273" t="inlineStr">
        <is>
          <t>DEPOSITO EN CUENTA</t>
        </is>
      </c>
      <c r="BG273" t="inlineStr">
        <is>
          <t>U26974</t>
        </is>
      </c>
      <c r="BH273" t="inlineStr">
        <is>
          <t>Si</t>
        </is>
      </c>
      <c r="BJ273" t="n">
        <v>4</v>
      </c>
      <c r="BK273" t="inlineStr">
        <is>
          <t>CANCELADO</t>
        </is>
      </c>
      <c r="BV273" t="inlineStr">
        <is>
          <t>Si</t>
        </is>
      </c>
      <c r="BW273" s="76" t="n">
        <v>46178.34305555555</v>
      </c>
      <c r="BX273" t="inlineStr">
        <is>
          <t>Magaly Guevara Perez</t>
        </is>
      </c>
      <c r="BZ273" t="n">
        <v>9</v>
      </c>
      <c r="CA273" t="inlineStr">
        <is>
          <t>08/06/2026 11:44</t>
        </is>
      </c>
      <c r="CB273" t="n">
        <v>0</v>
      </c>
      <c r="CF273" t="inlineStr">
        <is>
          <t>Cobranzas_2025.csv</t>
        </is>
      </c>
      <c r="CG273" t="n">
        <v>2025</v>
      </c>
      <c r="CH273" t="inlineStr">
        <is>
          <t>01/01/2024</t>
        </is>
      </c>
      <c r="CI273" t="inlineStr">
        <is>
          <t>24/08/2031</t>
        </is>
      </c>
    </row>
    <row r="274">
      <c r="A274" t="inlineStr">
        <is>
          <t>RESIDENCIAL VENECIA</t>
        </is>
      </c>
      <c r="B274" t="inlineStr">
        <is>
          <t>Etapa 1</t>
        </is>
      </c>
      <c r="C274" t="inlineStr">
        <is>
          <t>Edificio</t>
        </is>
      </c>
      <c r="D274" t="inlineStr">
        <is>
          <t>A</t>
        </is>
      </c>
      <c r="E274" t="inlineStr">
        <is>
          <t>Departamento</t>
        </is>
      </c>
      <c r="F274" t="inlineStr">
        <is>
          <t>405</t>
        </is>
      </c>
      <c r="G274" t="n">
        <v>61</v>
      </c>
      <c r="H274" t="n">
        <v>0</v>
      </c>
      <c r="I274" s="39" t="n">
        <v>392000</v>
      </c>
      <c r="J274" s="39" t="n">
        <v>392000</v>
      </c>
      <c r="K274" t="inlineStr">
        <is>
          <t>Edificio</t>
        </is>
      </c>
      <c r="L274" t="inlineStr">
        <is>
          <t>A</t>
        </is>
      </c>
      <c r="M274" t="inlineStr">
        <is>
          <t>Estacionamiento</t>
        </is>
      </c>
      <c r="N274" t="inlineStr">
        <is>
          <t>E 29 - D 14</t>
        </is>
      </c>
      <c r="O274" t="n">
        <v>14.5</v>
      </c>
      <c r="P274" t="n">
        <v>0</v>
      </c>
      <c r="Q274" s="39" t="n">
        <v>43000</v>
      </c>
      <c r="R274" s="39" t="n">
        <v>43000</v>
      </c>
      <c r="Y274" s="39" t="n"/>
      <c r="Z274" s="39" t="n"/>
      <c r="AG274" s="39" t="n"/>
      <c r="AH274" s="39" t="n"/>
      <c r="AI274" t="inlineStr">
        <is>
          <t>Petronila Tisnado Meneses</t>
        </is>
      </c>
      <c r="AJ274" t="inlineStr">
        <is>
          <t>01207150</t>
        </is>
      </c>
      <c r="AK274" t="inlineStr">
        <is>
          <t>Jr. Jose de La Mar Nº 460 Barrio San Josè</t>
        </is>
      </c>
      <c r="AL274" t="n">
        <v>0</v>
      </c>
      <c r="AM274" t="inlineStr">
        <is>
          <t>989735959</t>
        </is>
      </c>
      <c r="AN274" t="inlineStr">
        <is>
          <t>lupequis60@hotmail.com</t>
        </is>
      </c>
      <c r="AO274" t="inlineStr">
        <is>
          <t>PUNO</t>
        </is>
      </c>
      <c r="AP274" t="inlineStr">
        <is>
          <t>PUNO</t>
        </is>
      </c>
      <c r="AQ274" s="75" t="n">
        <v>46022</v>
      </c>
      <c r="AR274" s="75" t="n">
        <v>45988</v>
      </c>
      <c r="AS274" t="inlineStr">
        <is>
          <t>SALDO FINANCIAR</t>
        </is>
      </c>
      <c r="AT274" t="n">
        <v>3</v>
      </c>
      <c r="AU274" t="n">
        <v>14300</v>
      </c>
      <c r="AV274" t="n">
        <v>0</v>
      </c>
      <c r="AW274" t="n">
        <v>0</v>
      </c>
      <c r="AX274" s="39" t="n">
        <v>14300</v>
      </c>
      <c r="AY274" s="39" t="n">
        <v>14300</v>
      </c>
      <c r="AZ274" s="39" t="n">
        <v>0</v>
      </c>
      <c r="BA274" t="n">
        <v>0</v>
      </c>
      <c r="BB274" t="inlineStr">
        <is>
          <t>Crédito Directo</t>
        </is>
      </c>
      <c r="BC274" t="inlineStr">
        <is>
          <t>Scotiabank Perú</t>
        </is>
      </c>
      <c r="BD274" t="inlineStr">
        <is>
          <t>0004071419</t>
        </is>
      </c>
      <c r="BE274" t="inlineStr">
        <is>
          <t>DEPOSITO EN CUENTA</t>
        </is>
      </c>
      <c r="BG274" t="inlineStr">
        <is>
          <t>U26974</t>
        </is>
      </c>
      <c r="BH274" t="inlineStr">
        <is>
          <t>Si</t>
        </is>
      </c>
      <c r="BJ274" t="n">
        <v>4</v>
      </c>
      <c r="BK274" t="inlineStr">
        <is>
          <t>CANCELADO</t>
        </is>
      </c>
      <c r="BV274" t="inlineStr">
        <is>
          <t>Si</t>
        </is>
      </c>
      <c r="BW274" s="76" t="n">
        <v>46178.34305555555</v>
      </c>
      <c r="BX274" t="inlineStr">
        <is>
          <t>Magaly Guevara Perez</t>
        </is>
      </c>
      <c r="BZ274" t="n">
        <v>9</v>
      </c>
      <c r="CA274" t="inlineStr">
        <is>
          <t>08/06/2026 11:44</t>
        </is>
      </c>
      <c r="CB274" t="n">
        <v>0</v>
      </c>
      <c r="CF274" t="inlineStr">
        <is>
          <t>Cobranzas_2025.csv</t>
        </is>
      </c>
      <c r="CG274" t="n">
        <v>2025</v>
      </c>
      <c r="CH274" t="inlineStr">
        <is>
          <t>01/01/2024</t>
        </is>
      </c>
      <c r="CI274" t="inlineStr">
        <is>
          <t>24/08/2031</t>
        </is>
      </c>
    </row>
    <row r="275">
      <c r="A275" t="inlineStr">
        <is>
          <t>RESIDENCIAL PRADA</t>
        </is>
      </c>
      <c r="B275" t="inlineStr">
        <is>
          <t>Etapa 1</t>
        </is>
      </c>
      <c r="C275" t="inlineStr">
        <is>
          <t>Edificio</t>
        </is>
      </c>
      <c r="D275" t="inlineStr">
        <is>
          <t>A</t>
        </is>
      </c>
      <c r="E275" t="inlineStr">
        <is>
          <t>Departamento</t>
        </is>
      </c>
      <c r="F275" t="inlineStr">
        <is>
          <t>701</t>
        </is>
      </c>
      <c r="G275" t="n">
        <v>84</v>
      </c>
      <c r="H275" t="n">
        <v>0</v>
      </c>
      <c r="I275" s="39" t="n">
        <v>592500</v>
      </c>
      <c r="J275" s="39" t="n">
        <v>592500</v>
      </c>
      <c r="Q275" s="39" t="n"/>
      <c r="R275" s="39" t="n"/>
      <c r="Y275" s="39" t="n"/>
      <c r="Z275" s="39" t="n"/>
      <c r="AG275" s="39" t="n"/>
      <c r="AH275" s="39" t="n"/>
      <c r="AI275" t="inlineStr">
        <is>
          <t>Richard Humberto Lima Garcia</t>
        </is>
      </c>
      <c r="AJ275" t="inlineStr">
        <is>
          <t>10606793</t>
        </is>
      </c>
      <c r="AK275" t="inlineStr">
        <is>
          <t>Mz E2 lote 10 Urb Coovitiomar - Ancón</t>
        </is>
      </c>
      <c r="AM275" t="inlineStr">
        <is>
          <t>940170759</t>
        </is>
      </c>
      <c r="AN275" t="inlineStr">
        <is>
          <t>richard_13_312@hotmail.com</t>
        </is>
      </c>
      <c r="AO275" t="inlineStr">
        <is>
          <t>LIMA</t>
        </is>
      </c>
      <c r="AP275" t="inlineStr">
        <is>
          <t>SANTA ROSA</t>
        </is>
      </c>
      <c r="AQ275" s="75" t="n">
        <v>45688</v>
      </c>
      <c r="AR275" s="75" t="n">
        <v>45747</v>
      </c>
      <c r="AS275" t="inlineStr">
        <is>
          <t>SALDO FINANCIAR</t>
        </is>
      </c>
      <c r="AT275" t="n">
        <v>4</v>
      </c>
      <c r="AU275" t="n">
        <v>533250</v>
      </c>
      <c r="AV275" t="n">
        <v>0</v>
      </c>
      <c r="AW275" t="n">
        <v>0</v>
      </c>
      <c r="AX275" s="39" t="n">
        <v>533250</v>
      </c>
      <c r="AY275" s="39" t="n">
        <v>533250</v>
      </c>
      <c r="AZ275" s="39" t="n">
        <v>0</v>
      </c>
      <c r="BA275" t="n">
        <v>0</v>
      </c>
      <c r="BB275" t="inlineStr">
        <is>
          <t>Crédito Hipotecario</t>
        </is>
      </c>
      <c r="BC275" t="inlineStr">
        <is>
          <t>Scotiabank Perú</t>
        </is>
      </c>
      <c r="BD275" t="inlineStr">
        <is>
          <t>000-2768484</t>
        </is>
      </c>
      <c r="BE275" t="inlineStr">
        <is>
          <t>TRANSFERENCIA BANCARIA</t>
        </is>
      </c>
      <c r="BG275" t="inlineStr">
        <is>
          <t>31032025</t>
        </is>
      </c>
      <c r="BH275" t="inlineStr">
        <is>
          <t>Si</t>
        </is>
      </c>
      <c r="BJ275" t="n">
        <v>4</v>
      </c>
      <c r="BK275" t="inlineStr">
        <is>
          <t>CANCELADO</t>
        </is>
      </c>
      <c r="BV275" t="inlineStr">
        <is>
          <t>Si</t>
        </is>
      </c>
      <c r="BW275" s="76" t="n">
        <v>45638.38819444444</v>
      </c>
      <c r="BX275" t="inlineStr">
        <is>
          <t>Carla Michue M</t>
        </is>
      </c>
      <c r="BZ275" t="n">
        <v>3</v>
      </c>
      <c r="CA275" t="inlineStr">
        <is>
          <t>07/07/2026 11:34</t>
        </is>
      </c>
      <c r="CB275" t="n">
        <v>0</v>
      </c>
      <c r="CF275" t="inlineStr">
        <is>
          <t>Cobranzas_2025.csv</t>
        </is>
      </c>
      <c r="CG275" t="n">
        <v>2025</v>
      </c>
      <c r="CH275" t="inlineStr">
        <is>
          <t>01/01/2024</t>
        </is>
      </c>
      <c r="CI275" t="inlineStr">
        <is>
          <t>24/08/2031</t>
        </is>
      </c>
    </row>
    <row r="276">
      <c r="A276" t="inlineStr">
        <is>
          <t>RESIDENCIAL VENECIA</t>
        </is>
      </c>
      <c r="B276" t="inlineStr">
        <is>
          <t>Etapa 1</t>
        </is>
      </c>
      <c r="C276" t="inlineStr">
        <is>
          <t>Edificio</t>
        </is>
      </c>
      <c r="D276" t="inlineStr">
        <is>
          <t>A</t>
        </is>
      </c>
      <c r="E276" t="inlineStr">
        <is>
          <t>Departamento</t>
        </is>
      </c>
      <c r="F276" t="inlineStr">
        <is>
          <t>602</t>
        </is>
      </c>
      <c r="G276" t="n">
        <v>83</v>
      </c>
      <c r="H276" t="n">
        <v>0</v>
      </c>
      <c r="I276" s="39" t="n">
        <v>573000</v>
      </c>
      <c r="J276" s="39" t="n">
        <v>573000</v>
      </c>
      <c r="K276" t="inlineStr">
        <is>
          <t>Edificio</t>
        </is>
      </c>
      <c r="L276" t="inlineStr">
        <is>
          <t>A</t>
        </is>
      </c>
      <c r="M276" t="inlineStr">
        <is>
          <t>Estacionamiento</t>
        </is>
      </c>
      <c r="N276" t="inlineStr">
        <is>
          <t>E 24 - D 5</t>
        </is>
      </c>
      <c r="O276" t="n">
        <v>16.28</v>
      </c>
      <c r="P276" t="n">
        <v>0</v>
      </c>
      <c r="Q276" s="39" t="n">
        <v>51000</v>
      </c>
      <c r="R276" s="39" t="n">
        <v>51000</v>
      </c>
      <c r="Y276" s="39" t="n"/>
      <c r="Z276" s="39" t="n"/>
      <c r="AG276" s="39" t="n"/>
      <c r="AH276" s="39" t="n"/>
      <c r="AI276" t="inlineStr">
        <is>
          <t>Rocio Chuquimango Valencia</t>
        </is>
      </c>
      <c r="AJ276" t="inlineStr">
        <is>
          <t>26707781</t>
        </is>
      </c>
      <c r="AK276" t="inlineStr">
        <is>
          <t xml:space="preserve">AV.ATAHUALPA 337.INT 2 </t>
        </is>
      </c>
      <c r="AL276" t="n">
        <v>0</v>
      </c>
      <c r="AM276" t="inlineStr">
        <is>
          <t>976685767</t>
        </is>
      </c>
      <c r="AN276" t="inlineStr">
        <is>
          <t>rocio-0511@hotmail.com</t>
        </is>
      </c>
      <c r="AO276" t="inlineStr">
        <is>
          <t>CAJAMARCA</t>
        </is>
      </c>
      <c r="AP276" t="inlineStr">
        <is>
          <t>CAJAMARCA</t>
        </is>
      </c>
      <c r="AQ276" s="75" t="n">
        <v>45871</v>
      </c>
      <c r="AR276" s="75" t="n">
        <v>45871</v>
      </c>
      <c r="AS276" t="inlineStr">
        <is>
          <t>SEPARACION</t>
        </is>
      </c>
      <c r="AT276" t="n">
        <v>1</v>
      </c>
      <c r="AU276" t="n">
        <v>3000</v>
      </c>
      <c r="AV276" t="n">
        <v>0</v>
      </c>
      <c r="AW276" t="n">
        <v>0</v>
      </c>
      <c r="AX276" s="39" t="n">
        <v>3000</v>
      </c>
      <c r="AY276" s="39" t="n">
        <v>3000</v>
      </c>
      <c r="AZ276" s="39" t="n">
        <v>0</v>
      </c>
      <c r="BA276" t="n">
        <v>0</v>
      </c>
      <c r="BB276" t="inlineStr">
        <is>
          <t>Crédito Directo</t>
        </is>
      </c>
      <c r="BC276" t="inlineStr">
        <is>
          <t>Scotiabank Perú</t>
        </is>
      </c>
      <c r="BD276" t="inlineStr">
        <is>
          <t>0004071419</t>
        </is>
      </c>
      <c r="BE276" t="inlineStr">
        <is>
          <t>TRANSFERENCIA BANCARIA</t>
        </is>
      </c>
      <c r="BG276" t="inlineStr">
        <is>
          <t>5529054</t>
        </is>
      </c>
      <c r="BH276" t="inlineStr">
        <is>
          <t>No</t>
        </is>
      </c>
      <c r="BJ276" t="n">
        <v>4</v>
      </c>
      <c r="BK276" t="inlineStr">
        <is>
          <t>CANCELADO</t>
        </is>
      </c>
      <c r="BV276" t="inlineStr">
        <is>
          <t>No</t>
        </is>
      </c>
      <c r="BW276" s="76" t="n">
        <v>45898.34652777778</v>
      </c>
      <c r="BX276" t="inlineStr">
        <is>
          <t>Magaly Guevara Perez</t>
        </is>
      </c>
      <c r="BZ276" t="n">
        <v>12</v>
      </c>
      <c r="CA276" t="inlineStr">
        <is>
          <t>24/05/2026 20:38</t>
        </is>
      </c>
      <c r="CB276" t="n">
        <v>0</v>
      </c>
      <c r="CF276" t="inlineStr">
        <is>
          <t>Cobranzas_2025.csv</t>
        </is>
      </c>
      <c r="CG276" t="n">
        <v>2025</v>
      </c>
      <c r="CH276" t="inlineStr">
        <is>
          <t>01/01/2024</t>
        </is>
      </c>
      <c r="CI276" t="inlineStr">
        <is>
          <t>24/08/2031</t>
        </is>
      </c>
    </row>
    <row r="277">
      <c r="A277" t="inlineStr">
        <is>
          <t>RESIDENCIAL VENECIA</t>
        </is>
      </c>
      <c r="B277" t="inlineStr">
        <is>
          <t>Etapa 1</t>
        </is>
      </c>
      <c r="C277" t="inlineStr">
        <is>
          <t>Edificio</t>
        </is>
      </c>
      <c r="D277" t="inlineStr">
        <is>
          <t>A</t>
        </is>
      </c>
      <c r="E277" t="inlineStr">
        <is>
          <t>Departamento</t>
        </is>
      </c>
      <c r="F277" t="inlineStr">
        <is>
          <t>602</t>
        </is>
      </c>
      <c r="G277" t="n">
        <v>83</v>
      </c>
      <c r="H277" t="n">
        <v>0</v>
      </c>
      <c r="I277" s="39" t="n">
        <v>573000</v>
      </c>
      <c r="J277" s="39" t="n">
        <v>573000</v>
      </c>
      <c r="K277" t="inlineStr">
        <is>
          <t>Edificio</t>
        </is>
      </c>
      <c r="L277" t="inlineStr">
        <is>
          <t>A</t>
        </is>
      </c>
      <c r="M277" t="inlineStr">
        <is>
          <t>Estacionamiento</t>
        </is>
      </c>
      <c r="N277" t="inlineStr">
        <is>
          <t>E 24 - D 5</t>
        </is>
      </c>
      <c r="O277" t="n">
        <v>16.28</v>
      </c>
      <c r="P277" t="n">
        <v>0</v>
      </c>
      <c r="Q277" s="39" t="n">
        <v>51000</v>
      </c>
      <c r="R277" s="39" t="n">
        <v>51000</v>
      </c>
      <c r="Y277" s="39" t="n"/>
      <c r="Z277" s="39" t="n"/>
      <c r="AG277" s="39" t="n"/>
      <c r="AH277" s="39" t="n"/>
      <c r="AI277" t="inlineStr">
        <is>
          <t>Rocio Chuquimango Valencia</t>
        </is>
      </c>
      <c r="AJ277" t="inlineStr">
        <is>
          <t>26707781</t>
        </is>
      </c>
      <c r="AK277" t="inlineStr">
        <is>
          <t xml:space="preserve">AV.ATAHUALPA 337.INT 2 </t>
        </is>
      </c>
      <c r="AL277" t="n">
        <v>0</v>
      </c>
      <c r="AM277" t="inlineStr">
        <is>
          <t>976685767</t>
        </is>
      </c>
      <c r="AN277" t="inlineStr">
        <is>
          <t>rocio-0511@hotmail.com</t>
        </is>
      </c>
      <c r="AO277" t="inlineStr">
        <is>
          <t>CAJAMARCA</t>
        </is>
      </c>
      <c r="AP277" t="inlineStr">
        <is>
          <t>CAJAMARCA</t>
        </is>
      </c>
      <c r="AQ277" s="75" t="n">
        <v>45898</v>
      </c>
      <c r="AR277" s="75" t="n">
        <v>45898</v>
      </c>
      <c r="AS277" t="inlineStr">
        <is>
          <t>CUOTA INICIAL</t>
        </is>
      </c>
      <c r="AT277" t="n">
        <v>1</v>
      </c>
      <c r="AU277" t="n">
        <v>54300</v>
      </c>
      <c r="AV277" t="n">
        <v>0</v>
      </c>
      <c r="AW277" t="n">
        <v>0</v>
      </c>
      <c r="AX277" s="39" t="n">
        <v>54300</v>
      </c>
      <c r="AY277" s="39" t="n">
        <v>54300</v>
      </c>
      <c r="AZ277" s="39" t="n">
        <v>0</v>
      </c>
      <c r="BA277" t="n">
        <v>0</v>
      </c>
      <c r="BB277" t="inlineStr">
        <is>
          <t>Crédito Directo</t>
        </is>
      </c>
      <c r="BC277" t="inlineStr">
        <is>
          <t>Scotiabank Perú</t>
        </is>
      </c>
      <c r="BD277" t="inlineStr">
        <is>
          <t>0004071419</t>
        </is>
      </c>
      <c r="BE277" t="inlineStr">
        <is>
          <t>TRANSFERENCIA BANCARIA</t>
        </is>
      </c>
      <c r="BG277" t="inlineStr">
        <is>
          <t>29082025</t>
        </is>
      </c>
      <c r="BH277" t="inlineStr">
        <is>
          <t>No</t>
        </is>
      </c>
      <c r="BJ277" t="n">
        <v>4</v>
      </c>
      <c r="BK277" t="inlineStr">
        <is>
          <t>CANCELADO</t>
        </is>
      </c>
      <c r="BV277" t="inlineStr">
        <is>
          <t>No</t>
        </is>
      </c>
      <c r="BW277" s="76" t="n">
        <v>45898.34652777778</v>
      </c>
      <c r="BX277" t="inlineStr">
        <is>
          <t>Magaly Guevara Perez</t>
        </is>
      </c>
      <c r="BZ277" t="n">
        <v>12</v>
      </c>
      <c r="CA277" t="inlineStr">
        <is>
          <t>24/05/2026 20:40</t>
        </is>
      </c>
      <c r="CB277" t="n">
        <v>0</v>
      </c>
      <c r="CF277" t="inlineStr">
        <is>
          <t>Cobranzas_2025.csv</t>
        </is>
      </c>
      <c r="CG277" t="n">
        <v>2025</v>
      </c>
      <c r="CH277" t="inlineStr">
        <is>
          <t>01/01/2024</t>
        </is>
      </c>
      <c r="CI277" t="inlineStr">
        <is>
          <t>24/08/2031</t>
        </is>
      </c>
    </row>
    <row r="278">
      <c r="A278" t="inlineStr">
        <is>
          <t>RESIDENCIAL VENECIA</t>
        </is>
      </c>
      <c r="B278" t="inlineStr">
        <is>
          <t>Etapa 1</t>
        </is>
      </c>
      <c r="C278" t="inlineStr">
        <is>
          <t>Edificio</t>
        </is>
      </c>
      <c r="D278" t="inlineStr">
        <is>
          <t>A</t>
        </is>
      </c>
      <c r="E278" t="inlineStr">
        <is>
          <t>Departamento</t>
        </is>
      </c>
      <c r="F278" t="inlineStr">
        <is>
          <t>602</t>
        </is>
      </c>
      <c r="G278" t="n">
        <v>83</v>
      </c>
      <c r="H278" t="n">
        <v>0</v>
      </c>
      <c r="I278" s="39" t="n">
        <v>573000</v>
      </c>
      <c r="J278" s="39" t="n">
        <v>573000</v>
      </c>
      <c r="K278" t="inlineStr">
        <is>
          <t>Edificio</t>
        </is>
      </c>
      <c r="L278" t="inlineStr">
        <is>
          <t>A</t>
        </is>
      </c>
      <c r="M278" t="inlineStr">
        <is>
          <t>Estacionamiento</t>
        </is>
      </c>
      <c r="N278" t="inlineStr">
        <is>
          <t>E 24 - D 5</t>
        </is>
      </c>
      <c r="O278" t="n">
        <v>16.28</v>
      </c>
      <c r="P278" t="n">
        <v>0</v>
      </c>
      <c r="Q278" s="39" t="n">
        <v>51000</v>
      </c>
      <c r="R278" s="39" t="n">
        <v>51000</v>
      </c>
      <c r="Y278" s="39" t="n"/>
      <c r="Z278" s="39" t="n"/>
      <c r="AG278" s="39" t="n"/>
      <c r="AH278" s="39" t="n"/>
      <c r="AI278" t="inlineStr">
        <is>
          <t>Rocio Chuquimango Valencia</t>
        </is>
      </c>
      <c r="AJ278" t="inlineStr">
        <is>
          <t>26707781</t>
        </is>
      </c>
      <c r="AK278" t="inlineStr">
        <is>
          <t xml:space="preserve">AV.ATAHUALPA 337.INT 2 </t>
        </is>
      </c>
      <c r="AL278" t="n">
        <v>0</v>
      </c>
      <c r="AM278" t="inlineStr">
        <is>
          <t>976685767</t>
        </is>
      </c>
      <c r="AN278" t="inlineStr">
        <is>
          <t>rocio-0511@hotmail.com</t>
        </is>
      </c>
      <c r="AO278" t="inlineStr">
        <is>
          <t>CAJAMARCA</t>
        </is>
      </c>
      <c r="AP278" t="inlineStr">
        <is>
          <t>CAJAMARCA</t>
        </is>
      </c>
      <c r="AQ278" s="75" t="n">
        <v>45937</v>
      </c>
      <c r="AR278" s="75" t="n">
        <v>45937</v>
      </c>
      <c r="AS278" t="inlineStr">
        <is>
          <t>CUOTA INICIAL</t>
        </is>
      </c>
      <c r="AT278" t="n">
        <v>2</v>
      </c>
      <c r="AU278" t="n">
        <v>10000</v>
      </c>
      <c r="AV278" t="n">
        <v>0</v>
      </c>
      <c r="AW278" t="n">
        <v>0</v>
      </c>
      <c r="AX278" s="39" t="n">
        <v>10000</v>
      </c>
      <c r="AY278" s="39" t="n">
        <v>10000</v>
      </c>
      <c r="AZ278" s="39" t="n">
        <v>0</v>
      </c>
      <c r="BA278" t="n">
        <v>0</v>
      </c>
      <c r="BB278" t="inlineStr">
        <is>
          <t>Crédito Directo</t>
        </is>
      </c>
      <c r="BC278" t="inlineStr">
        <is>
          <t>Scotiabank Perú</t>
        </is>
      </c>
      <c r="BD278" t="inlineStr">
        <is>
          <t>0004071419</t>
        </is>
      </c>
      <c r="BE278" t="inlineStr">
        <is>
          <t>TRANSFERENCIA BANCARIA</t>
        </is>
      </c>
      <c r="BG278" t="inlineStr">
        <is>
          <t>5521148</t>
        </is>
      </c>
      <c r="BH278" t="inlineStr">
        <is>
          <t>No</t>
        </is>
      </c>
      <c r="BJ278" t="n">
        <v>4</v>
      </c>
      <c r="BK278" t="inlineStr">
        <is>
          <t>CANCELADO</t>
        </is>
      </c>
      <c r="BV278" t="inlineStr">
        <is>
          <t>No</t>
        </is>
      </c>
      <c r="BW278" s="76" t="n">
        <v>45898.34652777778</v>
      </c>
      <c r="BX278" t="inlineStr">
        <is>
          <t>Magaly Guevara Perez</t>
        </is>
      </c>
      <c r="BZ278" t="n">
        <v>12</v>
      </c>
      <c r="CA278" t="inlineStr">
        <is>
          <t>24/05/2026 20:40</t>
        </is>
      </c>
      <c r="CB278" t="n">
        <v>0</v>
      </c>
      <c r="CF278" t="inlineStr">
        <is>
          <t>Cobranzas_2025.csv</t>
        </is>
      </c>
      <c r="CG278" t="n">
        <v>2025</v>
      </c>
      <c r="CH278" t="inlineStr">
        <is>
          <t>01/01/2024</t>
        </is>
      </c>
      <c r="CI278" t="inlineStr">
        <is>
          <t>24/08/2031</t>
        </is>
      </c>
    </row>
    <row r="279">
      <c r="A279" t="inlineStr">
        <is>
          <t>RESIDENCIAL BEYOND</t>
        </is>
      </c>
      <c r="B279" t="inlineStr">
        <is>
          <t>Etapa 1</t>
        </is>
      </c>
      <c r="C279" t="inlineStr">
        <is>
          <t>Edificio</t>
        </is>
      </c>
      <c r="D279" t="inlineStr">
        <is>
          <t>A</t>
        </is>
      </c>
      <c r="E279" t="inlineStr">
        <is>
          <t>Departamento</t>
        </is>
      </c>
      <c r="F279" t="inlineStr">
        <is>
          <t>504</t>
        </is>
      </c>
      <c r="G279" t="n">
        <v>67</v>
      </c>
      <c r="H279" t="n">
        <v>0</v>
      </c>
      <c r="I279" s="39" t="n">
        <v>498000</v>
      </c>
      <c r="J279" s="39" t="n">
        <v>464400</v>
      </c>
      <c r="K279" t="inlineStr">
        <is>
          <t>Edificio</t>
        </is>
      </c>
      <c r="L279" t="inlineStr">
        <is>
          <t>A</t>
        </is>
      </c>
      <c r="M279" t="inlineStr">
        <is>
          <t>Estacionamiento</t>
        </is>
      </c>
      <c r="N279" t="inlineStr">
        <is>
          <t>E 07</t>
        </is>
      </c>
      <c r="O279" t="n">
        <v>12</v>
      </c>
      <c r="P279" t="n">
        <v>0</v>
      </c>
      <c r="Q279" s="39" t="n">
        <v>45600</v>
      </c>
      <c r="R279" s="39" t="n">
        <v>45600</v>
      </c>
      <c r="Y279" s="39" t="n"/>
      <c r="Z279" s="39" t="n"/>
      <c r="AG279" s="39" t="n"/>
      <c r="AH279" s="39" t="n"/>
      <c r="AI279" t="inlineStr">
        <is>
          <t>Ronald José Claudio Ramírez</t>
        </is>
      </c>
      <c r="AJ279" t="inlineStr">
        <is>
          <t>41129584</t>
        </is>
      </c>
      <c r="AK279" t="inlineStr">
        <is>
          <t>Av. Nicolas Allyon 7550 torre 2 dpto. 302</t>
        </is>
      </c>
      <c r="AL279" t="n">
        <v>0</v>
      </c>
      <c r="AM279" t="inlineStr">
        <is>
          <t>991470542</t>
        </is>
      </c>
      <c r="AN279" t="inlineStr">
        <is>
          <t>ronald.claudio@gmail.com</t>
        </is>
      </c>
      <c r="AO279" t="inlineStr">
        <is>
          <t>LIMA</t>
        </is>
      </c>
      <c r="AP279" t="inlineStr">
        <is>
          <t>ATE</t>
        </is>
      </c>
      <c r="AQ279" s="75" t="n">
        <v>45999</v>
      </c>
      <c r="AR279" s="75" t="n">
        <v>45999</v>
      </c>
      <c r="AS279" t="inlineStr">
        <is>
          <t>SEPARACION</t>
        </is>
      </c>
      <c r="AT279" t="n">
        <v>1</v>
      </c>
      <c r="AU279" t="n">
        <v>3000</v>
      </c>
      <c r="AV279" t="n">
        <v>0</v>
      </c>
      <c r="AW279" t="n">
        <v>0</v>
      </c>
      <c r="AX279" s="39" t="n">
        <v>3000</v>
      </c>
      <c r="AY279" s="39" t="n">
        <v>3000</v>
      </c>
      <c r="AZ279" s="39" t="n">
        <v>0</v>
      </c>
      <c r="BA279" t="n">
        <v>0</v>
      </c>
      <c r="BB279" t="inlineStr">
        <is>
          <t>Ahorro</t>
        </is>
      </c>
      <c r="BC279" t="inlineStr">
        <is>
          <t>Banco de Credito del Perú</t>
        </is>
      </c>
      <c r="BD279" t="inlineStr">
        <is>
          <t>194-7325779-0-65</t>
        </is>
      </c>
      <c r="BE279" t="inlineStr">
        <is>
          <t>TRANSFERENCIA BANCARIA</t>
        </is>
      </c>
      <c r="BG279" t="inlineStr">
        <is>
          <t>04546190</t>
        </is>
      </c>
      <c r="BH279" t="inlineStr">
        <is>
          <t>No</t>
        </is>
      </c>
      <c r="BJ279" t="n">
        <v>4</v>
      </c>
      <c r="BK279" t="inlineStr">
        <is>
          <t>CANCELADO</t>
        </is>
      </c>
      <c r="BV279" t="inlineStr">
        <is>
          <t>Si</t>
        </is>
      </c>
      <c r="BW279" s="76" t="n">
        <v>46071.40208333333</v>
      </c>
      <c r="BX279" t="inlineStr">
        <is>
          <t>Magaly Guevara Perez</t>
        </is>
      </c>
      <c r="BZ279" t="n">
        <v>32</v>
      </c>
      <c r="CA279" t="inlineStr">
        <is>
          <t>01/05/2026 19:05</t>
        </is>
      </c>
      <c r="CB279" t="n">
        <v>0</v>
      </c>
      <c r="CF279" t="inlineStr">
        <is>
          <t>Cobranzas_2025.csv</t>
        </is>
      </c>
      <c r="CG279" t="n">
        <v>2025</v>
      </c>
      <c r="CH279" t="inlineStr">
        <is>
          <t>01/01/2024</t>
        </is>
      </c>
      <c r="CI279" t="inlineStr">
        <is>
          <t>24/08/2031</t>
        </is>
      </c>
    </row>
    <row r="280">
      <c r="A280" t="inlineStr">
        <is>
          <t>RESIDENCIAL PRADA</t>
        </is>
      </c>
      <c r="B280" t="inlineStr">
        <is>
          <t>Etapa 1</t>
        </is>
      </c>
      <c r="C280" t="inlineStr">
        <is>
          <t>Edificio</t>
        </is>
      </c>
      <c r="D280" t="inlineStr">
        <is>
          <t>A</t>
        </is>
      </c>
      <c r="E280" t="inlineStr">
        <is>
          <t>Departamento</t>
        </is>
      </c>
      <c r="F280" t="inlineStr">
        <is>
          <t>705</t>
        </is>
      </c>
      <c r="G280" t="n">
        <v>68.72</v>
      </c>
      <c r="H280" t="n">
        <v>0</v>
      </c>
      <c r="I280" s="39" t="n">
        <v>496000</v>
      </c>
      <c r="J280" s="39" t="n">
        <v>496000</v>
      </c>
      <c r="Q280" s="39" t="n"/>
      <c r="R280" s="39" t="n"/>
      <c r="Y280" s="39" t="n"/>
      <c r="Z280" s="39" t="n"/>
      <c r="AG280" s="39" t="n"/>
      <c r="AH280" s="39" t="n"/>
      <c r="AI280" t="inlineStr">
        <is>
          <t>Sthefany Carolina Rodriguez Huamán</t>
        </is>
      </c>
      <c r="AJ280" t="inlineStr">
        <is>
          <t>70270427</t>
        </is>
      </c>
      <c r="AK280" t="inlineStr">
        <is>
          <t>-</t>
        </is>
      </c>
      <c r="AM280" t="inlineStr">
        <is>
          <t>989492681</t>
        </is>
      </c>
      <c r="AN280" t="inlineStr">
        <is>
          <t>sthefany.rodriguez2207@gmail.com</t>
        </is>
      </c>
      <c r="AO280" t="inlineStr">
        <is>
          <t>LIMA</t>
        </is>
      </c>
      <c r="AP280" t="inlineStr">
        <is>
          <t>CERCADO DE LIMA</t>
        </is>
      </c>
      <c r="AQ280" s="75" t="n">
        <v>45721</v>
      </c>
      <c r="AR280" s="75" t="n">
        <v>45721</v>
      </c>
      <c r="AS280" t="inlineStr">
        <is>
          <t>CUOTA INICIAL</t>
        </is>
      </c>
      <c r="AT280" t="n">
        <v>3</v>
      </c>
      <c r="AU280" t="n">
        <v>25000</v>
      </c>
      <c r="AV280" t="n">
        <v>0</v>
      </c>
      <c r="AW280" t="n">
        <v>0</v>
      </c>
      <c r="AX280" s="39" t="n">
        <v>25000</v>
      </c>
      <c r="AY280" s="39" t="n">
        <v>25000</v>
      </c>
      <c r="AZ280" s="39" t="n">
        <v>0</v>
      </c>
      <c r="BA280" t="n">
        <v>0</v>
      </c>
      <c r="BB280" t="inlineStr">
        <is>
          <t>Ahorro</t>
        </is>
      </c>
      <c r="BC280" t="inlineStr">
        <is>
          <t>Scotiabank Perú</t>
        </is>
      </c>
      <c r="BD280" t="inlineStr">
        <is>
          <t>000-2768484</t>
        </is>
      </c>
      <c r="BE280" t="inlineStr">
        <is>
          <t>DEPOSITO EN CUENTA</t>
        </is>
      </c>
      <c r="BF280" t="inlineStr">
        <is>
          <t>70270427</t>
        </is>
      </c>
      <c r="BG280" t="inlineStr">
        <is>
          <t>0500010135</t>
        </is>
      </c>
      <c r="BH280" t="inlineStr">
        <is>
          <t>No</t>
        </is>
      </c>
      <c r="BI280" t="inlineStr">
        <is>
          <t>NO PRECISA</t>
        </is>
      </c>
      <c r="BJ280" t="n">
        <v>1</v>
      </c>
      <c r="BK280" t="inlineStr">
        <is>
          <t>CANCELADO</t>
        </is>
      </c>
      <c r="BV280" t="inlineStr">
        <is>
          <t>Si</t>
        </is>
      </c>
      <c r="BW280" s="76" t="n">
        <v>45829.38958333333</v>
      </c>
      <c r="BX280" t="inlineStr">
        <is>
          <t>Carla Michue M</t>
        </is>
      </c>
      <c r="BZ280" t="n">
        <v>2</v>
      </c>
      <c r="CA280" t="inlineStr">
        <is>
          <t>29/05/2026 12:20</t>
        </is>
      </c>
      <c r="CB280" t="n">
        <v>0</v>
      </c>
      <c r="CF280" t="inlineStr">
        <is>
          <t>Cobranzas_2025.csv</t>
        </is>
      </c>
      <c r="CG280" t="n">
        <v>2025</v>
      </c>
      <c r="CH280" t="inlineStr">
        <is>
          <t>01/01/2024</t>
        </is>
      </c>
      <c r="CI280" t="inlineStr">
        <is>
          <t>24/08/2031</t>
        </is>
      </c>
    </row>
    <row r="281">
      <c r="A281" t="inlineStr">
        <is>
          <t>RESIDENCIAL PRADA</t>
        </is>
      </c>
      <c r="B281" t="inlineStr">
        <is>
          <t>Etapa 1</t>
        </is>
      </c>
      <c r="C281" t="inlineStr">
        <is>
          <t>Edificio</t>
        </is>
      </c>
      <c r="D281" t="inlineStr">
        <is>
          <t>A</t>
        </is>
      </c>
      <c r="E281" t="inlineStr">
        <is>
          <t>Departamento</t>
        </is>
      </c>
      <c r="F281" t="inlineStr">
        <is>
          <t>705</t>
        </is>
      </c>
      <c r="G281" t="n">
        <v>68.72</v>
      </c>
      <c r="H281" t="n">
        <v>0</v>
      </c>
      <c r="I281" s="39" t="n">
        <v>496000</v>
      </c>
      <c r="J281" s="39" t="n">
        <v>496000</v>
      </c>
      <c r="Q281" s="39" t="n"/>
      <c r="R281" s="39" t="n"/>
      <c r="Y281" s="39" t="n"/>
      <c r="Z281" s="39" t="n"/>
      <c r="AG281" s="39" t="n"/>
      <c r="AH281" s="39" t="n"/>
      <c r="AI281" t="inlineStr">
        <is>
          <t>Sthefany Carolina Rodriguez Huamán</t>
        </is>
      </c>
      <c r="AJ281" t="inlineStr">
        <is>
          <t>70270427</t>
        </is>
      </c>
      <c r="AK281" t="inlineStr">
        <is>
          <t>-</t>
        </is>
      </c>
      <c r="AM281" t="inlineStr">
        <is>
          <t>989492681</t>
        </is>
      </c>
      <c r="AN281" t="inlineStr">
        <is>
          <t>sthefany.rodriguez2207@gmail.com</t>
        </is>
      </c>
      <c r="AO281" t="inlineStr">
        <is>
          <t>LIMA</t>
        </is>
      </c>
      <c r="AP281" t="inlineStr">
        <is>
          <t>CERCADO DE LIMA</t>
        </is>
      </c>
      <c r="AQ281" s="75" t="n">
        <v>45828</v>
      </c>
      <c r="AR281" s="75" t="n">
        <v>45828</v>
      </c>
      <c r="AS281" t="inlineStr">
        <is>
          <t>CUOTA INICIAL</t>
        </is>
      </c>
      <c r="AT281" t="n">
        <v>4</v>
      </c>
      <c r="AU281" t="n">
        <v>7000</v>
      </c>
      <c r="AV281" t="n">
        <v>0</v>
      </c>
      <c r="AW281" t="n">
        <v>0</v>
      </c>
      <c r="AX281" s="39" t="n">
        <v>7000</v>
      </c>
      <c r="AY281" s="39" t="n">
        <v>7000</v>
      </c>
      <c r="AZ281" s="39" t="n">
        <v>0</v>
      </c>
      <c r="BA281" t="n">
        <v>0</v>
      </c>
      <c r="BB281" t="inlineStr">
        <is>
          <t>Ahorro</t>
        </is>
      </c>
      <c r="BC281" t="inlineStr">
        <is>
          <t>Scotiabank Perú</t>
        </is>
      </c>
      <c r="BD281" t="inlineStr">
        <is>
          <t>000-2768484</t>
        </is>
      </c>
      <c r="BE281" t="inlineStr">
        <is>
          <t>DEPOSITO EN CUENTA</t>
        </is>
      </c>
      <c r="BF281" t="inlineStr">
        <is>
          <t>70270427</t>
        </is>
      </c>
      <c r="BG281" t="inlineStr">
        <is>
          <t>0500010060</t>
        </is>
      </c>
      <c r="BH281" t="inlineStr">
        <is>
          <t>No</t>
        </is>
      </c>
      <c r="BI281" t="inlineStr">
        <is>
          <t>NO PRECISA</t>
        </is>
      </c>
      <c r="BJ281" t="n">
        <v>1</v>
      </c>
      <c r="BK281" t="inlineStr">
        <is>
          <t>CANCELADO</t>
        </is>
      </c>
      <c r="BV281" t="inlineStr">
        <is>
          <t>Si</t>
        </is>
      </c>
      <c r="BW281" s="76" t="n">
        <v>45829.38958333333</v>
      </c>
      <c r="BX281" t="inlineStr">
        <is>
          <t>Carla Michue M</t>
        </is>
      </c>
      <c r="BZ281" t="n">
        <v>2</v>
      </c>
      <c r="CA281" t="inlineStr">
        <is>
          <t>29/05/2026 12:20</t>
        </is>
      </c>
      <c r="CB281" t="n">
        <v>0</v>
      </c>
      <c r="CF281" t="inlineStr">
        <is>
          <t>Cobranzas_2025.csv</t>
        </is>
      </c>
      <c r="CG281" t="n">
        <v>2025</v>
      </c>
      <c r="CH281" t="inlineStr">
        <is>
          <t>01/01/2024</t>
        </is>
      </c>
      <c r="CI281" t="inlineStr">
        <is>
          <t>24/08/2031</t>
        </is>
      </c>
    </row>
    <row r="282">
      <c r="A282" t="inlineStr">
        <is>
          <t>RESIDENCIAL PRADA</t>
        </is>
      </c>
      <c r="B282" t="inlineStr">
        <is>
          <t>Etapa 1</t>
        </is>
      </c>
      <c r="C282" t="inlineStr">
        <is>
          <t>Edificio</t>
        </is>
      </c>
      <c r="D282" t="inlineStr">
        <is>
          <t>A</t>
        </is>
      </c>
      <c r="E282" t="inlineStr">
        <is>
          <t>Departamento</t>
        </is>
      </c>
      <c r="F282" t="inlineStr">
        <is>
          <t>705</t>
        </is>
      </c>
      <c r="G282" t="n">
        <v>68.72</v>
      </c>
      <c r="H282" t="n">
        <v>0</v>
      </c>
      <c r="I282" s="39" t="n">
        <v>496000</v>
      </c>
      <c r="J282" s="39" t="n">
        <v>496000</v>
      </c>
      <c r="Q282" s="39" t="n"/>
      <c r="R282" s="39" t="n"/>
      <c r="Y282" s="39" t="n"/>
      <c r="Z282" s="39" t="n"/>
      <c r="AG282" s="39" t="n"/>
      <c r="AH282" s="39" t="n"/>
      <c r="AI282" t="inlineStr">
        <is>
          <t>Sthefany Carolina Rodriguez Huamán</t>
        </is>
      </c>
      <c r="AJ282" t="inlineStr">
        <is>
          <t>70270427</t>
        </is>
      </c>
      <c r="AK282" t="inlineStr">
        <is>
          <t>-</t>
        </is>
      </c>
      <c r="AM282" t="inlineStr">
        <is>
          <t>989492681</t>
        </is>
      </c>
      <c r="AN282" t="inlineStr">
        <is>
          <t>sthefany.rodriguez2207@gmail.com</t>
        </is>
      </c>
      <c r="AO282" t="inlineStr">
        <is>
          <t>LIMA</t>
        </is>
      </c>
      <c r="AP282" t="inlineStr">
        <is>
          <t>CERCADO DE LIMA</t>
        </is>
      </c>
      <c r="AQ282" s="75" t="n">
        <v>45829</v>
      </c>
      <c r="AR282" s="75" t="n">
        <v>45829</v>
      </c>
      <c r="AS282" t="inlineStr">
        <is>
          <t>CUOTA INICIAL</t>
        </is>
      </c>
      <c r="AT282" t="n">
        <v>5</v>
      </c>
      <c r="AU282" t="n">
        <v>24800</v>
      </c>
      <c r="AV282" t="n">
        <v>0</v>
      </c>
      <c r="AW282" t="n">
        <v>0</v>
      </c>
      <c r="AX282" s="39" t="n">
        <v>24800</v>
      </c>
      <c r="AY282" s="39" t="n">
        <v>24800</v>
      </c>
      <c r="AZ282" s="39" t="n">
        <v>0</v>
      </c>
      <c r="BA282" t="n">
        <v>0</v>
      </c>
      <c r="BB282" t="inlineStr">
        <is>
          <t>Ahorro</t>
        </is>
      </c>
      <c r="BC282" t="inlineStr">
        <is>
          <t>Scotiabank Perú</t>
        </is>
      </c>
      <c r="BD282" t="inlineStr">
        <is>
          <t>000-2768484</t>
        </is>
      </c>
      <c r="BE282" t="inlineStr">
        <is>
          <t>TRANSFERENCIA BANCARIA</t>
        </is>
      </c>
      <c r="BF282" t="inlineStr">
        <is>
          <t>70270427</t>
        </is>
      </c>
      <c r="BG282" t="inlineStr">
        <is>
          <t>70270427</t>
        </is>
      </c>
      <c r="BH282" t="inlineStr">
        <is>
          <t>No</t>
        </is>
      </c>
      <c r="BI282" t="inlineStr">
        <is>
          <t>NO PRECISA</t>
        </is>
      </c>
      <c r="BJ282" t="n">
        <v>1</v>
      </c>
      <c r="BK282" t="inlineStr">
        <is>
          <t>CANCELADO</t>
        </is>
      </c>
      <c r="BV282" t="inlineStr">
        <is>
          <t>Si</t>
        </is>
      </c>
      <c r="BW282" s="76" t="n">
        <v>45829.38958333333</v>
      </c>
      <c r="BX282" t="inlineStr">
        <is>
          <t>Carla Michue M</t>
        </is>
      </c>
      <c r="BZ282" t="n">
        <v>2</v>
      </c>
      <c r="CA282" t="inlineStr">
        <is>
          <t>29/05/2026 12:20</t>
        </is>
      </c>
      <c r="CB282" t="n">
        <v>0</v>
      </c>
      <c r="CF282" t="inlineStr">
        <is>
          <t>Cobranzas_2025.csv</t>
        </is>
      </c>
      <c r="CG282" t="n">
        <v>2025</v>
      </c>
      <c r="CH282" t="inlineStr">
        <is>
          <t>01/01/2024</t>
        </is>
      </c>
      <c r="CI282" t="inlineStr">
        <is>
          <t>24/08/2031</t>
        </is>
      </c>
    </row>
    <row r="283">
      <c r="A283" t="inlineStr">
        <is>
          <t>RESIDENCIAL PRADA</t>
        </is>
      </c>
      <c r="B283" t="inlineStr">
        <is>
          <t>Etapa 1</t>
        </is>
      </c>
      <c r="C283" t="inlineStr">
        <is>
          <t>Edificio</t>
        </is>
      </c>
      <c r="D283" t="inlineStr">
        <is>
          <t>A</t>
        </is>
      </c>
      <c r="E283" t="inlineStr">
        <is>
          <t>Departamento</t>
        </is>
      </c>
      <c r="F283" t="inlineStr">
        <is>
          <t>705</t>
        </is>
      </c>
      <c r="G283" t="n">
        <v>68.72</v>
      </c>
      <c r="H283" t="n">
        <v>0</v>
      </c>
      <c r="I283" s="39" t="n">
        <v>496000</v>
      </c>
      <c r="J283" s="39" t="n">
        <v>496000</v>
      </c>
      <c r="Q283" s="39" t="n"/>
      <c r="R283" s="39" t="n"/>
      <c r="Y283" s="39" t="n"/>
      <c r="Z283" s="39" t="n"/>
      <c r="AG283" s="39" t="n"/>
      <c r="AH283" s="39" t="n"/>
      <c r="AI283" t="inlineStr">
        <is>
          <t>Sthefany Carolina Rodriguez Huamán</t>
        </is>
      </c>
      <c r="AJ283" t="inlineStr">
        <is>
          <t>70270427</t>
        </is>
      </c>
      <c r="AK283" t="inlineStr">
        <is>
          <t>-</t>
        </is>
      </c>
      <c r="AM283" t="inlineStr">
        <is>
          <t>989492681</t>
        </is>
      </c>
      <c r="AN283" t="inlineStr">
        <is>
          <t>sthefany.rodriguez2207@gmail.com</t>
        </is>
      </c>
      <c r="AO283" t="inlineStr">
        <is>
          <t>LIMA</t>
        </is>
      </c>
      <c r="AP283" t="inlineStr">
        <is>
          <t>CERCADO DE LIMA</t>
        </is>
      </c>
      <c r="AQ283" s="75" t="n">
        <v>45869</v>
      </c>
      <c r="AR283" s="75" t="n">
        <v>45854</v>
      </c>
      <c r="AS283" t="inlineStr">
        <is>
          <t>SALDO FINANCIAR</t>
        </is>
      </c>
      <c r="AT283" t="n">
        <v>6</v>
      </c>
      <c r="AU283" t="n">
        <v>436200</v>
      </c>
      <c r="AV283" t="n">
        <v>0</v>
      </c>
      <c r="AW283" t="n">
        <v>0</v>
      </c>
      <c r="AX283" s="39" t="n">
        <v>436200</v>
      </c>
      <c r="AY283" s="39" t="n">
        <v>436200</v>
      </c>
      <c r="AZ283" s="39" t="n">
        <v>0</v>
      </c>
      <c r="BA283" t="n">
        <v>0</v>
      </c>
      <c r="BB283" t="inlineStr">
        <is>
          <t>Ahorro</t>
        </is>
      </c>
      <c r="BC283" t="inlineStr">
        <is>
          <t>Scotiabank Perú</t>
        </is>
      </c>
      <c r="BD283" t="inlineStr">
        <is>
          <t>000-2768484</t>
        </is>
      </c>
      <c r="BE283" t="inlineStr">
        <is>
          <t>TRANSFERENCIA BANCARIA</t>
        </is>
      </c>
      <c r="BG283" t="inlineStr">
        <is>
          <t>0270800001</t>
        </is>
      </c>
      <c r="BH283" t="inlineStr">
        <is>
          <t>No</t>
        </is>
      </c>
      <c r="BJ283" t="n">
        <v>4</v>
      </c>
      <c r="BK283" t="inlineStr">
        <is>
          <t>CANCELADO</t>
        </is>
      </c>
      <c r="BV283" t="inlineStr">
        <is>
          <t>Si</t>
        </is>
      </c>
      <c r="BW283" s="76" t="n">
        <v>45829.38958333333</v>
      </c>
      <c r="BX283" t="inlineStr">
        <is>
          <t>Carla Michue M</t>
        </is>
      </c>
      <c r="BZ283" t="n">
        <v>2</v>
      </c>
      <c r="CA283" t="inlineStr">
        <is>
          <t>14/07/2026 09:19</t>
        </is>
      </c>
      <c r="CB283" t="n">
        <v>0</v>
      </c>
      <c r="CF283" t="inlineStr">
        <is>
          <t>Cobranzas_2025.csv</t>
        </is>
      </c>
      <c r="CG283" t="n">
        <v>2025</v>
      </c>
      <c r="CH283" t="inlineStr">
        <is>
          <t>01/01/2024</t>
        </is>
      </c>
      <c r="CI283" t="inlineStr">
        <is>
          <t>24/08/2031</t>
        </is>
      </c>
    </row>
    <row r="284">
      <c r="A284" t="inlineStr">
        <is>
          <t>RESIDENCIAL PRADA</t>
        </is>
      </c>
      <c r="B284" t="inlineStr">
        <is>
          <t>Etapa 1</t>
        </is>
      </c>
      <c r="C284" t="inlineStr">
        <is>
          <t>Edificio</t>
        </is>
      </c>
      <c r="D284" t="inlineStr">
        <is>
          <t>A</t>
        </is>
      </c>
      <c r="E284" t="inlineStr">
        <is>
          <t>Departamento</t>
        </is>
      </c>
      <c r="F284" t="inlineStr">
        <is>
          <t>805</t>
        </is>
      </c>
      <c r="G284" t="n">
        <v>68.72</v>
      </c>
      <c r="H284" t="n">
        <v>0</v>
      </c>
      <c r="I284" s="39" t="n">
        <v>470500</v>
      </c>
      <c r="J284" s="39" t="n">
        <v>470500</v>
      </c>
      <c r="Q284" s="39" t="n"/>
      <c r="R284" s="39" t="n"/>
      <c r="Y284" s="39" t="n"/>
      <c r="Z284" s="39" t="n"/>
      <c r="AG284" s="39" t="n"/>
      <c r="AH284" s="39" t="n"/>
      <c r="AI284" t="inlineStr">
        <is>
          <t>Sussan Yassmine Rubin Domínguez</t>
        </is>
      </c>
      <c r="AJ284" t="inlineStr">
        <is>
          <t>46963168</t>
        </is>
      </c>
      <c r="AK284" t="inlineStr">
        <is>
          <t xml:space="preserve">URB LOS PORTALES MZ E LT 21 </t>
        </is>
      </c>
      <c r="AL284" t="n">
        <v>0</v>
      </c>
      <c r="AM284" t="inlineStr">
        <is>
          <t>962099777</t>
        </is>
      </c>
      <c r="AN284" t="inlineStr">
        <is>
          <t>yassmine.rubin12@gmail.com</t>
        </is>
      </c>
      <c r="AO284" t="inlineStr">
        <is>
          <t>HUANUCO</t>
        </is>
      </c>
      <c r="AP284" t="inlineStr">
        <is>
          <t>AMARILIS</t>
        </is>
      </c>
      <c r="AQ284" s="75" t="n">
        <v>45815</v>
      </c>
      <c r="AR284" s="75" t="n">
        <v>45815</v>
      </c>
      <c r="AS284" t="inlineStr">
        <is>
          <t>SEPARACION</t>
        </is>
      </c>
      <c r="AT284" t="n">
        <v>1</v>
      </c>
      <c r="AU284" t="n">
        <v>3000</v>
      </c>
      <c r="AV284" t="n">
        <v>0</v>
      </c>
      <c r="AW284" t="n">
        <v>0</v>
      </c>
      <c r="AX284" s="39" t="n">
        <v>3000</v>
      </c>
      <c r="AY284" s="39" t="n">
        <v>3000</v>
      </c>
      <c r="AZ284" s="39" t="n">
        <v>0</v>
      </c>
      <c r="BA284" t="n">
        <v>0</v>
      </c>
      <c r="BB284" t="inlineStr">
        <is>
          <t>Ahorro</t>
        </is>
      </c>
      <c r="BC284" t="inlineStr">
        <is>
          <t>Scotiabank Perú</t>
        </is>
      </c>
      <c r="BD284" t="inlineStr">
        <is>
          <t>000-2768484</t>
        </is>
      </c>
      <c r="BE284" t="inlineStr">
        <is>
          <t>TRANSFERENCIA BANCARIA</t>
        </is>
      </c>
      <c r="BG284" t="inlineStr">
        <is>
          <t>000000025900000000260</t>
        </is>
      </c>
      <c r="BH284" t="inlineStr">
        <is>
          <t>No</t>
        </is>
      </c>
      <c r="BJ284" t="n">
        <v>4</v>
      </c>
      <c r="BK284" t="inlineStr">
        <is>
          <t>CANCELADO</t>
        </is>
      </c>
      <c r="BV284" t="inlineStr">
        <is>
          <t>Si</t>
        </is>
      </c>
      <c r="BW284" s="76" t="n">
        <v>45834.63611111111</v>
      </c>
      <c r="BX284" t="inlineStr">
        <is>
          <t>Magaly Guevara Perez</t>
        </is>
      </c>
      <c r="BZ284" t="n">
        <v>50</v>
      </c>
      <c r="CA284" t="inlineStr">
        <is>
          <t>07/07/2026 15:13</t>
        </is>
      </c>
      <c r="CB284" t="n">
        <v>0</v>
      </c>
      <c r="CF284" t="inlineStr">
        <is>
          <t>Cobranzas_2025.csv</t>
        </is>
      </c>
      <c r="CG284" t="n">
        <v>2025</v>
      </c>
      <c r="CH284" t="inlineStr">
        <is>
          <t>01/01/2024</t>
        </is>
      </c>
      <c r="CI284" t="inlineStr">
        <is>
          <t>24/08/2031</t>
        </is>
      </c>
    </row>
    <row r="285">
      <c r="A285" t="inlineStr">
        <is>
          <t>RESIDENCIAL PRADA</t>
        </is>
      </c>
      <c r="B285" t="inlineStr">
        <is>
          <t>Etapa 1</t>
        </is>
      </c>
      <c r="C285" t="inlineStr">
        <is>
          <t>Edificio</t>
        </is>
      </c>
      <c r="D285" t="inlineStr">
        <is>
          <t>A</t>
        </is>
      </c>
      <c r="E285" t="inlineStr">
        <is>
          <t>Departamento</t>
        </is>
      </c>
      <c r="F285" t="inlineStr">
        <is>
          <t>805</t>
        </is>
      </c>
      <c r="G285" t="n">
        <v>68.72</v>
      </c>
      <c r="H285" t="n">
        <v>0</v>
      </c>
      <c r="I285" s="39" t="n">
        <v>470500</v>
      </c>
      <c r="J285" s="39" t="n">
        <v>470500</v>
      </c>
      <c r="Q285" s="39" t="n"/>
      <c r="R285" s="39" t="n"/>
      <c r="Y285" s="39" t="n"/>
      <c r="Z285" s="39" t="n"/>
      <c r="AG285" s="39" t="n"/>
      <c r="AH285" s="39" t="n"/>
      <c r="AI285" t="inlineStr">
        <is>
          <t>Sussan Yassmine Rubin Domínguez</t>
        </is>
      </c>
      <c r="AJ285" t="inlineStr">
        <is>
          <t>46963168</t>
        </is>
      </c>
      <c r="AK285" t="inlineStr">
        <is>
          <t xml:space="preserve">URB LOS PORTALES MZ E LT 21 </t>
        </is>
      </c>
      <c r="AL285" t="n">
        <v>0</v>
      </c>
      <c r="AM285" t="inlineStr">
        <is>
          <t>962099777</t>
        </is>
      </c>
      <c r="AN285" t="inlineStr">
        <is>
          <t>yassmine.rubin12@gmail.com</t>
        </is>
      </c>
      <c r="AO285" t="inlineStr">
        <is>
          <t>HUANUCO</t>
        </is>
      </c>
      <c r="AP285" t="inlineStr">
        <is>
          <t>AMARILIS</t>
        </is>
      </c>
      <c r="AQ285" s="75" t="n">
        <v>45834</v>
      </c>
      <c r="AR285" s="75" t="n">
        <v>45834</v>
      </c>
      <c r="AS285" t="inlineStr">
        <is>
          <t>CUOTA INICIAL</t>
        </is>
      </c>
      <c r="AT285" t="n">
        <v>1</v>
      </c>
      <c r="AU285" t="n">
        <v>39000</v>
      </c>
      <c r="AV285" t="n">
        <v>0</v>
      </c>
      <c r="AW285" t="n">
        <v>0</v>
      </c>
      <c r="AX285" s="39" t="n">
        <v>39000</v>
      </c>
      <c r="AY285" s="39" t="n">
        <v>39000</v>
      </c>
      <c r="AZ285" s="39" t="n">
        <v>0</v>
      </c>
      <c r="BA285" t="n">
        <v>0</v>
      </c>
      <c r="BB285" t="inlineStr">
        <is>
          <t>Ahorro</t>
        </is>
      </c>
      <c r="BC285" t="inlineStr">
        <is>
          <t>Scotiabank Perú</t>
        </is>
      </c>
      <c r="BD285" t="inlineStr">
        <is>
          <t>000-2768484</t>
        </is>
      </c>
      <c r="BE285" t="inlineStr">
        <is>
          <t>TRANSFERENCIA BANCARIA</t>
        </is>
      </c>
      <c r="BG285" t="inlineStr">
        <is>
          <t>006211911</t>
        </is>
      </c>
      <c r="BH285" t="inlineStr">
        <is>
          <t>No</t>
        </is>
      </c>
      <c r="BJ285" t="n">
        <v>4</v>
      </c>
      <c r="BK285" t="inlineStr">
        <is>
          <t>CANCELADO</t>
        </is>
      </c>
      <c r="BV285" t="inlineStr">
        <is>
          <t>Si</t>
        </is>
      </c>
      <c r="BW285" s="76" t="n">
        <v>45834.63611111111</v>
      </c>
      <c r="BX285" t="inlineStr">
        <is>
          <t>Magaly Guevara Perez</t>
        </is>
      </c>
      <c r="BZ285" t="n">
        <v>50</v>
      </c>
      <c r="CA285" t="inlineStr">
        <is>
          <t>07/07/2026 15:15</t>
        </is>
      </c>
      <c r="CB285" t="n">
        <v>0</v>
      </c>
      <c r="CF285" t="inlineStr">
        <is>
          <t>Cobranzas_2025.csv</t>
        </is>
      </c>
      <c r="CG285" t="n">
        <v>2025</v>
      </c>
      <c r="CH285" t="inlineStr">
        <is>
          <t>01/01/2024</t>
        </is>
      </c>
      <c r="CI285" t="inlineStr">
        <is>
          <t>24/08/2031</t>
        </is>
      </c>
    </row>
    <row r="286">
      <c r="A286" t="inlineStr">
        <is>
          <t>RESIDENCIAL PRADA</t>
        </is>
      </c>
      <c r="B286" t="inlineStr">
        <is>
          <t>Etapa 1</t>
        </is>
      </c>
      <c r="C286" t="inlineStr">
        <is>
          <t>Edificio</t>
        </is>
      </c>
      <c r="D286" t="inlineStr">
        <is>
          <t>A</t>
        </is>
      </c>
      <c r="E286" t="inlineStr">
        <is>
          <t>Departamento</t>
        </is>
      </c>
      <c r="F286" t="inlineStr">
        <is>
          <t>805</t>
        </is>
      </c>
      <c r="G286" t="n">
        <v>68.72</v>
      </c>
      <c r="H286" t="n">
        <v>0</v>
      </c>
      <c r="I286" s="39" t="n">
        <v>470500</v>
      </c>
      <c r="J286" s="39" t="n">
        <v>470500</v>
      </c>
      <c r="Q286" s="39" t="n"/>
      <c r="R286" s="39" t="n"/>
      <c r="Y286" s="39" t="n"/>
      <c r="Z286" s="39" t="n"/>
      <c r="AG286" s="39" t="n"/>
      <c r="AH286" s="39" t="n"/>
      <c r="AI286" t="inlineStr">
        <is>
          <t>Sussan Yassmine Rubin Domínguez</t>
        </is>
      </c>
      <c r="AJ286" t="inlineStr">
        <is>
          <t>46963168</t>
        </is>
      </c>
      <c r="AK286" t="inlineStr">
        <is>
          <t xml:space="preserve">URB LOS PORTALES MZ E LT 21 </t>
        </is>
      </c>
      <c r="AL286" t="n">
        <v>0</v>
      </c>
      <c r="AM286" t="inlineStr">
        <is>
          <t>962099777</t>
        </is>
      </c>
      <c r="AN286" t="inlineStr">
        <is>
          <t>yassmine.rubin12@gmail.com</t>
        </is>
      </c>
      <c r="AO286" t="inlineStr">
        <is>
          <t>HUANUCO</t>
        </is>
      </c>
      <c r="AP286" t="inlineStr">
        <is>
          <t>AMARILIS</t>
        </is>
      </c>
      <c r="AQ286" s="75" t="n">
        <v>45930</v>
      </c>
      <c r="AR286" s="75" t="n"/>
      <c r="AS286" t="inlineStr">
        <is>
          <t>AHORRO CASA</t>
        </is>
      </c>
      <c r="AT286" t="n">
        <v>2</v>
      </c>
      <c r="AU286" t="n">
        <v>58000</v>
      </c>
      <c r="AV286" t="n">
        <v>0</v>
      </c>
      <c r="AW286" t="n">
        <v>0</v>
      </c>
      <c r="AX286" s="39" t="n">
        <v>58000</v>
      </c>
      <c r="AY286" s="39" t="n">
        <v>0</v>
      </c>
      <c r="AZ286" s="39" t="n">
        <v>58000</v>
      </c>
      <c r="BB286" t="inlineStr">
        <is>
          <t>Ahorro</t>
        </is>
      </c>
      <c r="BH286" t="inlineStr">
        <is>
          <t>No</t>
        </is>
      </c>
      <c r="BK286" t="inlineStr">
        <is>
          <t>VENCIDO</t>
        </is>
      </c>
      <c r="BV286" t="inlineStr">
        <is>
          <t>No</t>
        </is>
      </c>
      <c r="BW286" s="76" t="n">
        <v>45834.63611111111</v>
      </c>
      <c r="BX286" t="inlineStr">
        <is>
          <t>Magaly Guevara Perez</t>
        </is>
      </c>
      <c r="BZ286" t="n">
        <v>50</v>
      </c>
      <c r="CB286" t="n">
        <v>0</v>
      </c>
      <c r="CF286" t="inlineStr">
        <is>
          <t>Cobranzas_2025.csv</t>
        </is>
      </c>
      <c r="CG286" t="n">
        <v>2025</v>
      </c>
      <c r="CH286" t="inlineStr">
        <is>
          <t>01/01/2024</t>
        </is>
      </c>
      <c r="CI286" t="inlineStr">
        <is>
          <t>24/08/2031</t>
        </is>
      </c>
    </row>
    <row r="287">
      <c r="A287" t="inlineStr">
        <is>
          <t>RESIDENCIAL BEYOND</t>
        </is>
      </c>
      <c r="B287" t="inlineStr">
        <is>
          <t>Etapa 1</t>
        </is>
      </c>
      <c r="C287" t="inlineStr">
        <is>
          <t>Edificio</t>
        </is>
      </c>
      <c r="D287" t="inlineStr">
        <is>
          <t>A</t>
        </is>
      </c>
      <c r="E287" t="inlineStr">
        <is>
          <t>Departamento</t>
        </is>
      </c>
      <c r="F287" t="inlineStr">
        <is>
          <t>1001</t>
        </is>
      </c>
      <c r="G287" t="n">
        <v>70</v>
      </c>
      <c r="H287" t="n">
        <v>0</v>
      </c>
      <c r="I287" s="39" t="n">
        <v>531100</v>
      </c>
      <c r="J287" s="39" t="n">
        <v>518500</v>
      </c>
      <c r="Q287" s="39" t="n"/>
      <c r="R287" s="39" t="n"/>
      <c r="Y287" s="39" t="n"/>
      <c r="Z287" s="39" t="n"/>
      <c r="AG287" s="39" t="n"/>
      <c r="AH287" s="39" t="n"/>
      <c r="AI287" t="inlineStr">
        <is>
          <t>Tania Jackeline Valladares Timana</t>
        </is>
      </c>
      <c r="AJ287" t="inlineStr">
        <is>
          <t>43216992</t>
        </is>
      </c>
      <c r="AK287" t="inlineStr">
        <is>
          <t>Jr. Maria Antonieta 130 Dpto. 301</t>
        </is>
      </c>
      <c r="AL287" t="n">
        <v>0</v>
      </c>
      <c r="AM287" t="inlineStr">
        <is>
          <t>990000227</t>
        </is>
      </c>
      <c r="AN287" t="inlineStr">
        <is>
          <t>tania.valladarest@gmail.com</t>
        </is>
      </c>
      <c r="AO287" t="inlineStr">
        <is>
          <t>LIMA</t>
        </is>
      </c>
      <c r="AP287" t="inlineStr">
        <is>
          <t>SAN MARTIN DE PORRES</t>
        </is>
      </c>
      <c r="AQ287" s="75" t="n">
        <v>45855</v>
      </c>
      <c r="AR287" s="75" t="n">
        <v>45855</v>
      </c>
      <c r="AS287" t="inlineStr">
        <is>
          <t>SEPARACION</t>
        </is>
      </c>
      <c r="AT287" t="n">
        <v>1</v>
      </c>
      <c r="AU287" t="n">
        <v>3000</v>
      </c>
      <c r="AV287" t="n">
        <v>0</v>
      </c>
      <c r="AW287" t="n">
        <v>0</v>
      </c>
      <c r="AX287" s="39" t="n">
        <v>3000</v>
      </c>
      <c r="AY287" s="39" t="n">
        <v>3000</v>
      </c>
      <c r="AZ287" s="39" t="n">
        <v>0</v>
      </c>
      <c r="BA287" t="n">
        <v>0</v>
      </c>
      <c r="BB287" t="inlineStr">
        <is>
          <t>Ahorro</t>
        </is>
      </c>
      <c r="BC287" t="inlineStr">
        <is>
          <t>Banco de Credito del Perú</t>
        </is>
      </c>
      <c r="BD287" t="inlineStr">
        <is>
          <t>194-7325779-0-65</t>
        </is>
      </c>
      <c r="BE287" t="inlineStr">
        <is>
          <t>TRANSFERENCIA BANCARIA</t>
        </is>
      </c>
      <c r="BG287" t="inlineStr">
        <is>
          <t>02514905</t>
        </is>
      </c>
      <c r="BH287" t="inlineStr">
        <is>
          <t>No</t>
        </is>
      </c>
      <c r="BJ287" t="n">
        <v>4</v>
      </c>
      <c r="BK287" t="inlineStr">
        <is>
          <t>CANCELADO</t>
        </is>
      </c>
      <c r="BV287" t="inlineStr">
        <is>
          <t>Si</t>
        </is>
      </c>
      <c r="BW287" s="76" t="n">
        <v>45870.43402777778</v>
      </c>
      <c r="BX287" t="inlineStr">
        <is>
          <t>Magaly Guevara Perez</t>
        </is>
      </c>
      <c r="BZ287" t="n">
        <v>16</v>
      </c>
      <c r="CA287" t="inlineStr">
        <is>
          <t>22/05/2026 12:10</t>
        </is>
      </c>
      <c r="CB287" t="n">
        <v>0</v>
      </c>
      <c r="CF287" t="inlineStr">
        <is>
          <t>Cobranzas_2025.csv</t>
        </is>
      </c>
      <c r="CG287" t="n">
        <v>2025</v>
      </c>
      <c r="CH287" t="inlineStr">
        <is>
          <t>01/01/2024</t>
        </is>
      </c>
      <c r="CI287" t="inlineStr">
        <is>
          <t>24/08/2031</t>
        </is>
      </c>
    </row>
    <row r="288">
      <c r="A288" t="inlineStr">
        <is>
          <t>RESIDENCIAL BEYOND</t>
        </is>
      </c>
      <c r="B288" t="inlineStr">
        <is>
          <t>Etapa 1</t>
        </is>
      </c>
      <c r="C288" t="inlineStr">
        <is>
          <t>Edificio</t>
        </is>
      </c>
      <c r="D288" t="inlineStr">
        <is>
          <t>A</t>
        </is>
      </c>
      <c r="E288" t="inlineStr">
        <is>
          <t>Departamento</t>
        </is>
      </c>
      <c r="F288" t="inlineStr">
        <is>
          <t>1001</t>
        </is>
      </c>
      <c r="G288" t="n">
        <v>70</v>
      </c>
      <c r="H288" t="n">
        <v>0</v>
      </c>
      <c r="I288" s="39" t="n">
        <v>531100</v>
      </c>
      <c r="J288" s="39" t="n">
        <v>518500</v>
      </c>
      <c r="Q288" s="39" t="n"/>
      <c r="R288" s="39" t="n"/>
      <c r="Y288" s="39" t="n"/>
      <c r="Z288" s="39" t="n"/>
      <c r="AG288" s="39" t="n"/>
      <c r="AH288" s="39" t="n"/>
      <c r="AI288" t="inlineStr">
        <is>
          <t>Tania Jackeline Valladares Timana</t>
        </is>
      </c>
      <c r="AJ288" t="inlineStr">
        <is>
          <t>43216992</t>
        </is>
      </c>
      <c r="AK288" t="inlineStr">
        <is>
          <t>Jr. Maria Antonieta 130 Dpto. 301</t>
        </is>
      </c>
      <c r="AL288" t="n">
        <v>0</v>
      </c>
      <c r="AM288" t="inlineStr">
        <is>
          <t>990000227</t>
        </is>
      </c>
      <c r="AN288" t="inlineStr">
        <is>
          <t>tania.valladarest@gmail.com</t>
        </is>
      </c>
      <c r="AO288" t="inlineStr">
        <is>
          <t>LIMA</t>
        </is>
      </c>
      <c r="AP288" t="inlineStr">
        <is>
          <t>SAN MARTIN DE PORRES</t>
        </is>
      </c>
      <c r="AQ288" s="75" t="n">
        <v>45870</v>
      </c>
      <c r="AR288" s="75" t="n">
        <v>45870</v>
      </c>
      <c r="AS288" t="inlineStr">
        <is>
          <t>CUOTA INICIAL</t>
        </is>
      </c>
      <c r="AT288" t="n">
        <v>1</v>
      </c>
      <c r="AU288" t="n">
        <v>22925</v>
      </c>
      <c r="AV288" t="n">
        <v>0</v>
      </c>
      <c r="AW288" t="n">
        <v>0</v>
      </c>
      <c r="AX288" s="39" t="n">
        <v>22925</v>
      </c>
      <c r="AY288" s="39" t="n">
        <v>22925</v>
      </c>
      <c r="AZ288" s="39" t="n">
        <v>0</v>
      </c>
      <c r="BA288" t="n">
        <v>0</v>
      </c>
      <c r="BB288" t="inlineStr">
        <is>
          <t>Ahorro</t>
        </is>
      </c>
      <c r="BC288" t="inlineStr">
        <is>
          <t>Banco de Credito del Perú</t>
        </is>
      </c>
      <c r="BD288" t="inlineStr">
        <is>
          <t>194-7325779-0-65</t>
        </is>
      </c>
      <c r="BE288" t="inlineStr">
        <is>
          <t>TRANSFERENCIA BANCARIA</t>
        </is>
      </c>
      <c r="BG288" t="inlineStr">
        <is>
          <t>03446386</t>
        </is>
      </c>
      <c r="BH288" t="inlineStr">
        <is>
          <t>No</t>
        </is>
      </c>
      <c r="BJ288" t="n">
        <v>4</v>
      </c>
      <c r="BK288" t="inlineStr">
        <is>
          <t>CANCELADO</t>
        </is>
      </c>
      <c r="BV288" t="inlineStr">
        <is>
          <t>Si</t>
        </is>
      </c>
      <c r="BW288" s="76" t="n">
        <v>45870.43402777778</v>
      </c>
      <c r="BX288" t="inlineStr">
        <is>
          <t>Magaly Guevara Perez</t>
        </is>
      </c>
      <c r="BZ288" t="n">
        <v>16</v>
      </c>
      <c r="CA288" t="inlineStr">
        <is>
          <t>17/08/2026 14:36</t>
        </is>
      </c>
      <c r="CB288" t="n">
        <v>0</v>
      </c>
      <c r="CF288" t="inlineStr">
        <is>
          <t>Cobranzas_2025.csv</t>
        </is>
      </c>
      <c r="CG288" t="n">
        <v>2025</v>
      </c>
      <c r="CH288" t="inlineStr">
        <is>
          <t>01/01/2024</t>
        </is>
      </c>
      <c r="CI288" t="inlineStr">
        <is>
          <t>24/08/2031</t>
        </is>
      </c>
    </row>
    <row r="289">
      <c r="A289" t="inlineStr">
        <is>
          <t>RESIDENCIAL BEYOND</t>
        </is>
      </c>
      <c r="B289" t="inlineStr">
        <is>
          <t>Etapa 1</t>
        </is>
      </c>
      <c r="C289" t="inlineStr">
        <is>
          <t>Edificio</t>
        </is>
      </c>
      <c r="D289" t="inlineStr">
        <is>
          <t>A</t>
        </is>
      </c>
      <c r="E289" t="inlineStr">
        <is>
          <t>Departamento</t>
        </is>
      </c>
      <c r="F289" t="inlineStr">
        <is>
          <t>1001</t>
        </is>
      </c>
      <c r="G289" t="n">
        <v>70</v>
      </c>
      <c r="H289" t="n">
        <v>0</v>
      </c>
      <c r="I289" s="39" t="n">
        <v>531100</v>
      </c>
      <c r="J289" s="39" t="n">
        <v>518500</v>
      </c>
      <c r="Q289" s="39" t="n"/>
      <c r="R289" s="39" t="n"/>
      <c r="Y289" s="39" t="n"/>
      <c r="Z289" s="39" t="n"/>
      <c r="AG289" s="39" t="n"/>
      <c r="AH289" s="39" t="n"/>
      <c r="AI289" t="inlineStr">
        <is>
          <t>Tania Jackeline Valladares Timana</t>
        </is>
      </c>
      <c r="AJ289" t="inlineStr">
        <is>
          <t>43216992</t>
        </is>
      </c>
      <c r="AK289" t="inlineStr">
        <is>
          <t>Jr. Maria Antonieta 130 Dpto. 301</t>
        </is>
      </c>
      <c r="AL289" t="n">
        <v>0</v>
      </c>
      <c r="AM289" t="inlineStr">
        <is>
          <t>990000227</t>
        </is>
      </c>
      <c r="AN289" t="inlineStr">
        <is>
          <t>tania.valladarest@gmail.com</t>
        </is>
      </c>
      <c r="AO289" t="inlineStr">
        <is>
          <t>LIMA</t>
        </is>
      </c>
      <c r="AP289" t="inlineStr">
        <is>
          <t>SAN MARTIN DE PORRES</t>
        </is>
      </c>
      <c r="AQ289" s="75" t="n">
        <v>45991</v>
      </c>
      <c r="AR289" s="75" t="n">
        <v>46108</v>
      </c>
      <c r="AS289" t="inlineStr">
        <is>
          <t>AHORRO CASA</t>
        </is>
      </c>
      <c r="AT289" t="n">
        <v>2</v>
      </c>
      <c r="AU289" t="n">
        <v>13800</v>
      </c>
      <c r="AV289" t="n">
        <v>0</v>
      </c>
      <c r="AW289" t="n">
        <v>0</v>
      </c>
      <c r="AX289" s="39" t="n">
        <v>13800</v>
      </c>
      <c r="AY289" s="39" t="n">
        <v>13800</v>
      </c>
      <c r="AZ289" s="39" t="n">
        <v>0</v>
      </c>
      <c r="BA289" t="n">
        <v>0</v>
      </c>
      <c r="BB289" t="inlineStr">
        <is>
          <t>Ahorro</t>
        </is>
      </c>
      <c r="BC289" t="inlineStr">
        <is>
          <t>Banco de Credito del Perú</t>
        </is>
      </c>
      <c r="BD289" t="inlineStr">
        <is>
          <t>194-7325779-0-65</t>
        </is>
      </c>
      <c r="BE289" t="inlineStr">
        <is>
          <t>TRANSFERENCIA BANCARIA</t>
        </is>
      </c>
      <c r="BG289" t="inlineStr">
        <is>
          <t>04482206</t>
        </is>
      </c>
      <c r="BH289" t="inlineStr">
        <is>
          <t>No</t>
        </is>
      </c>
      <c r="BJ289" t="n">
        <v>4</v>
      </c>
      <c r="BK289" t="inlineStr">
        <is>
          <t>CANCELADO</t>
        </is>
      </c>
      <c r="BV289" t="inlineStr">
        <is>
          <t>Si</t>
        </is>
      </c>
      <c r="BW289" s="76" t="n">
        <v>45870.43402777778</v>
      </c>
      <c r="BX289" t="inlineStr">
        <is>
          <t>Magaly Guevara Perez</t>
        </is>
      </c>
      <c r="BZ289" t="n">
        <v>16</v>
      </c>
      <c r="CA289" t="inlineStr">
        <is>
          <t>17/08/2026 14:37</t>
        </is>
      </c>
      <c r="CB289" t="n">
        <v>0</v>
      </c>
      <c r="CF289" t="inlineStr">
        <is>
          <t>Cobranzas_2025.csv</t>
        </is>
      </c>
      <c r="CG289" t="n">
        <v>2025</v>
      </c>
      <c r="CH289" t="inlineStr">
        <is>
          <t>01/01/2024</t>
        </is>
      </c>
      <c r="CI289" t="inlineStr">
        <is>
          <t>24/08/2031</t>
        </is>
      </c>
    </row>
    <row r="290">
      <c r="A290" t="inlineStr">
        <is>
          <t>RESIDENCIAL BEYOND</t>
        </is>
      </c>
      <c r="B290" t="inlineStr">
        <is>
          <t>Etapa 1</t>
        </is>
      </c>
      <c r="C290" t="inlineStr">
        <is>
          <t>Edificio</t>
        </is>
      </c>
      <c r="D290" t="inlineStr">
        <is>
          <t>A</t>
        </is>
      </c>
      <c r="E290" t="inlineStr">
        <is>
          <t>Departamento</t>
        </is>
      </c>
      <c r="F290" t="inlineStr">
        <is>
          <t>205</t>
        </is>
      </c>
      <c r="G290" t="n">
        <v>72</v>
      </c>
      <c r="H290" t="n">
        <v>16</v>
      </c>
      <c r="I290" s="39" t="n">
        <v>587000</v>
      </c>
      <c r="J290" s="39" t="n">
        <v>577000</v>
      </c>
      <c r="Q290" s="39" t="n"/>
      <c r="R290" s="39" t="n"/>
      <c r="Y290" s="39" t="n"/>
      <c r="Z290" s="39" t="n"/>
      <c r="AG290" s="39" t="n"/>
      <c r="AH290" s="39" t="n"/>
      <c r="AI290" t="inlineStr">
        <is>
          <t>Tania Milagros Cotrina Vara</t>
        </is>
      </c>
      <c r="AJ290" t="inlineStr">
        <is>
          <t>10140034</t>
        </is>
      </c>
      <c r="AK290" t="inlineStr">
        <is>
          <t>Av. Arnaldo Marquez 1526 Dpto. 26</t>
        </is>
      </c>
      <c r="AL290" t="n">
        <v>0</v>
      </c>
      <c r="AM290" t="inlineStr">
        <is>
          <t>941461159</t>
        </is>
      </c>
      <c r="AN290" t="inlineStr">
        <is>
          <t>tamicov@hotmail.com</t>
        </is>
      </c>
      <c r="AO290" t="inlineStr">
        <is>
          <t>LIMA</t>
        </is>
      </c>
      <c r="AP290" t="inlineStr">
        <is>
          <t>JESUS MARIA</t>
        </is>
      </c>
      <c r="AQ290" s="75" t="n">
        <v>45918</v>
      </c>
      <c r="AR290" s="75" t="n">
        <v>45918</v>
      </c>
      <c r="AS290" t="inlineStr">
        <is>
          <t>CUOTA INICIAL</t>
        </is>
      </c>
      <c r="AT290" t="n">
        <v>1</v>
      </c>
      <c r="AU290" t="n">
        <v>89400</v>
      </c>
      <c r="AV290" t="n">
        <v>0</v>
      </c>
      <c r="AW290" t="n">
        <v>0</v>
      </c>
      <c r="AX290" s="39" t="n">
        <v>89400</v>
      </c>
      <c r="AY290" s="39" t="n">
        <v>89400</v>
      </c>
      <c r="AZ290" s="39" t="n">
        <v>0</v>
      </c>
      <c r="BA290" t="n">
        <v>0</v>
      </c>
      <c r="BB290" t="inlineStr">
        <is>
          <t>Ahorro</t>
        </is>
      </c>
      <c r="BC290" t="inlineStr">
        <is>
          <t>Banco de Credito del Perú</t>
        </is>
      </c>
      <c r="BD290" t="inlineStr">
        <is>
          <t>194-7325779-0-65</t>
        </is>
      </c>
      <c r="BE290" t="inlineStr">
        <is>
          <t>TRANSFERENCIA BANCARIA</t>
        </is>
      </c>
      <c r="BF290" t="inlineStr">
        <is>
          <t>10140034</t>
        </is>
      </c>
      <c r="BG290" t="inlineStr">
        <is>
          <t>0999590</t>
        </is>
      </c>
      <c r="BH290" t="inlineStr">
        <is>
          <t>No</t>
        </is>
      </c>
      <c r="BI290" t="inlineStr">
        <is>
          <t>NO PRECISA</t>
        </is>
      </c>
      <c r="BJ290" t="n">
        <v>4</v>
      </c>
      <c r="BK290" t="inlineStr">
        <is>
          <t>CANCELADO</t>
        </is>
      </c>
      <c r="BV290" t="inlineStr">
        <is>
          <t>Si</t>
        </is>
      </c>
      <c r="BW290" s="76" t="n">
        <v>45918.41597222222</v>
      </c>
      <c r="BX290" t="inlineStr">
        <is>
          <t>Magaly Guevara Perez</t>
        </is>
      </c>
      <c r="BZ290" t="n">
        <v>4</v>
      </c>
      <c r="CA290" t="inlineStr">
        <is>
          <t>04/06/2026 10:43</t>
        </is>
      </c>
      <c r="CB290" t="n">
        <v>0</v>
      </c>
      <c r="CF290" t="inlineStr">
        <is>
          <t>Cobranzas_2025.csv</t>
        </is>
      </c>
      <c r="CG290" t="n">
        <v>2025</v>
      </c>
      <c r="CH290" t="inlineStr">
        <is>
          <t>01/01/2024</t>
        </is>
      </c>
      <c r="CI290" t="inlineStr">
        <is>
          <t>24/08/2031</t>
        </is>
      </c>
    </row>
    <row r="291">
      <c r="A291" t="inlineStr">
        <is>
          <t>RESIDENCIAL BEYOND</t>
        </is>
      </c>
      <c r="B291" t="inlineStr">
        <is>
          <t>Etapa 1</t>
        </is>
      </c>
      <c r="C291" t="inlineStr">
        <is>
          <t>Edificio</t>
        </is>
      </c>
      <c r="D291" t="inlineStr">
        <is>
          <t>A</t>
        </is>
      </c>
      <c r="E291" t="inlineStr">
        <is>
          <t>Departamento</t>
        </is>
      </c>
      <c r="F291" t="inlineStr">
        <is>
          <t>702</t>
        </is>
      </c>
      <c r="G291" t="n">
        <v>57</v>
      </c>
      <c r="H291" t="n">
        <v>0</v>
      </c>
      <c r="I291" s="39" t="n">
        <v>430000</v>
      </c>
      <c r="J291" s="39" t="n">
        <v>382000</v>
      </c>
      <c r="Q291" s="39" t="n"/>
      <c r="R291" s="39" t="n"/>
      <c r="Y291" s="39" t="n"/>
      <c r="Z291" s="39" t="n"/>
      <c r="AG291" s="39" t="n"/>
      <c r="AH291" s="39" t="n"/>
      <c r="AI291" t="inlineStr">
        <is>
          <t>Víctor Daniel Chuquihuaccha Hernandez</t>
        </is>
      </c>
      <c r="AJ291" t="inlineStr">
        <is>
          <t>73229140</t>
        </is>
      </c>
      <c r="AK291" t="inlineStr">
        <is>
          <t>Calle Los Licopodios 468</t>
        </is>
      </c>
      <c r="AL291" t="n">
        <v>999533600</v>
      </c>
      <c r="AM291" t="inlineStr">
        <is>
          <t>999533600</t>
        </is>
      </c>
      <c r="AN291" t="inlineStr">
        <is>
          <t>victor.d.ch.h@gmail.com</t>
        </is>
      </c>
      <c r="AO291" t="inlineStr">
        <is>
          <t>LIMA</t>
        </is>
      </c>
      <c r="AP291" t="inlineStr">
        <is>
          <t>SAN JUAN DE LURIGANCHO</t>
        </is>
      </c>
      <c r="AQ291" s="75" t="n">
        <v>46011</v>
      </c>
      <c r="AR291" s="75" t="n">
        <v>46011</v>
      </c>
      <c r="AS291" t="inlineStr">
        <is>
          <t>SEPARACION</t>
        </is>
      </c>
      <c r="AT291" t="n">
        <v>1</v>
      </c>
      <c r="AU291" t="n">
        <v>3000</v>
      </c>
      <c r="AV291" t="n">
        <v>0</v>
      </c>
      <c r="AW291" t="n">
        <v>0</v>
      </c>
      <c r="AX291" s="39" t="n">
        <v>3000</v>
      </c>
      <c r="AY291" s="39" t="n">
        <v>3000</v>
      </c>
      <c r="AZ291" s="39" t="n">
        <v>0</v>
      </c>
      <c r="BA291" t="n">
        <v>0</v>
      </c>
      <c r="BB291" t="inlineStr">
        <is>
          <t>Crédito Hipotecario</t>
        </is>
      </c>
      <c r="BC291" t="inlineStr">
        <is>
          <t>Banco de Credito del Perú</t>
        </is>
      </c>
      <c r="BD291" t="inlineStr">
        <is>
          <t>194-7325779-0-65</t>
        </is>
      </c>
      <c r="BE291" t="inlineStr">
        <is>
          <t>TRANSFERENCIA BANCARIA</t>
        </is>
      </c>
      <c r="BG291" t="inlineStr">
        <is>
          <t>04023883</t>
        </is>
      </c>
      <c r="BH291" t="inlineStr">
        <is>
          <t>Si</t>
        </is>
      </c>
      <c r="BJ291" t="n">
        <v>4</v>
      </c>
      <c r="BK291" t="inlineStr">
        <is>
          <t>CANCELADO</t>
        </is>
      </c>
      <c r="BV291" t="inlineStr">
        <is>
          <t>Si</t>
        </is>
      </c>
      <c r="BW291" s="76" t="n">
        <v>46031.40972222222</v>
      </c>
      <c r="BX291" t="inlineStr">
        <is>
          <t>Magaly Guevara Perez</t>
        </is>
      </c>
      <c r="BZ291" t="n">
        <v>20</v>
      </c>
      <c r="CA291" t="inlineStr">
        <is>
          <t>12/05/2026 13:44</t>
        </is>
      </c>
      <c r="CB291" t="n">
        <v>0</v>
      </c>
      <c r="CF291" t="inlineStr">
        <is>
          <t>Cobranzas_2025.csv</t>
        </is>
      </c>
      <c r="CG291" t="n">
        <v>2025</v>
      </c>
      <c r="CH291" t="inlineStr">
        <is>
          <t>01/01/2024</t>
        </is>
      </c>
      <c r="CI291" t="inlineStr">
        <is>
          <t>24/08/2031</t>
        </is>
      </c>
    </row>
    <row r="292">
      <c r="A292" t="inlineStr">
        <is>
          <t>RESIDENCIAL BEYOND</t>
        </is>
      </c>
      <c r="B292" t="inlineStr">
        <is>
          <t>Etapa 1</t>
        </is>
      </c>
      <c r="C292" t="inlineStr">
        <is>
          <t>Edificio</t>
        </is>
      </c>
      <c r="D292" t="inlineStr">
        <is>
          <t>A</t>
        </is>
      </c>
      <c r="E292" t="inlineStr">
        <is>
          <t>Departamento</t>
        </is>
      </c>
      <c r="F292" t="inlineStr">
        <is>
          <t>301</t>
        </is>
      </c>
      <c r="G292" t="n">
        <v>70</v>
      </c>
      <c r="H292" t="n">
        <v>0</v>
      </c>
      <c r="I292" s="39" t="n">
        <v>518500</v>
      </c>
      <c r="J292" s="39" t="n">
        <v>475000</v>
      </c>
      <c r="K292" t="inlineStr">
        <is>
          <t>Edificio</t>
        </is>
      </c>
      <c r="L292" t="inlineStr">
        <is>
          <t>A</t>
        </is>
      </c>
      <c r="M292" t="inlineStr">
        <is>
          <t>Estacionamiento</t>
        </is>
      </c>
      <c r="N292" t="inlineStr">
        <is>
          <t>E 04 - D 02</t>
        </is>
      </c>
      <c r="O292" t="n">
        <v>12.5</v>
      </c>
      <c r="P292" t="n">
        <v>2</v>
      </c>
      <c r="Q292" s="39" t="n">
        <v>52500</v>
      </c>
      <c r="R292" s="39" t="n">
        <v>52500</v>
      </c>
      <c r="Y292" s="39" t="n"/>
      <c r="Z292" s="39" t="n"/>
      <c r="AG292" s="39" t="n"/>
      <c r="AH292" s="39" t="n"/>
      <c r="AI292" t="inlineStr">
        <is>
          <t>Victor Hugo Quispe Cupe</t>
        </is>
      </c>
      <c r="AJ292" t="inlineStr">
        <is>
          <t>09848317</t>
        </is>
      </c>
      <c r="AK292" t="inlineStr">
        <is>
          <t>Jr. Jose Arnaldo Marquez 1152</t>
        </is>
      </c>
      <c r="AL292" t="n">
        <v>0</v>
      </c>
      <c r="AM292" t="inlineStr">
        <is>
          <t>998980237</t>
        </is>
      </c>
      <c r="AN292" t="inlineStr">
        <is>
          <t>vitolosc58@gmail.com</t>
        </is>
      </c>
      <c r="AO292" t="inlineStr">
        <is>
          <t>LIMA</t>
        </is>
      </c>
      <c r="AP292" t="inlineStr">
        <is>
          <t>JESUS MARIA</t>
        </is>
      </c>
      <c r="AQ292" s="75" t="n">
        <v>45902</v>
      </c>
      <c r="AR292" s="75" t="n">
        <v>45902</v>
      </c>
      <c r="AS292" t="inlineStr">
        <is>
          <t>SEPARACION</t>
        </is>
      </c>
      <c r="AT292" t="n">
        <v>1</v>
      </c>
      <c r="AU292" t="n">
        <v>3000</v>
      </c>
      <c r="AV292" t="n">
        <v>0</v>
      </c>
      <c r="AW292" t="n">
        <v>0</v>
      </c>
      <c r="AX292" s="39" t="n">
        <v>3000</v>
      </c>
      <c r="AY292" s="39" t="n">
        <v>3000</v>
      </c>
      <c r="AZ292" s="39" t="n">
        <v>0</v>
      </c>
      <c r="BA292" t="n">
        <v>0</v>
      </c>
      <c r="BB292" t="inlineStr">
        <is>
          <t>Crédito Directo</t>
        </is>
      </c>
      <c r="BC292" t="inlineStr">
        <is>
          <t>Banco de Credito del Perú</t>
        </is>
      </c>
      <c r="BD292" t="inlineStr">
        <is>
          <t>194-7325779-0-65</t>
        </is>
      </c>
      <c r="BE292" t="inlineStr">
        <is>
          <t>TRANSFERENCIA BANCARIA</t>
        </is>
      </c>
      <c r="BF292" t="inlineStr">
        <is>
          <t>09848317</t>
        </is>
      </c>
      <c r="BG292" t="inlineStr">
        <is>
          <t>02146739</t>
        </is>
      </c>
      <c r="BH292" t="inlineStr">
        <is>
          <t>No</t>
        </is>
      </c>
      <c r="BI292" t="inlineStr">
        <is>
          <t>NO PRECISA</t>
        </is>
      </c>
      <c r="BJ292" t="n">
        <v>4</v>
      </c>
      <c r="BK292" t="inlineStr">
        <is>
          <t>CANCELADO</t>
        </is>
      </c>
      <c r="BV292" t="inlineStr">
        <is>
          <t>Si</t>
        </is>
      </c>
      <c r="BW292" s="76" t="n">
        <v>46136.41736111111</v>
      </c>
      <c r="BX292" t="inlineStr">
        <is>
          <t>Magaly Guevara Perez</t>
        </is>
      </c>
      <c r="BZ292" t="n">
        <v>5</v>
      </c>
      <c r="CA292" t="inlineStr">
        <is>
          <t>01/05/2026 11:21</t>
        </is>
      </c>
      <c r="CB292" t="n">
        <v>0</v>
      </c>
      <c r="CF292" t="inlineStr">
        <is>
          <t>Cobranzas_2025.csv</t>
        </is>
      </c>
      <c r="CG292" t="n">
        <v>2025</v>
      </c>
      <c r="CH292" t="inlineStr">
        <is>
          <t>01/01/2024</t>
        </is>
      </c>
      <c r="CI292" t="inlineStr">
        <is>
          <t>24/08/2031</t>
        </is>
      </c>
    </row>
    <row r="293">
      <c r="A293" t="inlineStr">
        <is>
          <t>RESIDENCIAL BEYOND</t>
        </is>
      </c>
      <c r="B293" t="inlineStr">
        <is>
          <t>Etapa 1</t>
        </is>
      </c>
      <c r="C293" t="inlineStr">
        <is>
          <t>Edificio</t>
        </is>
      </c>
      <c r="D293" t="inlineStr">
        <is>
          <t>A</t>
        </is>
      </c>
      <c r="E293" t="inlineStr">
        <is>
          <t>Departamento</t>
        </is>
      </c>
      <c r="F293" t="inlineStr">
        <is>
          <t>301</t>
        </is>
      </c>
      <c r="G293" t="n">
        <v>70</v>
      </c>
      <c r="H293" t="n">
        <v>0</v>
      </c>
      <c r="I293" s="39" t="n">
        <v>518500</v>
      </c>
      <c r="J293" s="39" t="n">
        <v>475000</v>
      </c>
      <c r="K293" t="inlineStr">
        <is>
          <t>Edificio</t>
        </is>
      </c>
      <c r="L293" t="inlineStr">
        <is>
          <t>A</t>
        </is>
      </c>
      <c r="M293" t="inlineStr">
        <is>
          <t>Estacionamiento</t>
        </is>
      </c>
      <c r="N293" t="inlineStr">
        <is>
          <t>E 04 - D 02</t>
        </is>
      </c>
      <c r="O293" t="n">
        <v>12.5</v>
      </c>
      <c r="P293" t="n">
        <v>2</v>
      </c>
      <c r="Q293" s="39" t="n">
        <v>52500</v>
      </c>
      <c r="R293" s="39" t="n">
        <v>52500</v>
      </c>
      <c r="Y293" s="39" t="n"/>
      <c r="Z293" s="39" t="n"/>
      <c r="AG293" s="39" t="n"/>
      <c r="AH293" s="39" t="n"/>
      <c r="AI293" t="inlineStr">
        <is>
          <t>Victor Hugo Quispe Cupe</t>
        </is>
      </c>
      <c r="AJ293" t="inlineStr">
        <is>
          <t>09848317</t>
        </is>
      </c>
      <c r="AK293" t="inlineStr">
        <is>
          <t>Jr. Jose Arnaldo Marquez 1152</t>
        </is>
      </c>
      <c r="AL293" t="n">
        <v>0</v>
      </c>
      <c r="AM293" t="inlineStr">
        <is>
          <t>998980237</t>
        </is>
      </c>
      <c r="AN293" t="inlineStr">
        <is>
          <t>vitolosc58@gmail.com</t>
        </is>
      </c>
      <c r="AO293" t="inlineStr">
        <is>
          <t>LIMA</t>
        </is>
      </c>
      <c r="AP293" t="inlineStr">
        <is>
          <t>JESUS MARIA</t>
        </is>
      </c>
      <c r="AQ293" s="75" t="n">
        <v>46021</v>
      </c>
      <c r="AR293" s="75" t="n"/>
      <c r="AS293" t="inlineStr">
        <is>
          <t>CUOTA INICIAL</t>
        </is>
      </c>
      <c r="AT293" t="n">
        <v>1</v>
      </c>
      <c r="AU293" t="n">
        <v>54500</v>
      </c>
      <c r="AV293" t="n">
        <v>0</v>
      </c>
      <c r="AW293" t="n">
        <v>0</v>
      </c>
      <c r="AX293" s="39" t="n">
        <v>54500</v>
      </c>
      <c r="AY293" s="39" t="n">
        <v>0</v>
      </c>
      <c r="AZ293" s="39" t="n">
        <v>54500</v>
      </c>
      <c r="BB293" t="inlineStr">
        <is>
          <t>Crédito Directo</t>
        </is>
      </c>
      <c r="BH293" t="inlineStr">
        <is>
          <t>No</t>
        </is>
      </c>
      <c r="BK293" t="inlineStr">
        <is>
          <t>VENCIDO</t>
        </is>
      </c>
      <c r="BV293" t="inlineStr">
        <is>
          <t>No</t>
        </is>
      </c>
      <c r="BW293" s="76" t="n">
        <v>46136.41736111111</v>
      </c>
      <c r="BX293" t="inlineStr">
        <is>
          <t>Magaly Guevara Perez</t>
        </is>
      </c>
      <c r="BZ293" t="n">
        <v>5</v>
      </c>
      <c r="CB293" t="n">
        <v>0</v>
      </c>
      <c r="CF293" t="inlineStr">
        <is>
          <t>Cobranzas_2025.csv</t>
        </is>
      </c>
      <c r="CG293" t="n">
        <v>2025</v>
      </c>
      <c r="CH293" t="inlineStr">
        <is>
          <t>01/01/2024</t>
        </is>
      </c>
      <c r="CI293" t="inlineStr">
        <is>
          <t>24/08/2031</t>
        </is>
      </c>
    </row>
    <row r="294">
      <c r="A294" t="inlineStr">
        <is>
          <t>RESIDENCIAL BEYOND</t>
        </is>
      </c>
      <c r="B294" t="inlineStr">
        <is>
          <t>Etapa 1</t>
        </is>
      </c>
      <c r="C294" t="inlineStr">
        <is>
          <t>Edificio</t>
        </is>
      </c>
      <c r="D294" t="inlineStr">
        <is>
          <t>A</t>
        </is>
      </c>
      <c r="E294" t="inlineStr">
        <is>
          <t>Departamento</t>
        </is>
      </c>
      <c r="F294" t="inlineStr">
        <is>
          <t>301</t>
        </is>
      </c>
      <c r="G294" t="n">
        <v>70</v>
      </c>
      <c r="H294" t="n">
        <v>0</v>
      </c>
      <c r="I294" s="39" t="n">
        <v>518500</v>
      </c>
      <c r="J294" s="39" t="n">
        <v>475000</v>
      </c>
      <c r="K294" t="inlineStr">
        <is>
          <t>Edificio</t>
        </is>
      </c>
      <c r="L294" t="inlineStr">
        <is>
          <t>A</t>
        </is>
      </c>
      <c r="M294" t="inlineStr">
        <is>
          <t>Estacionamiento</t>
        </is>
      </c>
      <c r="N294" t="inlineStr">
        <is>
          <t>E 04 - D 02</t>
        </is>
      </c>
      <c r="O294" t="n">
        <v>12.5</v>
      </c>
      <c r="P294" t="n">
        <v>2</v>
      </c>
      <c r="Q294" s="39" t="n">
        <v>52500</v>
      </c>
      <c r="R294" s="39" t="n">
        <v>52500</v>
      </c>
      <c r="Y294" s="39" t="n"/>
      <c r="Z294" s="39" t="n"/>
      <c r="AG294" s="39" t="n"/>
      <c r="AH294" s="39" t="n"/>
      <c r="AI294" t="inlineStr">
        <is>
          <t>Victor Hugo Quispe Cupe</t>
        </is>
      </c>
      <c r="AJ294" t="inlineStr">
        <is>
          <t>09848317</t>
        </is>
      </c>
      <c r="AK294" t="inlineStr">
        <is>
          <t>Jr. Jose Arnaldo Marquez 1152</t>
        </is>
      </c>
      <c r="AL294" t="n">
        <v>0</v>
      </c>
      <c r="AM294" t="inlineStr">
        <is>
          <t>998980237</t>
        </is>
      </c>
      <c r="AN294" t="inlineStr">
        <is>
          <t>vitolosc58@gmail.com</t>
        </is>
      </c>
      <c r="AO294" t="inlineStr">
        <is>
          <t>LIMA</t>
        </is>
      </c>
      <c r="AP294" t="inlineStr">
        <is>
          <t>JESUS MARIA</t>
        </is>
      </c>
      <c r="AQ294" s="75" t="n">
        <v>46021</v>
      </c>
      <c r="AR294" s="75" t="n"/>
      <c r="AS294" t="inlineStr">
        <is>
          <t>SALDO FINANCIAR</t>
        </is>
      </c>
      <c r="AT294" t="n">
        <v>1</v>
      </c>
      <c r="AU294" t="n">
        <v>52222.22</v>
      </c>
      <c r="AV294" t="n">
        <v>0</v>
      </c>
      <c r="AW294" t="n">
        <v>0</v>
      </c>
      <c r="AX294" s="39" t="n">
        <v>52222.22</v>
      </c>
      <c r="AY294" s="39" t="n">
        <v>0</v>
      </c>
      <c r="AZ294" s="39" t="n">
        <v>52222.22</v>
      </c>
      <c r="BB294" t="inlineStr">
        <is>
          <t>Crédito Directo</t>
        </is>
      </c>
      <c r="BH294" t="inlineStr">
        <is>
          <t>No</t>
        </is>
      </c>
      <c r="BK294" t="inlineStr">
        <is>
          <t>VENCIDO</t>
        </is>
      </c>
      <c r="BV294" t="inlineStr">
        <is>
          <t>No</t>
        </is>
      </c>
      <c r="BW294" s="76" t="n">
        <v>46136.41736111111</v>
      </c>
      <c r="BX294" t="inlineStr">
        <is>
          <t>Magaly Guevara Perez</t>
        </is>
      </c>
      <c r="BZ294" t="n">
        <v>5</v>
      </c>
      <c r="CB294" t="n">
        <v>0</v>
      </c>
      <c r="CF294" t="inlineStr">
        <is>
          <t>Cobranzas_2025.csv</t>
        </is>
      </c>
      <c r="CG294" t="n">
        <v>2025</v>
      </c>
      <c r="CH294" t="inlineStr">
        <is>
          <t>01/01/2024</t>
        </is>
      </c>
      <c r="CI294" t="inlineStr">
        <is>
          <t>24/08/2031</t>
        </is>
      </c>
    </row>
    <row r="295">
      <c r="A295" t="inlineStr">
        <is>
          <t>RESIDENCIAL PRADA</t>
        </is>
      </c>
      <c r="B295" t="inlineStr">
        <is>
          <t>Etapa 1</t>
        </is>
      </c>
      <c r="C295" t="inlineStr">
        <is>
          <t>Edificio</t>
        </is>
      </c>
      <c r="D295" t="inlineStr">
        <is>
          <t>A</t>
        </is>
      </c>
      <c r="E295" t="inlineStr">
        <is>
          <t>Departamento</t>
        </is>
      </c>
      <c r="F295" t="inlineStr">
        <is>
          <t>704</t>
        </is>
      </c>
      <c r="G295" t="n">
        <v>60.93</v>
      </c>
      <c r="H295" t="n">
        <v>0</v>
      </c>
      <c r="I295" s="39" t="n">
        <v>417700</v>
      </c>
      <c r="J295" s="39" t="n">
        <v>417700</v>
      </c>
      <c r="Q295" s="39" t="n"/>
      <c r="R295" s="39" t="n"/>
      <c r="Y295" s="39" t="n"/>
      <c r="Z295" s="39" t="n"/>
      <c r="AG295" s="39" t="n"/>
      <c r="AH295" s="39" t="n"/>
      <c r="AI295" t="inlineStr">
        <is>
          <t>wendy carolina junes Gonzáles Junes Gonzáles</t>
        </is>
      </c>
      <c r="AJ295" t="inlineStr">
        <is>
          <t>45871126</t>
        </is>
      </c>
      <c r="AK295" t="inlineStr">
        <is>
          <t>Jr.Huiracocha 1430 Dpto 407</t>
        </is>
      </c>
      <c r="AL295" t="n">
        <v>951990414</v>
      </c>
      <c r="AM295" t="inlineStr">
        <is>
          <t>951990410</t>
        </is>
      </c>
      <c r="AN295" t="inlineStr">
        <is>
          <t>jg_wendy-14@hotmail.com</t>
        </is>
      </c>
      <c r="AO295" t="inlineStr">
        <is>
          <t>LIMA</t>
        </is>
      </c>
      <c r="AP295" t="inlineStr">
        <is>
          <t>JESUS MARIA</t>
        </is>
      </c>
      <c r="AQ295" s="75" t="n">
        <v>45861</v>
      </c>
      <c r="AR295" s="75" t="n">
        <v>45861</v>
      </c>
      <c r="AS295" t="inlineStr">
        <is>
          <t>SEPARACION</t>
        </is>
      </c>
      <c r="AT295" t="n">
        <v>1</v>
      </c>
      <c r="AU295" t="n">
        <v>3000</v>
      </c>
      <c r="AV295" t="n">
        <v>0</v>
      </c>
      <c r="AW295" t="n">
        <v>0</v>
      </c>
      <c r="AX295" s="39" t="n">
        <v>3000</v>
      </c>
      <c r="AY295" s="39" t="n">
        <v>3000</v>
      </c>
      <c r="AZ295" s="39" t="n">
        <v>0</v>
      </c>
      <c r="BA295" t="n">
        <v>0</v>
      </c>
      <c r="BB295" t="inlineStr">
        <is>
          <t>Crédito Hipotecario</t>
        </is>
      </c>
      <c r="BC295" t="inlineStr">
        <is>
          <t>Scotiabank Perú</t>
        </is>
      </c>
      <c r="BD295" t="inlineStr">
        <is>
          <t>000-2768484</t>
        </is>
      </c>
      <c r="BE295" t="inlineStr">
        <is>
          <t>TRANSFERENCIA BANCARIA</t>
        </is>
      </c>
      <c r="BF295" t="inlineStr">
        <is>
          <t>45871126</t>
        </is>
      </c>
      <c r="BG295" t="inlineStr">
        <is>
          <t>00992597</t>
        </is>
      </c>
      <c r="BH295" t="inlineStr">
        <is>
          <t>No</t>
        </is>
      </c>
      <c r="BI295" t="inlineStr">
        <is>
          <t>NO PRECISA</t>
        </is>
      </c>
      <c r="BJ295" t="n">
        <v>1</v>
      </c>
      <c r="BK295" t="inlineStr">
        <is>
          <t>CANCELADO</t>
        </is>
      </c>
      <c r="BV295" t="inlineStr">
        <is>
          <t>Si</t>
        </is>
      </c>
      <c r="BW295" s="76" t="n">
        <v>45887.70138888889</v>
      </c>
      <c r="BX295" t="inlineStr">
        <is>
          <t>Carla Michue M</t>
        </is>
      </c>
      <c r="BZ295" t="n">
        <v>15</v>
      </c>
      <c r="CA295" t="inlineStr">
        <is>
          <t>29/05/2026 12:21</t>
        </is>
      </c>
      <c r="CB295" t="n">
        <v>0</v>
      </c>
      <c r="CF295" t="inlineStr">
        <is>
          <t>Cobranzas_2025.csv</t>
        </is>
      </c>
      <c r="CG295" t="n">
        <v>2025</v>
      </c>
      <c r="CH295" t="inlineStr">
        <is>
          <t>01/01/2024</t>
        </is>
      </c>
      <c r="CI295" t="inlineStr">
        <is>
          <t>24/08/2031</t>
        </is>
      </c>
    </row>
    <row r="296">
      <c r="A296" t="inlineStr">
        <is>
          <t>RESIDENCIAL PRADA</t>
        </is>
      </c>
      <c r="B296" t="inlineStr">
        <is>
          <t>Etapa 1</t>
        </is>
      </c>
      <c r="C296" t="inlineStr">
        <is>
          <t>Edificio</t>
        </is>
      </c>
      <c r="D296" t="inlineStr">
        <is>
          <t>A</t>
        </is>
      </c>
      <c r="E296" t="inlineStr">
        <is>
          <t>Departamento</t>
        </is>
      </c>
      <c r="F296" t="inlineStr">
        <is>
          <t>704</t>
        </is>
      </c>
      <c r="G296" t="n">
        <v>60.93</v>
      </c>
      <c r="H296" t="n">
        <v>0</v>
      </c>
      <c r="I296" s="39" t="n">
        <v>417700</v>
      </c>
      <c r="J296" s="39" t="n">
        <v>417700</v>
      </c>
      <c r="Q296" s="39" t="n"/>
      <c r="R296" s="39" t="n"/>
      <c r="Y296" s="39" t="n"/>
      <c r="Z296" s="39" t="n"/>
      <c r="AG296" s="39" t="n"/>
      <c r="AH296" s="39" t="n"/>
      <c r="AI296" t="inlineStr">
        <is>
          <t>wendy carolina junes Gonzáles Junes Gonzáles</t>
        </is>
      </c>
      <c r="AJ296" t="inlineStr">
        <is>
          <t>45871126</t>
        </is>
      </c>
      <c r="AK296" t="inlineStr">
        <is>
          <t>Jr.Huiracocha 1430 Dpto 407</t>
        </is>
      </c>
      <c r="AL296" t="n">
        <v>951990414</v>
      </c>
      <c r="AM296" t="inlineStr">
        <is>
          <t>951990410</t>
        </is>
      </c>
      <c r="AN296" t="inlineStr">
        <is>
          <t>jg_wendy-14@hotmail.com</t>
        </is>
      </c>
      <c r="AO296" t="inlineStr">
        <is>
          <t>LIMA</t>
        </is>
      </c>
      <c r="AP296" t="inlineStr">
        <is>
          <t>JESUS MARIA</t>
        </is>
      </c>
      <c r="AQ296" s="75" t="n">
        <v>45887</v>
      </c>
      <c r="AR296" s="75" t="n">
        <v>45887</v>
      </c>
      <c r="AS296" t="inlineStr">
        <is>
          <t>CUOTA INICIAL</t>
        </is>
      </c>
      <c r="AT296" t="n">
        <v>1</v>
      </c>
      <c r="AU296" t="n">
        <v>47000</v>
      </c>
      <c r="AV296" t="n">
        <v>0</v>
      </c>
      <c r="AW296" t="n">
        <v>0</v>
      </c>
      <c r="AX296" s="39" t="n">
        <v>47000</v>
      </c>
      <c r="AY296" s="39" t="n">
        <v>47000</v>
      </c>
      <c r="AZ296" s="39" t="n">
        <v>0</v>
      </c>
      <c r="BA296" t="n">
        <v>0</v>
      </c>
      <c r="BB296" t="inlineStr">
        <is>
          <t>Crédito Hipotecario</t>
        </is>
      </c>
      <c r="BC296" t="inlineStr">
        <is>
          <t>Scotiabank Perú</t>
        </is>
      </c>
      <c r="BD296" t="inlineStr">
        <is>
          <t>000-2768484</t>
        </is>
      </c>
      <c r="BE296" t="inlineStr">
        <is>
          <t>TRANSFERENCIA BANCARIA</t>
        </is>
      </c>
      <c r="BG296" t="inlineStr">
        <is>
          <t>007626769</t>
        </is>
      </c>
      <c r="BH296" t="inlineStr">
        <is>
          <t>No</t>
        </is>
      </c>
      <c r="BJ296" t="n">
        <v>4</v>
      </c>
      <c r="BK296" t="inlineStr">
        <is>
          <t>CANCELADO</t>
        </is>
      </c>
      <c r="BV296" t="inlineStr">
        <is>
          <t>Si</t>
        </is>
      </c>
      <c r="BW296" s="76" t="n">
        <v>45887.70138888889</v>
      </c>
      <c r="BX296" t="inlineStr">
        <is>
          <t>Carla Michue M</t>
        </is>
      </c>
      <c r="BZ296" t="n">
        <v>15</v>
      </c>
      <c r="CA296" t="inlineStr">
        <is>
          <t>07/07/2026 12:06</t>
        </is>
      </c>
      <c r="CB296" t="n">
        <v>0</v>
      </c>
      <c r="CF296" t="inlineStr">
        <is>
          <t>Cobranzas_2025.csv</t>
        </is>
      </c>
      <c r="CG296" t="n">
        <v>2025</v>
      </c>
      <c r="CH296" t="inlineStr">
        <is>
          <t>01/01/2024</t>
        </is>
      </c>
      <c r="CI296" t="inlineStr">
        <is>
          <t>24/08/2031</t>
        </is>
      </c>
    </row>
    <row r="297">
      <c r="A297" t="inlineStr">
        <is>
          <t>RESIDENCIAL PRADA</t>
        </is>
      </c>
      <c r="B297" t="inlineStr">
        <is>
          <t>Etapa 1</t>
        </is>
      </c>
      <c r="C297" t="inlineStr">
        <is>
          <t>Edificio</t>
        </is>
      </c>
      <c r="D297" t="inlineStr">
        <is>
          <t>A</t>
        </is>
      </c>
      <c r="E297" t="inlineStr">
        <is>
          <t>Departamento</t>
        </is>
      </c>
      <c r="F297" t="inlineStr">
        <is>
          <t>704</t>
        </is>
      </c>
      <c r="G297" t="n">
        <v>60.93</v>
      </c>
      <c r="H297" t="n">
        <v>0</v>
      </c>
      <c r="I297" s="39" t="n">
        <v>417700</v>
      </c>
      <c r="J297" s="39" t="n">
        <v>417700</v>
      </c>
      <c r="Q297" s="39" t="n"/>
      <c r="R297" s="39" t="n"/>
      <c r="Y297" s="39" t="n"/>
      <c r="Z297" s="39" t="n"/>
      <c r="AG297" s="39" t="n"/>
      <c r="AH297" s="39" t="n"/>
      <c r="AI297" t="inlineStr">
        <is>
          <t>wendy carolina junes Gonzáles Junes Gonzáles</t>
        </is>
      </c>
      <c r="AJ297" t="inlineStr">
        <is>
          <t>45871126</t>
        </is>
      </c>
      <c r="AK297" t="inlineStr">
        <is>
          <t>Jr.Huiracocha 1430 Dpto 407</t>
        </is>
      </c>
      <c r="AL297" t="n">
        <v>951990414</v>
      </c>
      <c r="AM297" t="inlineStr">
        <is>
          <t>951990410</t>
        </is>
      </c>
      <c r="AN297" t="inlineStr">
        <is>
          <t>jg_wendy-14@hotmail.com</t>
        </is>
      </c>
      <c r="AO297" t="inlineStr">
        <is>
          <t>LIMA</t>
        </is>
      </c>
      <c r="AP297" t="inlineStr">
        <is>
          <t>JESUS MARIA</t>
        </is>
      </c>
      <c r="AQ297" s="75" t="n">
        <v>45930</v>
      </c>
      <c r="AR297" s="75" t="n">
        <v>45929</v>
      </c>
      <c r="AS297" t="inlineStr">
        <is>
          <t>SALDO FINANCIAR</t>
        </is>
      </c>
      <c r="AT297" t="n">
        <v>1</v>
      </c>
      <c r="AU297" t="n">
        <v>367700</v>
      </c>
      <c r="AV297" t="n">
        <v>0</v>
      </c>
      <c r="AW297" t="n">
        <v>0</v>
      </c>
      <c r="AX297" s="39" t="n">
        <v>367700</v>
      </c>
      <c r="AY297" s="39" t="n">
        <v>367700</v>
      </c>
      <c r="AZ297" s="39" t="n">
        <v>0</v>
      </c>
      <c r="BA297" t="n">
        <v>0</v>
      </c>
      <c r="BB297" t="inlineStr">
        <is>
          <t>Crédito Hipotecario</t>
        </is>
      </c>
      <c r="BC297" t="inlineStr">
        <is>
          <t>Scotiabank Perú</t>
        </is>
      </c>
      <c r="BD297" t="inlineStr">
        <is>
          <t>000-2768484</t>
        </is>
      </c>
      <c r="BE297" t="inlineStr">
        <is>
          <t>TRANSFERENCIA BANCARIA</t>
        </is>
      </c>
      <c r="BG297" t="inlineStr">
        <is>
          <t>02708000001</t>
        </is>
      </c>
      <c r="BH297" t="inlineStr">
        <is>
          <t>No</t>
        </is>
      </c>
      <c r="BJ297" t="n">
        <v>4</v>
      </c>
      <c r="BK297" t="inlineStr">
        <is>
          <t>CANCELADO</t>
        </is>
      </c>
      <c r="BV297" t="inlineStr">
        <is>
          <t>Si</t>
        </is>
      </c>
      <c r="BW297" s="76" t="n">
        <v>45887.70138888889</v>
      </c>
      <c r="BX297" t="inlineStr">
        <is>
          <t>Carla Michue M</t>
        </is>
      </c>
      <c r="BZ297" t="n">
        <v>15</v>
      </c>
      <c r="CA297" t="inlineStr">
        <is>
          <t>07/07/2026 12:07</t>
        </is>
      </c>
      <c r="CB297" t="n">
        <v>0</v>
      </c>
      <c r="CF297" t="inlineStr">
        <is>
          <t>Cobranzas_2025.csv</t>
        </is>
      </c>
      <c r="CG297" t="n">
        <v>2025</v>
      </c>
      <c r="CH297" t="inlineStr">
        <is>
          <t>01/01/2024</t>
        </is>
      </c>
      <c r="CI297" t="inlineStr">
        <is>
          <t>24/08/2031</t>
        </is>
      </c>
    </row>
    <row r="298">
      <c r="A298" t="inlineStr">
        <is>
          <t>RESIDENCIAL BEYOND</t>
        </is>
      </c>
      <c r="B298" t="inlineStr">
        <is>
          <t>Etapa 1</t>
        </is>
      </c>
      <c r="C298" t="inlineStr">
        <is>
          <t>Edificio</t>
        </is>
      </c>
      <c r="D298" t="inlineStr">
        <is>
          <t>A</t>
        </is>
      </c>
      <c r="E298" t="inlineStr">
        <is>
          <t>Departamento</t>
        </is>
      </c>
      <c r="F298" t="inlineStr">
        <is>
          <t>1306</t>
        </is>
      </c>
      <c r="G298" t="n">
        <v>40</v>
      </c>
      <c r="H298" t="n">
        <v>0</v>
      </c>
      <c r="I298" s="39" t="n">
        <v>312500</v>
      </c>
      <c r="J298" s="39" t="n">
        <v>265000</v>
      </c>
      <c r="Q298" s="39" t="n"/>
      <c r="R298" s="39" t="n"/>
      <c r="Y298" s="39" t="n"/>
      <c r="Z298" s="39" t="n"/>
      <c r="AG298" s="39" t="n"/>
      <c r="AH298" s="39" t="n"/>
      <c r="AI298" t="inlineStr">
        <is>
          <t>Alejandra Leslye Solorio Peña</t>
        </is>
      </c>
      <c r="AJ298" t="inlineStr">
        <is>
          <t>75021688</t>
        </is>
      </c>
      <c r="AK298" t="inlineStr">
        <is>
          <t>Jr. Santiago Wagner 2264</t>
        </is>
      </c>
      <c r="AL298" t="n">
        <v>0</v>
      </c>
      <c r="AM298" t="inlineStr">
        <is>
          <t>984934286</t>
        </is>
      </c>
      <c r="AN298" t="inlineStr">
        <is>
          <t>aleslye3@gamil.com</t>
        </is>
      </c>
      <c r="AO298" t="inlineStr">
        <is>
          <t>LIMA</t>
        </is>
      </c>
      <c r="AP298" t="inlineStr">
        <is>
          <t>CERCADO DE LIMA</t>
        </is>
      </c>
      <c r="AQ298" s="75" t="n">
        <v>46053</v>
      </c>
      <c r="AR298" s="75" t="n"/>
      <c r="AS298" t="inlineStr">
        <is>
          <t>AHORRO CASA</t>
        </is>
      </c>
      <c r="AT298" t="n">
        <v>2</v>
      </c>
      <c r="AU298" t="n">
        <v>11400</v>
      </c>
      <c r="AV298" t="n">
        <v>0</v>
      </c>
      <c r="AW298" t="n">
        <v>0</v>
      </c>
      <c r="AX298" s="39" t="n">
        <v>11400</v>
      </c>
      <c r="AY298" s="39" t="n">
        <v>0</v>
      </c>
      <c r="AZ298" s="39" t="n">
        <v>11400</v>
      </c>
      <c r="BB298" t="inlineStr">
        <is>
          <t>Ahorro</t>
        </is>
      </c>
      <c r="BH298" t="inlineStr">
        <is>
          <t>No</t>
        </is>
      </c>
      <c r="BK298" t="inlineStr">
        <is>
          <t>VENCIDO</t>
        </is>
      </c>
      <c r="BV298" t="inlineStr">
        <is>
          <t>No</t>
        </is>
      </c>
      <c r="BW298" s="76" t="n">
        <v>45904.80555555555</v>
      </c>
      <c r="BX298" t="inlineStr">
        <is>
          <t>Carla Michue M</t>
        </is>
      </c>
      <c r="BZ298" t="n">
        <v>11</v>
      </c>
      <c r="CB298" t="n">
        <v>0</v>
      </c>
      <c r="CF298" t="inlineStr">
        <is>
          <t>Cobranzas_2026.csv</t>
        </is>
      </c>
      <c r="CG298" t="n">
        <v>2026</v>
      </c>
      <c r="CH298" t="inlineStr">
        <is>
          <t>01/01/2024</t>
        </is>
      </c>
      <c r="CI298" t="inlineStr">
        <is>
          <t>24/08/2031</t>
        </is>
      </c>
    </row>
    <row r="299">
      <c r="A299" t="inlineStr">
        <is>
          <t>RESIDENCIAL BEYOND</t>
        </is>
      </c>
      <c r="B299" t="inlineStr">
        <is>
          <t>Etapa 1</t>
        </is>
      </c>
      <c r="C299" t="inlineStr">
        <is>
          <t>Edificio</t>
        </is>
      </c>
      <c r="D299" t="inlineStr">
        <is>
          <t>A</t>
        </is>
      </c>
      <c r="E299" t="inlineStr">
        <is>
          <t>Departamento</t>
        </is>
      </c>
      <c r="F299" t="inlineStr">
        <is>
          <t>1306</t>
        </is>
      </c>
      <c r="G299" t="n">
        <v>40</v>
      </c>
      <c r="H299" t="n">
        <v>0</v>
      </c>
      <c r="I299" s="39" t="n">
        <v>312500</v>
      </c>
      <c r="J299" s="39" t="n">
        <v>265000</v>
      </c>
      <c r="Q299" s="39" t="n"/>
      <c r="R299" s="39" t="n"/>
      <c r="Y299" s="39" t="n"/>
      <c r="Z299" s="39" t="n"/>
      <c r="AG299" s="39" t="n"/>
      <c r="AH299" s="39" t="n"/>
      <c r="AI299" t="inlineStr">
        <is>
          <t>Alejandra Leslye Solorio Peña</t>
        </is>
      </c>
      <c r="AJ299" t="inlineStr">
        <is>
          <t>75021688</t>
        </is>
      </c>
      <c r="AK299" t="inlineStr">
        <is>
          <t>Jr. Santiago Wagner 2264</t>
        </is>
      </c>
      <c r="AL299" t="n">
        <v>0</v>
      </c>
      <c r="AM299" t="inlineStr">
        <is>
          <t>984934286</t>
        </is>
      </c>
      <c r="AN299" t="inlineStr">
        <is>
          <t>aleslye3@gamil.com</t>
        </is>
      </c>
      <c r="AO299" t="inlineStr">
        <is>
          <t>LIMA</t>
        </is>
      </c>
      <c r="AP299" t="inlineStr">
        <is>
          <t>CERCADO DE LIMA</t>
        </is>
      </c>
      <c r="AQ299" s="75" t="n">
        <v>46234</v>
      </c>
      <c r="AR299" s="75" t="n"/>
      <c r="AS299" t="inlineStr">
        <is>
          <t>SALDO FINANCIAR</t>
        </is>
      </c>
      <c r="AT299" t="n">
        <v>1</v>
      </c>
      <c r="AU299" t="n">
        <v>185000</v>
      </c>
      <c r="AV299" t="n">
        <v>0</v>
      </c>
      <c r="AW299" t="n">
        <v>0</v>
      </c>
      <c r="AX299" s="39" t="n">
        <v>185000</v>
      </c>
      <c r="AY299" s="39" t="n">
        <v>0</v>
      </c>
      <c r="AZ299" s="39" t="n">
        <v>185000</v>
      </c>
      <c r="BB299" t="inlineStr">
        <is>
          <t>Ahorro</t>
        </is>
      </c>
      <c r="BH299" t="inlineStr">
        <is>
          <t>No</t>
        </is>
      </c>
      <c r="BK299" t="inlineStr">
        <is>
          <t>VENCIDO</t>
        </is>
      </c>
      <c r="BV299" t="inlineStr">
        <is>
          <t>No</t>
        </is>
      </c>
      <c r="BW299" s="76" t="n">
        <v>45904.80555555555</v>
      </c>
      <c r="BX299" t="inlineStr">
        <is>
          <t>Carla Michue M</t>
        </is>
      </c>
      <c r="BZ299" t="n">
        <v>11</v>
      </c>
      <c r="CB299" t="n">
        <v>0</v>
      </c>
      <c r="CF299" t="inlineStr">
        <is>
          <t>Cobranzas_2026.csv</t>
        </is>
      </c>
      <c r="CG299" t="n">
        <v>2026</v>
      </c>
      <c r="CH299" t="inlineStr">
        <is>
          <t>01/01/2024</t>
        </is>
      </c>
      <c r="CI299" t="inlineStr">
        <is>
          <t>24/08/2031</t>
        </is>
      </c>
    </row>
    <row r="300">
      <c r="A300" t="inlineStr">
        <is>
          <t>RESIDENCIAL BEYOND</t>
        </is>
      </c>
      <c r="B300" t="inlineStr">
        <is>
          <t>Etapa 1</t>
        </is>
      </c>
      <c r="C300" t="inlineStr">
        <is>
          <t>Edificio</t>
        </is>
      </c>
      <c r="D300" t="inlineStr">
        <is>
          <t>A</t>
        </is>
      </c>
      <c r="E300" t="inlineStr">
        <is>
          <t>Departamento</t>
        </is>
      </c>
      <c r="F300" t="inlineStr">
        <is>
          <t>1705</t>
        </is>
      </c>
      <c r="G300" t="n">
        <v>72</v>
      </c>
      <c r="H300" t="n">
        <v>0</v>
      </c>
      <c r="I300" s="39" t="n">
        <v>482100</v>
      </c>
      <c r="J300" s="39" t="n">
        <v>482100</v>
      </c>
      <c r="K300" t="inlineStr">
        <is>
          <t>Edificio</t>
        </is>
      </c>
      <c r="L300" t="inlineStr">
        <is>
          <t>A</t>
        </is>
      </c>
      <c r="M300" t="inlineStr">
        <is>
          <t>Estacionamiento</t>
        </is>
      </c>
      <c r="N300" t="inlineStr">
        <is>
          <t>E 13 - D 11</t>
        </is>
      </c>
      <c r="O300" t="n">
        <v>12.5</v>
      </c>
      <c r="P300" t="n">
        <v>2</v>
      </c>
      <c r="Q300" s="39" t="n">
        <v>54000</v>
      </c>
      <c r="R300" s="39" t="n">
        <v>54000</v>
      </c>
      <c r="Y300" s="39" t="n"/>
      <c r="Z300" s="39" t="n"/>
      <c r="AG300" s="39" t="n"/>
      <c r="AH300" s="39" t="n"/>
      <c r="AI300" t="inlineStr">
        <is>
          <t>Alejandro David Dianderas Leyzaquia</t>
        </is>
      </c>
      <c r="AJ300" t="inlineStr">
        <is>
          <t>71802853</t>
        </is>
      </c>
      <c r="AK300" t="inlineStr">
        <is>
          <t>Av. Revolucion 530 - Urb. Collique Etapa 1</t>
        </is>
      </c>
      <c r="AL300" t="n">
        <v>0</v>
      </c>
      <c r="AM300" t="inlineStr">
        <is>
          <t>926428673</t>
        </is>
      </c>
      <c r="AN300" t="inlineStr">
        <is>
          <t>926428673@gmail.com</t>
        </is>
      </c>
      <c r="AO300" t="inlineStr">
        <is>
          <t>LIMA</t>
        </is>
      </c>
      <c r="AP300" t="inlineStr">
        <is>
          <t>COMAS</t>
        </is>
      </c>
      <c r="AQ300" s="75" t="n">
        <v>46169</v>
      </c>
      <c r="AR300" s="75" t="n">
        <v>46169</v>
      </c>
      <c r="AS300" t="inlineStr">
        <is>
          <t>SEPARACION</t>
        </is>
      </c>
      <c r="AT300" t="n">
        <v>1</v>
      </c>
      <c r="AU300" t="n">
        <v>3000</v>
      </c>
      <c r="AV300" t="n">
        <v>0</v>
      </c>
      <c r="AW300" t="n">
        <v>0</v>
      </c>
      <c r="AX300" s="39" t="n">
        <v>3000</v>
      </c>
      <c r="AY300" s="39" t="n">
        <v>3000</v>
      </c>
      <c r="AZ300" s="39" t="n">
        <v>0</v>
      </c>
      <c r="BA300" t="n">
        <v>0</v>
      </c>
      <c r="BB300" t="inlineStr">
        <is>
          <t>Ahorro</t>
        </is>
      </c>
      <c r="BC300" t="inlineStr">
        <is>
          <t>Banco de Credito del Perú</t>
        </is>
      </c>
      <c r="BD300" t="inlineStr">
        <is>
          <t>194-7325779-0-65</t>
        </is>
      </c>
      <c r="BE300" t="inlineStr">
        <is>
          <t>TRANSFERENCIA BANCARIA</t>
        </is>
      </c>
      <c r="BG300" t="inlineStr">
        <is>
          <t>03334230</t>
        </is>
      </c>
      <c r="BH300" t="inlineStr">
        <is>
          <t>No</t>
        </is>
      </c>
      <c r="BJ300" t="n">
        <v>4</v>
      </c>
      <c r="BK300" t="inlineStr">
        <is>
          <t>CANCELADO</t>
        </is>
      </c>
      <c r="BV300" t="inlineStr">
        <is>
          <t>Si</t>
        </is>
      </c>
      <c r="BW300" s="76" t="n">
        <v>46172.7375</v>
      </c>
      <c r="BX300" t="inlineStr">
        <is>
          <t>Magaly Guevara Perez</t>
        </is>
      </c>
      <c r="BZ300" t="n">
        <v>41</v>
      </c>
      <c r="CA300" t="inlineStr">
        <is>
          <t>09/06/2026 17:38</t>
        </is>
      </c>
      <c r="CB300" t="n">
        <v>0</v>
      </c>
      <c r="CF300" t="inlineStr">
        <is>
          <t>Cobranzas_2026.csv</t>
        </is>
      </c>
      <c r="CG300" t="n">
        <v>2026</v>
      </c>
      <c r="CH300" t="inlineStr">
        <is>
          <t>01/01/2024</t>
        </is>
      </c>
      <c r="CI300" t="inlineStr">
        <is>
          <t>24/08/2031</t>
        </is>
      </c>
    </row>
    <row r="301">
      <c r="A301" t="inlineStr">
        <is>
          <t>RESIDENCIAL BEYOND</t>
        </is>
      </c>
      <c r="B301" t="inlineStr">
        <is>
          <t>Etapa 1</t>
        </is>
      </c>
      <c r="C301" t="inlineStr">
        <is>
          <t>Edificio</t>
        </is>
      </c>
      <c r="D301" t="inlineStr">
        <is>
          <t>A</t>
        </is>
      </c>
      <c r="E301" t="inlineStr">
        <is>
          <t>Departamento</t>
        </is>
      </c>
      <c r="F301" t="inlineStr">
        <is>
          <t>1705</t>
        </is>
      </c>
      <c r="G301" t="n">
        <v>72</v>
      </c>
      <c r="H301" t="n">
        <v>0</v>
      </c>
      <c r="I301" s="39" t="n">
        <v>482100</v>
      </c>
      <c r="J301" s="39" t="n">
        <v>482100</v>
      </c>
      <c r="K301" t="inlineStr">
        <is>
          <t>Edificio</t>
        </is>
      </c>
      <c r="L301" t="inlineStr">
        <is>
          <t>A</t>
        </is>
      </c>
      <c r="M301" t="inlineStr">
        <is>
          <t>Estacionamiento</t>
        </is>
      </c>
      <c r="N301" t="inlineStr">
        <is>
          <t>E 13 - D 11</t>
        </is>
      </c>
      <c r="O301" t="n">
        <v>12.5</v>
      </c>
      <c r="P301" t="n">
        <v>2</v>
      </c>
      <c r="Q301" s="39" t="n">
        <v>54000</v>
      </c>
      <c r="R301" s="39" t="n">
        <v>54000</v>
      </c>
      <c r="Y301" s="39" t="n"/>
      <c r="Z301" s="39" t="n"/>
      <c r="AG301" s="39" t="n"/>
      <c r="AH301" s="39" t="n"/>
      <c r="AI301" t="inlineStr">
        <is>
          <t>Alejandro David Dianderas Leyzaquia</t>
        </is>
      </c>
      <c r="AJ301" t="inlineStr">
        <is>
          <t>71802853</t>
        </is>
      </c>
      <c r="AK301" t="inlineStr">
        <is>
          <t>Av. Revolucion 530 - Urb. Collique Etapa 1</t>
        </is>
      </c>
      <c r="AL301" t="n">
        <v>0</v>
      </c>
      <c r="AM301" t="inlineStr">
        <is>
          <t>926428673</t>
        </is>
      </c>
      <c r="AN301" t="inlineStr">
        <is>
          <t>926428673@gmail.com</t>
        </is>
      </c>
      <c r="AO301" t="inlineStr">
        <is>
          <t>LIMA</t>
        </is>
      </c>
      <c r="AP301" t="inlineStr">
        <is>
          <t>COMAS</t>
        </is>
      </c>
      <c r="AQ301" s="75" t="n">
        <v>46172</v>
      </c>
      <c r="AR301" s="75" t="n">
        <v>46172</v>
      </c>
      <c r="AS301" t="inlineStr">
        <is>
          <t>CUOTA INICIAL</t>
        </is>
      </c>
      <c r="AT301" t="n">
        <v>1</v>
      </c>
      <c r="AU301" t="n">
        <v>7000</v>
      </c>
      <c r="AV301" t="n">
        <v>0</v>
      </c>
      <c r="AW301" t="n">
        <v>0</v>
      </c>
      <c r="AX301" s="39" t="n">
        <v>7000</v>
      </c>
      <c r="AY301" s="39" t="n">
        <v>7000</v>
      </c>
      <c r="AZ301" s="39" t="n">
        <v>0</v>
      </c>
      <c r="BA301" t="n">
        <v>0</v>
      </c>
      <c r="BB301" t="inlineStr">
        <is>
          <t>Ahorro</t>
        </is>
      </c>
      <c r="BC301" t="inlineStr">
        <is>
          <t>Banco de Credito del Perú</t>
        </is>
      </c>
      <c r="BD301" t="inlineStr">
        <is>
          <t>194-7325779-0-65</t>
        </is>
      </c>
      <c r="BE301" t="inlineStr">
        <is>
          <t>TRANSFERENCIA BANCARIA</t>
        </is>
      </c>
      <c r="BG301" t="inlineStr">
        <is>
          <t>03947119</t>
        </is>
      </c>
      <c r="BH301" t="inlineStr">
        <is>
          <t>No</t>
        </is>
      </c>
      <c r="BJ301" t="n">
        <v>4</v>
      </c>
      <c r="BK301" t="inlineStr">
        <is>
          <t>CANCELADO</t>
        </is>
      </c>
      <c r="BV301" t="inlineStr">
        <is>
          <t>Si</t>
        </is>
      </c>
      <c r="BW301" s="76" t="n">
        <v>46172.7375</v>
      </c>
      <c r="BX301" t="inlineStr">
        <is>
          <t>Magaly Guevara Perez</t>
        </is>
      </c>
      <c r="BZ301" t="n">
        <v>41</v>
      </c>
      <c r="CA301" t="inlineStr">
        <is>
          <t>09/06/2026 17:40</t>
        </is>
      </c>
      <c r="CB301" t="n">
        <v>0</v>
      </c>
      <c r="CF301" t="inlineStr">
        <is>
          <t>Cobranzas_2026.csv</t>
        </is>
      </c>
      <c r="CG301" t="n">
        <v>2026</v>
      </c>
      <c r="CH301" t="inlineStr">
        <is>
          <t>01/01/2024</t>
        </is>
      </c>
      <c r="CI301" t="inlineStr">
        <is>
          <t>24/08/2031</t>
        </is>
      </c>
    </row>
    <row r="302">
      <c r="A302" t="inlineStr">
        <is>
          <t>RESIDENCIAL BEYOND</t>
        </is>
      </c>
      <c r="B302" t="inlineStr">
        <is>
          <t>Etapa 1</t>
        </is>
      </c>
      <c r="C302" t="inlineStr">
        <is>
          <t>Edificio</t>
        </is>
      </c>
      <c r="D302" t="inlineStr">
        <is>
          <t>A</t>
        </is>
      </c>
      <c r="E302" t="inlineStr">
        <is>
          <t>Departamento</t>
        </is>
      </c>
      <c r="F302" t="inlineStr">
        <is>
          <t>1705</t>
        </is>
      </c>
      <c r="G302" t="n">
        <v>72</v>
      </c>
      <c r="H302" t="n">
        <v>0</v>
      </c>
      <c r="I302" s="39" t="n">
        <v>482100</v>
      </c>
      <c r="J302" s="39" t="n">
        <v>482100</v>
      </c>
      <c r="K302" t="inlineStr">
        <is>
          <t>Edificio</t>
        </is>
      </c>
      <c r="L302" t="inlineStr">
        <is>
          <t>A</t>
        </is>
      </c>
      <c r="M302" t="inlineStr">
        <is>
          <t>Estacionamiento</t>
        </is>
      </c>
      <c r="N302" t="inlineStr">
        <is>
          <t>E 13 - D 11</t>
        </is>
      </c>
      <c r="O302" t="n">
        <v>12.5</v>
      </c>
      <c r="P302" t="n">
        <v>2</v>
      </c>
      <c r="Q302" s="39" t="n">
        <v>54000</v>
      </c>
      <c r="R302" s="39" t="n">
        <v>54000</v>
      </c>
      <c r="Y302" s="39" t="n"/>
      <c r="Z302" s="39" t="n"/>
      <c r="AG302" s="39" t="n"/>
      <c r="AH302" s="39" t="n"/>
      <c r="AI302" t="inlineStr">
        <is>
          <t>Alejandro David Dianderas Leyzaquia</t>
        </is>
      </c>
      <c r="AJ302" t="inlineStr">
        <is>
          <t>71802853</t>
        </is>
      </c>
      <c r="AK302" t="inlineStr">
        <is>
          <t>Av. Revolucion 530 - Urb. Collique Etapa 1</t>
        </is>
      </c>
      <c r="AL302" t="n">
        <v>0</v>
      </c>
      <c r="AM302" t="inlineStr">
        <is>
          <t>926428673</t>
        </is>
      </c>
      <c r="AN302" t="inlineStr">
        <is>
          <t>926428673@gmail.com</t>
        </is>
      </c>
      <c r="AO302" t="inlineStr">
        <is>
          <t>LIMA</t>
        </is>
      </c>
      <c r="AP302" t="inlineStr">
        <is>
          <t>COMAS</t>
        </is>
      </c>
      <c r="AQ302" s="75" t="n">
        <v>46174</v>
      </c>
      <c r="AR302" s="75" t="n">
        <v>46174</v>
      </c>
      <c r="AS302" t="inlineStr">
        <is>
          <t>CUOTA INICIAL</t>
        </is>
      </c>
      <c r="AT302" t="n">
        <v>2</v>
      </c>
      <c r="AU302" t="n">
        <v>70415</v>
      </c>
      <c r="AV302" t="n">
        <v>0</v>
      </c>
      <c r="AW302" t="n">
        <v>0</v>
      </c>
      <c r="AX302" s="39" t="n">
        <v>70415</v>
      </c>
      <c r="AY302" s="39" t="n">
        <v>70415</v>
      </c>
      <c r="AZ302" s="39" t="n">
        <v>0</v>
      </c>
      <c r="BA302" t="n">
        <v>0</v>
      </c>
      <c r="BB302" t="inlineStr">
        <is>
          <t>Ahorro</t>
        </is>
      </c>
      <c r="BC302" t="inlineStr">
        <is>
          <t>Banco de Credito del Perú</t>
        </is>
      </c>
      <c r="BD302" t="inlineStr">
        <is>
          <t>194-7325779-0-65</t>
        </is>
      </c>
      <c r="BE302" t="inlineStr">
        <is>
          <t>TRANSFERENCIA BANCARIA</t>
        </is>
      </c>
      <c r="BG302" t="inlineStr">
        <is>
          <t>0624782</t>
        </is>
      </c>
      <c r="BH302" t="inlineStr">
        <is>
          <t>No</t>
        </is>
      </c>
      <c r="BJ302" t="n">
        <v>4</v>
      </c>
      <c r="BK302" t="inlineStr">
        <is>
          <t>CANCELADO</t>
        </is>
      </c>
      <c r="BV302" t="inlineStr">
        <is>
          <t>Si</t>
        </is>
      </c>
      <c r="BW302" s="76" t="n">
        <v>46172.7375</v>
      </c>
      <c r="BX302" t="inlineStr">
        <is>
          <t>Magaly Guevara Perez</t>
        </is>
      </c>
      <c r="BZ302" t="n">
        <v>41</v>
      </c>
      <c r="CA302" t="inlineStr">
        <is>
          <t>09/06/2026 17:40</t>
        </is>
      </c>
      <c r="CB302" t="n">
        <v>0</v>
      </c>
      <c r="CF302" t="inlineStr">
        <is>
          <t>Cobranzas_2026.csv</t>
        </is>
      </c>
      <c r="CG302" t="n">
        <v>2026</v>
      </c>
      <c r="CH302" t="inlineStr">
        <is>
          <t>01/01/2024</t>
        </is>
      </c>
      <c r="CI302" t="inlineStr">
        <is>
          <t>24/08/2031</t>
        </is>
      </c>
    </row>
    <row r="303">
      <c r="A303" t="inlineStr">
        <is>
          <t>RESIDENCIAL BEYOND</t>
        </is>
      </c>
      <c r="B303" t="inlineStr">
        <is>
          <t>Etapa 1</t>
        </is>
      </c>
      <c r="C303" t="inlineStr">
        <is>
          <t>Edificio</t>
        </is>
      </c>
      <c r="D303" t="inlineStr">
        <is>
          <t>A</t>
        </is>
      </c>
      <c r="E303" t="inlineStr">
        <is>
          <t>Departamento</t>
        </is>
      </c>
      <c r="F303" t="inlineStr">
        <is>
          <t>1705</t>
        </is>
      </c>
      <c r="G303" t="n">
        <v>72</v>
      </c>
      <c r="H303" t="n">
        <v>0</v>
      </c>
      <c r="I303" s="39" t="n">
        <v>482100</v>
      </c>
      <c r="J303" s="39" t="n">
        <v>482100</v>
      </c>
      <c r="K303" t="inlineStr">
        <is>
          <t>Edificio</t>
        </is>
      </c>
      <c r="L303" t="inlineStr">
        <is>
          <t>A</t>
        </is>
      </c>
      <c r="M303" t="inlineStr">
        <is>
          <t>Estacionamiento</t>
        </is>
      </c>
      <c r="N303" t="inlineStr">
        <is>
          <t>E 13 - D 11</t>
        </is>
      </c>
      <c r="O303" t="n">
        <v>12.5</v>
      </c>
      <c r="P303" t="n">
        <v>2</v>
      </c>
      <c r="Q303" s="39" t="n">
        <v>54000</v>
      </c>
      <c r="R303" s="39" t="n">
        <v>54000</v>
      </c>
      <c r="Y303" s="39" t="n"/>
      <c r="Z303" s="39" t="n"/>
      <c r="AG303" s="39" t="n"/>
      <c r="AH303" s="39" t="n"/>
      <c r="AI303" t="inlineStr">
        <is>
          <t>Alejandro David Dianderas Leyzaquia</t>
        </is>
      </c>
      <c r="AJ303" t="inlineStr">
        <is>
          <t>71802853</t>
        </is>
      </c>
      <c r="AK303" t="inlineStr">
        <is>
          <t>Av. Revolucion 530 - Urb. Collique Etapa 1</t>
        </is>
      </c>
      <c r="AL303" t="n">
        <v>0</v>
      </c>
      <c r="AM303" t="inlineStr">
        <is>
          <t>926428673</t>
        </is>
      </c>
      <c r="AN303" t="inlineStr">
        <is>
          <t>926428673@gmail.com</t>
        </is>
      </c>
      <c r="AO303" t="inlineStr">
        <is>
          <t>LIMA</t>
        </is>
      </c>
      <c r="AP303" t="inlineStr">
        <is>
          <t>COMAS</t>
        </is>
      </c>
      <c r="AQ303" s="75" t="n">
        <v>46386</v>
      </c>
      <c r="AR303" s="75" t="n"/>
      <c r="AS303" t="inlineStr">
        <is>
          <t>AHORRO CASA</t>
        </is>
      </c>
      <c r="AT303" t="n">
        <v>3</v>
      </c>
      <c r="AU303" t="n">
        <v>26805</v>
      </c>
      <c r="AV303" t="n">
        <v>0</v>
      </c>
      <c r="AW303" t="n">
        <v>0</v>
      </c>
      <c r="AX303" s="39" t="n">
        <v>26805</v>
      </c>
      <c r="AY303" s="39" t="n">
        <v>0</v>
      </c>
      <c r="AZ303" s="39" t="n">
        <v>26805</v>
      </c>
      <c r="BB303" t="inlineStr">
        <is>
          <t>Ahorro</t>
        </is>
      </c>
      <c r="BH303" t="inlineStr">
        <is>
          <t>No</t>
        </is>
      </c>
      <c r="BK303" t="inlineStr">
        <is>
          <t>PENDIENTE</t>
        </is>
      </c>
      <c r="BV303" t="inlineStr">
        <is>
          <t>No</t>
        </is>
      </c>
      <c r="BW303" s="76" t="n">
        <v>46172.7375</v>
      </c>
      <c r="BX303" t="inlineStr">
        <is>
          <t>Magaly Guevara Perez</t>
        </is>
      </c>
      <c r="BZ303" t="n">
        <v>41</v>
      </c>
      <c r="CB303" t="n">
        <v>0</v>
      </c>
      <c r="CF303" t="inlineStr">
        <is>
          <t>Cobranzas_2026.csv</t>
        </is>
      </c>
      <c r="CG303" t="n">
        <v>2026</v>
      </c>
      <c r="CH303" t="inlineStr">
        <is>
          <t>01/01/2024</t>
        </is>
      </c>
      <c r="CI303" t="inlineStr">
        <is>
          <t>24/08/2031</t>
        </is>
      </c>
    </row>
    <row r="304">
      <c r="A304" t="inlineStr">
        <is>
          <t>RESIDENCIAL PRADA</t>
        </is>
      </c>
      <c r="B304" t="inlineStr">
        <is>
          <t>Etapa 1</t>
        </is>
      </c>
      <c r="C304" t="inlineStr">
        <is>
          <t>Edificio</t>
        </is>
      </c>
      <c r="D304" t="inlineStr">
        <is>
          <t>A</t>
        </is>
      </c>
      <c r="E304" t="inlineStr">
        <is>
          <t>Estacionamiento</t>
        </is>
      </c>
      <c r="F304" t="inlineStr">
        <is>
          <t>E 23 - D 17</t>
        </is>
      </c>
      <c r="G304" t="n">
        <v>12.49</v>
      </c>
      <c r="H304" t="n">
        <v>1.83</v>
      </c>
      <c r="I304" s="39" t="n">
        <v>52000</v>
      </c>
      <c r="J304" s="39" t="n">
        <v>52000</v>
      </c>
      <c r="Q304" s="39" t="n"/>
      <c r="R304" s="39" t="n"/>
      <c r="Y304" s="39" t="n"/>
      <c r="Z304" s="39" t="n"/>
      <c r="AG304" s="39" t="n"/>
      <c r="AH304" s="39" t="n"/>
      <c r="AI304" t="inlineStr">
        <is>
          <t>Alejandro Jose Navarrete Maldonado</t>
        </is>
      </c>
      <c r="AJ304" t="inlineStr">
        <is>
          <t>46304395</t>
        </is>
      </c>
      <c r="AK304" t="inlineStr">
        <is>
          <t xml:space="preserve">Calle Jose Mariano Arce 139 – Dpto. 202 </t>
        </is>
      </c>
      <c r="AL304" t="n">
        <v>0</v>
      </c>
      <c r="AM304" t="inlineStr">
        <is>
          <t>956466496</t>
        </is>
      </c>
      <c r="AN304" t="inlineStr">
        <is>
          <t>anavarrete@nmabogados.com.pe</t>
        </is>
      </c>
      <c r="AO304" t="inlineStr">
        <is>
          <t>LIMA</t>
        </is>
      </c>
      <c r="AP304" t="inlineStr">
        <is>
          <t>PUEBLO LIBRE</t>
        </is>
      </c>
      <c r="AQ304" s="75" t="n">
        <v>46112</v>
      </c>
      <c r="AR304" s="75" t="n">
        <v>46112</v>
      </c>
      <c r="AS304" t="inlineStr">
        <is>
          <t>SALDO FINANCIAR</t>
        </is>
      </c>
      <c r="AT304" t="n">
        <v>3</v>
      </c>
      <c r="AU304" t="n">
        <v>14000</v>
      </c>
      <c r="AV304" t="n">
        <v>0</v>
      </c>
      <c r="AW304" t="n">
        <v>0</v>
      </c>
      <c r="AX304" s="39" t="n">
        <v>14000</v>
      </c>
      <c r="AY304" s="39" t="n">
        <v>14000</v>
      </c>
      <c r="AZ304" s="39" t="n">
        <v>0</v>
      </c>
      <c r="BA304" t="n">
        <v>0</v>
      </c>
      <c r="BB304" t="inlineStr">
        <is>
          <t>Crédito Directo</t>
        </is>
      </c>
      <c r="BC304" t="inlineStr">
        <is>
          <t>Scotiabank Perú</t>
        </is>
      </c>
      <c r="BD304" t="inlineStr">
        <is>
          <t>000-2768484</t>
        </is>
      </c>
      <c r="BE304" t="inlineStr">
        <is>
          <t>TRANSFERENCIA BANCARIA</t>
        </is>
      </c>
      <c r="BG304" t="inlineStr">
        <is>
          <t>00000404300004045</t>
        </is>
      </c>
      <c r="BH304" t="inlineStr">
        <is>
          <t>No</t>
        </is>
      </c>
      <c r="BJ304" t="n">
        <v>4</v>
      </c>
      <c r="BK304" t="inlineStr">
        <is>
          <t>CANCELADO</t>
        </is>
      </c>
      <c r="BV304" t="inlineStr">
        <is>
          <t>Si</t>
        </is>
      </c>
      <c r="BW304" s="76" t="n">
        <v>45961.43263888889</v>
      </c>
      <c r="BX304" t="inlineStr">
        <is>
          <t>Magaly Guevara Perez</t>
        </is>
      </c>
      <c r="BZ304" t="n">
        <v>54</v>
      </c>
      <c r="CA304" t="inlineStr">
        <is>
          <t>03/07/2026 11:19</t>
        </is>
      </c>
      <c r="CB304" t="n">
        <v>0</v>
      </c>
      <c r="CF304" t="inlineStr">
        <is>
          <t>Cobranzas_2026.csv</t>
        </is>
      </c>
      <c r="CG304" t="n">
        <v>2026</v>
      </c>
      <c r="CH304" t="inlineStr">
        <is>
          <t>01/01/2024</t>
        </is>
      </c>
      <c r="CI304" t="inlineStr">
        <is>
          <t>24/08/2031</t>
        </is>
      </c>
    </row>
    <row r="305">
      <c r="A305" t="inlineStr">
        <is>
          <t>RESIDENCIAL PRADA</t>
        </is>
      </c>
      <c r="B305" t="inlineStr">
        <is>
          <t>Etapa 1</t>
        </is>
      </c>
      <c r="C305" t="inlineStr">
        <is>
          <t>Edificio</t>
        </is>
      </c>
      <c r="D305" t="inlineStr">
        <is>
          <t>A</t>
        </is>
      </c>
      <c r="E305" t="inlineStr">
        <is>
          <t>Departamento</t>
        </is>
      </c>
      <c r="F305" t="inlineStr">
        <is>
          <t>504</t>
        </is>
      </c>
      <c r="G305" t="n">
        <v>60.93</v>
      </c>
      <c r="H305" t="n">
        <v>0</v>
      </c>
      <c r="I305" s="39" t="n">
        <v>417700</v>
      </c>
      <c r="J305" s="39" t="n">
        <v>417700</v>
      </c>
      <c r="Q305" s="39" t="n"/>
      <c r="R305" s="39" t="n"/>
      <c r="Y305" s="39" t="n"/>
      <c r="Z305" s="39" t="n"/>
      <c r="AG305" s="39" t="n"/>
      <c r="AH305" s="39" t="n"/>
      <c r="AI305" t="inlineStr">
        <is>
          <t>Alvaro Geanfranco Mendoza Jump</t>
        </is>
      </c>
      <c r="AJ305" t="inlineStr">
        <is>
          <t>72112648</t>
        </is>
      </c>
      <c r="AK305" t="inlineStr">
        <is>
          <t>Urb. San Francisco Mz. B Lt. 11 Departamento de Huanuco, Provincia de Huanuco, Dsitrito Amarilis</t>
        </is>
      </c>
      <c r="AL305" t="n">
        <v>938217737</v>
      </c>
      <c r="AM305" t="inlineStr">
        <is>
          <t>938217737</t>
        </is>
      </c>
      <c r="AN305" t="inlineStr">
        <is>
          <t>alvaromej17@gmail.com</t>
        </is>
      </c>
      <c r="AO305" t="inlineStr">
        <is>
          <t>HUANUCO</t>
        </is>
      </c>
      <c r="AP305" t="inlineStr">
        <is>
          <t>AMARILIS</t>
        </is>
      </c>
      <c r="AQ305" s="75" t="n">
        <v>46142</v>
      </c>
      <c r="AR305" s="75" t="n">
        <v>46146</v>
      </c>
      <c r="AS305" t="inlineStr">
        <is>
          <t>CUOTA INICIAL</t>
        </is>
      </c>
      <c r="AT305" t="n">
        <v>2</v>
      </c>
      <c r="AU305" t="n">
        <v>0</v>
      </c>
      <c r="AV305" t="n">
        <v>0</v>
      </c>
      <c r="AW305" t="n">
        <v>0</v>
      </c>
      <c r="AX305" s="39" t="n">
        <v>31000</v>
      </c>
      <c r="AY305" s="39" t="n">
        <v>12000</v>
      </c>
      <c r="AZ305" s="39" t="n">
        <v>0</v>
      </c>
      <c r="BA305" t="n">
        <v>0</v>
      </c>
      <c r="BB305" t="inlineStr">
        <is>
          <t>Ahorro</t>
        </is>
      </c>
      <c r="BC305" t="inlineStr">
        <is>
          <t>Scotiabank Perú</t>
        </is>
      </c>
      <c r="BD305" t="inlineStr">
        <is>
          <t>000-2768484</t>
        </is>
      </c>
      <c r="BE305" t="inlineStr">
        <is>
          <t>TRANSFERENCIA BANCARIA</t>
        </is>
      </c>
      <c r="BG305" t="inlineStr">
        <is>
          <t>02222650</t>
        </is>
      </c>
      <c r="BH305" t="inlineStr">
        <is>
          <t>No</t>
        </is>
      </c>
      <c r="BJ305" t="n">
        <v>4</v>
      </c>
      <c r="BK305" t="inlineStr">
        <is>
          <t>CANCELADO</t>
        </is>
      </c>
      <c r="BV305" t="inlineStr">
        <is>
          <t>Si</t>
        </is>
      </c>
      <c r="BW305" s="76" t="n">
        <v>45919.61597222222</v>
      </c>
      <c r="BX305" t="inlineStr">
        <is>
          <t>Kenny Salazar S</t>
        </is>
      </c>
      <c r="BZ305" t="n">
        <v>36</v>
      </c>
      <c r="CA305" t="inlineStr">
        <is>
          <t>23/06/2026 16:01</t>
        </is>
      </c>
      <c r="CB305" t="n">
        <v>0</v>
      </c>
      <c r="CF305" t="inlineStr">
        <is>
          <t>Cobranzas_2026.csv</t>
        </is>
      </c>
      <c r="CG305" t="n">
        <v>2026</v>
      </c>
      <c r="CH305" t="inlineStr">
        <is>
          <t>01/01/2024</t>
        </is>
      </c>
      <c r="CI305" t="inlineStr">
        <is>
          <t>24/08/2031</t>
        </is>
      </c>
    </row>
    <row r="306">
      <c r="A306" t="inlineStr">
        <is>
          <t>RESIDENCIAL PRADA</t>
        </is>
      </c>
      <c r="B306" t="inlineStr">
        <is>
          <t>Etapa 1</t>
        </is>
      </c>
      <c r="C306" t="inlineStr">
        <is>
          <t>Edificio</t>
        </is>
      </c>
      <c r="D306" t="inlineStr">
        <is>
          <t>A</t>
        </is>
      </c>
      <c r="E306" t="inlineStr">
        <is>
          <t>Departamento</t>
        </is>
      </c>
      <c r="F306" t="inlineStr">
        <is>
          <t>504</t>
        </is>
      </c>
      <c r="G306" t="n">
        <v>60.93</v>
      </c>
      <c r="H306" t="n">
        <v>0</v>
      </c>
      <c r="I306" s="39" t="n">
        <v>417700</v>
      </c>
      <c r="J306" s="39" t="n">
        <v>417700</v>
      </c>
      <c r="Q306" s="39" t="n"/>
      <c r="R306" s="39" t="n"/>
      <c r="Y306" s="39" t="n"/>
      <c r="Z306" s="39" t="n"/>
      <c r="AG306" s="39" t="n"/>
      <c r="AH306" s="39" t="n"/>
      <c r="AI306" t="inlineStr">
        <is>
          <t>Alvaro Geanfranco Mendoza Jump</t>
        </is>
      </c>
      <c r="AJ306" t="inlineStr">
        <is>
          <t>72112648</t>
        </is>
      </c>
      <c r="AK306" t="inlineStr">
        <is>
          <t>Urb. San Francisco Mz. B Lt. 11 Departamento de Huanuco, Provincia de Huanuco, Dsitrito Amarilis</t>
        </is>
      </c>
      <c r="AL306" t="n">
        <v>938217737</v>
      </c>
      <c r="AM306" t="inlineStr">
        <is>
          <t>938217737</t>
        </is>
      </c>
      <c r="AN306" t="inlineStr">
        <is>
          <t>alvaromej17@gmail.com</t>
        </is>
      </c>
      <c r="AO306" t="inlineStr">
        <is>
          <t>HUANUCO</t>
        </is>
      </c>
      <c r="AP306" t="inlineStr">
        <is>
          <t>AMARILIS</t>
        </is>
      </c>
      <c r="AQ306" s="75" t="n">
        <v>46142</v>
      </c>
      <c r="AR306" s="75" t="n">
        <v>46144</v>
      </c>
      <c r="AS306" t="inlineStr">
        <is>
          <t>CUOTA INICIAL</t>
        </is>
      </c>
      <c r="AT306" t="n">
        <v>2</v>
      </c>
      <c r="AU306" t="n">
        <v>0</v>
      </c>
      <c r="AV306" t="n">
        <v>0</v>
      </c>
      <c r="AW306" t="n">
        <v>0</v>
      </c>
      <c r="AX306" s="39" t="n">
        <v>0</v>
      </c>
      <c r="AY306" s="39" t="n">
        <v>12000</v>
      </c>
      <c r="AZ306" s="39" t="n">
        <v>0</v>
      </c>
      <c r="BA306" t="n">
        <v>0</v>
      </c>
      <c r="BB306" t="inlineStr">
        <is>
          <t>Ahorro</t>
        </is>
      </c>
      <c r="BC306" t="inlineStr">
        <is>
          <t>Scotiabank Perú</t>
        </is>
      </c>
      <c r="BD306" t="inlineStr">
        <is>
          <t>000-2768484</t>
        </is>
      </c>
      <c r="BE306" t="inlineStr">
        <is>
          <t>TRANSFERENCIA BANCARIA</t>
        </is>
      </c>
      <c r="BG306" t="inlineStr">
        <is>
          <t>5561540</t>
        </is>
      </c>
      <c r="BH306" t="inlineStr">
        <is>
          <t>No</t>
        </is>
      </c>
      <c r="BJ306" t="n">
        <v>4</v>
      </c>
      <c r="BK306" t="inlineStr">
        <is>
          <t>CANCELADO</t>
        </is>
      </c>
      <c r="BV306" t="inlineStr">
        <is>
          <t>Si</t>
        </is>
      </c>
      <c r="BW306" s="76" t="n">
        <v>45919.61597222222</v>
      </c>
      <c r="BX306" t="inlineStr">
        <is>
          <t>Kenny Salazar S</t>
        </is>
      </c>
      <c r="BZ306" t="n">
        <v>36</v>
      </c>
      <c r="CA306" t="inlineStr">
        <is>
          <t>23/06/2026 16:02</t>
        </is>
      </c>
      <c r="CB306" t="n">
        <v>0</v>
      </c>
      <c r="CF306" t="inlineStr">
        <is>
          <t>Cobranzas_2026.csv</t>
        </is>
      </c>
      <c r="CG306" t="n">
        <v>2026</v>
      </c>
      <c r="CH306" t="inlineStr">
        <is>
          <t>01/01/2024</t>
        </is>
      </c>
      <c r="CI306" t="inlineStr">
        <is>
          <t>24/08/2031</t>
        </is>
      </c>
    </row>
    <row r="307">
      <c r="A307" t="inlineStr">
        <is>
          <t>RESIDENCIAL PRADA</t>
        </is>
      </c>
      <c r="B307" t="inlineStr">
        <is>
          <t>Etapa 1</t>
        </is>
      </c>
      <c r="C307" t="inlineStr">
        <is>
          <t>Edificio</t>
        </is>
      </c>
      <c r="D307" t="inlineStr">
        <is>
          <t>A</t>
        </is>
      </c>
      <c r="E307" t="inlineStr">
        <is>
          <t>Departamento</t>
        </is>
      </c>
      <c r="F307" t="inlineStr">
        <is>
          <t>504</t>
        </is>
      </c>
      <c r="G307" t="n">
        <v>60.93</v>
      </c>
      <c r="H307" t="n">
        <v>0</v>
      </c>
      <c r="I307" s="39" t="n">
        <v>417700</v>
      </c>
      <c r="J307" s="39" t="n">
        <v>417700</v>
      </c>
      <c r="Q307" s="39" t="n"/>
      <c r="R307" s="39" t="n"/>
      <c r="Y307" s="39" t="n"/>
      <c r="Z307" s="39" t="n"/>
      <c r="AG307" s="39" t="n"/>
      <c r="AH307" s="39" t="n"/>
      <c r="AI307" t="inlineStr">
        <is>
          <t>Alvaro Geanfranco Mendoza Jump</t>
        </is>
      </c>
      <c r="AJ307" t="inlineStr">
        <is>
          <t>72112648</t>
        </is>
      </c>
      <c r="AK307" t="inlineStr">
        <is>
          <t>Urb. San Francisco Mz. B Lt. 11 Departamento de Huanuco, Provincia de Huanuco, Dsitrito Amarilis</t>
        </is>
      </c>
      <c r="AL307" t="n">
        <v>938217737</v>
      </c>
      <c r="AM307" t="inlineStr">
        <is>
          <t>938217737</t>
        </is>
      </c>
      <c r="AN307" t="inlineStr">
        <is>
          <t>alvaromej17@gmail.com</t>
        </is>
      </c>
      <c r="AO307" t="inlineStr">
        <is>
          <t>HUANUCO</t>
        </is>
      </c>
      <c r="AP307" t="inlineStr">
        <is>
          <t>AMARILIS</t>
        </is>
      </c>
      <c r="AQ307" s="75" t="n">
        <v>46142</v>
      </c>
      <c r="AR307" s="75" t="n">
        <v>46144</v>
      </c>
      <c r="AS307" t="inlineStr">
        <is>
          <t>CUOTA INICIAL</t>
        </is>
      </c>
      <c r="AT307" t="n">
        <v>2</v>
      </c>
      <c r="AU307" t="n">
        <v>31000</v>
      </c>
      <c r="AV307" t="n">
        <v>0</v>
      </c>
      <c r="AW307" t="n">
        <v>0</v>
      </c>
      <c r="AX307" s="39" t="n">
        <v>0</v>
      </c>
      <c r="AY307" s="39" t="n">
        <v>7000</v>
      </c>
      <c r="AZ307" s="39" t="n">
        <v>0</v>
      </c>
      <c r="BA307" t="n">
        <v>0</v>
      </c>
      <c r="BB307" t="inlineStr">
        <is>
          <t>Ahorro</t>
        </is>
      </c>
      <c r="BC307" t="inlineStr">
        <is>
          <t>Scotiabank Perú</t>
        </is>
      </c>
      <c r="BD307" t="inlineStr">
        <is>
          <t>000-2768484</t>
        </is>
      </c>
      <c r="BE307" t="inlineStr">
        <is>
          <t>TRANSFERENCIA BANCARIA</t>
        </is>
      </c>
      <c r="BG307" t="inlineStr">
        <is>
          <t>U100751</t>
        </is>
      </c>
      <c r="BH307" t="inlineStr">
        <is>
          <t>No</t>
        </is>
      </c>
      <c r="BJ307" t="n">
        <v>4</v>
      </c>
      <c r="BK307" t="inlineStr">
        <is>
          <t>CANCELADO</t>
        </is>
      </c>
      <c r="BV307" t="inlineStr">
        <is>
          <t>Si</t>
        </is>
      </c>
      <c r="BW307" s="76" t="n">
        <v>45919.61597222222</v>
      </c>
      <c r="BX307" t="inlineStr">
        <is>
          <t>Kenny Salazar S</t>
        </is>
      </c>
      <c r="BZ307" t="n">
        <v>36</v>
      </c>
      <c r="CA307" t="inlineStr">
        <is>
          <t>23/06/2026 16:06</t>
        </is>
      </c>
      <c r="CB307" t="n">
        <v>0</v>
      </c>
      <c r="CF307" t="inlineStr">
        <is>
          <t>Cobranzas_2026.csv</t>
        </is>
      </c>
      <c r="CG307" t="n">
        <v>2026</v>
      </c>
      <c r="CH307" t="inlineStr">
        <is>
          <t>01/01/2024</t>
        </is>
      </c>
      <c r="CI307" t="inlineStr">
        <is>
          <t>24/08/2031</t>
        </is>
      </c>
    </row>
    <row r="308">
      <c r="A308" t="inlineStr">
        <is>
          <t>RESIDENCIAL PRADA</t>
        </is>
      </c>
      <c r="B308" t="inlineStr">
        <is>
          <t>Etapa 1</t>
        </is>
      </c>
      <c r="C308" t="inlineStr">
        <is>
          <t>Edificio</t>
        </is>
      </c>
      <c r="D308" t="inlineStr">
        <is>
          <t>A</t>
        </is>
      </c>
      <c r="E308" t="inlineStr">
        <is>
          <t>Departamento</t>
        </is>
      </c>
      <c r="F308" t="inlineStr">
        <is>
          <t>504</t>
        </is>
      </c>
      <c r="G308" t="n">
        <v>60.93</v>
      </c>
      <c r="H308" t="n">
        <v>0</v>
      </c>
      <c r="I308" s="39" t="n">
        <v>417700</v>
      </c>
      <c r="J308" s="39" t="n">
        <v>417700</v>
      </c>
      <c r="Q308" s="39" t="n"/>
      <c r="R308" s="39" t="n"/>
      <c r="Y308" s="39" t="n"/>
      <c r="Z308" s="39" t="n"/>
      <c r="AG308" s="39" t="n"/>
      <c r="AH308" s="39" t="n"/>
      <c r="AI308" t="inlineStr">
        <is>
          <t>Alvaro Geanfranco Mendoza Jump</t>
        </is>
      </c>
      <c r="AJ308" t="inlineStr">
        <is>
          <t>72112648</t>
        </is>
      </c>
      <c r="AK308" t="inlineStr">
        <is>
          <t>Urb. San Francisco Mz. B Lt. 11 Departamento de Huanuco, Provincia de Huanuco, Dsitrito Amarilis</t>
        </is>
      </c>
      <c r="AL308" t="n">
        <v>938217737</v>
      </c>
      <c r="AM308" t="inlineStr">
        <is>
          <t>938217737</t>
        </is>
      </c>
      <c r="AN308" t="inlineStr">
        <is>
          <t>alvaromej17@gmail.com</t>
        </is>
      </c>
      <c r="AO308" t="inlineStr">
        <is>
          <t>HUANUCO</t>
        </is>
      </c>
      <c r="AP308" t="inlineStr">
        <is>
          <t>AMARILIS</t>
        </is>
      </c>
      <c r="AQ308" s="75" t="n">
        <v>46081</v>
      </c>
      <c r="AR308" s="75" t="n">
        <v>46144</v>
      </c>
      <c r="AS308" t="inlineStr">
        <is>
          <t>CUOTA INICIAL</t>
        </is>
      </c>
      <c r="AT308" t="n">
        <v>3</v>
      </c>
      <c r="AU308" t="n">
        <v>21000</v>
      </c>
      <c r="AV308" t="n">
        <v>0</v>
      </c>
      <c r="AW308" t="n">
        <v>0</v>
      </c>
      <c r="AX308" s="39" t="n">
        <v>21000</v>
      </c>
      <c r="AY308" s="39" t="n">
        <v>21000</v>
      </c>
      <c r="AZ308" s="39" t="n">
        <v>0</v>
      </c>
      <c r="BA308" t="n">
        <v>0</v>
      </c>
      <c r="BB308" t="inlineStr">
        <is>
          <t>Ahorro</t>
        </is>
      </c>
      <c r="BC308" t="inlineStr">
        <is>
          <t>Scotiabank Perú</t>
        </is>
      </c>
      <c r="BD308" t="inlineStr">
        <is>
          <t>000-2768484</t>
        </is>
      </c>
      <c r="BE308" t="inlineStr">
        <is>
          <t>TRANSFERENCIA BANCARIA</t>
        </is>
      </c>
      <c r="BG308" t="inlineStr">
        <is>
          <t>U100751</t>
        </is>
      </c>
      <c r="BH308" t="inlineStr">
        <is>
          <t>No</t>
        </is>
      </c>
      <c r="BJ308" t="n">
        <v>4</v>
      </c>
      <c r="BK308" t="inlineStr">
        <is>
          <t>CANCELADO</t>
        </is>
      </c>
      <c r="BV308" t="inlineStr">
        <is>
          <t>Si</t>
        </is>
      </c>
      <c r="BW308" s="76" t="n">
        <v>45919.61597222222</v>
      </c>
      <c r="BX308" t="inlineStr">
        <is>
          <t>Kenny Salazar S</t>
        </is>
      </c>
      <c r="BZ308" t="n">
        <v>36</v>
      </c>
      <c r="CA308" t="inlineStr">
        <is>
          <t>23/06/2026 16:06</t>
        </is>
      </c>
      <c r="CB308" t="n">
        <v>0</v>
      </c>
      <c r="CF308" t="inlineStr">
        <is>
          <t>Cobranzas_2026.csv</t>
        </is>
      </c>
      <c r="CG308" t="n">
        <v>2026</v>
      </c>
      <c r="CH308" t="inlineStr">
        <is>
          <t>01/01/2024</t>
        </is>
      </c>
      <c r="CI308" t="inlineStr">
        <is>
          <t>24/08/2031</t>
        </is>
      </c>
    </row>
    <row r="309">
      <c r="A309" t="inlineStr">
        <is>
          <t>RESIDENCIAL PRADA</t>
        </is>
      </c>
      <c r="B309" t="inlineStr">
        <is>
          <t>Etapa 1</t>
        </is>
      </c>
      <c r="C309" t="inlineStr">
        <is>
          <t>Edificio</t>
        </is>
      </c>
      <c r="D309" t="inlineStr">
        <is>
          <t>A</t>
        </is>
      </c>
      <c r="E309" t="inlineStr">
        <is>
          <t>Departamento</t>
        </is>
      </c>
      <c r="F309" t="inlineStr">
        <is>
          <t>504</t>
        </is>
      </c>
      <c r="G309" t="n">
        <v>60.93</v>
      </c>
      <c r="H309" t="n">
        <v>0</v>
      </c>
      <c r="I309" s="39" t="n">
        <v>417700</v>
      </c>
      <c r="J309" s="39" t="n">
        <v>417700</v>
      </c>
      <c r="Q309" s="39" t="n"/>
      <c r="R309" s="39" t="n"/>
      <c r="Y309" s="39" t="n"/>
      <c r="Z309" s="39" t="n"/>
      <c r="AG309" s="39" t="n"/>
      <c r="AH309" s="39" t="n"/>
      <c r="AI309" t="inlineStr">
        <is>
          <t>Alvaro Geanfranco Mendoza Jump</t>
        </is>
      </c>
      <c r="AJ309" t="inlineStr">
        <is>
          <t>72112648</t>
        </is>
      </c>
      <c r="AK309" t="inlineStr">
        <is>
          <t>Urb. San Francisco Mz. B Lt. 11 Departamento de Huanuco, Provincia de Huanuco, Dsitrito Amarilis</t>
        </is>
      </c>
      <c r="AL309" t="n">
        <v>938217737</v>
      </c>
      <c r="AM309" t="inlineStr">
        <is>
          <t>938217737</t>
        </is>
      </c>
      <c r="AN309" t="inlineStr">
        <is>
          <t>alvaromej17@gmail.com</t>
        </is>
      </c>
      <c r="AO309" t="inlineStr">
        <is>
          <t>HUANUCO</t>
        </is>
      </c>
      <c r="AP309" t="inlineStr">
        <is>
          <t>AMARILIS</t>
        </is>
      </c>
      <c r="AQ309" s="75" t="n">
        <v>46203</v>
      </c>
      <c r="AR309" s="75" t="n">
        <v>46172</v>
      </c>
      <c r="AS309" t="inlineStr">
        <is>
          <t>SALDO FINANCIAR</t>
        </is>
      </c>
      <c r="AT309" t="n">
        <v>1</v>
      </c>
      <c r="AU309" t="n">
        <v>352700</v>
      </c>
      <c r="AV309" t="n">
        <v>0</v>
      </c>
      <c r="AW309" t="n">
        <v>0</v>
      </c>
      <c r="AX309" s="39" t="n">
        <v>352700</v>
      </c>
      <c r="AY309" s="39" t="n">
        <v>352700</v>
      </c>
      <c r="AZ309" s="39" t="n">
        <v>0</v>
      </c>
      <c r="BA309" t="n">
        <v>0</v>
      </c>
      <c r="BB309" t="inlineStr">
        <is>
          <t>Ahorro</t>
        </is>
      </c>
      <c r="BC309" t="inlineStr">
        <is>
          <t>Scotiabank Perú</t>
        </is>
      </c>
      <c r="BD309" t="inlineStr">
        <is>
          <t>000-2768484</t>
        </is>
      </c>
      <c r="BE309" t="inlineStr">
        <is>
          <t>TRANSFERENCIA BANCARIA</t>
        </is>
      </c>
      <c r="BG309" t="inlineStr">
        <is>
          <t>02700800069</t>
        </is>
      </c>
      <c r="BH309" t="inlineStr">
        <is>
          <t>No</t>
        </is>
      </c>
      <c r="BJ309" t="n">
        <v>4</v>
      </c>
      <c r="BK309" t="inlineStr">
        <is>
          <t>CANCELADO</t>
        </is>
      </c>
      <c r="BV309" t="inlineStr">
        <is>
          <t>Si</t>
        </is>
      </c>
      <c r="BW309" s="76" t="n">
        <v>45919.61597222222</v>
      </c>
      <c r="BX309" t="inlineStr">
        <is>
          <t>Kenny Salazar S</t>
        </is>
      </c>
      <c r="BZ309" t="n">
        <v>36</v>
      </c>
      <c r="CA309" t="inlineStr">
        <is>
          <t>23/06/2026 16:08</t>
        </is>
      </c>
      <c r="CB309" t="n">
        <v>0</v>
      </c>
      <c r="CF309" t="inlineStr">
        <is>
          <t>Cobranzas_2026.csv</t>
        </is>
      </c>
      <c r="CG309" t="n">
        <v>2026</v>
      </c>
      <c r="CH309" t="inlineStr">
        <is>
          <t>01/01/2024</t>
        </is>
      </c>
      <c r="CI309" t="inlineStr">
        <is>
          <t>24/08/2031</t>
        </is>
      </c>
    </row>
    <row r="310">
      <c r="A310" t="inlineStr">
        <is>
          <t>RESIDENCIAL PRADA</t>
        </is>
      </c>
      <c r="B310" t="inlineStr">
        <is>
          <t>Etapa 1</t>
        </is>
      </c>
      <c r="C310" t="inlineStr">
        <is>
          <t>Edificio</t>
        </is>
      </c>
      <c r="D310" t="inlineStr">
        <is>
          <t>A</t>
        </is>
      </c>
      <c r="E310" t="inlineStr">
        <is>
          <t>Estacionamiento</t>
        </is>
      </c>
      <c r="F310" t="inlineStr">
        <is>
          <t>E 15</t>
        </is>
      </c>
      <c r="G310" t="n">
        <v>13.27</v>
      </c>
      <c r="H310" t="n">
        <v>0</v>
      </c>
      <c r="I310" s="39" t="n">
        <v>50500</v>
      </c>
      <c r="J310" s="39" t="n">
        <v>50500</v>
      </c>
      <c r="Q310" s="39" t="n"/>
      <c r="R310" s="39" t="n"/>
      <c r="Y310" s="39" t="n"/>
      <c r="Z310" s="39" t="n"/>
      <c r="AG310" s="39" t="n"/>
      <c r="AH310" s="39" t="n"/>
      <c r="AI310" t="inlineStr">
        <is>
          <t>Ana Fabiola Alvarez Elias</t>
        </is>
      </c>
      <c r="AJ310" t="inlineStr">
        <is>
          <t>06789211</t>
        </is>
      </c>
      <c r="AK310" t="inlineStr">
        <is>
          <t>Jr. Caraveli 968 Interior 103</t>
        </is>
      </c>
      <c r="AL310" t="n">
        <v>0</v>
      </c>
      <c r="AM310" t="inlineStr">
        <is>
          <t>986642025</t>
        </is>
      </c>
      <c r="AN310" t="inlineStr">
        <is>
          <t>anafabiola1@hotmail.com</t>
        </is>
      </c>
      <c r="AO310" t="inlineStr">
        <is>
          <t>LIMA</t>
        </is>
      </c>
      <c r="AP310" t="inlineStr">
        <is>
          <t>BREÑA</t>
        </is>
      </c>
      <c r="AQ310" s="75" t="n">
        <v>46052</v>
      </c>
      <c r="AR310" s="75" t="n">
        <v>46052</v>
      </c>
      <c r="AS310" t="inlineStr">
        <is>
          <t>SALDO FINANCIAR</t>
        </is>
      </c>
      <c r="AT310" t="n">
        <v>7</v>
      </c>
      <c r="AU310" t="n">
        <v>3000</v>
      </c>
      <c r="AV310" t="n">
        <v>0</v>
      </c>
      <c r="AW310" t="n">
        <v>0</v>
      </c>
      <c r="AX310" s="39" t="n">
        <v>3000</v>
      </c>
      <c r="AY310" s="39" t="n">
        <v>3000</v>
      </c>
      <c r="AZ310" s="39" t="n">
        <v>0</v>
      </c>
      <c r="BA310" t="n">
        <v>0</v>
      </c>
      <c r="BB310" t="inlineStr">
        <is>
          <t>Crédito Directo</t>
        </is>
      </c>
      <c r="BC310" t="inlineStr">
        <is>
          <t>Scotiabank Perú</t>
        </is>
      </c>
      <c r="BD310" t="inlineStr">
        <is>
          <t>0004071419</t>
        </is>
      </c>
      <c r="BE310" t="inlineStr">
        <is>
          <t>TRANSFERENCIA BANCARIA</t>
        </is>
      </c>
      <c r="BG310" t="inlineStr">
        <is>
          <t>7844655572337</t>
        </is>
      </c>
      <c r="BH310" t="inlineStr">
        <is>
          <t>No</t>
        </is>
      </c>
      <c r="BJ310" t="n">
        <v>4</v>
      </c>
      <c r="BK310" t="inlineStr">
        <is>
          <t>CANCELADO</t>
        </is>
      </c>
      <c r="BV310" t="inlineStr">
        <is>
          <t>Si</t>
        </is>
      </c>
      <c r="BW310" s="76" t="n">
        <v>45868.49166666667</v>
      </c>
      <c r="BX310" t="inlineStr">
        <is>
          <t>Magaly Guevara Perez</t>
        </is>
      </c>
      <c r="BZ310" t="n">
        <v>62</v>
      </c>
      <c r="CA310" t="inlineStr">
        <is>
          <t>18/08/2026 11:38</t>
        </is>
      </c>
      <c r="CB310" t="n">
        <v>0</v>
      </c>
      <c r="CF310" t="inlineStr">
        <is>
          <t>Cobranzas_2026.csv</t>
        </is>
      </c>
      <c r="CG310" t="n">
        <v>2026</v>
      </c>
      <c r="CH310" t="inlineStr">
        <is>
          <t>01/01/2024</t>
        </is>
      </c>
      <c r="CI310" t="inlineStr">
        <is>
          <t>24/08/2031</t>
        </is>
      </c>
    </row>
    <row r="311">
      <c r="A311" t="inlineStr">
        <is>
          <t>RESIDENCIAL PRADA</t>
        </is>
      </c>
      <c r="B311" t="inlineStr">
        <is>
          <t>Etapa 1</t>
        </is>
      </c>
      <c r="C311" t="inlineStr">
        <is>
          <t>Edificio</t>
        </is>
      </c>
      <c r="D311" t="inlineStr">
        <is>
          <t>A</t>
        </is>
      </c>
      <c r="E311" t="inlineStr">
        <is>
          <t>Estacionamiento</t>
        </is>
      </c>
      <c r="F311" t="inlineStr">
        <is>
          <t>E 15</t>
        </is>
      </c>
      <c r="G311" t="n">
        <v>13.27</v>
      </c>
      <c r="H311" t="n">
        <v>0</v>
      </c>
      <c r="I311" s="39" t="n">
        <v>50500</v>
      </c>
      <c r="J311" s="39" t="n">
        <v>50500</v>
      </c>
      <c r="Q311" s="39" t="n"/>
      <c r="R311" s="39" t="n"/>
      <c r="Y311" s="39" t="n"/>
      <c r="Z311" s="39" t="n"/>
      <c r="AG311" s="39" t="n"/>
      <c r="AH311" s="39" t="n"/>
      <c r="AI311" t="inlineStr">
        <is>
          <t>Ana Fabiola Alvarez Elias</t>
        </is>
      </c>
      <c r="AJ311" t="inlineStr">
        <is>
          <t>06789211</t>
        </is>
      </c>
      <c r="AK311" t="inlineStr">
        <is>
          <t>Jr. Caraveli 968 Interior 103</t>
        </is>
      </c>
      <c r="AL311" t="n">
        <v>0</v>
      </c>
      <c r="AM311" t="inlineStr">
        <is>
          <t>986642025</t>
        </is>
      </c>
      <c r="AN311" t="inlineStr">
        <is>
          <t>anafabiola1@hotmail.com</t>
        </is>
      </c>
      <c r="AO311" t="inlineStr">
        <is>
          <t>LIMA</t>
        </is>
      </c>
      <c r="AP311" t="inlineStr">
        <is>
          <t>BREÑA</t>
        </is>
      </c>
      <c r="AQ311" s="75" t="n">
        <v>46080</v>
      </c>
      <c r="AR311" s="75" t="n">
        <v>46080</v>
      </c>
      <c r="AS311" t="inlineStr">
        <is>
          <t>SALDO FINANCIAR</t>
        </is>
      </c>
      <c r="AT311" t="n">
        <v>8</v>
      </c>
      <c r="AU311" t="n">
        <v>3000</v>
      </c>
      <c r="AV311" t="n">
        <v>0</v>
      </c>
      <c r="AW311" t="n">
        <v>0</v>
      </c>
      <c r="AX311" s="39" t="n">
        <v>3000</v>
      </c>
      <c r="AY311" s="39" t="n">
        <v>3000</v>
      </c>
      <c r="AZ311" s="39" t="n">
        <v>0</v>
      </c>
      <c r="BA311" t="n">
        <v>0</v>
      </c>
      <c r="BB311" t="inlineStr">
        <is>
          <t>Crédito Directo</t>
        </is>
      </c>
      <c r="BC311" t="inlineStr">
        <is>
          <t>Scotiabank Perú</t>
        </is>
      </c>
      <c r="BD311" t="inlineStr">
        <is>
          <t>0004071419</t>
        </is>
      </c>
      <c r="BE311" t="inlineStr">
        <is>
          <t>TRANSFERENCIA BANCARIA</t>
        </is>
      </c>
      <c r="BG311" t="inlineStr">
        <is>
          <t>u100751</t>
        </is>
      </c>
      <c r="BH311" t="inlineStr">
        <is>
          <t>No</t>
        </is>
      </c>
      <c r="BJ311" t="n">
        <v>4</v>
      </c>
      <c r="BK311" t="inlineStr">
        <is>
          <t>CANCELADO</t>
        </is>
      </c>
      <c r="BV311" t="inlineStr">
        <is>
          <t>Si</t>
        </is>
      </c>
      <c r="BW311" s="76" t="n">
        <v>45868.49166666667</v>
      </c>
      <c r="BX311" t="inlineStr">
        <is>
          <t>Magaly Guevara Perez</t>
        </is>
      </c>
      <c r="BZ311" t="n">
        <v>62</v>
      </c>
      <c r="CA311" t="inlineStr">
        <is>
          <t>18/08/2026 11:39</t>
        </is>
      </c>
      <c r="CB311" t="n">
        <v>0</v>
      </c>
      <c r="CF311" t="inlineStr">
        <is>
          <t>Cobranzas_2026.csv</t>
        </is>
      </c>
      <c r="CG311" t="n">
        <v>2026</v>
      </c>
      <c r="CH311" t="inlineStr">
        <is>
          <t>01/01/2024</t>
        </is>
      </c>
      <c r="CI311" t="inlineStr">
        <is>
          <t>24/08/2031</t>
        </is>
      </c>
    </row>
    <row r="312">
      <c r="A312" t="inlineStr">
        <is>
          <t>RESIDENCIAL PRADA</t>
        </is>
      </c>
      <c r="B312" t="inlineStr">
        <is>
          <t>Etapa 1</t>
        </is>
      </c>
      <c r="C312" t="inlineStr">
        <is>
          <t>Edificio</t>
        </is>
      </c>
      <c r="D312" t="inlineStr">
        <is>
          <t>A</t>
        </is>
      </c>
      <c r="E312" t="inlineStr">
        <is>
          <t>Estacionamiento</t>
        </is>
      </c>
      <c r="F312" t="inlineStr">
        <is>
          <t>E 15</t>
        </is>
      </c>
      <c r="G312" t="n">
        <v>13.27</v>
      </c>
      <c r="H312" t="n">
        <v>0</v>
      </c>
      <c r="I312" s="39" t="n">
        <v>50500</v>
      </c>
      <c r="J312" s="39" t="n">
        <v>50500</v>
      </c>
      <c r="Q312" s="39" t="n"/>
      <c r="R312" s="39" t="n"/>
      <c r="Y312" s="39" t="n"/>
      <c r="Z312" s="39" t="n"/>
      <c r="AG312" s="39" t="n"/>
      <c r="AH312" s="39" t="n"/>
      <c r="AI312" t="inlineStr">
        <is>
          <t>Ana Fabiola Alvarez Elias</t>
        </is>
      </c>
      <c r="AJ312" t="inlineStr">
        <is>
          <t>06789211</t>
        </is>
      </c>
      <c r="AK312" t="inlineStr">
        <is>
          <t>Jr. Caraveli 968 Interior 103</t>
        </is>
      </c>
      <c r="AL312" t="n">
        <v>0</v>
      </c>
      <c r="AM312" t="inlineStr">
        <is>
          <t>986642025</t>
        </is>
      </c>
      <c r="AN312" t="inlineStr">
        <is>
          <t>anafabiola1@hotmail.com</t>
        </is>
      </c>
      <c r="AO312" t="inlineStr">
        <is>
          <t>LIMA</t>
        </is>
      </c>
      <c r="AP312" t="inlineStr">
        <is>
          <t>BREÑA</t>
        </is>
      </c>
      <c r="AQ312" s="75" t="n">
        <v>46112</v>
      </c>
      <c r="AR312" s="75" t="n">
        <v>46112</v>
      </c>
      <c r="AS312" t="inlineStr">
        <is>
          <t>SALDO FINANCIAR</t>
        </is>
      </c>
      <c r="AT312" t="n">
        <v>9</v>
      </c>
      <c r="AU312" t="n">
        <v>3000</v>
      </c>
      <c r="AV312" t="n">
        <v>0</v>
      </c>
      <c r="AW312" t="n">
        <v>0</v>
      </c>
      <c r="AX312" s="39" t="n">
        <v>3000</v>
      </c>
      <c r="AY312" s="39" t="n">
        <v>3000</v>
      </c>
      <c r="AZ312" s="39" t="n">
        <v>0</v>
      </c>
      <c r="BA312" t="n">
        <v>0</v>
      </c>
      <c r="BB312" t="inlineStr">
        <is>
          <t>Crédito Directo</t>
        </is>
      </c>
      <c r="BC312" t="inlineStr">
        <is>
          <t>Scotiabank Perú</t>
        </is>
      </c>
      <c r="BD312" t="inlineStr">
        <is>
          <t>0004071419</t>
        </is>
      </c>
      <c r="BE312" t="inlineStr">
        <is>
          <t>TRANSFERENCIA BANCARIA</t>
        </is>
      </c>
      <c r="BG312" t="inlineStr">
        <is>
          <t>7844655536372</t>
        </is>
      </c>
      <c r="BH312" t="inlineStr">
        <is>
          <t>No</t>
        </is>
      </c>
      <c r="BJ312" t="n">
        <v>4</v>
      </c>
      <c r="BK312" t="inlineStr">
        <is>
          <t>CANCELADO</t>
        </is>
      </c>
      <c r="BV312" t="inlineStr">
        <is>
          <t>Si</t>
        </is>
      </c>
      <c r="BW312" s="76" t="n">
        <v>45868.49166666667</v>
      </c>
      <c r="BX312" t="inlineStr">
        <is>
          <t>Magaly Guevara Perez</t>
        </is>
      </c>
      <c r="BZ312" t="n">
        <v>62</v>
      </c>
      <c r="CA312" t="inlineStr">
        <is>
          <t>18/08/2026 11:40</t>
        </is>
      </c>
      <c r="CB312" t="n">
        <v>0</v>
      </c>
      <c r="CF312" t="inlineStr">
        <is>
          <t>Cobranzas_2026.csv</t>
        </is>
      </c>
      <c r="CG312" t="n">
        <v>2026</v>
      </c>
      <c r="CH312" t="inlineStr">
        <is>
          <t>01/01/2024</t>
        </is>
      </c>
      <c r="CI312" t="inlineStr">
        <is>
          <t>24/08/2031</t>
        </is>
      </c>
    </row>
    <row r="313">
      <c r="A313" t="inlineStr">
        <is>
          <t>RESIDENCIAL PRADA</t>
        </is>
      </c>
      <c r="B313" t="inlineStr">
        <is>
          <t>Etapa 1</t>
        </is>
      </c>
      <c r="C313" t="inlineStr">
        <is>
          <t>Edificio</t>
        </is>
      </c>
      <c r="D313" t="inlineStr">
        <is>
          <t>A</t>
        </is>
      </c>
      <c r="E313" t="inlineStr">
        <is>
          <t>Estacionamiento</t>
        </is>
      </c>
      <c r="F313" t="inlineStr">
        <is>
          <t>E 15</t>
        </is>
      </c>
      <c r="G313" t="n">
        <v>13.27</v>
      </c>
      <c r="H313" t="n">
        <v>0</v>
      </c>
      <c r="I313" s="39" t="n">
        <v>50500</v>
      </c>
      <c r="J313" s="39" t="n">
        <v>50500</v>
      </c>
      <c r="Q313" s="39" t="n"/>
      <c r="R313" s="39" t="n"/>
      <c r="Y313" s="39" t="n"/>
      <c r="Z313" s="39" t="n"/>
      <c r="AG313" s="39" t="n"/>
      <c r="AH313" s="39" t="n"/>
      <c r="AI313" t="inlineStr">
        <is>
          <t>Ana Fabiola Alvarez Elias</t>
        </is>
      </c>
      <c r="AJ313" t="inlineStr">
        <is>
          <t>06789211</t>
        </is>
      </c>
      <c r="AK313" t="inlineStr">
        <is>
          <t>Jr. Caraveli 968 Interior 103</t>
        </is>
      </c>
      <c r="AL313" t="n">
        <v>0</v>
      </c>
      <c r="AM313" t="inlineStr">
        <is>
          <t>986642025</t>
        </is>
      </c>
      <c r="AN313" t="inlineStr">
        <is>
          <t>anafabiola1@hotmail.com</t>
        </is>
      </c>
      <c r="AO313" t="inlineStr">
        <is>
          <t>LIMA</t>
        </is>
      </c>
      <c r="AP313" t="inlineStr">
        <is>
          <t>BREÑA</t>
        </is>
      </c>
      <c r="AQ313" s="75" t="n">
        <v>46144</v>
      </c>
      <c r="AR313" s="75" t="n">
        <v>46144</v>
      </c>
      <c r="AS313" t="inlineStr">
        <is>
          <t>SALDO FINANCIAR</t>
        </is>
      </c>
      <c r="AT313" t="n">
        <v>10</v>
      </c>
      <c r="AU313" t="n">
        <v>3000</v>
      </c>
      <c r="AV313" t="n">
        <v>0</v>
      </c>
      <c r="AW313" t="n">
        <v>0</v>
      </c>
      <c r="AX313" s="39" t="n">
        <v>3000</v>
      </c>
      <c r="AY313" s="39" t="n">
        <v>3000</v>
      </c>
      <c r="AZ313" s="39" t="n">
        <v>0</v>
      </c>
      <c r="BA313" t="n">
        <v>0</v>
      </c>
      <c r="BB313" t="inlineStr">
        <is>
          <t>Crédito Directo</t>
        </is>
      </c>
      <c r="BC313" t="inlineStr">
        <is>
          <t>Scotiabank Perú</t>
        </is>
      </c>
      <c r="BD313" t="inlineStr">
        <is>
          <t>0004071419</t>
        </is>
      </c>
      <c r="BE313" t="inlineStr">
        <is>
          <t>TRANSFERENCIA BANCARIA</t>
        </is>
      </c>
      <c r="BG313" t="inlineStr">
        <is>
          <t>U101167</t>
        </is>
      </c>
      <c r="BH313" t="inlineStr">
        <is>
          <t>No</t>
        </is>
      </c>
      <c r="BJ313" t="n">
        <v>4</v>
      </c>
      <c r="BK313" t="inlineStr">
        <is>
          <t>CANCELADO</t>
        </is>
      </c>
      <c r="BV313" t="inlineStr">
        <is>
          <t>Si</t>
        </is>
      </c>
      <c r="BW313" s="76" t="n">
        <v>45868.49166666667</v>
      </c>
      <c r="BX313" t="inlineStr">
        <is>
          <t>Magaly Guevara Perez</t>
        </is>
      </c>
      <c r="BZ313" t="n">
        <v>62</v>
      </c>
      <c r="CA313" t="inlineStr">
        <is>
          <t>18/08/2026 11:41</t>
        </is>
      </c>
      <c r="CB313" t="n">
        <v>0</v>
      </c>
      <c r="CF313" t="inlineStr">
        <is>
          <t>Cobranzas_2026.csv</t>
        </is>
      </c>
      <c r="CG313" t="n">
        <v>2026</v>
      </c>
      <c r="CH313" t="inlineStr">
        <is>
          <t>01/01/2024</t>
        </is>
      </c>
      <c r="CI313" t="inlineStr">
        <is>
          <t>24/08/2031</t>
        </is>
      </c>
    </row>
    <row r="314">
      <c r="A314" t="inlineStr">
        <is>
          <t>RESIDENCIAL PRADA</t>
        </is>
      </c>
      <c r="B314" t="inlineStr">
        <is>
          <t>Etapa 1</t>
        </is>
      </c>
      <c r="C314" t="inlineStr">
        <is>
          <t>Edificio</t>
        </is>
      </c>
      <c r="D314" t="inlineStr">
        <is>
          <t>A</t>
        </is>
      </c>
      <c r="E314" t="inlineStr">
        <is>
          <t>Estacionamiento</t>
        </is>
      </c>
      <c r="F314" t="inlineStr">
        <is>
          <t>E 15</t>
        </is>
      </c>
      <c r="G314" t="n">
        <v>13.27</v>
      </c>
      <c r="H314" t="n">
        <v>0</v>
      </c>
      <c r="I314" s="39" t="n">
        <v>50500</v>
      </c>
      <c r="J314" s="39" t="n">
        <v>50500</v>
      </c>
      <c r="Q314" s="39" t="n"/>
      <c r="R314" s="39" t="n"/>
      <c r="Y314" s="39" t="n"/>
      <c r="Z314" s="39" t="n"/>
      <c r="AG314" s="39" t="n"/>
      <c r="AH314" s="39" t="n"/>
      <c r="AI314" t="inlineStr">
        <is>
          <t>Ana Fabiola Alvarez Elias</t>
        </is>
      </c>
      <c r="AJ314" t="inlineStr">
        <is>
          <t>06789211</t>
        </is>
      </c>
      <c r="AK314" t="inlineStr">
        <is>
          <t>Jr. Caraveli 968 Interior 103</t>
        </is>
      </c>
      <c r="AL314" t="n">
        <v>0</v>
      </c>
      <c r="AM314" t="inlineStr">
        <is>
          <t>986642025</t>
        </is>
      </c>
      <c r="AN314" t="inlineStr">
        <is>
          <t>anafabiola1@hotmail.com</t>
        </is>
      </c>
      <c r="AO314" t="inlineStr">
        <is>
          <t>LIMA</t>
        </is>
      </c>
      <c r="AP314" t="inlineStr">
        <is>
          <t>BREÑA</t>
        </is>
      </c>
      <c r="AQ314" s="75" t="n">
        <v>46175</v>
      </c>
      <c r="AR314" s="75" t="n">
        <v>46175</v>
      </c>
      <c r="AS314" t="inlineStr">
        <is>
          <t>SALDO FINANCIAR</t>
        </is>
      </c>
      <c r="AT314" t="n">
        <v>11</v>
      </c>
      <c r="AU314" t="n">
        <v>3000</v>
      </c>
      <c r="AV314" t="n">
        <v>0</v>
      </c>
      <c r="AW314" t="n">
        <v>0</v>
      </c>
      <c r="AX314" s="39" t="n">
        <v>3000</v>
      </c>
      <c r="AY314" s="39" t="n">
        <v>3000</v>
      </c>
      <c r="AZ314" s="39" t="n">
        <v>0</v>
      </c>
      <c r="BA314" t="n">
        <v>0</v>
      </c>
      <c r="BB314" t="inlineStr">
        <is>
          <t>Crédito Directo</t>
        </is>
      </c>
      <c r="BC314" t="inlineStr">
        <is>
          <t>Scotiabank Perú</t>
        </is>
      </c>
      <c r="BD314" t="inlineStr">
        <is>
          <t>0004071419</t>
        </is>
      </c>
      <c r="BE314" t="inlineStr">
        <is>
          <t>TRANSFERENCIA BANCARIA</t>
        </is>
      </c>
      <c r="BG314" t="inlineStr">
        <is>
          <t>u24436</t>
        </is>
      </c>
      <c r="BH314" t="inlineStr">
        <is>
          <t>No</t>
        </is>
      </c>
      <c r="BJ314" t="n">
        <v>4</v>
      </c>
      <c r="BK314" t="inlineStr">
        <is>
          <t>CANCELADO</t>
        </is>
      </c>
      <c r="BV314" t="inlineStr">
        <is>
          <t>Si</t>
        </is>
      </c>
      <c r="BW314" s="76" t="n">
        <v>45868.49166666667</v>
      </c>
      <c r="BX314" t="inlineStr">
        <is>
          <t>Magaly Guevara Perez</t>
        </is>
      </c>
      <c r="BZ314" t="n">
        <v>62</v>
      </c>
      <c r="CA314" t="inlineStr">
        <is>
          <t>18/08/2026 11:42</t>
        </is>
      </c>
      <c r="CB314" t="n">
        <v>0</v>
      </c>
      <c r="CF314" t="inlineStr">
        <is>
          <t>Cobranzas_2026.csv</t>
        </is>
      </c>
      <c r="CG314" t="n">
        <v>2026</v>
      </c>
      <c r="CH314" t="inlineStr">
        <is>
          <t>01/01/2024</t>
        </is>
      </c>
      <c r="CI314" t="inlineStr">
        <is>
          <t>24/08/2031</t>
        </is>
      </c>
    </row>
    <row r="315">
      <c r="A315" t="inlineStr">
        <is>
          <t>RESIDENCIAL PRADA</t>
        </is>
      </c>
      <c r="B315" t="inlineStr">
        <is>
          <t>Etapa 1</t>
        </is>
      </c>
      <c r="C315" t="inlineStr">
        <is>
          <t>Edificio</t>
        </is>
      </c>
      <c r="D315" t="inlineStr">
        <is>
          <t>A</t>
        </is>
      </c>
      <c r="E315" t="inlineStr">
        <is>
          <t>Estacionamiento</t>
        </is>
      </c>
      <c r="F315" t="inlineStr">
        <is>
          <t>E 15</t>
        </is>
      </c>
      <c r="G315" t="n">
        <v>13.27</v>
      </c>
      <c r="H315" t="n">
        <v>0</v>
      </c>
      <c r="I315" s="39" t="n">
        <v>50500</v>
      </c>
      <c r="J315" s="39" t="n">
        <v>50500</v>
      </c>
      <c r="Q315" s="39" t="n"/>
      <c r="R315" s="39" t="n"/>
      <c r="Y315" s="39" t="n"/>
      <c r="Z315" s="39" t="n"/>
      <c r="AG315" s="39" t="n"/>
      <c r="AH315" s="39" t="n"/>
      <c r="AI315" t="inlineStr">
        <is>
          <t>Ana Fabiola Alvarez Elias</t>
        </is>
      </c>
      <c r="AJ315" t="inlineStr">
        <is>
          <t>06789211</t>
        </is>
      </c>
      <c r="AK315" t="inlineStr">
        <is>
          <t>Jr. Caraveli 968 Interior 103</t>
        </is>
      </c>
      <c r="AL315" t="n">
        <v>0</v>
      </c>
      <c r="AM315" t="inlineStr">
        <is>
          <t>986642025</t>
        </is>
      </c>
      <c r="AN315" t="inlineStr">
        <is>
          <t>anafabiola1@hotmail.com</t>
        </is>
      </c>
      <c r="AO315" t="inlineStr">
        <is>
          <t>LIMA</t>
        </is>
      </c>
      <c r="AP315" t="inlineStr">
        <is>
          <t>BREÑA</t>
        </is>
      </c>
      <c r="AQ315" s="75" t="n">
        <v>46204</v>
      </c>
      <c r="AR315" s="75" t="n">
        <v>46230</v>
      </c>
      <c r="AS315" t="inlineStr">
        <is>
          <t>SALDO FINANCIAR</t>
        </is>
      </c>
      <c r="AT315" t="n">
        <v>12</v>
      </c>
      <c r="AU315" t="n">
        <v>7500</v>
      </c>
      <c r="AV315" t="n">
        <v>0</v>
      </c>
      <c r="AW315" t="n">
        <v>0</v>
      </c>
      <c r="AX315" s="39" t="n">
        <v>7500</v>
      </c>
      <c r="AY315" s="39" t="n">
        <v>7500</v>
      </c>
      <c r="AZ315" s="39" t="n">
        <v>0</v>
      </c>
      <c r="BA315" t="n">
        <v>0</v>
      </c>
      <c r="BB315" t="inlineStr">
        <is>
          <t>Crédito Directo</t>
        </is>
      </c>
      <c r="BC315" t="inlineStr">
        <is>
          <t>Scotiabank Perú</t>
        </is>
      </c>
      <c r="BD315" t="inlineStr">
        <is>
          <t>0004071419</t>
        </is>
      </c>
      <c r="BE315" t="inlineStr">
        <is>
          <t>TRANSFERENCIA BANCARIA</t>
        </is>
      </c>
      <c r="BG315" t="inlineStr">
        <is>
          <t>7844655569258</t>
        </is>
      </c>
      <c r="BH315" t="inlineStr">
        <is>
          <t>No</t>
        </is>
      </c>
      <c r="BJ315" t="n">
        <v>4</v>
      </c>
      <c r="BK315" t="inlineStr">
        <is>
          <t>CANCELADO</t>
        </is>
      </c>
      <c r="BV315" t="inlineStr">
        <is>
          <t>Si</t>
        </is>
      </c>
      <c r="BW315" s="76" t="n">
        <v>45868.49166666667</v>
      </c>
      <c r="BX315" t="inlineStr">
        <is>
          <t>Magaly Guevara Perez</t>
        </is>
      </c>
      <c r="BZ315" t="n">
        <v>62</v>
      </c>
      <c r="CA315" t="inlineStr">
        <is>
          <t>18/08/2026 11:42</t>
        </is>
      </c>
      <c r="CB315" t="n">
        <v>0</v>
      </c>
      <c r="CF315" t="inlineStr">
        <is>
          <t>Cobranzas_2026.csv</t>
        </is>
      </c>
      <c r="CG315" t="n">
        <v>2026</v>
      </c>
      <c r="CH315" t="inlineStr">
        <is>
          <t>01/01/2024</t>
        </is>
      </c>
      <c r="CI315" t="inlineStr">
        <is>
          <t>24/08/2031</t>
        </is>
      </c>
    </row>
    <row r="316">
      <c r="A316" t="inlineStr">
        <is>
          <t>RESIDENCIAL VENECIA</t>
        </is>
      </c>
      <c r="B316" t="inlineStr">
        <is>
          <t>Etapa 1</t>
        </is>
      </c>
      <c r="C316" t="inlineStr">
        <is>
          <t>Edificio</t>
        </is>
      </c>
      <c r="D316" t="inlineStr">
        <is>
          <t>A</t>
        </is>
      </c>
      <c r="E316" t="inlineStr">
        <is>
          <t>Departamento</t>
        </is>
      </c>
      <c r="F316" t="inlineStr">
        <is>
          <t>704</t>
        </is>
      </c>
      <c r="G316" t="n">
        <v>67</v>
      </c>
      <c r="H316" t="n">
        <v>0</v>
      </c>
      <c r="I316" s="39" t="n">
        <v>438000</v>
      </c>
      <c r="J316" s="39" t="n">
        <v>438000</v>
      </c>
      <c r="Q316" s="39" t="n"/>
      <c r="R316" s="39" t="n"/>
      <c r="Y316" s="39" t="n"/>
      <c r="Z316" s="39" t="n"/>
      <c r="AG316" s="39" t="n"/>
      <c r="AH316" s="39" t="n"/>
      <c r="AI316" t="inlineStr">
        <is>
          <t>ANAMELVA JULIETA AQUISE TIZNADO</t>
        </is>
      </c>
      <c r="AJ316" t="inlineStr">
        <is>
          <t>40917666</t>
        </is>
      </c>
      <c r="AK316" t="inlineStr">
        <is>
          <t>Urb. Aziruni Ciudad Jardin Mz. G2 Lt 04</t>
        </is>
      </c>
      <c r="AL316" t="n">
        <v>0</v>
      </c>
      <c r="AM316" t="inlineStr">
        <is>
          <t>987249596</t>
        </is>
      </c>
      <c r="AN316" t="inlineStr">
        <is>
          <t>anamelvaaquise@gmail.com</t>
        </is>
      </c>
      <c r="AO316" t="inlineStr">
        <is>
          <t>PUNO</t>
        </is>
      </c>
      <c r="AP316" t="inlineStr">
        <is>
          <t>PUNO</t>
        </is>
      </c>
      <c r="AQ316" s="75" t="n">
        <v>46112</v>
      </c>
      <c r="AR316" s="75" t="n">
        <v>46112</v>
      </c>
      <c r="AS316" t="inlineStr">
        <is>
          <t>CUOTA INICIAL</t>
        </is>
      </c>
      <c r="AT316" t="n">
        <v>2</v>
      </c>
      <c r="AU316" t="n">
        <v>20800</v>
      </c>
      <c r="AV316" t="n">
        <v>0</v>
      </c>
      <c r="AW316" t="n">
        <v>0</v>
      </c>
      <c r="AX316" s="39" t="n">
        <v>20800</v>
      </c>
      <c r="AY316" s="39" t="n">
        <v>20800</v>
      </c>
      <c r="AZ316" s="39" t="n">
        <v>0</v>
      </c>
      <c r="BA316" t="n">
        <v>0</v>
      </c>
      <c r="BB316" t="inlineStr">
        <is>
          <t>Crédito Hipotecario</t>
        </is>
      </c>
      <c r="BC316" t="inlineStr">
        <is>
          <t>Scotiabank Perú</t>
        </is>
      </c>
      <c r="BD316" t="inlineStr">
        <is>
          <t>0004071419</t>
        </is>
      </c>
      <c r="BE316" t="inlineStr">
        <is>
          <t>CHEQUE DE GERENCIA</t>
        </is>
      </c>
      <c r="BF316" t="inlineStr">
        <is>
          <t>40917666</t>
        </is>
      </c>
      <c r="BG316" t="inlineStr">
        <is>
          <t>16944610</t>
        </is>
      </c>
      <c r="BH316" t="inlineStr">
        <is>
          <t>No</t>
        </is>
      </c>
      <c r="BI316" t="inlineStr">
        <is>
          <t>NO PRECISA</t>
        </is>
      </c>
      <c r="BJ316" t="n">
        <v>4</v>
      </c>
      <c r="BK316" t="inlineStr">
        <is>
          <t>CANCELADO</t>
        </is>
      </c>
      <c r="BV316" t="inlineStr">
        <is>
          <t>Si</t>
        </is>
      </c>
      <c r="BW316" s="76" t="n">
        <v>46178.35069444445</v>
      </c>
      <c r="BX316" t="inlineStr">
        <is>
          <t>Magaly Guevara Perez</t>
        </is>
      </c>
      <c r="BZ316" t="n">
        <v>14</v>
      </c>
      <c r="CA316" t="inlineStr">
        <is>
          <t>04/06/2026 09:50</t>
        </is>
      </c>
      <c r="CB316" t="n">
        <v>0</v>
      </c>
      <c r="CF316" t="inlineStr">
        <is>
          <t>Cobranzas_2026.csv</t>
        </is>
      </c>
      <c r="CG316" t="n">
        <v>2026</v>
      </c>
      <c r="CH316" t="inlineStr">
        <is>
          <t>01/01/2024</t>
        </is>
      </c>
      <c r="CI316" t="inlineStr">
        <is>
          <t>24/08/2031</t>
        </is>
      </c>
    </row>
    <row r="317">
      <c r="A317" t="inlineStr">
        <is>
          <t>RESIDENCIAL VENECIA</t>
        </is>
      </c>
      <c r="B317" t="inlineStr">
        <is>
          <t>Etapa 1</t>
        </is>
      </c>
      <c r="C317" t="inlineStr">
        <is>
          <t>Edificio</t>
        </is>
      </c>
      <c r="D317" t="inlineStr">
        <is>
          <t>A</t>
        </is>
      </c>
      <c r="E317" t="inlineStr">
        <is>
          <t>Departamento</t>
        </is>
      </c>
      <c r="F317" t="inlineStr">
        <is>
          <t>704</t>
        </is>
      </c>
      <c r="G317" t="n">
        <v>67</v>
      </c>
      <c r="H317" t="n">
        <v>0</v>
      </c>
      <c r="I317" s="39" t="n">
        <v>438000</v>
      </c>
      <c r="J317" s="39" t="n">
        <v>438000</v>
      </c>
      <c r="Q317" s="39" t="n"/>
      <c r="R317" s="39" t="n"/>
      <c r="Y317" s="39" t="n"/>
      <c r="Z317" s="39" t="n"/>
      <c r="AG317" s="39" t="n"/>
      <c r="AH317" s="39" t="n"/>
      <c r="AI317" t="inlineStr">
        <is>
          <t>ANAMELVA JULIETA AQUISE TIZNADO</t>
        </is>
      </c>
      <c r="AJ317" t="inlineStr">
        <is>
          <t>40917666</t>
        </is>
      </c>
      <c r="AK317" t="inlineStr">
        <is>
          <t>Urb. Aziruni Ciudad Jardin Mz. G2 Lt 04</t>
        </is>
      </c>
      <c r="AL317" t="n">
        <v>0</v>
      </c>
      <c r="AM317" t="inlineStr">
        <is>
          <t>987249596</t>
        </is>
      </c>
      <c r="AN317" t="inlineStr">
        <is>
          <t>anamelvaaquise@gmail.com</t>
        </is>
      </c>
      <c r="AO317" t="inlineStr">
        <is>
          <t>PUNO</t>
        </is>
      </c>
      <c r="AP317" t="inlineStr">
        <is>
          <t>PUNO</t>
        </is>
      </c>
      <c r="AQ317" s="75" t="n">
        <v>46203</v>
      </c>
      <c r="AR317" s="75" t="n">
        <v>46172</v>
      </c>
      <c r="AS317" t="inlineStr">
        <is>
          <t>SALDO FINANCIAR</t>
        </is>
      </c>
      <c r="AT317" t="n">
        <v>1</v>
      </c>
      <c r="AU317" t="n">
        <v>394200</v>
      </c>
      <c r="AV317" t="n">
        <v>0</v>
      </c>
      <c r="AW317" t="n">
        <v>0</v>
      </c>
      <c r="AX317" s="39" t="n">
        <v>394200</v>
      </c>
      <c r="AY317" s="39" t="n">
        <v>394200</v>
      </c>
      <c r="AZ317" s="39" t="n">
        <v>0</v>
      </c>
      <c r="BA317" t="n">
        <v>0</v>
      </c>
      <c r="BB317" t="inlineStr">
        <is>
          <t>Crédito Hipotecario</t>
        </is>
      </c>
      <c r="BC317" t="inlineStr">
        <is>
          <t>Scotiabank Perú</t>
        </is>
      </c>
      <c r="BD317" t="inlineStr">
        <is>
          <t>0004071419</t>
        </is>
      </c>
      <c r="BE317" t="inlineStr">
        <is>
          <t>TRANSFERENCIA BANCARIA</t>
        </is>
      </c>
      <c r="BH317" t="inlineStr">
        <is>
          <t>No</t>
        </is>
      </c>
      <c r="BJ317" t="n">
        <v>4</v>
      </c>
      <c r="BK317" t="inlineStr">
        <is>
          <t>CANCELADO</t>
        </is>
      </c>
      <c r="BV317" t="inlineStr">
        <is>
          <t>Si</t>
        </is>
      </c>
      <c r="BW317" s="76" t="n">
        <v>46178.35069444445</v>
      </c>
      <c r="BX317" t="inlineStr">
        <is>
          <t>Magaly Guevara Perez</t>
        </is>
      </c>
      <c r="BZ317" t="n">
        <v>14</v>
      </c>
      <c r="CA317" t="inlineStr">
        <is>
          <t>19/08/2026 11:06</t>
        </is>
      </c>
      <c r="CB317" t="n">
        <v>0</v>
      </c>
      <c r="CF317" t="inlineStr">
        <is>
          <t>Cobranzas_2026.csv</t>
        </is>
      </c>
      <c r="CG317" t="n">
        <v>2026</v>
      </c>
      <c r="CH317" t="inlineStr">
        <is>
          <t>01/01/2024</t>
        </is>
      </c>
      <c r="CI317" t="inlineStr">
        <is>
          <t>24/08/2031</t>
        </is>
      </c>
    </row>
    <row r="318">
      <c r="A318" t="inlineStr">
        <is>
          <t>RESIDENCIAL PRADA</t>
        </is>
      </c>
      <c r="B318" t="inlineStr">
        <is>
          <t>Etapa 1</t>
        </is>
      </c>
      <c r="C318" t="inlineStr">
        <is>
          <t>Edificio</t>
        </is>
      </c>
      <c r="D318" t="inlineStr">
        <is>
          <t>A</t>
        </is>
      </c>
      <c r="E318" t="inlineStr">
        <is>
          <t>Departamento</t>
        </is>
      </c>
      <c r="F318" t="inlineStr">
        <is>
          <t>1003</t>
        </is>
      </c>
      <c r="G318" t="n">
        <v>88.27</v>
      </c>
      <c r="H318" t="n">
        <v>0</v>
      </c>
      <c r="I318" s="39" t="n">
        <v>675000</v>
      </c>
      <c r="J318" s="39" t="n">
        <v>675000</v>
      </c>
      <c r="K318" t="inlineStr">
        <is>
          <t>Edificio</t>
        </is>
      </c>
      <c r="L318" t="inlineStr">
        <is>
          <t>A</t>
        </is>
      </c>
      <c r="M318" t="inlineStr">
        <is>
          <t>Estacionamiento</t>
        </is>
      </c>
      <c r="N318" t="inlineStr">
        <is>
          <t>E 11 - D 08</t>
        </is>
      </c>
      <c r="O318" t="n">
        <v>12.5</v>
      </c>
      <c r="P318" t="n">
        <v>3.8</v>
      </c>
      <c r="Q318" s="39" t="n">
        <v>60400</v>
      </c>
      <c r="R318" s="39" t="n">
        <v>60400</v>
      </c>
      <c r="Y318" s="39" t="n"/>
      <c r="Z318" s="39" t="n"/>
      <c r="AG318" s="39" t="n"/>
      <c r="AH318" s="39" t="n"/>
      <c r="AI318" t="inlineStr">
        <is>
          <t>ANDEAN AYNI TRAVEL AGENCIA DE VIAJES Y TRANSPORTE EIRL</t>
        </is>
      </c>
      <c r="AJ318" t="inlineStr">
        <is>
          <t>20610697403</t>
        </is>
      </c>
      <c r="AK318" t="inlineStr">
        <is>
          <t>JR. DANTE NAVA NRO. 310 BAR. NUEVA UNVERSIDAD</t>
        </is>
      </c>
      <c r="AL318" t="n">
        <v>0</v>
      </c>
      <c r="AM318" t="inlineStr">
        <is>
          <t>951923088</t>
        </is>
      </c>
      <c r="AN318" t="inlineStr">
        <is>
          <t>operacionesjudith@gmail.com</t>
        </is>
      </c>
      <c r="AO318" t="inlineStr">
        <is>
          <t>PUNO</t>
        </is>
      </c>
      <c r="AP318" t="inlineStr">
        <is>
          <t>PUNO</t>
        </is>
      </c>
      <c r="AQ318" s="75" t="n">
        <v>46039</v>
      </c>
      <c r="AR318" s="75" t="n">
        <v>46010</v>
      </c>
      <c r="AS318" t="inlineStr">
        <is>
          <t>SALDO FINANCIAR</t>
        </is>
      </c>
      <c r="AT318" t="n">
        <v>2</v>
      </c>
      <c r="AU318" t="n">
        <v>66057.14</v>
      </c>
      <c r="AV318" t="n">
        <v>0</v>
      </c>
      <c r="AW318" t="n">
        <v>0</v>
      </c>
      <c r="AX318" s="39" t="n">
        <v>66057.14</v>
      </c>
      <c r="AY318" s="39" t="n">
        <v>66057.14</v>
      </c>
      <c r="AZ318" s="39" t="n">
        <v>0</v>
      </c>
      <c r="BA318" t="n">
        <v>0</v>
      </c>
      <c r="BB318" t="inlineStr">
        <is>
          <t>Crédito Directo</t>
        </is>
      </c>
      <c r="BC318" t="inlineStr">
        <is>
          <t>Scotiabank Perú</t>
        </is>
      </c>
      <c r="BD318" t="inlineStr">
        <is>
          <t>000-2768484</t>
        </is>
      </c>
      <c r="BE318" t="inlineStr">
        <is>
          <t>TRANSFERENCIA BANCARIA</t>
        </is>
      </c>
      <c r="BG318" t="inlineStr">
        <is>
          <t>0780435</t>
        </is>
      </c>
      <c r="BH318" t="inlineStr">
        <is>
          <t>Si</t>
        </is>
      </c>
      <c r="BJ318" t="n">
        <v>3.38</v>
      </c>
      <c r="BK318" t="inlineStr">
        <is>
          <t>CANCELADO</t>
        </is>
      </c>
      <c r="BV318" t="inlineStr">
        <is>
          <t>Si</t>
        </is>
      </c>
      <c r="BW318" s="76" t="n">
        <v>45985.73819444444</v>
      </c>
      <c r="BX318" t="inlineStr">
        <is>
          <t>Magaly Guevara Perez</t>
        </is>
      </c>
      <c r="BZ318" t="n">
        <v>28</v>
      </c>
      <c r="CA318" t="inlineStr">
        <is>
          <t>09/06/2026 09:47</t>
        </is>
      </c>
      <c r="CB318" t="n">
        <v>0</v>
      </c>
      <c r="CF318" t="inlineStr">
        <is>
          <t>Cobranzas_2026.csv</t>
        </is>
      </c>
      <c r="CG318" t="n">
        <v>2026</v>
      </c>
      <c r="CH318" t="inlineStr">
        <is>
          <t>01/01/2024</t>
        </is>
      </c>
      <c r="CI318" t="inlineStr">
        <is>
          <t>24/08/2031</t>
        </is>
      </c>
    </row>
    <row r="319">
      <c r="A319" t="inlineStr">
        <is>
          <t>RESIDENCIAL PRADA</t>
        </is>
      </c>
      <c r="B319" t="inlineStr">
        <is>
          <t>Etapa 1</t>
        </is>
      </c>
      <c r="C319" t="inlineStr">
        <is>
          <t>Edificio</t>
        </is>
      </c>
      <c r="D319" t="inlineStr">
        <is>
          <t>A</t>
        </is>
      </c>
      <c r="E319" t="inlineStr">
        <is>
          <t>Departamento</t>
        </is>
      </c>
      <c r="F319" t="inlineStr">
        <is>
          <t>1003</t>
        </is>
      </c>
      <c r="G319" t="n">
        <v>88.27</v>
      </c>
      <c r="H319" t="n">
        <v>0</v>
      </c>
      <c r="I319" s="39" t="n">
        <v>675000</v>
      </c>
      <c r="J319" s="39" t="n">
        <v>675000</v>
      </c>
      <c r="K319" t="inlineStr">
        <is>
          <t>Edificio</t>
        </is>
      </c>
      <c r="L319" t="inlineStr">
        <is>
          <t>A</t>
        </is>
      </c>
      <c r="M319" t="inlineStr">
        <is>
          <t>Estacionamiento</t>
        </is>
      </c>
      <c r="N319" t="inlineStr">
        <is>
          <t>E 11 - D 08</t>
        </is>
      </c>
      <c r="O319" t="n">
        <v>12.5</v>
      </c>
      <c r="P319" t="n">
        <v>3.8</v>
      </c>
      <c r="Q319" s="39" t="n">
        <v>60400</v>
      </c>
      <c r="R319" s="39" t="n">
        <v>60400</v>
      </c>
      <c r="Y319" s="39" t="n"/>
      <c r="Z319" s="39" t="n"/>
      <c r="AG319" s="39" t="n"/>
      <c r="AH319" s="39" t="n"/>
      <c r="AI319" t="inlineStr">
        <is>
          <t>ANDEAN AYNI TRAVEL AGENCIA DE VIAJES Y TRANSPORTE EIRL</t>
        </is>
      </c>
      <c r="AJ319" t="inlineStr">
        <is>
          <t>20610697403</t>
        </is>
      </c>
      <c r="AK319" t="inlineStr">
        <is>
          <t>JR. DANTE NAVA NRO. 310 BAR. NUEVA UNVERSIDAD</t>
        </is>
      </c>
      <c r="AL319" t="n">
        <v>0</v>
      </c>
      <c r="AM319" t="inlineStr">
        <is>
          <t>951923088</t>
        </is>
      </c>
      <c r="AN319" t="inlineStr">
        <is>
          <t>operacionesjudith@gmail.com</t>
        </is>
      </c>
      <c r="AO319" t="inlineStr">
        <is>
          <t>PUNO</t>
        </is>
      </c>
      <c r="AP319" t="inlineStr">
        <is>
          <t>PUNO</t>
        </is>
      </c>
      <c r="AQ319" s="75" t="n">
        <v>46070</v>
      </c>
      <c r="AR319" s="75" t="n">
        <v>46065</v>
      </c>
      <c r="AS319" t="inlineStr">
        <is>
          <t>SALDO FINANCIAR</t>
        </is>
      </c>
      <c r="AT319" t="n">
        <v>3</v>
      </c>
      <c r="AU319" t="n">
        <v>66057.14</v>
      </c>
      <c r="AV319" t="n">
        <v>0</v>
      </c>
      <c r="AW319" t="n">
        <v>0</v>
      </c>
      <c r="AX319" s="39" t="n">
        <v>66057.14</v>
      </c>
      <c r="AY319" s="39" t="n">
        <v>66057.14</v>
      </c>
      <c r="AZ319" s="39" t="n">
        <v>0</v>
      </c>
      <c r="BA319" t="n">
        <v>0</v>
      </c>
      <c r="BB319" t="inlineStr">
        <is>
          <t>Crédito Directo</t>
        </is>
      </c>
      <c r="BC319" t="inlineStr">
        <is>
          <t>Scotiabank Perú</t>
        </is>
      </c>
      <c r="BD319" t="inlineStr">
        <is>
          <t>000-2768484</t>
        </is>
      </c>
      <c r="BE319" t="inlineStr">
        <is>
          <t>TRANSFERENCIA BANCARIA</t>
        </is>
      </c>
      <c r="BG319" t="inlineStr">
        <is>
          <t>0623921</t>
        </is>
      </c>
      <c r="BH319" t="inlineStr">
        <is>
          <t>Si</t>
        </is>
      </c>
      <c r="BJ319" t="n">
        <v>3.38</v>
      </c>
      <c r="BK319" t="inlineStr">
        <is>
          <t>CANCELADO</t>
        </is>
      </c>
      <c r="BV319" t="inlineStr">
        <is>
          <t>Si</t>
        </is>
      </c>
      <c r="BW319" s="76" t="n">
        <v>45985.73819444444</v>
      </c>
      <c r="BX319" t="inlineStr">
        <is>
          <t>Magaly Guevara Perez</t>
        </is>
      </c>
      <c r="BZ319" t="n">
        <v>28</v>
      </c>
      <c r="CA319" t="inlineStr">
        <is>
          <t>09/06/2026 09:48</t>
        </is>
      </c>
      <c r="CB319" t="n">
        <v>0</v>
      </c>
      <c r="CF319" t="inlineStr">
        <is>
          <t>Cobranzas_2026.csv</t>
        </is>
      </c>
      <c r="CG319" t="n">
        <v>2026</v>
      </c>
      <c r="CH319" t="inlineStr">
        <is>
          <t>01/01/2024</t>
        </is>
      </c>
      <c r="CI319" t="inlineStr">
        <is>
          <t>24/08/2031</t>
        </is>
      </c>
    </row>
    <row r="320">
      <c r="A320" t="inlineStr">
        <is>
          <t>RESIDENCIAL PRADA</t>
        </is>
      </c>
      <c r="B320" t="inlineStr">
        <is>
          <t>Etapa 1</t>
        </is>
      </c>
      <c r="C320" t="inlineStr">
        <is>
          <t>Edificio</t>
        </is>
      </c>
      <c r="D320" t="inlineStr">
        <is>
          <t>A</t>
        </is>
      </c>
      <c r="E320" t="inlineStr">
        <is>
          <t>Departamento</t>
        </is>
      </c>
      <c r="F320" t="inlineStr">
        <is>
          <t>1003</t>
        </is>
      </c>
      <c r="G320" t="n">
        <v>88.27</v>
      </c>
      <c r="H320" t="n">
        <v>0</v>
      </c>
      <c r="I320" s="39" t="n">
        <v>675000</v>
      </c>
      <c r="J320" s="39" t="n">
        <v>675000</v>
      </c>
      <c r="K320" t="inlineStr">
        <is>
          <t>Edificio</t>
        </is>
      </c>
      <c r="L320" t="inlineStr">
        <is>
          <t>A</t>
        </is>
      </c>
      <c r="M320" t="inlineStr">
        <is>
          <t>Estacionamiento</t>
        </is>
      </c>
      <c r="N320" t="inlineStr">
        <is>
          <t>E 11 - D 08</t>
        </is>
      </c>
      <c r="O320" t="n">
        <v>12.5</v>
      </c>
      <c r="P320" t="n">
        <v>3.8</v>
      </c>
      <c r="Q320" s="39" t="n">
        <v>60400</v>
      </c>
      <c r="R320" s="39" t="n">
        <v>60400</v>
      </c>
      <c r="Y320" s="39" t="n"/>
      <c r="Z320" s="39" t="n"/>
      <c r="AG320" s="39" t="n"/>
      <c r="AH320" s="39" t="n"/>
      <c r="AI320" t="inlineStr">
        <is>
          <t>ANDEAN AYNI TRAVEL AGENCIA DE VIAJES Y TRANSPORTE EIRL</t>
        </is>
      </c>
      <c r="AJ320" t="inlineStr">
        <is>
          <t>20610697403</t>
        </is>
      </c>
      <c r="AK320" t="inlineStr">
        <is>
          <t>JR. DANTE NAVA NRO. 310 BAR. NUEVA UNVERSIDAD</t>
        </is>
      </c>
      <c r="AL320" t="n">
        <v>0</v>
      </c>
      <c r="AM320" t="inlineStr">
        <is>
          <t>951923088</t>
        </is>
      </c>
      <c r="AN320" t="inlineStr">
        <is>
          <t>operacionesjudith@gmail.com</t>
        </is>
      </c>
      <c r="AO320" t="inlineStr">
        <is>
          <t>PUNO</t>
        </is>
      </c>
      <c r="AP320" t="inlineStr">
        <is>
          <t>PUNO</t>
        </is>
      </c>
      <c r="AQ320" s="75" t="n">
        <v>46098</v>
      </c>
      <c r="AR320" s="75" t="n">
        <v>46065</v>
      </c>
      <c r="AS320" t="inlineStr">
        <is>
          <t>SALDO FINANCIAR</t>
        </is>
      </c>
      <c r="AT320" t="n">
        <v>4</v>
      </c>
      <c r="AU320" t="n">
        <v>66057.14</v>
      </c>
      <c r="AV320" t="n">
        <v>0</v>
      </c>
      <c r="AW320" t="n">
        <v>0</v>
      </c>
      <c r="AX320" s="39" t="n">
        <v>66057.14</v>
      </c>
      <c r="AY320" s="39" t="n">
        <v>66057.14</v>
      </c>
      <c r="AZ320" s="39" t="n">
        <v>0</v>
      </c>
      <c r="BA320" t="n">
        <v>0</v>
      </c>
      <c r="BB320" t="inlineStr">
        <is>
          <t>Crédito Directo</t>
        </is>
      </c>
      <c r="BC320" t="inlineStr">
        <is>
          <t>Scotiabank Perú</t>
        </is>
      </c>
      <c r="BD320" t="inlineStr">
        <is>
          <t>000-2768484</t>
        </is>
      </c>
      <c r="BE320" t="inlineStr">
        <is>
          <t>TRANSFERENCIA BANCARIA</t>
        </is>
      </c>
      <c r="BG320" t="inlineStr">
        <is>
          <t>0623921</t>
        </is>
      </c>
      <c r="BH320" t="inlineStr">
        <is>
          <t>Si</t>
        </is>
      </c>
      <c r="BJ320" t="n">
        <v>3.38</v>
      </c>
      <c r="BK320" t="inlineStr">
        <is>
          <t>CANCELADO</t>
        </is>
      </c>
      <c r="BV320" t="inlineStr">
        <is>
          <t>Si</t>
        </is>
      </c>
      <c r="BW320" s="76" t="n">
        <v>45985.73819444444</v>
      </c>
      <c r="BX320" t="inlineStr">
        <is>
          <t>Magaly Guevara Perez</t>
        </is>
      </c>
      <c r="BZ320" t="n">
        <v>28</v>
      </c>
      <c r="CA320" t="inlineStr">
        <is>
          <t>09/06/2026 09:48</t>
        </is>
      </c>
      <c r="CB320" t="n">
        <v>0</v>
      </c>
      <c r="CF320" t="inlineStr">
        <is>
          <t>Cobranzas_2026.csv</t>
        </is>
      </c>
      <c r="CG320" t="n">
        <v>2026</v>
      </c>
      <c r="CH320" t="inlineStr">
        <is>
          <t>01/01/2024</t>
        </is>
      </c>
      <c r="CI320" t="inlineStr">
        <is>
          <t>24/08/2031</t>
        </is>
      </c>
    </row>
    <row r="321">
      <c r="A321" t="inlineStr">
        <is>
          <t>RESIDENCIAL PRADA</t>
        </is>
      </c>
      <c r="B321" t="inlineStr">
        <is>
          <t>Etapa 1</t>
        </is>
      </c>
      <c r="C321" t="inlineStr">
        <is>
          <t>Edificio</t>
        </is>
      </c>
      <c r="D321" t="inlineStr">
        <is>
          <t>A</t>
        </is>
      </c>
      <c r="E321" t="inlineStr">
        <is>
          <t>Departamento</t>
        </is>
      </c>
      <c r="F321" t="inlineStr">
        <is>
          <t>1003</t>
        </is>
      </c>
      <c r="G321" t="n">
        <v>88.27</v>
      </c>
      <c r="H321" t="n">
        <v>0</v>
      </c>
      <c r="I321" s="39" t="n">
        <v>675000</v>
      </c>
      <c r="J321" s="39" t="n">
        <v>675000</v>
      </c>
      <c r="K321" t="inlineStr">
        <is>
          <t>Edificio</t>
        </is>
      </c>
      <c r="L321" t="inlineStr">
        <is>
          <t>A</t>
        </is>
      </c>
      <c r="M321" t="inlineStr">
        <is>
          <t>Estacionamiento</t>
        </is>
      </c>
      <c r="N321" t="inlineStr">
        <is>
          <t>E 11 - D 08</t>
        </is>
      </c>
      <c r="O321" t="n">
        <v>12.5</v>
      </c>
      <c r="P321" t="n">
        <v>3.8</v>
      </c>
      <c r="Q321" s="39" t="n">
        <v>60400</v>
      </c>
      <c r="R321" s="39" t="n">
        <v>60400</v>
      </c>
      <c r="Y321" s="39" t="n"/>
      <c r="Z321" s="39" t="n"/>
      <c r="AG321" s="39" t="n"/>
      <c r="AH321" s="39" t="n"/>
      <c r="AI321" t="inlineStr">
        <is>
          <t>ANDEAN AYNI TRAVEL AGENCIA DE VIAJES Y TRANSPORTE EIRL</t>
        </is>
      </c>
      <c r="AJ321" t="inlineStr">
        <is>
          <t>20610697403</t>
        </is>
      </c>
      <c r="AK321" t="inlineStr">
        <is>
          <t>JR. DANTE NAVA NRO. 310 BAR. NUEVA UNVERSIDAD</t>
        </is>
      </c>
      <c r="AL321" t="n">
        <v>0</v>
      </c>
      <c r="AM321" t="inlineStr">
        <is>
          <t>951923088</t>
        </is>
      </c>
      <c r="AN321" t="inlineStr">
        <is>
          <t>operacionesjudith@gmail.com</t>
        </is>
      </c>
      <c r="AO321" t="inlineStr">
        <is>
          <t>PUNO</t>
        </is>
      </c>
      <c r="AP321" t="inlineStr">
        <is>
          <t>PUNO</t>
        </is>
      </c>
      <c r="AQ321" s="75" t="n">
        <v>46129</v>
      </c>
      <c r="AR321" s="75" t="n">
        <v>46171</v>
      </c>
      <c r="AS321" t="inlineStr">
        <is>
          <t>SALDO FINANCIAR</t>
        </is>
      </c>
      <c r="AT321" t="n">
        <v>5</v>
      </c>
      <c r="AU321" t="n">
        <v>66057.14</v>
      </c>
      <c r="AV321" t="n">
        <v>0</v>
      </c>
      <c r="AW321" t="n">
        <v>0</v>
      </c>
      <c r="AX321" s="39" t="n">
        <v>66057.14</v>
      </c>
      <c r="AY321" s="39" t="n">
        <v>66057.14</v>
      </c>
      <c r="AZ321" s="39" t="n">
        <v>0</v>
      </c>
      <c r="BA321" t="n">
        <v>0</v>
      </c>
      <c r="BB321" t="inlineStr">
        <is>
          <t>Crédito Directo</t>
        </is>
      </c>
      <c r="BC321" t="inlineStr">
        <is>
          <t>Scotiabank Perú</t>
        </is>
      </c>
      <c r="BD321" t="inlineStr">
        <is>
          <t>000-2768484</t>
        </is>
      </c>
      <c r="BE321" t="inlineStr">
        <is>
          <t>TRANSFERENCIA BANCARIA</t>
        </is>
      </c>
      <c r="BG321" t="inlineStr">
        <is>
          <t>0756802</t>
        </is>
      </c>
      <c r="BH321" t="inlineStr">
        <is>
          <t>Si</t>
        </is>
      </c>
      <c r="BJ321" t="n">
        <v>3.38</v>
      </c>
      <c r="BK321" t="inlineStr">
        <is>
          <t>CANCELADO</t>
        </is>
      </c>
      <c r="BV321" t="inlineStr">
        <is>
          <t>Si</t>
        </is>
      </c>
      <c r="BW321" s="76" t="n">
        <v>45985.73819444444</v>
      </c>
      <c r="BX321" t="inlineStr">
        <is>
          <t>Magaly Guevara Perez</t>
        </is>
      </c>
      <c r="BZ321" t="n">
        <v>28</v>
      </c>
      <c r="CA321" t="inlineStr">
        <is>
          <t>09/06/2026 09:51</t>
        </is>
      </c>
      <c r="CB321" t="n">
        <v>0</v>
      </c>
      <c r="CF321" t="inlineStr">
        <is>
          <t>Cobranzas_2026.csv</t>
        </is>
      </c>
      <c r="CG321" t="n">
        <v>2026</v>
      </c>
      <c r="CH321" t="inlineStr">
        <is>
          <t>01/01/2024</t>
        </is>
      </c>
      <c r="CI321" t="inlineStr">
        <is>
          <t>24/08/2031</t>
        </is>
      </c>
    </row>
    <row r="322">
      <c r="A322" t="inlineStr">
        <is>
          <t>RESIDENCIAL PRADA</t>
        </is>
      </c>
      <c r="B322" t="inlineStr">
        <is>
          <t>Etapa 1</t>
        </is>
      </c>
      <c r="C322" t="inlineStr">
        <is>
          <t>Edificio</t>
        </is>
      </c>
      <c r="D322" t="inlineStr">
        <is>
          <t>A</t>
        </is>
      </c>
      <c r="E322" t="inlineStr">
        <is>
          <t>Departamento</t>
        </is>
      </c>
      <c r="F322" t="inlineStr">
        <is>
          <t>1003</t>
        </is>
      </c>
      <c r="G322" t="n">
        <v>88.27</v>
      </c>
      <c r="H322" t="n">
        <v>0</v>
      </c>
      <c r="I322" s="39" t="n">
        <v>675000</v>
      </c>
      <c r="J322" s="39" t="n">
        <v>675000</v>
      </c>
      <c r="K322" t="inlineStr">
        <is>
          <t>Edificio</t>
        </is>
      </c>
      <c r="L322" t="inlineStr">
        <is>
          <t>A</t>
        </is>
      </c>
      <c r="M322" t="inlineStr">
        <is>
          <t>Estacionamiento</t>
        </is>
      </c>
      <c r="N322" t="inlineStr">
        <is>
          <t>E 11 - D 08</t>
        </is>
      </c>
      <c r="O322" t="n">
        <v>12.5</v>
      </c>
      <c r="P322" t="n">
        <v>3.8</v>
      </c>
      <c r="Q322" s="39" t="n">
        <v>60400</v>
      </c>
      <c r="R322" s="39" t="n">
        <v>60400</v>
      </c>
      <c r="Y322" s="39" t="n"/>
      <c r="Z322" s="39" t="n"/>
      <c r="AG322" s="39" t="n"/>
      <c r="AH322" s="39" t="n"/>
      <c r="AI322" t="inlineStr">
        <is>
          <t>ANDEAN AYNI TRAVEL AGENCIA DE VIAJES Y TRANSPORTE EIRL</t>
        </is>
      </c>
      <c r="AJ322" t="inlineStr">
        <is>
          <t>20610697403</t>
        </is>
      </c>
      <c r="AK322" t="inlineStr">
        <is>
          <t>JR. DANTE NAVA NRO. 310 BAR. NUEVA UNVERSIDAD</t>
        </is>
      </c>
      <c r="AL322" t="n">
        <v>0</v>
      </c>
      <c r="AM322" t="inlineStr">
        <is>
          <t>951923088</t>
        </is>
      </c>
      <c r="AN322" t="inlineStr">
        <is>
          <t>operacionesjudith@gmail.com</t>
        </is>
      </c>
      <c r="AO322" t="inlineStr">
        <is>
          <t>PUNO</t>
        </is>
      </c>
      <c r="AP322" t="inlineStr">
        <is>
          <t>PUNO</t>
        </is>
      </c>
      <c r="AQ322" s="75" t="n">
        <v>46159</v>
      </c>
      <c r="AR322" s="75" t="n">
        <v>46171</v>
      </c>
      <c r="AS322" t="inlineStr">
        <is>
          <t>SALDO FINANCIAR</t>
        </is>
      </c>
      <c r="AT322" t="n">
        <v>6</v>
      </c>
      <c r="AU322" t="n">
        <v>66057.14</v>
      </c>
      <c r="AV322" t="n">
        <v>0</v>
      </c>
      <c r="AW322" t="n">
        <v>0</v>
      </c>
      <c r="AX322" s="39" t="n">
        <v>66057.14</v>
      </c>
      <c r="AY322" s="39" t="n">
        <v>66057.14</v>
      </c>
      <c r="AZ322" s="39" t="n">
        <v>0</v>
      </c>
      <c r="BA322" t="n">
        <v>0</v>
      </c>
      <c r="BB322" t="inlineStr">
        <is>
          <t>Crédito Directo</t>
        </is>
      </c>
      <c r="BC322" t="inlineStr">
        <is>
          <t>Scotiabank Perú</t>
        </is>
      </c>
      <c r="BD322" t="inlineStr">
        <is>
          <t>000-2768484</t>
        </is>
      </c>
      <c r="BE322" t="inlineStr">
        <is>
          <t>TRANSFERENCIA BANCARIA</t>
        </is>
      </c>
      <c r="BG322" t="inlineStr">
        <is>
          <t>0756802</t>
        </is>
      </c>
      <c r="BH322" t="inlineStr">
        <is>
          <t>Si</t>
        </is>
      </c>
      <c r="BJ322" t="n">
        <v>3.38</v>
      </c>
      <c r="BK322" t="inlineStr">
        <is>
          <t>CANCELADO</t>
        </is>
      </c>
      <c r="BV322" t="inlineStr">
        <is>
          <t>Si</t>
        </is>
      </c>
      <c r="BW322" s="76" t="n">
        <v>45985.73819444444</v>
      </c>
      <c r="BX322" t="inlineStr">
        <is>
          <t>Magaly Guevara Perez</t>
        </is>
      </c>
      <c r="BZ322" t="n">
        <v>28</v>
      </c>
      <c r="CA322" t="inlineStr">
        <is>
          <t>09/06/2026 09:51</t>
        </is>
      </c>
      <c r="CB322" t="n">
        <v>0</v>
      </c>
      <c r="CF322" t="inlineStr">
        <is>
          <t>Cobranzas_2026.csv</t>
        </is>
      </c>
      <c r="CG322" t="n">
        <v>2026</v>
      </c>
      <c r="CH322" t="inlineStr">
        <is>
          <t>01/01/2024</t>
        </is>
      </c>
      <c r="CI322" t="inlineStr">
        <is>
          <t>24/08/2031</t>
        </is>
      </c>
    </row>
    <row r="323">
      <c r="A323" t="inlineStr">
        <is>
          <t>RESIDENCIAL PRADA</t>
        </is>
      </c>
      <c r="B323" t="inlineStr">
        <is>
          <t>Etapa 1</t>
        </is>
      </c>
      <c r="C323" t="inlineStr">
        <is>
          <t>Edificio</t>
        </is>
      </c>
      <c r="D323" t="inlineStr">
        <is>
          <t>A</t>
        </is>
      </c>
      <c r="E323" t="inlineStr">
        <is>
          <t>Departamento</t>
        </is>
      </c>
      <c r="F323" t="inlineStr">
        <is>
          <t>1003</t>
        </is>
      </c>
      <c r="G323" t="n">
        <v>88.27</v>
      </c>
      <c r="H323" t="n">
        <v>0</v>
      </c>
      <c r="I323" s="39" t="n">
        <v>675000</v>
      </c>
      <c r="J323" s="39" t="n">
        <v>675000</v>
      </c>
      <c r="K323" t="inlineStr">
        <is>
          <t>Edificio</t>
        </is>
      </c>
      <c r="L323" t="inlineStr">
        <is>
          <t>A</t>
        </is>
      </c>
      <c r="M323" t="inlineStr">
        <is>
          <t>Estacionamiento</t>
        </is>
      </c>
      <c r="N323" t="inlineStr">
        <is>
          <t>E 11 - D 08</t>
        </is>
      </c>
      <c r="O323" t="n">
        <v>12.5</v>
      </c>
      <c r="P323" t="n">
        <v>3.8</v>
      </c>
      <c r="Q323" s="39" t="n">
        <v>60400</v>
      </c>
      <c r="R323" s="39" t="n">
        <v>60400</v>
      </c>
      <c r="Y323" s="39" t="n"/>
      <c r="Z323" s="39" t="n"/>
      <c r="AG323" s="39" t="n"/>
      <c r="AH323" s="39" t="n"/>
      <c r="AI323" t="inlineStr">
        <is>
          <t>ANDEAN AYNI TRAVEL AGENCIA DE VIAJES Y TRANSPORTE EIRL</t>
        </is>
      </c>
      <c r="AJ323" t="inlineStr">
        <is>
          <t>20610697403</t>
        </is>
      </c>
      <c r="AK323" t="inlineStr">
        <is>
          <t>JR. DANTE NAVA NRO. 310 BAR. NUEVA UNVERSIDAD</t>
        </is>
      </c>
      <c r="AL323" t="n">
        <v>0</v>
      </c>
      <c r="AM323" t="inlineStr">
        <is>
          <t>951923088</t>
        </is>
      </c>
      <c r="AN323" t="inlineStr">
        <is>
          <t>operacionesjudith@gmail.com</t>
        </is>
      </c>
      <c r="AO323" t="inlineStr">
        <is>
          <t>PUNO</t>
        </is>
      </c>
      <c r="AP323" t="inlineStr">
        <is>
          <t>PUNO</t>
        </is>
      </c>
      <c r="AQ323" s="75" t="n">
        <v>46190</v>
      </c>
      <c r="AR323" s="75" t="n">
        <v>46171</v>
      </c>
      <c r="AS323" t="inlineStr">
        <is>
          <t>SALDO FINANCIAR</t>
        </is>
      </c>
      <c r="AT323" t="n">
        <v>7</v>
      </c>
      <c r="AU323" t="n">
        <v>66057.16</v>
      </c>
      <c r="AV323" t="n">
        <v>0</v>
      </c>
      <c r="AW323" t="n">
        <v>0</v>
      </c>
      <c r="AX323" s="39" t="n">
        <v>66057.16</v>
      </c>
      <c r="AY323" s="39" t="n">
        <v>66057.14</v>
      </c>
      <c r="AZ323" s="39" t="n">
        <v>0</v>
      </c>
      <c r="BA323" t="n">
        <v>0</v>
      </c>
      <c r="BB323" t="inlineStr">
        <is>
          <t>Crédito Directo</t>
        </is>
      </c>
      <c r="BC323" t="inlineStr">
        <is>
          <t>Scotiabank Perú</t>
        </is>
      </c>
      <c r="BD323" t="inlineStr">
        <is>
          <t>000-2768484</t>
        </is>
      </c>
      <c r="BE323" t="inlineStr">
        <is>
          <t>TRANSFERENCIA BANCARIA</t>
        </is>
      </c>
      <c r="BG323" t="inlineStr">
        <is>
          <t>0756802</t>
        </is>
      </c>
      <c r="BH323" t="inlineStr">
        <is>
          <t>Si</t>
        </is>
      </c>
      <c r="BJ323" t="n">
        <v>3.38</v>
      </c>
      <c r="BK323" t="inlineStr">
        <is>
          <t>CANCELADO</t>
        </is>
      </c>
      <c r="BV323" t="inlineStr">
        <is>
          <t>Si</t>
        </is>
      </c>
      <c r="BW323" s="76" t="n">
        <v>45985.73819444444</v>
      </c>
      <c r="BX323" t="inlineStr">
        <is>
          <t>Magaly Guevara Perez</t>
        </is>
      </c>
      <c r="BZ323" t="n">
        <v>28</v>
      </c>
      <c r="CA323" t="inlineStr">
        <is>
          <t>09/06/2026 09:51</t>
        </is>
      </c>
      <c r="CB323" t="n">
        <v>0</v>
      </c>
      <c r="CF323" t="inlineStr">
        <is>
          <t>Cobranzas_2026.csv</t>
        </is>
      </c>
      <c r="CG323" t="n">
        <v>2026</v>
      </c>
      <c r="CH323" t="inlineStr">
        <is>
          <t>01/01/2024</t>
        </is>
      </c>
      <c r="CI323" t="inlineStr">
        <is>
          <t>24/08/2031</t>
        </is>
      </c>
    </row>
    <row r="324">
      <c r="A324" t="inlineStr">
        <is>
          <t>RESIDENCIAL PRADA</t>
        </is>
      </c>
      <c r="B324" t="inlineStr">
        <is>
          <t>Etapa 1</t>
        </is>
      </c>
      <c r="C324" t="inlineStr">
        <is>
          <t>Edificio</t>
        </is>
      </c>
      <c r="D324" t="inlineStr">
        <is>
          <t>A</t>
        </is>
      </c>
      <c r="E324" t="inlineStr">
        <is>
          <t>Estacionamiento</t>
        </is>
      </c>
      <c r="F324" t="inlineStr">
        <is>
          <t>E 14 - D 11</t>
        </is>
      </c>
      <c r="G324" t="n">
        <v>14.63</v>
      </c>
      <c r="H324" t="n">
        <v>2.37</v>
      </c>
      <c r="I324" s="39" t="n">
        <v>56300</v>
      </c>
      <c r="J324" s="39" t="n">
        <v>56300</v>
      </c>
      <c r="Q324" s="39" t="n"/>
      <c r="R324" s="39" t="n"/>
      <c r="Y324" s="39" t="n"/>
      <c r="Z324" s="39" t="n"/>
      <c r="AG324" s="39" t="n"/>
      <c r="AH324" s="39" t="n"/>
      <c r="AI324" t="inlineStr">
        <is>
          <t>Ayleen Katia Messarina Rios</t>
        </is>
      </c>
      <c r="AJ324" t="inlineStr">
        <is>
          <t>70512701</t>
        </is>
      </c>
      <c r="AK324" t="inlineStr">
        <is>
          <t>Departamento 101 Urbanización Santa Rosa de Surco etapa 2 Mz D Lt 23</t>
        </is>
      </c>
      <c r="AL324" t="n">
        <v>978722675</v>
      </c>
      <c r="AM324" t="inlineStr">
        <is>
          <t>978722675</t>
        </is>
      </c>
      <c r="AN324" t="inlineStr">
        <is>
          <t>ayleen30mr@gmail.com</t>
        </is>
      </c>
      <c r="AO324" t="inlineStr">
        <is>
          <t>LIMA</t>
        </is>
      </c>
      <c r="AP324" t="inlineStr">
        <is>
          <t>SANTIAGO DE SURCO</t>
        </is>
      </c>
      <c r="AQ324" s="75" t="n">
        <v>46023</v>
      </c>
      <c r="AR324" s="75" t="n">
        <v>46084</v>
      </c>
      <c r="AS324" t="inlineStr">
        <is>
          <t>SALDO FINANCIAR</t>
        </is>
      </c>
      <c r="AT324" t="n">
        <v>10</v>
      </c>
      <c r="AU324" t="n">
        <v>3800</v>
      </c>
      <c r="AV324" t="n">
        <v>0</v>
      </c>
      <c r="AW324" t="n">
        <v>0</v>
      </c>
      <c r="AX324" s="39" t="n">
        <v>3800</v>
      </c>
      <c r="AY324" s="39" t="n">
        <v>3800</v>
      </c>
      <c r="AZ324" s="39" t="n">
        <v>0</v>
      </c>
      <c r="BA324" t="n">
        <v>0</v>
      </c>
      <c r="BB324" t="inlineStr">
        <is>
          <t>Crédito Directo</t>
        </is>
      </c>
      <c r="BC324" t="inlineStr">
        <is>
          <t>Scotiabank Perú</t>
        </is>
      </c>
      <c r="BD324" t="inlineStr">
        <is>
          <t>000-2768484</t>
        </is>
      </c>
      <c r="BE324" t="inlineStr">
        <is>
          <t>TRANSFERENCIA BANCARIA</t>
        </is>
      </c>
      <c r="BG324" t="inlineStr">
        <is>
          <t>00262072</t>
        </is>
      </c>
      <c r="BH324" t="inlineStr">
        <is>
          <t>No</t>
        </is>
      </c>
      <c r="BJ324" t="n">
        <v>4</v>
      </c>
      <c r="BK324" t="inlineStr">
        <is>
          <t>CANCELADO</t>
        </is>
      </c>
      <c r="BV324" t="inlineStr">
        <is>
          <t>Si</t>
        </is>
      </c>
      <c r="BW324" s="76" t="n">
        <v>45748.62986111111</v>
      </c>
      <c r="BX324" t="inlineStr">
        <is>
          <t>Magaly Guevara Perez</t>
        </is>
      </c>
      <c r="BZ324" t="n">
        <v>56</v>
      </c>
      <c r="CA324" t="inlineStr">
        <is>
          <t>28/06/2026 21:34</t>
        </is>
      </c>
      <c r="CB324" t="n">
        <v>0</v>
      </c>
      <c r="CF324" t="inlineStr">
        <is>
          <t>Cobranzas_2026.csv</t>
        </is>
      </c>
      <c r="CG324" t="n">
        <v>2026</v>
      </c>
      <c r="CH324" t="inlineStr">
        <is>
          <t>01/01/2024</t>
        </is>
      </c>
      <c r="CI324" t="inlineStr">
        <is>
          <t>24/08/2031</t>
        </is>
      </c>
    </row>
    <row r="325">
      <c r="A325" t="inlineStr">
        <is>
          <t>RESIDENCIAL PRADA</t>
        </is>
      </c>
      <c r="B325" t="inlineStr">
        <is>
          <t>Etapa 1</t>
        </is>
      </c>
      <c r="C325" t="inlineStr">
        <is>
          <t>Edificio</t>
        </is>
      </c>
      <c r="D325" t="inlineStr">
        <is>
          <t>A</t>
        </is>
      </c>
      <c r="E325" t="inlineStr">
        <is>
          <t>Estacionamiento</t>
        </is>
      </c>
      <c r="F325" t="inlineStr">
        <is>
          <t>E 14 - D 11</t>
        </is>
      </c>
      <c r="G325" t="n">
        <v>14.63</v>
      </c>
      <c r="H325" t="n">
        <v>2.37</v>
      </c>
      <c r="I325" s="39" t="n">
        <v>56300</v>
      </c>
      <c r="J325" s="39" t="n">
        <v>56300</v>
      </c>
      <c r="Q325" s="39" t="n"/>
      <c r="R325" s="39" t="n"/>
      <c r="Y325" s="39" t="n"/>
      <c r="Z325" s="39" t="n"/>
      <c r="AG325" s="39" t="n"/>
      <c r="AH325" s="39" t="n"/>
      <c r="AI325" t="inlineStr">
        <is>
          <t>Ayleen Katia Messarina Rios</t>
        </is>
      </c>
      <c r="AJ325" t="inlineStr">
        <is>
          <t>70512701</t>
        </is>
      </c>
      <c r="AK325" t="inlineStr">
        <is>
          <t>Departamento 101 Urbanización Santa Rosa de Surco etapa 2 Mz D Lt 23</t>
        </is>
      </c>
      <c r="AL325" t="n">
        <v>978722675</v>
      </c>
      <c r="AM325" t="inlineStr">
        <is>
          <t>978722675</t>
        </is>
      </c>
      <c r="AN325" t="inlineStr">
        <is>
          <t>ayleen30mr@gmail.com</t>
        </is>
      </c>
      <c r="AO325" t="inlineStr">
        <is>
          <t>LIMA</t>
        </is>
      </c>
      <c r="AP325" t="inlineStr">
        <is>
          <t>SANTIAGO DE SURCO</t>
        </is>
      </c>
      <c r="AQ325" s="75" t="n">
        <v>46054</v>
      </c>
      <c r="AR325" s="75" t="n">
        <v>46174</v>
      </c>
      <c r="AS325" t="inlineStr">
        <is>
          <t>SALDO FINANCIAR</t>
        </is>
      </c>
      <c r="AT325" t="n">
        <v>11</v>
      </c>
      <c r="AU325" t="n">
        <v>3800</v>
      </c>
      <c r="AV325" t="n">
        <v>0</v>
      </c>
      <c r="AW325" t="n">
        <v>0</v>
      </c>
      <c r="AX325" s="39" t="n">
        <v>3800</v>
      </c>
      <c r="AY325" s="39" t="n">
        <v>3800</v>
      </c>
      <c r="AZ325" s="39" t="n">
        <v>0</v>
      </c>
      <c r="BA325" t="n">
        <v>0</v>
      </c>
      <c r="BB325" t="inlineStr">
        <is>
          <t>Crédito Directo</t>
        </is>
      </c>
      <c r="BC325" t="inlineStr">
        <is>
          <t>Scotiabank Perú</t>
        </is>
      </c>
      <c r="BD325" t="inlineStr">
        <is>
          <t>000-2768484</t>
        </is>
      </c>
      <c r="BE325" t="inlineStr">
        <is>
          <t>TRANSFERENCIA BANCARIA</t>
        </is>
      </c>
      <c r="BG325" t="inlineStr">
        <is>
          <t>02227091</t>
        </is>
      </c>
      <c r="BH325" t="inlineStr">
        <is>
          <t>No</t>
        </is>
      </c>
      <c r="BJ325" t="n">
        <v>4</v>
      </c>
      <c r="BK325" t="inlineStr">
        <is>
          <t>CANCELADO</t>
        </is>
      </c>
      <c r="BV325" t="inlineStr">
        <is>
          <t>Si</t>
        </is>
      </c>
      <c r="BW325" s="76" t="n">
        <v>45748.62986111111</v>
      </c>
      <c r="BX325" t="inlineStr">
        <is>
          <t>Magaly Guevara Perez</t>
        </is>
      </c>
      <c r="BZ325" t="n">
        <v>56</v>
      </c>
      <c r="CA325" t="inlineStr">
        <is>
          <t>28/06/2026 21:35</t>
        </is>
      </c>
      <c r="CB325" t="n">
        <v>0</v>
      </c>
      <c r="CF325" t="inlineStr">
        <is>
          <t>Cobranzas_2026.csv</t>
        </is>
      </c>
      <c r="CG325" t="n">
        <v>2026</v>
      </c>
      <c r="CH325" t="inlineStr">
        <is>
          <t>01/01/2024</t>
        </is>
      </c>
      <c r="CI325" t="inlineStr">
        <is>
          <t>24/08/2031</t>
        </is>
      </c>
    </row>
    <row r="326">
      <c r="A326" t="inlineStr">
        <is>
          <t>RESIDENCIAL PRADA</t>
        </is>
      </c>
      <c r="B326" t="inlineStr">
        <is>
          <t>Etapa 1</t>
        </is>
      </c>
      <c r="C326" t="inlineStr">
        <is>
          <t>Edificio</t>
        </is>
      </c>
      <c r="D326" t="inlineStr">
        <is>
          <t>A</t>
        </is>
      </c>
      <c r="E326" t="inlineStr">
        <is>
          <t>Estacionamiento</t>
        </is>
      </c>
      <c r="F326" t="inlineStr">
        <is>
          <t>E 14 - D 11</t>
        </is>
      </c>
      <c r="G326" t="n">
        <v>14.63</v>
      </c>
      <c r="H326" t="n">
        <v>2.37</v>
      </c>
      <c r="I326" s="39" t="n">
        <v>56300</v>
      </c>
      <c r="J326" s="39" t="n">
        <v>56300</v>
      </c>
      <c r="Q326" s="39" t="n"/>
      <c r="R326" s="39" t="n"/>
      <c r="Y326" s="39" t="n"/>
      <c r="Z326" s="39" t="n"/>
      <c r="AG326" s="39" t="n"/>
      <c r="AH326" s="39" t="n"/>
      <c r="AI326" t="inlineStr">
        <is>
          <t>Ayleen Katia Messarina Rios</t>
        </is>
      </c>
      <c r="AJ326" t="inlineStr">
        <is>
          <t>70512701</t>
        </is>
      </c>
      <c r="AK326" t="inlineStr">
        <is>
          <t>Departamento 101 Urbanización Santa Rosa de Surco etapa 2 Mz D Lt 23</t>
        </is>
      </c>
      <c r="AL326" t="n">
        <v>978722675</v>
      </c>
      <c r="AM326" t="inlineStr">
        <is>
          <t>978722675</t>
        </is>
      </c>
      <c r="AN326" t="inlineStr">
        <is>
          <t>ayleen30mr@gmail.com</t>
        </is>
      </c>
      <c r="AO326" t="inlineStr">
        <is>
          <t>LIMA</t>
        </is>
      </c>
      <c r="AP326" t="inlineStr">
        <is>
          <t>SANTIAGO DE SURCO</t>
        </is>
      </c>
      <c r="AQ326" s="75" t="n">
        <v>46233</v>
      </c>
      <c r="AR326" s="75" t="n"/>
      <c r="AS326" t="inlineStr">
        <is>
          <t>SALDO FINANCIAR</t>
        </is>
      </c>
      <c r="AT326" t="n">
        <v>12</v>
      </c>
      <c r="AU326" t="n">
        <v>4500</v>
      </c>
      <c r="AV326" t="n">
        <v>0</v>
      </c>
      <c r="AW326" t="n">
        <v>0</v>
      </c>
      <c r="AX326" s="39" t="n">
        <v>4500</v>
      </c>
      <c r="AY326" s="39" t="n">
        <v>0</v>
      </c>
      <c r="AZ326" s="39" t="n">
        <v>4500</v>
      </c>
      <c r="BB326" t="inlineStr">
        <is>
          <t>Crédito Directo</t>
        </is>
      </c>
      <c r="BH326" t="inlineStr">
        <is>
          <t>No</t>
        </is>
      </c>
      <c r="BK326" t="inlineStr">
        <is>
          <t>VENCIDO</t>
        </is>
      </c>
      <c r="BV326" t="inlineStr">
        <is>
          <t>No</t>
        </is>
      </c>
      <c r="BW326" s="76" t="n">
        <v>45748.62986111111</v>
      </c>
      <c r="BX326" t="inlineStr">
        <is>
          <t>Magaly Guevara Perez</t>
        </is>
      </c>
      <c r="BZ326" t="n">
        <v>56</v>
      </c>
      <c r="CB326" t="n">
        <v>0</v>
      </c>
      <c r="CF326" t="inlineStr">
        <is>
          <t>Cobranzas_2026.csv</t>
        </is>
      </c>
      <c r="CG326" t="n">
        <v>2026</v>
      </c>
      <c r="CH326" t="inlineStr">
        <is>
          <t>01/01/2024</t>
        </is>
      </c>
      <c r="CI326" t="inlineStr">
        <is>
          <t>24/08/2031</t>
        </is>
      </c>
    </row>
    <row r="327">
      <c r="A327" t="inlineStr">
        <is>
          <t>RESIDENCIAL PRADA</t>
        </is>
      </c>
      <c r="B327" t="inlineStr">
        <is>
          <t>Etapa 1</t>
        </is>
      </c>
      <c r="C327" t="inlineStr">
        <is>
          <t>Edificio</t>
        </is>
      </c>
      <c r="D327" t="inlineStr">
        <is>
          <t>A</t>
        </is>
      </c>
      <c r="E327" t="inlineStr">
        <is>
          <t>Departamento</t>
        </is>
      </c>
      <c r="F327" t="inlineStr">
        <is>
          <t>1105</t>
        </is>
      </c>
      <c r="G327" t="n">
        <v>61.67</v>
      </c>
      <c r="H327" t="n">
        <v>0</v>
      </c>
      <c r="I327" s="39" t="n">
        <v>429000</v>
      </c>
      <c r="J327" s="39" t="n">
        <v>429000</v>
      </c>
      <c r="Q327" s="39" t="n"/>
      <c r="R327" s="39" t="n"/>
      <c r="Y327" s="39" t="n"/>
      <c r="Z327" s="39" t="n"/>
      <c r="AG327" s="39" t="n"/>
      <c r="AH327" s="39" t="n"/>
      <c r="AI327" t="inlineStr">
        <is>
          <t>CARLOS ENRIQUE MORANTE ARROYO</t>
        </is>
      </c>
      <c r="AJ327" t="inlineStr">
        <is>
          <t>74307522</t>
        </is>
      </c>
      <c r="AK327" t="inlineStr">
        <is>
          <t xml:space="preserve">JR. DANIEL ALCIDES CARRION 570, INT. 15 – MAGDALENA DEL MAR </t>
        </is>
      </c>
      <c r="AL327" t="n">
        <v>921881457</v>
      </c>
      <c r="AM327" t="inlineStr">
        <is>
          <t>921881457</t>
        </is>
      </c>
      <c r="AN327" t="inlineStr">
        <is>
          <t>cmorantea@uni.pe</t>
        </is>
      </c>
      <c r="AO327" t="inlineStr">
        <is>
          <t>LIMA</t>
        </is>
      </c>
      <c r="AP327" t="inlineStr">
        <is>
          <t>MAGDALENA DEL MAR</t>
        </is>
      </c>
      <c r="AQ327" s="75" t="n">
        <v>46103</v>
      </c>
      <c r="AR327" s="75" t="n">
        <v>46103</v>
      </c>
      <c r="AS327" t="inlineStr">
        <is>
          <t>SEPARACION</t>
        </is>
      </c>
      <c r="AT327" t="n">
        <v>1</v>
      </c>
      <c r="AU327" t="n">
        <v>3000</v>
      </c>
      <c r="AV327" t="n">
        <v>0</v>
      </c>
      <c r="AW327" t="n">
        <v>0</v>
      </c>
      <c r="AX327" s="39" t="n">
        <v>3000</v>
      </c>
      <c r="AY327" s="39" t="n">
        <v>3000</v>
      </c>
      <c r="AZ327" s="39" t="n">
        <v>0</v>
      </c>
      <c r="BA327" t="n">
        <v>0</v>
      </c>
      <c r="BB327" t="inlineStr">
        <is>
          <t>Crédito Hipotecario</t>
        </is>
      </c>
      <c r="BC327" t="inlineStr">
        <is>
          <t>Scotiabank Perú</t>
        </is>
      </c>
      <c r="BD327" t="inlineStr">
        <is>
          <t>000-2768484</t>
        </is>
      </c>
      <c r="BE327" t="inlineStr">
        <is>
          <t>TRANSFERENCIA BANCARIA</t>
        </is>
      </c>
      <c r="BG327" t="inlineStr">
        <is>
          <t>00000089000000091</t>
        </is>
      </c>
      <c r="BH327" t="inlineStr">
        <is>
          <t>No</t>
        </is>
      </c>
      <c r="BJ327" t="n">
        <v>4</v>
      </c>
      <c r="BK327" t="inlineStr">
        <is>
          <t>CANCELADO</t>
        </is>
      </c>
      <c r="BV327" t="inlineStr">
        <is>
          <t>Si</t>
        </is>
      </c>
      <c r="BW327" s="76" t="n">
        <v>46122.60069444445</v>
      </c>
      <c r="BX327" t="inlineStr">
        <is>
          <t>Kenny Salazar S</t>
        </is>
      </c>
      <c r="BZ327" t="n">
        <v>49</v>
      </c>
      <c r="CA327" t="inlineStr">
        <is>
          <t>03/06/2026 15:51</t>
        </is>
      </c>
      <c r="CB327" t="n">
        <v>0</v>
      </c>
      <c r="CF327" t="inlineStr">
        <is>
          <t>Cobranzas_2026.csv</t>
        </is>
      </c>
      <c r="CG327" t="n">
        <v>2026</v>
      </c>
      <c r="CH327" t="inlineStr">
        <is>
          <t>01/01/2024</t>
        </is>
      </c>
      <c r="CI327" t="inlineStr">
        <is>
          <t>24/08/2031</t>
        </is>
      </c>
    </row>
    <row r="328">
      <c r="A328" t="inlineStr">
        <is>
          <t>RESIDENCIAL PRADA</t>
        </is>
      </c>
      <c r="B328" t="inlineStr">
        <is>
          <t>Etapa 1</t>
        </is>
      </c>
      <c r="C328" t="inlineStr">
        <is>
          <t>Edificio</t>
        </is>
      </c>
      <c r="D328" t="inlineStr">
        <is>
          <t>A</t>
        </is>
      </c>
      <c r="E328" t="inlineStr">
        <is>
          <t>Departamento</t>
        </is>
      </c>
      <c r="F328" t="inlineStr">
        <is>
          <t>1105</t>
        </is>
      </c>
      <c r="G328" t="n">
        <v>61.67</v>
      </c>
      <c r="H328" t="n">
        <v>0</v>
      </c>
      <c r="I328" s="39" t="n">
        <v>429000</v>
      </c>
      <c r="J328" s="39" t="n">
        <v>429000</v>
      </c>
      <c r="Q328" s="39" t="n"/>
      <c r="R328" s="39" t="n"/>
      <c r="Y328" s="39" t="n"/>
      <c r="Z328" s="39" t="n"/>
      <c r="AG328" s="39" t="n"/>
      <c r="AH328" s="39" t="n"/>
      <c r="AI328" t="inlineStr">
        <is>
          <t>CARLOS ENRIQUE MORANTE ARROYO</t>
        </is>
      </c>
      <c r="AJ328" t="inlineStr">
        <is>
          <t>74307522</t>
        </is>
      </c>
      <c r="AK328" t="inlineStr">
        <is>
          <t xml:space="preserve">JR. DANIEL ALCIDES CARRION 570, INT. 15 – MAGDALENA DEL MAR </t>
        </is>
      </c>
      <c r="AL328" t="n">
        <v>921881457</v>
      </c>
      <c r="AM328" t="inlineStr">
        <is>
          <t>921881457</t>
        </is>
      </c>
      <c r="AN328" t="inlineStr">
        <is>
          <t>cmorantea@uni.pe</t>
        </is>
      </c>
      <c r="AO328" t="inlineStr">
        <is>
          <t>LIMA</t>
        </is>
      </c>
      <c r="AP328" t="inlineStr">
        <is>
          <t>MAGDALENA DEL MAR</t>
        </is>
      </c>
      <c r="AQ328" s="75" t="n">
        <v>46122</v>
      </c>
      <c r="AR328" s="75" t="n">
        <v>46122</v>
      </c>
      <c r="AS328" t="inlineStr">
        <is>
          <t>CUOTA INICIAL</t>
        </is>
      </c>
      <c r="AT328" t="n">
        <v>1</v>
      </c>
      <c r="AU328" t="n">
        <v>0</v>
      </c>
      <c r="AV328" t="n">
        <v>0</v>
      </c>
      <c r="AW328" t="n">
        <v>0</v>
      </c>
      <c r="AX328" s="39" t="n">
        <v>39900</v>
      </c>
      <c r="AY328" s="39" t="n">
        <v>30000</v>
      </c>
      <c r="AZ328" s="39" t="n">
        <v>0</v>
      </c>
      <c r="BA328" t="n">
        <v>0</v>
      </c>
      <c r="BB328" t="inlineStr">
        <is>
          <t>Crédito Hipotecario</t>
        </is>
      </c>
      <c r="BC328" t="inlineStr">
        <is>
          <t>Scotiabank Perú</t>
        </is>
      </c>
      <c r="BD328" t="inlineStr">
        <is>
          <t>000-2768484</t>
        </is>
      </c>
      <c r="BE328" t="inlineStr">
        <is>
          <t>TRANSFERENCIA BANCARIA</t>
        </is>
      </c>
      <c r="BF328" t="inlineStr">
        <is>
          <t>74307522</t>
        </is>
      </c>
      <c r="BG328" t="inlineStr">
        <is>
          <t>023801</t>
        </is>
      </c>
      <c r="BH328" t="inlineStr">
        <is>
          <t>No</t>
        </is>
      </c>
      <c r="BI328" t="inlineStr">
        <is>
          <t>NO PRECISA</t>
        </is>
      </c>
      <c r="BJ328" t="n">
        <v>4</v>
      </c>
      <c r="BK328" t="inlineStr">
        <is>
          <t>CANCELADO</t>
        </is>
      </c>
      <c r="BV328" t="inlineStr">
        <is>
          <t>Si</t>
        </is>
      </c>
      <c r="BW328" s="76" t="n">
        <v>46122.60069444445</v>
      </c>
      <c r="BX328" t="inlineStr">
        <is>
          <t>Kenny Salazar S</t>
        </is>
      </c>
      <c r="BZ328" t="n">
        <v>49</v>
      </c>
      <c r="CA328" t="inlineStr">
        <is>
          <t>05/06/2026 15:32</t>
        </is>
      </c>
      <c r="CB328" t="n">
        <v>0</v>
      </c>
      <c r="CF328" t="inlineStr">
        <is>
          <t>Cobranzas_2026.csv</t>
        </is>
      </c>
      <c r="CG328" t="n">
        <v>2026</v>
      </c>
      <c r="CH328" t="inlineStr">
        <is>
          <t>01/01/2024</t>
        </is>
      </c>
      <c r="CI328" t="inlineStr">
        <is>
          <t>24/08/2031</t>
        </is>
      </c>
    </row>
    <row r="329">
      <c r="A329" t="inlineStr">
        <is>
          <t>RESIDENCIAL PRADA</t>
        </is>
      </c>
      <c r="B329" t="inlineStr">
        <is>
          <t>Etapa 1</t>
        </is>
      </c>
      <c r="C329" t="inlineStr">
        <is>
          <t>Edificio</t>
        </is>
      </c>
      <c r="D329" t="inlineStr">
        <is>
          <t>A</t>
        </is>
      </c>
      <c r="E329" t="inlineStr">
        <is>
          <t>Departamento</t>
        </is>
      </c>
      <c r="F329" t="inlineStr">
        <is>
          <t>1105</t>
        </is>
      </c>
      <c r="G329" t="n">
        <v>61.67</v>
      </c>
      <c r="H329" t="n">
        <v>0</v>
      </c>
      <c r="I329" s="39" t="n">
        <v>429000</v>
      </c>
      <c r="J329" s="39" t="n">
        <v>429000</v>
      </c>
      <c r="Q329" s="39" t="n"/>
      <c r="R329" s="39" t="n"/>
      <c r="Y329" s="39" t="n"/>
      <c r="Z329" s="39" t="n"/>
      <c r="AG329" s="39" t="n"/>
      <c r="AH329" s="39" t="n"/>
      <c r="AI329" t="inlineStr">
        <is>
          <t>CARLOS ENRIQUE MORANTE ARROYO</t>
        </is>
      </c>
      <c r="AJ329" t="inlineStr">
        <is>
          <t>74307522</t>
        </is>
      </c>
      <c r="AK329" t="inlineStr">
        <is>
          <t xml:space="preserve">JR. DANIEL ALCIDES CARRION 570, INT. 15 – MAGDALENA DEL MAR </t>
        </is>
      </c>
      <c r="AL329" t="n">
        <v>921881457</v>
      </c>
      <c r="AM329" t="inlineStr">
        <is>
          <t>921881457</t>
        </is>
      </c>
      <c r="AN329" t="inlineStr">
        <is>
          <t>cmorantea@uni.pe</t>
        </is>
      </c>
      <c r="AO329" t="inlineStr">
        <is>
          <t>LIMA</t>
        </is>
      </c>
      <c r="AP329" t="inlineStr">
        <is>
          <t>MAGDALENA DEL MAR</t>
        </is>
      </c>
      <c r="AQ329" s="75" t="n">
        <v>46122</v>
      </c>
      <c r="AR329" s="75" t="n">
        <v>46122</v>
      </c>
      <c r="AS329" t="inlineStr">
        <is>
          <t>CUOTA INICIAL</t>
        </is>
      </c>
      <c r="AT329" t="n">
        <v>1</v>
      </c>
      <c r="AU329" t="n">
        <v>39900</v>
      </c>
      <c r="AV329" t="n">
        <v>0</v>
      </c>
      <c r="AW329" t="n">
        <v>0</v>
      </c>
      <c r="AX329" s="39" t="n">
        <v>0</v>
      </c>
      <c r="AY329" s="39" t="n">
        <v>9900</v>
      </c>
      <c r="AZ329" s="39" t="n">
        <v>0</v>
      </c>
      <c r="BA329" t="n">
        <v>0</v>
      </c>
      <c r="BB329" t="inlineStr">
        <is>
          <t>Crédito Hipotecario</t>
        </is>
      </c>
      <c r="BC329" t="inlineStr">
        <is>
          <t>Scotiabank Perú</t>
        </is>
      </c>
      <c r="BD329" t="inlineStr">
        <is>
          <t>000-2768484</t>
        </is>
      </c>
      <c r="BE329" t="inlineStr">
        <is>
          <t>TRANSFERENCIA BANCARIA</t>
        </is>
      </c>
      <c r="BF329" t="inlineStr">
        <is>
          <t>74307522</t>
        </is>
      </c>
      <c r="BG329" t="inlineStr">
        <is>
          <t>00005827000000000</t>
        </is>
      </c>
      <c r="BH329" t="inlineStr">
        <is>
          <t>No</t>
        </is>
      </c>
      <c r="BI329" t="inlineStr">
        <is>
          <t>NO PRECISA</t>
        </is>
      </c>
      <c r="BJ329" t="n">
        <v>4</v>
      </c>
      <c r="BK329" t="inlineStr">
        <is>
          <t>CANCELADO</t>
        </is>
      </c>
      <c r="BV329" t="inlineStr">
        <is>
          <t>Si</t>
        </is>
      </c>
      <c r="BW329" s="76" t="n">
        <v>46122.60069444445</v>
      </c>
      <c r="BX329" t="inlineStr">
        <is>
          <t>Kenny Salazar S</t>
        </is>
      </c>
      <c r="BZ329" t="n">
        <v>49</v>
      </c>
      <c r="CA329" t="inlineStr">
        <is>
          <t>05/06/2026 15:34</t>
        </is>
      </c>
      <c r="CB329" t="n">
        <v>0</v>
      </c>
      <c r="CF329" t="inlineStr">
        <is>
          <t>Cobranzas_2026.csv</t>
        </is>
      </c>
      <c r="CG329" t="n">
        <v>2026</v>
      </c>
      <c r="CH329" t="inlineStr">
        <is>
          <t>01/01/2024</t>
        </is>
      </c>
      <c r="CI329" t="inlineStr">
        <is>
          <t>24/08/2031</t>
        </is>
      </c>
    </row>
    <row r="330">
      <c r="A330" t="inlineStr">
        <is>
          <t>RESIDENCIAL PRADA</t>
        </is>
      </c>
      <c r="B330" t="inlineStr">
        <is>
          <t>Etapa 1</t>
        </is>
      </c>
      <c r="C330" t="inlineStr">
        <is>
          <t>Edificio</t>
        </is>
      </c>
      <c r="D330" t="inlineStr">
        <is>
          <t>A</t>
        </is>
      </c>
      <c r="E330" t="inlineStr">
        <is>
          <t>Departamento</t>
        </is>
      </c>
      <c r="F330" t="inlineStr">
        <is>
          <t>1105</t>
        </is>
      </c>
      <c r="G330" t="n">
        <v>61.67</v>
      </c>
      <c r="H330" t="n">
        <v>0</v>
      </c>
      <c r="I330" s="39" t="n">
        <v>429000</v>
      </c>
      <c r="J330" s="39" t="n">
        <v>429000</v>
      </c>
      <c r="Q330" s="39" t="n"/>
      <c r="R330" s="39" t="n"/>
      <c r="Y330" s="39" t="n"/>
      <c r="Z330" s="39" t="n"/>
      <c r="AG330" s="39" t="n"/>
      <c r="AH330" s="39" t="n"/>
      <c r="AI330" t="inlineStr">
        <is>
          <t>CARLOS ENRIQUE MORANTE ARROYO</t>
        </is>
      </c>
      <c r="AJ330" t="inlineStr">
        <is>
          <t>74307522</t>
        </is>
      </c>
      <c r="AK330" t="inlineStr">
        <is>
          <t xml:space="preserve">JR. DANIEL ALCIDES CARRION 570, INT. 15 – MAGDALENA DEL MAR </t>
        </is>
      </c>
      <c r="AL330" t="n">
        <v>921881457</v>
      </c>
      <c r="AM330" t="inlineStr">
        <is>
          <t>921881457</t>
        </is>
      </c>
      <c r="AN330" t="inlineStr">
        <is>
          <t>cmorantea@uni.pe</t>
        </is>
      </c>
      <c r="AO330" t="inlineStr">
        <is>
          <t>LIMA</t>
        </is>
      </c>
      <c r="AP330" t="inlineStr">
        <is>
          <t>MAGDALENA DEL MAR</t>
        </is>
      </c>
      <c r="AQ330" s="75" t="n">
        <v>46172</v>
      </c>
      <c r="AR330" s="75" t="n">
        <v>46172</v>
      </c>
      <c r="AS330" t="inlineStr">
        <is>
          <t>SALDO FINANCIAR</t>
        </is>
      </c>
      <c r="AT330" t="n">
        <v>1</v>
      </c>
      <c r="AU330" t="n">
        <v>386100</v>
      </c>
      <c r="AV330" t="n">
        <v>0</v>
      </c>
      <c r="AW330" t="n">
        <v>0</v>
      </c>
      <c r="AX330" s="39" t="n">
        <v>386100</v>
      </c>
      <c r="AY330" s="39" t="n">
        <v>386100</v>
      </c>
      <c r="AZ330" s="39" t="n">
        <v>0</v>
      </c>
      <c r="BA330" t="n">
        <v>0</v>
      </c>
      <c r="BB330" t="inlineStr">
        <is>
          <t>Crédito Hipotecario</t>
        </is>
      </c>
      <c r="BC330" t="inlineStr">
        <is>
          <t>Scotiabank Perú</t>
        </is>
      </c>
      <c r="BD330" t="inlineStr">
        <is>
          <t>000-2768484</t>
        </is>
      </c>
      <c r="BE330" t="inlineStr">
        <is>
          <t>TRANSFERENCIA BANCARIA</t>
        </is>
      </c>
      <c r="BF330" t="inlineStr">
        <is>
          <t>74307522</t>
        </is>
      </c>
      <c r="BG330" t="inlineStr">
        <is>
          <t>0270800070</t>
        </is>
      </c>
      <c r="BH330" t="inlineStr">
        <is>
          <t>No</t>
        </is>
      </c>
      <c r="BI330" t="inlineStr">
        <is>
          <t>NO PRECISA</t>
        </is>
      </c>
      <c r="BJ330" t="n">
        <v>4</v>
      </c>
      <c r="BK330" t="inlineStr">
        <is>
          <t>CANCELADO</t>
        </is>
      </c>
      <c r="BV330" t="inlineStr">
        <is>
          <t>Si</t>
        </is>
      </c>
      <c r="BW330" s="76" t="n">
        <v>46122.60069444445</v>
      </c>
      <c r="BX330" t="inlineStr">
        <is>
          <t>Kenny Salazar S</t>
        </is>
      </c>
      <c r="BZ330" t="n">
        <v>49</v>
      </c>
      <c r="CA330" t="inlineStr">
        <is>
          <t>05/06/2026 15:37</t>
        </is>
      </c>
      <c r="CB330" t="n">
        <v>0</v>
      </c>
      <c r="CF330" t="inlineStr">
        <is>
          <t>Cobranzas_2026.csv</t>
        </is>
      </c>
      <c r="CG330" t="n">
        <v>2026</v>
      </c>
      <c r="CH330" t="inlineStr">
        <is>
          <t>01/01/2024</t>
        </is>
      </c>
      <c r="CI330" t="inlineStr">
        <is>
          <t>24/08/2031</t>
        </is>
      </c>
    </row>
    <row r="331">
      <c r="A331" t="inlineStr">
        <is>
          <t>RESIDENCIAL PRADA</t>
        </is>
      </c>
      <c r="B331" t="inlineStr">
        <is>
          <t>Etapa 1</t>
        </is>
      </c>
      <c r="C331" t="inlineStr">
        <is>
          <t>Edificio</t>
        </is>
      </c>
      <c r="D331" t="inlineStr">
        <is>
          <t>A</t>
        </is>
      </c>
      <c r="E331" t="inlineStr">
        <is>
          <t>Estacionamiento</t>
        </is>
      </c>
      <c r="F331" t="inlineStr">
        <is>
          <t>E 04 - D 02</t>
        </is>
      </c>
      <c r="G331" t="n">
        <v>13.5</v>
      </c>
      <c r="H331" t="n">
        <v>0.57</v>
      </c>
      <c r="I331" s="39" t="n">
        <v>50500</v>
      </c>
      <c r="J331" s="39" t="n">
        <v>50500</v>
      </c>
      <c r="Q331" s="39" t="n"/>
      <c r="R331" s="39" t="n"/>
      <c r="Y331" s="39" t="n"/>
      <c r="Z331" s="39" t="n"/>
      <c r="AG331" s="39" t="n"/>
      <c r="AH331" s="39" t="n"/>
      <c r="AI331" t="inlineStr">
        <is>
          <t>CARLOS ENRIQUE MORANTE ARROYO</t>
        </is>
      </c>
      <c r="AJ331" t="inlineStr">
        <is>
          <t>74307522</t>
        </is>
      </c>
      <c r="AK331" t="inlineStr">
        <is>
          <t xml:space="preserve">JR. DANIEL ALCIDES CARRION 570, INT. 15 – MAGDALENA DEL MAR </t>
        </is>
      </c>
      <c r="AL331" t="n">
        <v>921881457</v>
      </c>
      <c r="AM331" t="inlineStr">
        <is>
          <t>921881457</t>
        </is>
      </c>
      <c r="AN331" t="inlineStr">
        <is>
          <t>cmorantea@uni.pe</t>
        </is>
      </c>
      <c r="AO331" t="inlineStr">
        <is>
          <t>LIMA</t>
        </is>
      </c>
      <c r="AP331" t="inlineStr">
        <is>
          <t>MAGDALENA DEL MAR</t>
        </is>
      </c>
      <c r="AQ331" s="75" t="n">
        <v>46243</v>
      </c>
      <c r="AR331" s="75" t="n">
        <v>46243</v>
      </c>
      <c r="AS331" t="inlineStr">
        <is>
          <t>SEPARACION</t>
        </is>
      </c>
      <c r="AT331" t="n">
        <v>1</v>
      </c>
      <c r="AU331" t="n">
        <v>3000</v>
      </c>
      <c r="AV331" t="n">
        <v>0</v>
      </c>
      <c r="AW331" t="n">
        <v>0</v>
      </c>
      <c r="AX331" s="39" t="n">
        <v>3000</v>
      </c>
      <c r="AY331" s="39" t="n">
        <v>3000</v>
      </c>
      <c r="AZ331" s="39" t="n">
        <v>0</v>
      </c>
      <c r="BA331" t="n">
        <v>0</v>
      </c>
      <c r="BB331" t="inlineStr">
        <is>
          <t>Crédito Directo</t>
        </is>
      </c>
      <c r="BC331" t="inlineStr">
        <is>
          <t>Scotiabank Perú</t>
        </is>
      </c>
      <c r="BD331" t="inlineStr">
        <is>
          <t>000-2768484</t>
        </is>
      </c>
      <c r="BE331" t="inlineStr">
        <is>
          <t>TRANSFERENCIA BANCARIA</t>
        </is>
      </c>
      <c r="BG331" t="inlineStr">
        <is>
          <t>000033156</t>
        </is>
      </c>
      <c r="BH331" t="inlineStr">
        <is>
          <t>No</t>
        </is>
      </c>
      <c r="BJ331" t="n">
        <v>4</v>
      </c>
      <c r="BK331" t="inlineStr">
        <is>
          <t>CANCELADO</t>
        </is>
      </c>
      <c r="BV331" t="inlineStr">
        <is>
          <t>Si</t>
        </is>
      </c>
      <c r="BW331" s="76" t="n">
        <v>46246.63402777778</v>
      </c>
      <c r="BX331" t="inlineStr">
        <is>
          <t>Kenny Salazar S</t>
        </is>
      </c>
      <c r="BZ331" t="n">
        <v>57</v>
      </c>
      <c r="CA331" t="inlineStr">
        <is>
          <t>12/08/2026 14:13</t>
        </is>
      </c>
      <c r="CB331" t="n">
        <v>0</v>
      </c>
      <c r="CF331" t="inlineStr">
        <is>
          <t>Cobranzas_2026.csv</t>
        </is>
      </c>
      <c r="CG331" t="n">
        <v>2026</v>
      </c>
      <c r="CH331" t="inlineStr">
        <is>
          <t>01/01/2024</t>
        </is>
      </c>
      <c r="CI331" t="inlineStr">
        <is>
          <t>24/08/2031</t>
        </is>
      </c>
    </row>
    <row r="332">
      <c r="A332" t="inlineStr">
        <is>
          <t>RESIDENCIAL PRADA</t>
        </is>
      </c>
      <c r="B332" t="inlineStr">
        <is>
          <t>Etapa 1</t>
        </is>
      </c>
      <c r="C332" t="inlineStr">
        <is>
          <t>Edificio</t>
        </is>
      </c>
      <c r="D332" t="inlineStr">
        <is>
          <t>A</t>
        </is>
      </c>
      <c r="E332" t="inlineStr">
        <is>
          <t>Estacionamiento</t>
        </is>
      </c>
      <c r="F332" t="inlineStr">
        <is>
          <t>E 04 - D 02</t>
        </is>
      </c>
      <c r="G332" t="n">
        <v>13.5</v>
      </c>
      <c r="H332" t="n">
        <v>0.57</v>
      </c>
      <c r="I332" s="39" t="n">
        <v>50500</v>
      </c>
      <c r="J332" s="39" t="n">
        <v>50500</v>
      </c>
      <c r="Q332" s="39" t="n"/>
      <c r="R332" s="39" t="n"/>
      <c r="Y332" s="39" t="n"/>
      <c r="Z332" s="39" t="n"/>
      <c r="AG332" s="39" t="n"/>
      <c r="AH332" s="39" t="n"/>
      <c r="AI332" t="inlineStr">
        <is>
          <t>CARLOS ENRIQUE MORANTE ARROYO</t>
        </is>
      </c>
      <c r="AJ332" t="inlineStr">
        <is>
          <t>74307522</t>
        </is>
      </c>
      <c r="AK332" t="inlineStr">
        <is>
          <t xml:space="preserve">JR. DANIEL ALCIDES CARRION 570, INT. 15 – MAGDALENA DEL MAR </t>
        </is>
      </c>
      <c r="AL332" t="n">
        <v>921881457</v>
      </c>
      <c r="AM332" t="inlineStr">
        <is>
          <t>921881457</t>
        </is>
      </c>
      <c r="AN332" t="inlineStr">
        <is>
          <t>cmorantea@uni.pe</t>
        </is>
      </c>
      <c r="AO332" t="inlineStr">
        <is>
          <t>LIMA</t>
        </is>
      </c>
      <c r="AP332" t="inlineStr">
        <is>
          <t>MAGDALENA DEL MAR</t>
        </is>
      </c>
      <c r="AQ332" s="75" t="n">
        <v>46248</v>
      </c>
      <c r="AR332" s="75" t="n">
        <v>46248</v>
      </c>
      <c r="AS332" t="inlineStr">
        <is>
          <t>CUOTA INICIAL</t>
        </is>
      </c>
      <c r="AT332" t="n">
        <v>1</v>
      </c>
      <c r="AU332" t="n">
        <v>30000</v>
      </c>
      <c r="AV332" t="n">
        <v>0</v>
      </c>
      <c r="AW332" t="n">
        <v>0</v>
      </c>
      <c r="AX332" s="39" t="n">
        <v>30000</v>
      </c>
      <c r="AY332" s="39" t="n">
        <v>30000</v>
      </c>
      <c r="AZ332" s="39" t="n">
        <v>0</v>
      </c>
      <c r="BA332" t="n">
        <v>0</v>
      </c>
      <c r="BB332" t="inlineStr">
        <is>
          <t>Crédito Directo</t>
        </is>
      </c>
      <c r="BC332" t="inlineStr">
        <is>
          <t>Scotiabank Perú</t>
        </is>
      </c>
      <c r="BD332" t="inlineStr">
        <is>
          <t>000-2768484</t>
        </is>
      </c>
      <c r="BE332" t="inlineStr">
        <is>
          <t>TRANSFERENCIA BANCARIA</t>
        </is>
      </c>
      <c r="BG332" t="inlineStr">
        <is>
          <t>7844655523667</t>
        </is>
      </c>
      <c r="BH332" t="inlineStr">
        <is>
          <t>No</t>
        </is>
      </c>
      <c r="BI332" t="inlineStr">
        <is>
          <t>AHORROS PERSONALES</t>
        </is>
      </c>
      <c r="BJ332" t="n">
        <v>4</v>
      </c>
      <c r="BK332" t="inlineStr">
        <is>
          <t>CANCELADO</t>
        </is>
      </c>
      <c r="BV332" t="inlineStr">
        <is>
          <t>Si</t>
        </is>
      </c>
      <c r="BW332" s="76" t="n">
        <v>46246.63402777778</v>
      </c>
      <c r="BX332" t="inlineStr">
        <is>
          <t>Kenny Salazar S</t>
        </is>
      </c>
      <c r="BZ332" t="n">
        <v>57</v>
      </c>
      <c r="CA332" t="inlineStr">
        <is>
          <t>18/08/2026 10:52</t>
        </is>
      </c>
      <c r="CB332" t="n">
        <v>0</v>
      </c>
      <c r="CF332" t="inlineStr">
        <is>
          <t>Cobranzas_2026.csv</t>
        </is>
      </c>
      <c r="CG332" t="n">
        <v>2026</v>
      </c>
      <c r="CH332" t="inlineStr">
        <is>
          <t>01/01/2024</t>
        </is>
      </c>
      <c r="CI332" t="inlineStr">
        <is>
          <t>24/08/2031</t>
        </is>
      </c>
    </row>
    <row r="333">
      <c r="A333" t="inlineStr">
        <is>
          <t>RESIDENCIAL PRADA</t>
        </is>
      </c>
      <c r="B333" t="inlineStr">
        <is>
          <t>Etapa 1</t>
        </is>
      </c>
      <c r="C333" t="inlineStr">
        <is>
          <t>Edificio</t>
        </is>
      </c>
      <c r="D333" t="inlineStr">
        <is>
          <t>A</t>
        </is>
      </c>
      <c r="E333" t="inlineStr">
        <is>
          <t>Estacionamiento</t>
        </is>
      </c>
      <c r="F333" t="inlineStr">
        <is>
          <t>E 04 - D 02</t>
        </is>
      </c>
      <c r="G333" t="n">
        <v>13.5</v>
      </c>
      <c r="H333" t="n">
        <v>0.57</v>
      </c>
      <c r="I333" s="39" t="n">
        <v>50500</v>
      </c>
      <c r="J333" s="39" t="n">
        <v>50500</v>
      </c>
      <c r="Q333" s="39" t="n"/>
      <c r="R333" s="39" t="n"/>
      <c r="Y333" s="39" t="n"/>
      <c r="Z333" s="39" t="n"/>
      <c r="AG333" s="39" t="n"/>
      <c r="AH333" s="39" t="n"/>
      <c r="AI333" t="inlineStr">
        <is>
          <t>CARLOS ENRIQUE MORANTE ARROYO</t>
        </is>
      </c>
      <c r="AJ333" t="inlineStr">
        <is>
          <t>74307522</t>
        </is>
      </c>
      <c r="AK333" t="inlineStr">
        <is>
          <t xml:space="preserve">JR. DANIEL ALCIDES CARRION 570, INT. 15 – MAGDALENA DEL MAR </t>
        </is>
      </c>
      <c r="AL333" t="n">
        <v>921881457</v>
      </c>
      <c r="AM333" t="inlineStr">
        <is>
          <t>921881457</t>
        </is>
      </c>
      <c r="AN333" t="inlineStr">
        <is>
          <t>cmorantea@uni.pe</t>
        </is>
      </c>
      <c r="AO333" t="inlineStr">
        <is>
          <t>LIMA</t>
        </is>
      </c>
      <c r="AP333" t="inlineStr">
        <is>
          <t>MAGDALENA DEL MAR</t>
        </is>
      </c>
      <c r="AQ333" s="75" t="n">
        <v>46249</v>
      </c>
      <c r="AR333" s="75" t="n">
        <v>46249</v>
      </c>
      <c r="AS333" t="inlineStr">
        <is>
          <t>SALDO FINANCIAR</t>
        </is>
      </c>
      <c r="AT333" t="n">
        <v>1</v>
      </c>
      <c r="AU333" t="n">
        <v>17500</v>
      </c>
      <c r="AV333" t="n">
        <v>0</v>
      </c>
      <c r="AW333" t="n">
        <v>0</v>
      </c>
      <c r="AX333" s="39" t="n">
        <v>17500</v>
      </c>
      <c r="AY333" s="39" t="n">
        <v>17500</v>
      </c>
      <c r="AZ333" s="39" t="n">
        <v>0</v>
      </c>
      <c r="BA333" t="n">
        <v>0</v>
      </c>
      <c r="BB333" t="inlineStr">
        <is>
          <t>Crédito Directo</t>
        </is>
      </c>
      <c r="BC333" t="inlineStr">
        <is>
          <t>Scotiabank Perú</t>
        </is>
      </c>
      <c r="BD333" t="inlineStr">
        <is>
          <t>000-2768484</t>
        </is>
      </c>
      <c r="BE333" t="inlineStr">
        <is>
          <t>TRANSFERENCIA BANCARIA</t>
        </is>
      </c>
      <c r="BG333" t="inlineStr">
        <is>
          <t>7844655523667</t>
        </is>
      </c>
      <c r="BH333" t="inlineStr">
        <is>
          <t>No</t>
        </is>
      </c>
      <c r="BI333" t="inlineStr">
        <is>
          <t>AHORROS PERSONALES</t>
        </is>
      </c>
      <c r="BJ333" t="n">
        <v>4</v>
      </c>
      <c r="BK333" t="inlineStr">
        <is>
          <t>CANCELADO</t>
        </is>
      </c>
      <c r="BV333" t="inlineStr">
        <is>
          <t>Si</t>
        </is>
      </c>
      <c r="BW333" s="76" t="n">
        <v>46246.63402777778</v>
      </c>
      <c r="BX333" t="inlineStr">
        <is>
          <t>Kenny Salazar S</t>
        </is>
      </c>
      <c r="BZ333" t="n">
        <v>57</v>
      </c>
      <c r="CA333" t="inlineStr">
        <is>
          <t>18/08/2026 10:53</t>
        </is>
      </c>
      <c r="CB333" t="n">
        <v>0</v>
      </c>
      <c r="CF333" t="inlineStr">
        <is>
          <t>Cobranzas_2026.csv</t>
        </is>
      </c>
      <c r="CG333" t="n">
        <v>2026</v>
      </c>
      <c r="CH333" t="inlineStr">
        <is>
          <t>01/01/2024</t>
        </is>
      </c>
      <c r="CI333" t="inlineStr">
        <is>
          <t>24/08/2031</t>
        </is>
      </c>
    </row>
    <row r="334">
      <c r="A334" t="inlineStr">
        <is>
          <t>RESIDENCIAL VENECIA</t>
        </is>
      </c>
      <c r="B334" t="inlineStr">
        <is>
          <t>Etapa 1</t>
        </is>
      </c>
      <c r="C334" t="inlineStr">
        <is>
          <t>Edificio</t>
        </is>
      </c>
      <c r="D334" t="inlineStr">
        <is>
          <t>A</t>
        </is>
      </c>
      <c r="E334" t="inlineStr">
        <is>
          <t>Departamento</t>
        </is>
      </c>
      <c r="F334" t="inlineStr">
        <is>
          <t>204</t>
        </is>
      </c>
      <c r="G334" t="n">
        <v>67</v>
      </c>
      <c r="H334" t="n">
        <v>0</v>
      </c>
      <c r="I334" s="39" t="n">
        <v>483000</v>
      </c>
      <c r="J334" s="39" t="n">
        <v>443000</v>
      </c>
      <c r="K334" t="inlineStr">
        <is>
          <t>Edificio</t>
        </is>
      </c>
      <c r="L334" t="inlineStr">
        <is>
          <t>A</t>
        </is>
      </c>
      <c r="M334" t="inlineStr">
        <is>
          <t>Estacionamiento</t>
        </is>
      </c>
      <c r="N334" t="inlineStr">
        <is>
          <t>E 14 - D 4</t>
        </is>
      </c>
      <c r="O334" t="n">
        <v>14.5</v>
      </c>
      <c r="P334" t="n">
        <v>0</v>
      </c>
      <c r="Q334" s="39" t="n">
        <v>42800</v>
      </c>
      <c r="R334" s="39" t="n">
        <v>42800</v>
      </c>
      <c r="Y334" s="39" t="n"/>
      <c r="Z334" s="39" t="n"/>
      <c r="AG334" s="39" t="n"/>
      <c r="AH334" s="39" t="n"/>
      <c r="AI334" t="inlineStr">
        <is>
          <t>Carlos La Cruz Crespo</t>
        </is>
      </c>
      <c r="AJ334" t="inlineStr">
        <is>
          <t>09022488</t>
        </is>
      </c>
      <c r="AK334" t="inlineStr">
        <is>
          <t>comas</t>
        </is>
      </c>
      <c r="AL334" t="n">
        <v>0</v>
      </c>
      <c r="AM334" t="inlineStr">
        <is>
          <t>997009340</t>
        </is>
      </c>
      <c r="AN334" t="inlineStr">
        <is>
          <t>carlos.14lacruz@gmail.com</t>
        </is>
      </c>
      <c r="AO334" t="inlineStr">
        <is>
          <t>LIMA</t>
        </is>
      </c>
      <c r="AP334" t="inlineStr">
        <is>
          <t>COMAS</t>
        </is>
      </c>
      <c r="AQ334" s="75" t="n">
        <v>46204</v>
      </c>
      <c r="AR334" s="75" t="n">
        <v>45839</v>
      </c>
      <c r="AS334" t="inlineStr">
        <is>
          <t>CUOTA INICIAL</t>
        </is>
      </c>
      <c r="AT334" t="n">
        <v>1</v>
      </c>
      <c r="AU334" t="n">
        <v>0</v>
      </c>
      <c r="AV334" t="n">
        <v>0</v>
      </c>
      <c r="AW334" t="n">
        <v>0</v>
      </c>
      <c r="AX334" s="39" t="n">
        <v>45580</v>
      </c>
      <c r="AY334" s="39" t="n">
        <v>30000</v>
      </c>
      <c r="AZ334" s="39" t="n">
        <v>0</v>
      </c>
      <c r="BA334" t="n">
        <v>0</v>
      </c>
      <c r="BB334" t="inlineStr">
        <is>
          <t>Crédito Directo</t>
        </is>
      </c>
      <c r="BC334" t="inlineStr">
        <is>
          <t>Scotiabank Perú</t>
        </is>
      </c>
      <c r="BD334" t="inlineStr">
        <is>
          <t>0004071419</t>
        </is>
      </c>
      <c r="BE334" t="inlineStr">
        <is>
          <t>TRANSFERENCIA BANCARIA</t>
        </is>
      </c>
      <c r="BH334" t="inlineStr">
        <is>
          <t>No</t>
        </is>
      </c>
      <c r="BJ334" t="n">
        <v>4</v>
      </c>
      <c r="BK334" t="inlineStr">
        <is>
          <t>CANCELADO</t>
        </is>
      </c>
      <c r="BV334" t="inlineStr">
        <is>
          <t>Si</t>
        </is>
      </c>
      <c r="BW334" s="76" t="n">
        <v>45839.33541666667</v>
      </c>
      <c r="BX334" t="inlineStr">
        <is>
          <t>Magaly Guevara Perez</t>
        </is>
      </c>
      <c r="BZ334" t="n">
        <v>2</v>
      </c>
      <c r="CA334" t="inlineStr">
        <is>
          <t>18/08/2026 13:42</t>
        </is>
      </c>
      <c r="CB334" t="n">
        <v>0</v>
      </c>
      <c r="CF334" t="inlineStr">
        <is>
          <t>Cobranzas_2026.csv</t>
        </is>
      </c>
      <c r="CG334" t="n">
        <v>2026</v>
      </c>
      <c r="CH334" t="inlineStr">
        <is>
          <t>01/01/2024</t>
        </is>
      </c>
      <c r="CI334" t="inlineStr">
        <is>
          <t>24/08/2031</t>
        </is>
      </c>
    </row>
    <row r="335">
      <c r="A335" t="inlineStr">
        <is>
          <t>RESIDENCIAL VENECIA</t>
        </is>
      </c>
      <c r="B335" t="inlineStr">
        <is>
          <t>Etapa 1</t>
        </is>
      </c>
      <c r="C335" t="inlineStr">
        <is>
          <t>Edificio</t>
        </is>
      </c>
      <c r="D335" t="inlineStr">
        <is>
          <t>A</t>
        </is>
      </c>
      <c r="E335" t="inlineStr">
        <is>
          <t>Departamento</t>
        </is>
      </c>
      <c r="F335" t="inlineStr">
        <is>
          <t>204</t>
        </is>
      </c>
      <c r="G335" t="n">
        <v>67</v>
      </c>
      <c r="H335" t="n">
        <v>0</v>
      </c>
      <c r="I335" s="39" t="n">
        <v>483000</v>
      </c>
      <c r="J335" s="39" t="n">
        <v>443000</v>
      </c>
      <c r="K335" t="inlineStr">
        <is>
          <t>Edificio</t>
        </is>
      </c>
      <c r="L335" t="inlineStr">
        <is>
          <t>A</t>
        </is>
      </c>
      <c r="M335" t="inlineStr">
        <is>
          <t>Estacionamiento</t>
        </is>
      </c>
      <c r="N335" t="inlineStr">
        <is>
          <t>E 14 - D 4</t>
        </is>
      </c>
      <c r="O335" t="n">
        <v>14.5</v>
      </c>
      <c r="P335" t="n">
        <v>0</v>
      </c>
      <c r="Q335" s="39" t="n">
        <v>42800</v>
      </c>
      <c r="R335" s="39" t="n">
        <v>42800</v>
      </c>
      <c r="Y335" s="39" t="n"/>
      <c r="Z335" s="39" t="n"/>
      <c r="AG335" s="39" t="n"/>
      <c r="AH335" s="39" t="n"/>
      <c r="AI335" t="inlineStr">
        <is>
          <t>Carlos La Cruz Crespo</t>
        </is>
      </c>
      <c r="AJ335" t="inlineStr">
        <is>
          <t>09022488</t>
        </is>
      </c>
      <c r="AK335" t="inlineStr">
        <is>
          <t>comas</t>
        </is>
      </c>
      <c r="AL335" t="n">
        <v>0</v>
      </c>
      <c r="AM335" t="inlineStr">
        <is>
          <t>997009340</t>
        </is>
      </c>
      <c r="AN335" t="inlineStr">
        <is>
          <t>carlos.14lacruz@gmail.com</t>
        </is>
      </c>
      <c r="AO335" t="inlineStr">
        <is>
          <t>LIMA</t>
        </is>
      </c>
      <c r="AP335" t="inlineStr">
        <is>
          <t>COMAS</t>
        </is>
      </c>
      <c r="AQ335" s="75" t="n">
        <v>46204</v>
      </c>
      <c r="AR335" s="75" t="n">
        <v>45841</v>
      </c>
      <c r="AS335" t="inlineStr">
        <is>
          <t>CUOTA INICIAL</t>
        </is>
      </c>
      <c r="AT335" t="n">
        <v>1</v>
      </c>
      <c r="AU335" t="n">
        <v>45580</v>
      </c>
      <c r="AV335" t="n">
        <v>0</v>
      </c>
      <c r="AW335" t="n">
        <v>0</v>
      </c>
      <c r="AX335" s="39" t="n">
        <v>0</v>
      </c>
      <c r="AY335" s="39" t="n">
        <v>15580</v>
      </c>
      <c r="AZ335" s="39" t="n">
        <v>0</v>
      </c>
      <c r="BA335" t="n">
        <v>0</v>
      </c>
      <c r="BB335" t="inlineStr">
        <is>
          <t>Crédito Directo</t>
        </is>
      </c>
      <c r="BC335" t="inlineStr">
        <is>
          <t>Scotiabank Perú</t>
        </is>
      </c>
      <c r="BD335" t="inlineStr">
        <is>
          <t>0004071419</t>
        </is>
      </c>
      <c r="BE335" t="inlineStr">
        <is>
          <t>TRANSFERENCIA BANCARIA</t>
        </is>
      </c>
      <c r="BG335" t="inlineStr">
        <is>
          <t>4832000004834</t>
        </is>
      </c>
      <c r="BH335" t="inlineStr">
        <is>
          <t>No</t>
        </is>
      </c>
      <c r="BJ335" t="n">
        <v>4</v>
      </c>
      <c r="BK335" t="inlineStr">
        <is>
          <t>CANCELADO</t>
        </is>
      </c>
      <c r="BV335" t="inlineStr">
        <is>
          <t>Si</t>
        </is>
      </c>
      <c r="BW335" s="76" t="n">
        <v>45839.33541666667</v>
      </c>
      <c r="BX335" t="inlineStr">
        <is>
          <t>Magaly Guevara Perez</t>
        </is>
      </c>
      <c r="BZ335" t="n">
        <v>2</v>
      </c>
      <c r="CA335" t="inlineStr">
        <is>
          <t>18/08/2026 13:42</t>
        </is>
      </c>
      <c r="CB335" t="n">
        <v>0</v>
      </c>
      <c r="CF335" t="inlineStr">
        <is>
          <t>Cobranzas_2026.csv</t>
        </is>
      </c>
      <c r="CG335" t="n">
        <v>2026</v>
      </c>
      <c r="CH335" t="inlineStr">
        <is>
          <t>01/01/2024</t>
        </is>
      </c>
      <c r="CI335" t="inlineStr">
        <is>
          <t>24/08/2031</t>
        </is>
      </c>
    </row>
    <row r="336">
      <c r="A336" t="inlineStr">
        <is>
          <t>RESIDENCIAL VENECIA</t>
        </is>
      </c>
      <c r="B336" t="inlineStr">
        <is>
          <t>Etapa 1</t>
        </is>
      </c>
      <c r="C336" t="inlineStr">
        <is>
          <t>Edificio</t>
        </is>
      </c>
      <c r="D336" t="inlineStr">
        <is>
          <t>A</t>
        </is>
      </c>
      <c r="E336" t="inlineStr">
        <is>
          <t>Departamento</t>
        </is>
      </c>
      <c r="F336" t="inlineStr">
        <is>
          <t>204</t>
        </is>
      </c>
      <c r="G336" t="n">
        <v>67</v>
      </c>
      <c r="H336" t="n">
        <v>0</v>
      </c>
      <c r="I336" s="39" t="n">
        <v>483000</v>
      </c>
      <c r="J336" s="39" t="n">
        <v>443000</v>
      </c>
      <c r="K336" t="inlineStr">
        <is>
          <t>Edificio</t>
        </is>
      </c>
      <c r="L336" t="inlineStr">
        <is>
          <t>A</t>
        </is>
      </c>
      <c r="M336" t="inlineStr">
        <is>
          <t>Estacionamiento</t>
        </is>
      </c>
      <c r="N336" t="inlineStr">
        <is>
          <t>E 14 - D 4</t>
        </is>
      </c>
      <c r="O336" t="n">
        <v>14.5</v>
      </c>
      <c r="P336" t="n">
        <v>0</v>
      </c>
      <c r="Q336" s="39" t="n">
        <v>42800</v>
      </c>
      <c r="R336" s="39" t="n">
        <v>42800</v>
      </c>
      <c r="Y336" s="39" t="n"/>
      <c r="Z336" s="39" t="n"/>
      <c r="AG336" s="39" t="n"/>
      <c r="AH336" s="39" t="n"/>
      <c r="AI336" t="inlineStr">
        <is>
          <t>Carlos La Cruz Crespo</t>
        </is>
      </c>
      <c r="AJ336" t="inlineStr">
        <is>
          <t>09022488</t>
        </is>
      </c>
      <c r="AK336" t="inlineStr">
        <is>
          <t>comas</t>
        </is>
      </c>
      <c r="AL336" t="n">
        <v>0</v>
      </c>
      <c r="AM336" t="inlineStr">
        <is>
          <t>997009340</t>
        </is>
      </c>
      <c r="AN336" t="inlineStr">
        <is>
          <t>carlos.14lacruz@gmail.com</t>
        </is>
      </c>
      <c r="AO336" t="inlineStr">
        <is>
          <t>LIMA</t>
        </is>
      </c>
      <c r="AP336" t="inlineStr">
        <is>
          <t>COMAS</t>
        </is>
      </c>
      <c r="AQ336" s="75" t="n">
        <v>46206</v>
      </c>
      <c r="AR336" s="75" t="n">
        <v>45841</v>
      </c>
      <c r="AS336" t="inlineStr">
        <is>
          <t>CUOTA INICIAL</t>
        </is>
      </c>
      <c r="AT336" t="n">
        <v>2</v>
      </c>
      <c r="AU336" t="n">
        <v>145740</v>
      </c>
      <c r="AV336" t="n">
        <v>0</v>
      </c>
      <c r="AW336" t="n">
        <v>0</v>
      </c>
      <c r="AX336" s="39" t="n">
        <v>145740</v>
      </c>
      <c r="AY336" s="39" t="n">
        <v>145740</v>
      </c>
      <c r="AZ336" s="39" t="n">
        <v>0</v>
      </c>
      <c r="BA336" t="n">
        <v>0</v>
      </c>
      <c r="BB336" t="inlineStr">
        <is>
          <t>Crédito Directo</t>
        </is>
      </c>
      <c r="BC336" t="inlineStr">
        <is>
          <t>Scotiabank Perú</t>
        </is>
      </c>
      <c r="BD336" t="inlineStr">
        <is>
          <t>0004071419</t>
        </is>
      </c>
      <c r="BE336" t="inlineStr">
        <is>
          <t>CHEQUE DE GERENCIA</t>
        </is>
      </c>
      <c r="BF336" t="inlineStr">
        <is>
          <t>00010719</t>
        </is>
      </c>
      <c r="BG336" t="inlineStr">
        <is>
          <t>615597</t>
        </is>
      </c>
      <c r="BH336" t="inlineStr">
        <is>
          <t>No</t>
        </is>
      </c>
      <c r="BJ336" t="n">
        <v>4</v>
      </c>
      <c r="BK336" t="inlineStr">
        <is>
          <t>CANCELADO</t>
        </is>
      </c>
      <c r="BV336" t="inlineStr">
        <is>
          <t>Si</t>
        </is>
      </c>
      <c r="BW336" s="76" t="n">
        <v>45839.33541666667</v>
      </c>
      <c r="BX336" t="inlineStr">
        <is>
          <t>Magaly Guevara Perez</t>
        </is>
      </c>
      <c r="BZ336" t="n">
        <v>2</v>
      </c>
      <c r="CA336" t="inlineStr">
        <is>
          <t>18/08/2026 13:43</t>
        </is>
      </c>
      <c r="CB336" t="n">
        <v>0</v>
      </c>
      <c r="CF336" t="inlineStr">
        <is>
          <t>Cobranzas_2026.csv</t>
        </is>
      </c>
      <c r="CG336" t="n">
        <v>2026</v>
      </c>
      <c r="CH336" t="inlineStr">
        <is>
          <t>01/01/2024</t>
        </is>
      </c>
      <c r="CI336" t="inlineStr">
        <is>
          <t>24/08/2031</t>
        </is>
      </c>
    </row>
    <row r="337">
      <c r="A337" t="inlineStr">
        <is>
          <t>RESIDENCIAL VENECIA</t>
        </is>
      </c>
      <c r="B337" t="inlineStr">
        <is>
          <t>Etapa 1</t>
        </is>
      </c>
      <c r="C337" t="inlineStr">
        <is>
          <t>Edificio</t>
        </is>
      </c>
      <c r="D337" t="inlineStr">
        <is>
          <t>A</t>
        </is>
      </c>
      <c r="E337" t="inlineStr">
        <is>
          <t>Departamento</t>
        </is>
      </c>
      <c r="F337" t="inlineStr">
        <is>
          <t>204</t>
        </is>
      </c>
      <c r="G337" t="n">
        <v>67</v>
      </c>
      <c r="H337" t="n">
        <v>0</v>
      </c>
      <c r="I337" s="39" t="n">
        <v>483000</v>
      </c>
      <c r="J337" s="39" t="n">
        <v>443000</v>
      </c>
      <c r="K337" t="inlineStr">
        <is>
          <t>Edificio</t>
        </is>
      </c>
      <c r="L337" t="inlineStr">
        <is>
          <t>A</t>
        </is>
      </c>
      <c r="M337" t="inlineStr">
        <is>
          <t>Estacionamiento</t>
        </is>
      </c>
      <c r="N337" t="inlineStr">
        <is>
          <t>E 14 - D 4</t>
        </is>
      </c>
      <c r="O337" t="n">
        <v>14.5</v>
      </c>
      <c r="P337" t="n">
        <v>0</v>
      </c>
      <c r="Q337" s="39" t="n">
        <v>42800</v>
      </c>
      <c r="R337" s="39" t="n">
        <v>42800</v>
      </c>
      <c r="Y337" s="39" t="n"/>
      <c r="Z337" s="39" t="n"/>
      <c r="AG337" s="39" t="n"/>
      <c r="AH337" s="39" t="n"/>
      <c r="AI337" t="inlineStr">
        <is>
          <t>Carlos La Cruz Crespo</t>
        </is>
      </c>
      <c r="AJ337" t="inlineStr">
        <is>
          <t>09022488</t>
        </is>
      </c>
      <c r="AK337" t="inlineStr">
        <is>
          <t>comas</t>
        </is>
      </c>
      <c r="AL337" t="n">
        <v>0</v>
      </c>
      <c r="AM337" t="inlineStr">
        <is>
          <t>997009340</t>
        </is>
      </c>
      <c r="AN337" t="inlineStr">
        <is>
          <t>carlos.14lacruz@gmail.com</t>
        </is>
      </c>
      <c r="AO337" t="inlineStr">
        <is>
          <t>LIMA</t>
        </is>
      </c>
      <c r="AP337" t="inlineStr">
        <is>
          <t>COMAS</t>
        </is>
      </c>
      <c r="AQ337" s="75" t="n">
        <v>46027</v>
      </c>
      <c r="AR337" s="75" t="n">
        <v>46027</v>
      </c>
      <c r="AS337" t="inlineStr">
        <is>
          <t>SALDO FINANCIAR</t>
        </is>
      </c>
      <c r="AT337" t="n">
        <v>1</v>
      </c>
      <c r="AU337" t="n">
        <v>70000</v>
      </c>
      <c r="AV337" t="n">
        <v>0</v>
      </c>
      <c r="AW337" t="n">
        <v>0</v>
      </c>
      <c r="AX337" s="39" t="n">
        <v>70000</v>
      </c>
      <c r="AY337" s="39" t="n">
        <v>70000</v>
      </c>
      <c r="AZ337" s="39" t="n">
        <v>0</v>
      </c>
      <c r="BA337" t="n">
        <v>0</v>
      </c>
      <c r="BB337" t="inlineStr">
        <is>
          <t>Crédito Directo</t>
        </is>
      </c>
      <c r="BC337" t="inlineStr">
        <is>
          <t>Scotiabank Perú</t>
        </is>
      </c>
      <c r="BD337" t="inlineStr">
        <is>
          <t>0004071419</t>
        </is>
      </c>
      <c r="BE337" t="inlineStr">
        <is>
          <t>TRANSFERENCIA BANCARIA</t>
        </is>
      </c>
      <c r="BG337" t="inlineStr">
        <is>
          <t>001368634</t>
        </is>
      </c>
      <c r="BH337" t="inlineStr">
        <is>
          <t>No</t>
        </is>
      </c>
      <c r="BJ337" t="n">
        <v>4</v>
      </c>
      <c r="BK337" t="inlineStr">
        <is>
          <t>CANCELADO</t>
        </is>
      </c>
      <c r="BV337" t="inlineStr">
        <is>
          <t>Si</t>
        </is>
      </c>
      <c r="BW337" s="76" t="n">
        <v>45839.33541666667</v>
      </c>
      <c r="BX337" t="inlineStr">
        <is>
          <t>Magaly Guevara Perez</t>
        </is>
      </c>
      <c r="BZ337" t="n">
        <v>2</v>
      </c>
      <c r="CA337" t="inlineStr">
        <is>
          <t>18/08/2026 13:44</t>
        </is>
      </c>
      <c r="CB337" t="n">
        <v>0</v>
      </c>
      <c r="CF337" t="inlineStr">
        <is>
          <t>Cobranzas_2026.csv</t>
        </is>
      </c>
      <c r="CG337" t="n">
        <v>2026</v>
      </c>
      <c r="CH337" t="inlineStr">
        <is>
          <t>01/01/2024</t>
        </is>
      </c>
      <c r="CI337" t="inlineStr">
        <is>
          <t>24/08/2031</t>
        </is>
      </c>
    </row>
    <row r="338">
      <c r="A338" t="inlineStr">
        <is>
          <t>RESIDENCIAL VENECIA</t>
        </is>
      </c>
      <c r="B338" t="inlineStr">
        <is>
          <t>Etapa 1</t>
        </is>
      </c>
      <c r="C338" t="inlineStr">
        <is>
          <t>Edificio</t>
        </is>
      </c>
      <c r="D338" t="inlineStr">
        <is>
          <t>A</t>
        </is>
      </c>
      <c r="E338" t="inlineStr">
        <is>
          <t>Departamento</t>
        </is>
      </c>
      <c r="F338" t="inlineStr">
        <is>
          <t>204</t>
        </is>
      </c>
      <c r="G338" t="n">
        <v>67</v>
      </c>
      <c r="H338" t="n">
        <v>0</v>
      </c>
      <c r="I338" s="39" t="n">
        <v>483000</v>
      </c>
      <c r="J338" s="39" t="n">
        <v>443000</v>
      </c>
      <c r="K338" t="inlineStr">
        <is>
          <t>Edificio</t>
        </is>
      </c>
      <c r="L338" t="inlineStr">
        <is>
          <t>A</t>
        </is>
      </c>
      <c r="M338" t="inlineStr">
        <is>
          <t>Estacionamiento</t>
        </is>
      </c>
      <c r="N338" t="inlineStr">
        <is>
          <t>E 14 - D 4</t>
        </is>
      </c>
      <c r="O338" t="n">
        <v>14.5</v>
      </c>
      <c r="P338" t="n">
        <v>0</v>
      </c>
      <c r="Q338" s="39" t="n">
        <v>42800</v>
      </c>
      <c r="R338" s="39" t="n">
        <v>42800</v>
      </c>
      <c r="Y338" s="39" t="n"/>
      <c r="Z338" s="39" t="n"/>
      <c r="AG338" s="39" t="n"/>
      <c r="AH338" s="39" t="n"/>
      <c r="AI338" t="inlineStr">
        <is>
          <t>Carlos La Cruz Crespo</t>
        </is>
      </c>
      <c r="AJ338" t="inlineStr">
        <is>
          <t>09022488</t>
        </is>
      </c>
      <c r="AK338" t="inlineStr">
        <is>
          <t>comas</t>
        </is>
      </c>
      <c r="AL338" t="n">
        <v>0</v>
      </c>
      <c r="AM338" t="inlineStr">
        <is>
          <t>997009340</t>
        </is>
      </c>
      <c r="AN338" t="inlineStr">
        <is>
          <t>carlos.14lacruz@gmail.com</t>
        </is>
      </c>
      <c r="AO338" t="inlineStr">
        <is>
          <t>LIMA</t>
        </is>
      </c>
      <c r="AP338" t="inlineStr">
        <is>
          <t>COMAS</t>
        </is>
      </c>
      <c r="AQ338" s="75" t="n">
        <v>46063</v>
      </c>
      <c r="AR338" s="75" t="n">
        <v>46063</v>
      </c>
      <c r="AS338" t="inlineStr">
        <is>
          <t>SALDO FINANCIAR</t>
        </is>
      </c>
      <c r="AT338" t="n">
        <v>2</v>
      </c>
      <c r="AU338" t="n">
        <v>83000</v>
      </c>
      <c r="AV338" t="n">
        <v>0</v>
      </c>
      <c r="AW338" t="n">
        <v>0</v>
      </c>
      <c r="AX338" s="39" t="n">
        <v>83000</v>
      </c>
      <c r="AY338" s="39" t="n">
        <v>83000</v>
      </c>
      <c r="AZ338" s="39" t="n">
        <v>0</v>
      </c>
      <c r="BA338" t="n">
        <v>0</v>
      </c>
      <c r="BB338" t="inlineStr">
        <is>
          <t>Crédito Directo</t>
        </is>
      </c>
      <c r="BC338" t="inlineStr">
        <is>
          <t>Scotiabank Perú</t>
        </is>
      </c>
      <c r="BD338" t="inlineStr">
        <is>
          <t>0004071419</t>
        </is>
      </c>
      <c r="BE338" t="inlineStr">
        <is>
          <t>TRANSFERENCIA BANCARIA</t>
        </is>
      </c>
      <c r="BG338" t="inlineStr">
        <is>
          <t>002240036</t>
        </is>
      </c>
      <c r="BH338" t="inlineStr">
        <is>
          <t>No</t>
        </is>
      </c>
      <c r="BJ338" t="n">
        <v>4</v>
      </c>
      <c r="BK338" t="inlineStr">
        <is>
          <t>CANCELADO</t>
        </is>
      </c>
      <c r="BV338" t="inlineStr">
        <is>
          <t>Si</t>
        </is>
      </c>
      <c r="BW338" s="76" t="n">
        <v>45839.33541666667</v>
      </c>
      <c r="BX338" t="inlineStr">
        <is>
          <t>Magaly Guevara Perez</t>
        </is>
      </c>
      <c r="BZ338" t="n">
        <v>2</v>
      </c>
      <c r="CA338" t="inlineStr">
        <is>
          <t>18/08/2026 13:44</t>
        </is>
      </c>
      <c r="CB338" t="n">
        <v>0</v>
      </c>
      <c r="CF338" t="inlineStr">
        <is>
          <t>Cobranzas_2026.csv</t>
        </is>
      </c>
      <c r="CG338" t="n">
        <v>2026</v>
      </c>
      <c r="CH338" t="inlineStr">
        <is>
          <t>01/01/2024</t>
        </is>
      </c>
      <c r="CI338" t="inlineStr">
        <is>
          <t>24/08/2031</t>
        </is>
      </c>
    </row>
    <row r="339">
      <c r="A339" t="inlineStr">
        <is>
          <t>RESIDENCIAL VENECIA</t>
        </is>
      </c>
      <c r="B339" t="inlineStr">
        <is>
          <t>Etapa 1</t>
        </is>
      </c>
      <c r="C339" t="inlineStr">
        <is>
          <t>Edificio</t>
        </is>
      </c>
      <c r="D339" t="inlineStr">
        <is>
          <t>A</t>
        </is>
      </c>
      <c r="E339" t="inlineStr">
        <is>
          <t>Departamento</t>
        </is>
      </c>
      <c r="F339" t="inlineStr">
        <is>
          <t>204</t>
        </is>
      </c>
      <c r="G339" t="n">
        <v>67</v>
      </c>
      <c r="H339" t="n">
        <v>0</v>
      </c>
      <c r="I339" s="39" t="n">
        <v>483000</v>
      </c>
      <c r="J339" s="39" t="n">
        <v>443000</v>
      </c>
      <c r="K339" t="inlineStr">
        <is>
          <t>Edificio</t>
        </is>
      </c>
      <c r="L339" t="inlineStr">
        <is>
          <t>A</t>
        </is>
      </c>
      <c r="M339" t="inlineStr">
        <is>
          <t>Estacionamiento</t>
        </is>
      </c>
      <c r="N339" t="inlineStr">
        <is>
          <t>E 14 - D 4</t>
        </is>
      </c>
      <c r="O339" t="n">
        <v>14.5</v>
      </c>
      <c r="P339" t="n">
        <v>0</v>
      </c>
      <c r="Q339" s="39" t="n">
        <v>42800</v>
      </c>
      <c r="R339" s="39" t="n">
        <v>42800</v>
      </c>
      <c r="Y339" s="39" t="n"/>
      <c r="Z339" s="39" t="n"/>
      <c r="AG339" s="39" t="n"/>
      <c r="AH339" s="39" t="n"/>
      <c r="AI339" t="inlineStr">
        <is>
          <t>Carlos La Cruz Crespo</t>
        </is>
      </c>
      <c r="AJ339" t="inlineStr">
        <is>
          <t>09022488</t>
        </is>
      </c>
      <c r="AK339" t="inlineStr">
        <is>
          <t>comas</t>
        </is>
      </c>
      <c r="AL339" t="n">
        <v>0</v>
      </c>
      <c r="AM339" t="inlineStr">
        <is>
          <t>997009340</t>
        </is>
      </c>
      <c r="AN339" t="inlineStr">
        <is>
          <t>carlos.14lacruz@gmail.com</t>
        </is>
      </c>
      <c r="AO339" t="inlineStr">
        <is>
          <t>LIMA</t>
        </is>
      </c>
      <c r="AP339" t="inlineStr">
        <is>
          <t>COMAS</t>
        </is>
      </c>
      <c r="AQ339" s="75" t="n">
        <v>46167</v>
      </c>
      <c r="AR339" s="75" t="n">
        <v>46167</v>
      </c>
      <c r="AS339" t="inlineStr">
        <is>
          <t>SALDO FINANCIAR</t>
        </is>
      </c>
      <c r="AT339" t="n">
        <v>3</v>
      </c>
      <c r="AU339" t="n">
        <v>40000</v>
      </c>
      <c r="AV339" t="n">
        <v>0</v>
      </c>
      <c r="AW339" t="n">
        <v>0</v>
      </c>
      <c r="AX339" s="39" t="n">
        <v>40000</v>
      </c>
      <c r="AY339" s="39" t="n">
        <v>40000</v>
      </c>
      <c r="AZ339" s="39" t="n">
        <v>0</v>
      </c>
      <c r="BA339" t="n">
        <v>0</v>
      </c>
      <c r="BB339" t="inlineStr">
        <is>
          <t>Crédito Directo</t>
        </is>
      </c>
      <c r="BC339" t="inlineStr">
        <is>
          <t>Scotiabank Perú</t>
        </is>
      </c>
      <c r="BD339" t="inlineStr">
        <is>
          <t>0004071419</t>
        </is>
      </c>
      <c r="BE339" t="inlineStr">
        <is>
          <t>TRANSFERENCIA BANCARIA</t>
        </is>
      </c>
      <c r="BG339" t="inlineStr">
        <is>
          <t>004987948</t>
        </is>
      </c>
      <c r="BH339" t="inlineStr">
        <is>
          <t>No</t>
        </is>
      </c>
      <c r="BJ339" t="n">
        <v>4</v>
      </c>
      <c r="BK339" t="inlineStr">
        <is>
          <t>CANCELADO</t>
        </is>
      </c>
      <c r="BV339" t="inlineStr">
        <is>
          <t>Si</t>
        </is>
      </c>
      <c r="BW339" s="76" t="n">
        <v>45839.33541666667</v>
      </c>
      <c r="BX339" t="inlineStr">
        <is>
          <t>Magaly Guevara Perez</t>
        </is>
      </c>
      <c r="BZ339" t="n">
        <v>2</v>
      </c>
      <c r="CA339" t="inlineStr">
        <is>
          <t>18/08/2026 13:45</t>
        </is>
      </c>
      <c r="CB339" t="n">
        <v>0</v>
      </c>
      <c r="CF339" t="inlineStr">
        <is>
          <t>Cobranzas_2026.csv</t>
        </is>
      </c>
      <c r="CG339" t="n">
        <v>2026</v>
      </c>
      <c r="CH339" t="inlineStr">
        <is>
          <t>01/01/2024</t>
        </is>
      </c>
      <c r="CI339" t="inlineStr">
        <is>
          <t>24/08/2031</t>
        </is>
      </c>
    </row>
    <row r="340">
      <c r="A340" t="inlineStr">
        <is>
          <t>RESIDENCIAL VENECIA</t>
        </is>
      </c>
      <c r="B340" t="inlineStr">
        <is>
          <t>Etapa 1</t>
        </is>
      </c>
      <c r="C340" t="inlineStr">
        <is>
          <t>Edificio</t>
        </is>
      </c>
      <c r="D340" t="inlineStr">
        <is>
          <t>A</t>
        </is>
      </c>
      <c r="E340" t="inlineStr">
        <is>
          <t>Departamento</t>
        </is>
      </c>
      <c r="F340" t="inlineStr">
        <is>
          <t>204</t>
        </is>
      </c>
      <c r="G340" t="n">
        <v>67</v>
      </c>
      <c r="H340" t="n">
        <v>0</v>
      </c>
      <c r="I340" s="39" t="n">
        <v>483000</v>
      </c>
      <c r="J340" s="39" t="n">
        <v>443000</v>
      </c>
      <c r="K340" t="inlineStr">
        <is>
          <t>Edificio</t>
        </is>
      </c>
      <c r="L340" t="inlineStr">
        <is>
          <t>A</t>
        </is>
      </c>
      <c r="M340" t="inlineStr">
        <is>
          <t>Estacionamiento</t>
        </is>
      </c>
      <c r="N340" t="inlineStr">
        <is>
          <t>E 14 - D 4</t>
        </is>
      </c>
      <c r="O340" t="n">
        <v>14.5</v>
      </c>
      <c r="P340" t="n">
        <v>0</v>
      </c>
      <c r="Q340" s="39" t="n">
        <v>42800</v>
      </c>
      <c r="R340" s="39" t="n">
        <v>42800</v>
      </c>
      <c r="Y340" s="39" t="n"/>
      <c r="Z340" s="39" t="n"/>
      <c r="AG340" s="39" t="n"/>
      <c r="AH340" s="39" t="n"/>
      <c r="AI340" t="inlineStr">
        <is>
          <t>Carlos La Cruz Crespo</t>
        </is>
      </c>
      <c r="AJ340" t="inlineStr">
        <is>
          <t>09022488</t>
        </is>
      </c>
      <c r="AK340" t="inlineStr">
        <is>
          <t>comas</t>
        </is>
      </c>
      <c r="AL340" t="n">
        <v>0</v>
      </c>
      <c r="AM340" t="inlineStr">
        <is>
          <t>997009340</t>
        </is>
      </c>
      <c r="AN340" t="inlineStr">
        <is>
          <t>carlos.14lacruz@gmail.com</t>
        </is>
      </c>
      <c r="AO340" t="inlineStr">
        <is>
          <t>LIMA</t>
        </is>
      </c>
      <c r="AP340" t="inlineStr">
        <is>
          <t>COMAS</t>
        </is>
      </c>
      <c r="AQ340" s="75" t="n">
        <v>46295</v>
      </c>
      <c r="AR340" s="75" t="n"/>
      <c r="AS340" t="inlineStr">
        <is>
          <t>SALDO FINANCIAR</t>
        </is>
      </c>
      <c r="AT340" t="n">
        <v>4</v>
      </c>
      <c r="AU340" t="n">
        <v>98480</v>
      </c>
      <c r="AV340" t="n">
        <v>0</v>
      </c>
      <c r="AW340" t="n">
        <v>0</v>
      </c>
      <c r="AX340" s="39" t="n">
        <v>98480</v>
      </c>
      <c r="AY340" s="39" t="n">
        <v>0</v>
      </c>
      <c r="AZ340" s="39" t="n">
        <v>98480</v>
      </c>
      <c r="BB340" t="inlineStr">
        <is>
          <t>Crédito Directo</t>
        </is>
      </c>
      <c r="BH340" t="inlineStr">
        <is>
          <t>No</t>
        </is>
      </c>
      <c r="BK340" t="inlineStr">
        <is>
          <t>PENDIENTE</t>
        </is>
      </c>
      <c r="BV340" t="inlineStr">
        <is>
          <t>No</t>
        </is>
      </c>
      <c r="BW340" s="76" t="n">
        <v>45839.33541666667</v>
      </c>
      <c r="BX340" t="inlineStr">
        <is>
          <t>Magaly Guevara Perez</t>
        </is>
      </c>
      <c r="BZ340" t="n">
        <v>2</v>
      </c>
      <c r="CB340" t="n">
        <v>0</v>
      </c>
      <c r="CF340" t="inlineStr">
        <is>
          <t>Cobranzas_2026.csv</t>
        </is>
      </c>
      <c r="CG340" t="n">
        <v>2026</v>
      </c>
      <c r="CH340" t="inlineStr">
        <is>
          <t>01/01/2024</t>
        </is>
      </c>
      <c r="CI340" t="inlineStr">
        <is>
          <t>24/08/2031</t>
        </is>
      </c>
    </row>
    <row r="341">
      <c r="A341" t="inlineStr">
        <is>
          <t>RESIDENCIAL PRADA</t>
        </is>
      </c>
      <c r="B341" t="inlineStr">
        <is>
          <t>Etapa 1</t>
        </is>
      </c>
      <c r="C341" t="inlineStr">
        <is>
          <t>Edificio</t>
        </is>
      </c>
      <c r="D341" t="inlineStr">
        <is>
          <t>A</t>
        </is>
      </c>
      <c r="E341" t="inlineStr">
        <is>
          <t>Departamento</t>
        </is>
      </c>
      <c r="F341" t="inlineStr">
        <is>
          <t>902</t>
        </is>
      </c>
      <c r="G341" t="n">
        <v>56</v>
      </c>
      <c r="H341" t="n">
        <v>0</v>
      </c>
      <c r="I341" s="39" t="n">
        <v>433500</v>
      </c>
      <c r="J341" s="39" t="n">
        <v>433500</v>
      </c>
      <c r="K341" t="inlineStr">
        <is>
          <t>Edificio</t>
        </is>
      </c>
      <c r="L341" t="inlineStr">
        <is>
          <t>A</t>
        </is>
      </c>
      <c r="M341" t="inlineStr">
        <is>
          <t>Estacionamiento</t>
        </is>
      </c>
      <c r="N341" t="inlineStr">
        <is>
          <t>E 43</t>
        </is>
      </c>
      <c r="O341" t="n">
        <v>13.27</v>
      </c>
      <c r="P341" t="n">
        <v>0</v>
      </c>
      <c r="Q341" s="39" t="n">
        <v>50500</v>
      </c>
      <c r="R341" s="39" t="n">
        <v>50500</v>
      </c>
      <c r="Y341" s="39" t="n"/>
      <c r="Z341" s="39" t="n"/>
      <c r="AG341" s="39" t="n"/>
      <c r="AH341" s="39" t="n"/>
      <c r="AI341" t="inlineStr">
        <is>
          <t>Daniel Alejandro Aguayo Vera</t>
        </is>
      </c>
      <c r="AJ341" t="inlineStr">
        <is>
          <t>76121899</t>
        </is>
      </c>
      <c r="AK341" t="inlineStr">
        <is>
          <t>Calle los Rosales 743 Lima- Chaclacayo.</t>
        </is>
      </c>
      <c r="AL341" t="n">
        <v>943151339</v>
      </c>
      <c r="AM341" t="inlineStr">
        <is>
          <t>943151339</t>
        </is>
      </c>
      <c r="AN341" t="inlineStr">
        <is>
          <t>daniel_aguayo25@hotmail.com</t>
        </is>
      </c>
      <c r="AO341" t="inlineStr">
        <is>
          <t>LIMA</t>
        </is>
      </c>
      <c r="AP341" t="inlineStr">
        <is>
          <t>SAN ISIDRO</t>
        </is>
      </c>
      <c r="AQ341" s="75" t="n">
        <v>46081</v>
      </c>
      <c r="AR341" s="75" t="n">
        <v>46050</v>
      </c>
      <c r="AS341" t="inlineStr">
        <is>
          <t>SALDO FINANCIAR</t>
        </is>
      </c>
      <c r="AT341" t="n">
        <v>1</v>
      </c>
      <c r="AU341" t="n">
        <v>435600</v>
      </c>
      <c r="AV341" t="n">
        <v>0</v>
      </c>
      <c r="AW341" t="n">
        <v>0</v>
      </c>
      <c r="AX341" s="39" t="n">
        <v>435600</v>
      </c>
      <c r="AY341" s="39" t="n">
        <v>435600</v>
      </c>
      <c r="AZ341" s="39" t="n">
        <v>0</v>
      </c>
      <c r="BA341" t="n">
        <v>0</v>
      </c>
      <c r="BB341" t="inlineStr">
        <is>
          <t>Crédito Hipotecario</t>
        </is>
      </c>
      <c r="BC341" t="inlineStr">
        <is>
          <t>Scotiabank Perú</t>
        </is>
      </c>
      <c r="BD341" t="inlineStr">
        <is>
          <t>000-2768484</t>
        </is>
      </c>
      <c r="BE341" t="inlineStr">
        <is>
          <t>TRANSFERENCIA BANCARIA</t>
        </is>
      </c>
      <c r="BF341" t="inlineStr">
        <is>
          <t>76121899</t>
        </is>
      </c>
      <c r="BG341" t="inlineStr">
        <is>
          <t>0270800012</t>
        </is>
      </c>
      <c r="BH341" t="inlineStr">
        <is>
          <t>No</t>
        </is>
      </c>
      <c r="BI341" t="inlineStr">
        <is>
          <t>NO PRECISA</t>
        </is>
      </c>
      <c r="BJ341" t="n">
        <v>4</v>
      </c>
      <c r="BK341" t="inlineStr">
        <is>
          <t>CANCELADO</t>
        </is>
      </c>
      <c r="BV341" t="inlineStr">
        <is>
          <t>Si</t>
        </is>
      </c>
      <c r="BW341" s="76" t="n">
        <v>46008.74444444444</v>
      </c>
      <c r="BX341" t="inlineStr">
        <is>
          <t>Kenny Salazar S</t>
        </is>
      </c>
      <c r="BZ341" t="n">
        <v>41</v>
      </c>
      <c r="CA341" t="inlineStr">
        <is>
          <t>05/06/2026 13:43</t>
        </is>
      </c>
      <c r="CB341" t="n">
        <v>0</v>
      </c>
      <c r="CF341" t="inlineStr">
        <is>
          <t>Cobranzas_2026.csv</t>
        </is>
      </c>
      <c r="CG341" t="n">
        <v>2026</v>
      </c>
      <c r="CH341" t="inlineStr">
        <is>
          <t>01/01/2024</t>
        </is>
      </c>
      <c r="CI341" t="inlineStr">
        <is>
          <t>24/08/2031</t>
        </is>
      </c>
    </row>
    <row r="342">
      <c r="A342" t="inlineStr">
        <is>
          <t>RESIDENCIAL BEYOND</t>
        </is>
      </c>
      <c r="B342" t="inlineStr">
        <is>
          <t>Etapa 1</t>
        </is>
      </c>
      <c r="C342" t="inlineStr">
        <is>
          <t>Edificio</t>
        </is>
      </c>
      <c r="D342" t="inlineStr">
        <is>
          <t>A</t>
        </is>
      </c>
      <c r="E342" t="inlineStr">
        <is>
          <t>Departamento</t>
        </is>
      </c>
      <c r="F342" t="inlineStr">
        <is>
          <t>302</t>
        </is>
      </c>
      <c r="G342" t="n">
        <v>57</v>
      </c>
      <c r="H342" t="n">
        <v>0</v>
      </c>
      <c r="I342" s="39" t="n">
        <v>430000</v>
      </c>
      <c r="J342" s="39" t="n">
        <v>381000</v>
      </c>
      <c r="Q342" s="39" t="n"/>
      <c r="R342" s="39" t="n"/>
      <c r="Y342" s="39" t="n"/>
      <c r="Z342" s="39" t="n"/>
      <c r="AG342" s="39" t="n"/>
      <c r="AH342" s="39" t="n"/>
      <c r="AI342" t="inlineStr">
        <is>
          <t>Danixa Thalia Manosalva Ameri</t>
        </is>
      </c>
      <c r="AJ342" t="inlineStr">
        <is>
          <t>48569476</t>
        </is>
      </c>
      <c r="AK342" t="inlineStr">
        <is>
          <t>Jr. Huáscar 1825 dpto.101</t>
        </is>
      </c>
      <c r="AL342" t="n">
        <v>0</v>
      </c>
      <c r="AM342" t="inlineStr">
        <is>
          <t>992382005</t>
        </is>
      </c>
      <c r="AN342" t="inlineStr">
        <is>
          <t>danixamanosalva94@gmail.com</t>
        </is>
      </c>
      <c r="AO342" t="inlineStr">
        <is>
          <t>LIMA</t>
        </is>
      </c>
      <c r="AP342" t="inlineStr">
        <is>
          <t>JESUS MARIA</t>
        </is>
      </c>
      <c r="AQ342" s="75" t="n">
        <v>46172</v>
      </c>
      <c r="AR342" s="75" t="n"/>
      <c r="AS342" t="inlineStr">
        <is>
          <t>CUOTA INICIAL</t>
        </is>
      </c>
      <c r="AT342" t="n">
        <v>3</v>
      </c>
      <c r="AU342" t="n">
        <v>21000</v>
      </c>
      <c r="AV342" t="n">
        <v>0</v>
      </c>
      <c r="AW342" t="n">
        <v>0</v>
      </c>
      <c r="AX342" s="39" t="n">
        <v>21000</v>
      </c>
      <c r="AY342" s="39" t="n">
        <v>0</v>
      </c>
      <c r="AZ342" s="39" t="n">
        <v>21000</v>
      </c>
      <c r="BB342" t="inlineStr">
        <is>
          <t>Ahorro</t>
        </is>
      </c>
      <c r="BH342" t="inlineStr">
        <is>
          <t>No</t>
        </is>
      </c>
      <c r="BK342" t="inlineStr">
        <is>
          <t>VENCIDO</t>
        </is>
      </c>
      <c r="BV342" t="inlineStr">
        <is>
          <t>No</t>
        </is>
      </c>
      <c r="BW342" s="76" t="n">
        <v>45940.41875</v>
      </c>
      <c r="BX342" t="inlineStr">
        <is>
          <t>Magaly Guevara Perez</t>
        </is>
      </c>
      <c r="BZ342" t="n">
        <v>6</v>
      </c>
      <c r="CB342" t="n">
        <v>0</v>
      </c>
      <c r="CF342" t="inlineStr">
        <is>
          <t>Cobranzas_2026.csv</t>
        </is>
      </c>
      <c r="CG342" t="n">
        <v>2026</v>
      </c>
      <c r="CH342" t="inlineStr">
        <is>
          <t>01/01/2024</t>
        </is>
      </c>
      <c r="CI342" t="inlineStr">
        <is>
          <t>24/08/2031</t>
        </is>
      </c>
    </row>
    <row r="343">
      <c r="A343" t="inlineStr">
        <is>
          <t>RESIDENCIAL BEYOND</t>
        </is>
      </c>
      <c r="B343" t="inlineStr">
        <is>
          <t>Etapa 1</t>
        </is>
      </c>
      <c r="C343" t="inlineStr">
        <is>
          <t>Edificio</t>
        </is>
      </c>
      <c r="D343" t="inlineStr">
        <is>
          <t>A</t>
        </is>
      </c>
      <c r="E343" t="inlineStr">
        <is>
          <t>Departamento</t>
        </is>
      </c>
      <c r="F343" t="inlineStr">
        <is>
          <t>302</t>
        </is>
      </c>
      <c r="G343" t="n">
        <v>57</v>
      </c>
      <c r="H343" t="n">
        <v>0</v>
      </c>
      <c r="I343" s="39" t="n">
        <v>430000</v>
      </c>
      <c r="J343" s="39" t="n">
        <v>381000</v>
      </c>
      <c r="Q343" s="39" t="n"/>
      <c r="R343" s="39" t="n"/>
      <c r="Y343" s="39" t="n"/>
      <c r="Z343" s="39" t="n"/>
      <c r="AG343" s="39" t="n"/>
      <c r="AH343" s="39" t="n"/>
      <c r="AI343" t="inlineStr">
        <is>
          <t>Danixa Thalia Manosalva Ameri</t>
        </is>
      </c>
      <c r="AJ343" t="inlineStr">
        <is>
          <t>48569476</t>
        </is>
      </c>
      <c r="AK343" t="inlineStr">
        <is>
          <t>Jr. Huáscar 1825 dpto.101</t>
        </is>
      </c>
      <c r="AL343" t="n">
        <v>0</v>
      </c>
      <c r="AM343" t="inlineStr">
        <is>
          <t>992382005</t>
        </is>
      </c>
      <c r="AN343" t="inlineStr">
        <is>
          <t>danixamanosalva94@gmail.com</t>
        </is>
      </c>
      <c r="AO343" t="inlineStr">
        <is>
          <t>LIMA</t>
        </is>
      </c>
      <c r="AP343" t="inlineStr">
        <is>
          <t>JESUS MARIA</t>
        </is>
      </c>
      <c r="AQ343" s="75" t="n">
        <v>46234</v>
      </c>
      <c r="AR343" s="75" t="n"/>
      <c r="AS343" t="inlineStr">
        <is>
          <t>SALDO FINANCIAR</t>
        </is>
      </c>
      <c r="AT343" t="n">
        <v>1</v>
      </c>
      <c r="AU343" t="n">
        <v>296000</v>
      </c>
      <c r="AV343" t="n">
        <v>0</v>
      </c>
      <c r="AW343" t="n">
        <v>0</v>
      </c>
      <c r="AX343" s="39" t="n">
        <v>296000</v>
      </c>
      <c r="AY343" s="39" t="n">
        <v>0</v>
      </c>
      <c r="AZ343" s="39" t="n">
        <v>296000</v>
      </c>
      <c r="BB343" t="inlineStr">
        <is>
          <t>Ahorro</t>
        </is>
      </c>
      <c r="BH343" t="inlineStr">
        <is>
          <t>No</t>
        </is>
      </c>
      <c r="BK343" t="inlineStr">
        <is>
          <t>VENCIDO</t>
        </is>
      </c>
      <c r="BV343" t="inlineStr">
        <is>
          <t>No</t>
        </is>
      </c>
      <c r="BW343" s="76" t="n">
        <v>45940.41875</v>
      </c>
      <c r="BX343" t="inlineStr">
        <is>
          <t>Magaly Guevara Perez</t>
        </is>
      </c>
      <c r="BZ343" t="n">
        <v>6</v>
      </c>
      <c r="CB343" t="n">
        <v>0</v>
      </c>
      <c r="CF343" t="inlineStr">
        <is>
          <t>Cobranzas_2026.csv</t>
        </is>
      </c>
      <c r="CG343" t="n">
        <v>2026</v>
      </c>
      <c r="CH343" t="inlineStr">
        <is>
          <t>01/01/2024</t>
        </is>
      </c>
      <c r="CI343" t="inlineStr">
        <is>
          <t>24/08/2031</t>
        </is>
      </c>
    </row>
    <row r="344">
      <c r="A344" t="inlineStr">
        <is>
          <t>RESIDENCIAL PRADA</t>
        </is>
      </c>
      <c r="B344" t="inlineStr">
        <is>
          <t>Etapa 1</t>
        </is>
      </c>
      <c r="C344" t="inlineStr">
        <is>
          <t>Edificio</t>
        </is>
      </c>
      <c r="D344" t="inlineStr">
        <is>
          <t>A</t>
        </is>
      </c>
      <c r="E344" t="inlineStr">
        <is>
          <t>Departamento</t>
        </is>
      </c>
      <c r="F344" t="inlineStr">
        <is>
          <t>1001</t>
        </is>
      </c>
      <c r="G344" t="n">
        <v>82.63</v>
      </c>
      <c r="H344" t="n">
        <v>0</v>
      </c>
      <c r="I344" s="39" t="n">
        <v>615000</v>
      </c>
      <c r="J344" s="39" t="n">
        <v>615000</v>
      </c>
      <c r="Q344" s="39" t="n"/>
      <c r="R344" s="39" t="n"/>
      <c r="Y344" s="39" t="n"/>
      <c r="Z344" s="39" t="n"/>
      <c r="AG344" s="39" t="n"/>
      <c r="AH344" s="39" t="n"/>
      <c r="AI344" t="inlineStr">
        <is>
          <t>Danny Romel Ore Guerreros</t>
        </is>
      </c>
      <c r="AJ344" t="inlineStr">
        <is>
          <t>47474967</t>
        </is>
      </c>
      <c r="AK344" t="inlineStr">
        <is>
          <t>Psj. Ollantay 7 Barrio Vista Alegre</t>
        </is>
      </c>
      <c r="AL344" t="n">
        <v>966327809</v>
      </c>
      <c r="AM344" t="inlineStr">
        <is>
          <t>966327809</t>
        </is>
      </c>
      <c r="AN344" t="inlineStr">
        <is>
          <t>romelore67@gmail.com</t>
        </is>
      </c>
      <c r="AO344" t="inlineStr">
        <is>
          <t>HUAMANGA</t>
        </is>
      </c>
      <c r="AP344" t="inlineStr">
        <is>
          <t>CARMEN ALTO</t>
        </is>
      </c>
      <c r="AQ344" s="75" t="n">
        <v>46037</v>
      </c>
      <c r="AR344" s="75" t="n">
        <v>46056</v>
      </c>
      <c r="AS344" t="inlineStr">
        <is>
          <t>CUOTA INICIAL</t>
        </is>
      </c>
      <c r="AT344" t="n">
        <v>2</v>
      </c>
      <c r="AU344" t="n">
        <v>50000</v>
      </c>
      <c r="AV344" t="n">
        <v>0</v>
      </c>
      <c r="AW344" t="n">
        <v>0</v>
      </c>
      <c r="AX344" s="39" t="n">
        <v>50000</v>
      </c>
      <c r="AY344" s="39" t="n">
        <v>50000</v>
      </c>
      <c r="AZ344" s="39" t="n">
        <v>0</v>
      </c>
      <c r="BA344" t="n">
        <v>0</v>
      </c>
      <c r="BB344" t="inlineStr">
        <is>
          <t>Crédito Hipotecario</t>
        </is>
      </c>
      <c r="BC344" t="inlineStr">
        <is>
          <t>Scotiabank Perú</t>
        </is>
      </c>
      <c r="BD344" t="inlineStr">
        <is>
          <t>000-2768484</t>
        </is>
      </c>
      <c r="BE344" t="inlineStr">
        <is>
          <t>TRANSFERENCIA BANCARIA</t>
        </is>
      </c>
      <c r="BF344" t="inlineStr">
        <is>
          <t>47474967</t>
        </is>
      </c>
      <c r="BG344" t="inlineStr">
        <is>
          <t>214000000001254</t>
        </is>
      </c>
      <c r="BH344" t="inlineStr">
        <is>
          <t>No</t>
        </is>
      </c>
      <c r="BI344" t="inlineStr">
        <is>
          <t>NO PRECISA</t>
        </is>
      </c>
      <c r="BJ344" t="n">
        <v>4</v>
      </c>
      <c r="BK344" t="inlineStr">
        <is>
          <t>CANCELADO</t>
        </is>
      </c>
      <c r="BV344" t="inlineStr">
        <is>
          <t>Si</t>
        </is>
      </c>
      <c r="BW344" s="76" t="n">
        <v>45885.58680555555</v>
      </c>
      <c r="BX344" t="inlineStr">
        <is>
          <t>Kenny Salazar S</t>
        </is>
      </c>
      <c r="BZ344" t="n">
        <v>47</v>
      </c>
      <c r="CA344" t="inlineStr">
        <is>
          <t>05/06/2026 14:23</t>
        </is>
      </c>
      <c r="CB344" t="n">
        <v>0</v>
      </c>
      <c r="CF344" t="inlineStr">
        <is>
          <t>Cobranzas_2026.csv</t>
        </is>
      </c>
      <c r="CG344" t="n">
        <v>2026</v>
      </c>
      <c r="CH344" t="inlineStr">
        <is>
          <t>01/01/2024</t>
        </is>
      </c>
      <c r="CI344" t="inlineStr">
        <is>
          <t>24/08/2031</t>
        </is>
      </c>
    </row>
    <row r="345">
      <c r="A345" t="inlineStr">
        <is>
          <t>RESIDENCIAL PRADA</t>
        </is>
      </c>
      <c r="B345" t="inlineStr">
        <is>
          <t>Etapa 1</t>
        </is>
      </c>
      <c r="C345" t="inlineStr">
        <is>
          <t>Edificio</t>
        </is>
      </c>
      <c r="D345" t="inlineStr">
        <is>
          <t>A</t>
        </is>
      </c>
      <c r="E345" t="inlineStr">
        <is>
          <t>Departamento</t>
        </is>
      </c>
      <c r="F345" t="inlineStr">
        <is>
          <t>1001</t>
        </is>
      </c>
      <c r="G345" t="n">
        <v>82.63</v>
      </c>
      <c r="H345" t="n">
        <v>0</v>
      </c>
      <c r="I345" s="39" t="n">
        <v>615000</v>
      </c>
      <c r="J345" s="39" t="n">
        <v>615000</v>
      </c>
      <c r="Q345" s="39" t="n"/>
      <c r="R345" s="39" t="n"/>
      <c r="Y345" s="39" t="n"/>
      <c r="Z345" s="39" t="n"/>
      <c r="AG345" s="39" t="n"/>
      <c r="AH345" s="39" t="n"/>
      <c r="AI345" t="inlineStr">
        <is>
          <t>Danny Romel Ore Guerreros</t>
        </is>
      </c>
      <c r="AJ345" t="inlineStr">
        <is>
          <t>47474967</t>
        </is>
      </c>
      <c r="AK345" t="inlineStr">
        <is>
          <t>Psj. Ollantay 7 Barrio Vista Alegre</t>
        </is>
      </c>
      <c r="AL345" t="n">
        <v>966327809</v>
      </c>
      <c r="AM345" t="inlineStr">
        <is>
          <t>966327809</t>
        </is>
      </c>
      <c r="AN345" t="inlineStr">
        <is>
          <t>romelore67@gmail.com</t>
        </is>
      </c>
      <c r="AO345" t="inlineStr">
        <is>
          <t>HUAMANGA</t>
        </is>
      </c>
      <c r="AP345" t="inlineStr">
        <is>
          <t>CARMEN ALTO</t>
        </is>
      </c>
      <c r="AQ345" s="75" t="n">
        <v>46037</v>
      </c>
      <c r="AR345" s="75" t="n">
        <v>46056</v>
      </c>
      <c r="AS345" t="inlineStr">
        <is>
          <t>CUOTA INICIAL</t>
        </is>
      </c>
      <c r="AT345" t="n">
        <v>3</v>
      </c>
      <c r="AU345" t="n">
        <v>34000</v>
      </c>
      <c r="AV345" t="n">
        <v>0</v>
      </c>
      <c r="AW345" t="n">
        <v>0</v>
      </c>
      <c r="AX345" s="39" t="n">
        <v>34000</v>
      </c>
      <c r="AY345" s="39" t="n">
        <v>34000</v>
      </c>
      <c r="AZ345" s="39" t="n">
        <v>0</v>
      </c>
      <c r="BA345" t="n">
        <v>0</v>
      </c>
      <c r="BB345" t="inlineStr">
        <is>
          <t>Crédito Hipotecario</t>
        </is>
      </c>
      <c r="BC345" t="inlineStr">
        <is>
          <t>Scotiabank Perú</t>
        </is>
      </c>
      <c r="BD345" t="inlineStr">
        <is>
          <t>00917000000276848424</t>
        </is>
      </c>
      <c r="BE345" t="inlineStr">
        <is>
          <t>TRANSFERENCIA BANCARIA</t>
        </is>
      </c>
      <c r="BF345" t="inlineStr">
        <is>
          <t>47474967</t>
        </is>
      </c>
      <c r="BG345" t="inlineStr">
        <is>
          <t>2768484</t>
        </is>
      </c>
      <c r="BH345" t="inlineStr">
        <is>
          <t>No</t>
        </is>
      </c>
      <c r="BI345" t="inlineStr">
        <is>
          <t>NO PRECISA</t>
        </is>
      </c>
      <c r="BJ345" t="n">
        <v>4</v>
      </c>
      <c r="BK345" t="inlineStr">
        <is>
          <t>CANCELADO</t>
        </is>
      </c>
      <c r="BV345" t="inlineStr">
        <is>
          <t>Si</t>
        </is>
      </c>
      <c r="BW345" s="76" t="n">
        <v>45885.58680555555</v>
      </c>
      <c r="BX345" t="inlineStr">
        <is>
          <t>Kenny Salazar S</t>
        </is>
      </c>
      <c r="BZ345" t="n">
        <v>47</v>
      </c>
      <c r="CA345" t="inlineStr">
        <is>
          <t>05/06/2026 14:25</t>
        </is>
      </c>
      <c r="CB345" t="n">
        <v>0</v>
      </c>
      <c r="CF345" t="inlineStr">
        <is>
          <t>Cobranzas_2026.csv</t>
        </is>
      </c>
      <c r="CG345" t="n">
        <v>2026</v>
      </c>
      <c r="CH345" t="inlineStr">
        <is>
          <t>01/01/2024</t>
        </is>
      </c>
      <c r="CI345" t="inlineStr">
        <is>
          <t>24/08/2031</t>
        </is>
      </c>
    </row>
    <row r="346">
      <c r="A346" t="inlineStr">
        <is>
          <t>RESIDENCIAL PRADA</t>
        </is>
      </c>
      <c r="B346" t="inlineStr">
        <is>
          <t>Etapa 1</t>
        </is>
      </c>
      <c r="C346" t="inlineStr">
        <is>
          <t>Edificio</t>
        </is>
      </c>
      <c r="D346" t="inlineStr">
        <is>
          <t>A</t>
        </is>
      </c>
      <c r="E346" t="inlineStr">
        <is>
          <t>Departamento</t>
        </is>
      </c>
      <c r="F346" t="inlineStr">
        <is>
          <t>1001</t>
        </is>
      </c>
      <c r="G346" t="n">
        <v>82.63</v>
      </c>
      <c r="H346" t="n">
        <v>0</v>
      </c>
      <c r="I346" s="39" t="n">
        <v>615000</v>
      </c>
      <c r="J346" s="39" t="n">
        <v>615000</v>
      </c>
      <c r="Q346" s="39" t="n"/>
      <c r="R346" s="39" t="n"/>
      <c r="Y346" s="39" t="n"/>
      <c r="Z346" s="39" t="n"/>
      <c r="AG346" s="39" t="n"/>
      <c r="AH346" s="39" t="n"/>
      <c r="AI346" t="inlineStr">
        <is>
          <t>Danny Romel Ore Guerreros</t>
        </is>
      </c>
      <c r="AJ346" t="inlineStr">
        <is>
          <t>47474967</t>
        </is>
      </c>
      <c r="AK346" t="inlineStr">
        <is>
          <t>Psj. Ollantay 7 Barrio Vista Alegre</t>
        </is>
      </c>
      <c r="AL346" t="n">
        <v>966327809</v>
      </c>
      <c r="AM346" t="inlineStr">
        <is>
          <t>966327809</t>
        </is>
      </c>
      <c r="AN346" t="inlineStr">
        <is>
          <t>romelore67@gmail.com</t>
        </is>
      </c>
      <c r="AO346" t="inlineStr">
        <is>
          <t>HUAMANGA</t>
        </is>
      </c>
      <c r="AP346" t="inlineStr">
        <is>
          <t>CARMEN ALTO</t>
        </is>
      </c>
      <c r="AQ346" s="75" t="n">
        <v>46073</v>
      </c>
      <c r="AR346" s="75" t="n">
        <v>46073</v>
      </c>
      <c r="AS346" t="inlineStr">
        <is>
          <t>CUOTA INICIAL</t>
        </is>
      </c>
      <c r="AT346" t="n">
        <v>4</v>
      </c>
      <c r="AU346" t="n">
        <v>10000</v>
      </c>
      <c r="AV346" t="n">
        <v>0</v>
      </c>
      <c r="AW346" t="n">
        <v>0</v>
      </c>
      <c r="AX346" s="39" t="n">
        <v>10000</v>
      </c>
      <c r="AY346" s="39" t="n">
        <v>10000</v>
      </c>
      <c r="AZ346" s="39" t="n">
        <v>0</v>
      </c>
      <c r="BA346" t="n">
        <v>0</v>
      </c>
      <c r="BB346" t="inlineStr">
        <is>
          <t>Crédito Hipotecario</t>
        </is>
      </c>
      <c r="BC346" t="inlineStr">
        <is>
          <t>Scotiabank Perú</t>
        </is>
      </c>
      <c r="BD346" t="inlineStr">
        <is>
          <t>000-2768484</t>
        </is>
      </c>
      <c r="BE346" t="inlineStr">
        <is>
          <t>TRANSFERENCIA BANCARIA</t>
        </is>
      </c>
      <c r="BF346" t="inlineStr">
        <is>
          <t>47474967</t>
        </is>
      </c>
      <c r="BG346" t="inlineStr">
        <is>
          <t>068000000001139</t>
        </is>
      </c>
      <c r="BH346" t="inlineStr">
        <is>
          <t>No</t>
        </is>
      </c>
      <c r="BI346" t="inlineStr">
        <is>
          <t>NO PRECISA</t>
        </is>
      </c>
      <c r="BJ346" t="n">
        <v>4</v>
      </c>
      <c r="BK346" t="inlineStr">
        <is>
          <t>CANCELADO</t>
        </is>
      </c>
      <c r="BV346" t="inlineStr">
        <is>
          <t>Si</t>
        </is>
      </c>
      <c r="BW346" s="76" t="n">
        <v>45885.58680555555</v>
      </c>
      <c r="BX346" t="inlineStr">
        <is>
          <t>Kenny Salazar S</t>
        </is>
      </c>
      <c r="BZ346" t="n">
        <v>47</v>
      </c>
      <c r="CA346" t="inlineStr">
        <is>
          <t>05/06/2026 14:30</t>
        </is>
      </c>
      <c r="CB346" t="n">
        <v>0</v>
      </c>
      <c r="CF346" t="inlineStr">
        <is>
          <t>Cobranzas_2026.csv</t>
        </is>
      </c>
      <c r="CG346" t="n">
        <v>2026</v>
      </c>
      <c r="CH346" t="inlineStr">
        <is>
          <t>01/01/2024</t>
        </is>
      </c>
      <c r="CI346" t="inlineStr">
        <is>
          <t>24/08/2031</t>
        </is>
      </c>
    </row>
    <row r="347">
      <c r="A347" t="inlineStr">
        <is>
          <t>RESIDENCIAL PRADA</t>
        </is>
      </c>
      <c r="B347" t="inlineStr">
        <is>
          <t>Etapa 1</t>
        </is>
      </c>
      <c r="C347" t="inlineStr">
        <is>
          <t>Edificio</t>
        </is>
      </c>
      <c r="D347" t="inlineStr">
        <is>
          <t>A</t>
        </is>
      </c>
      <c r="E347" t="inlineStr">
        <is>
          <t>Departamento</t>
        </is>
      </c>
      <c r="F347" t="inlineStr">
        <is>
          <t>1001</t>
        </is>
      </c>
      <c r="G347" t="n">
        <v>82.63</v>
      </c>
      <c r="H347" t="n">
        <v>0</v>
      </c>
      <c r="I347" s="39" t="n">
        <v>615000</v>
      </c>
      <c r="J347" s="39" t="n">
        <v>615000</v>
      </c>
      <c r="Q347" s="39" t="n"/>
      <c r="R347" s="39" t="n"/>
      <c r="Y347" s="39" t="n"/>
      <c r="Z347" s="39" t="n"/>
      <c r="AG347" s="39" t="n"/>
      <c r="AH347" s="39" t="n"/>
      <c r="AI347" t="inlineStr">
        <is>
          <t>Danny Romel Ore Guerreros</t>
        </is>
      </c>
      <c r="AJ347" t="inlineStr">
        <is>
          <t>47474967</t>
        </is>
      </c>
      <c r="AK347" t="inlineStr">
        <is>
          <t>Psj. Ollantay 7 Barrio Vista Alegre</t>
        </is>
      </c>
      <c r="AL347" t="n">
        <v>966327809</v>
      </c>
      <c r="AM347" t="inlineStr">
        <is>
          <t>966327809</t>
        </is>
      </c>
      <c r="AN347" t="inlineStr">
        <is>
          <t>romelore67@gmail.com</t>
        </is>
      </c>
      <c r="AO347" t="inlineStr">
        <is>
          <t>HUAMANGA</t>
        </is>
      </c>
      <c r="AP347" t="inlineStr">
        <is>
          <t>CARMEN ALTO</t>
        </is>
      </c>
      <c r="AQ347" s="75" t="n">
        <v>46081</v>
      </c>
      <c r="AR347" s="75" t="n">
        <v>46112</v>
      </c>
      <c r="AS347" t="inlineStr">
        <is>
          <t>SALDO FINANCIAR</t>
        </is>
      </c>
      <c r="AT347" t="n">
        <v>1</v>
      </c>
      <c r="AU347" t="n">
        <v>508000</v>
      </c>
      <c r="AV347" t="n">
        <v>0</v>
      </c>
      <c r="AW347" t="n">
        <v>0</v>
      </c>
      <c r="AX347" s="39" t="n">
        <v>508000</v>
      </c>
      <c r="AY347" s="39" t="n">
        <v>508000</v>
      </c>
      <c r="AZ347" s="39" t="n">
        <v>0</v>
      </c>
      <c r="BA347" t="n">
        <v>0</v>
      </c>
      <c r="BB347" t="inlineStr">
        <is>
          <t>Crédito Hipotecario</t>
        </is>
      </c>
      <c r="BC347" t="inlineStr">
        <is>
          <t>Scotiabank Perú</t>
        </is>
      </c>
      <c r="BD347" t="inlineStr">
        <is>
          <t>000-2768484</t>
        </is>
      </c>
      <c r="BE347" t="inlineStr">
        <is>
          <t>TRANSFERENCIA BANCARIA</t>
        </is>
      </c>
      <c r="BG347" t="inlineStr">
        <is>
          <t>30032026</t>
        </is>
      </c>
      <c r="BH347" t="inlineStr">
        <is>
          <t>No</t>
        </is>
      </c>
      <c r="BJ347" t="n">
        <v>4</v>
      </c>
      <c r="BK347" t="inlineStr">
        <is>
          <t>CANCELADO</t>
        </is>
      </c>
      <c r="BV347" t="inlineStr">
        <is>
          <t>Si</t>
        </is>
      </c>
      <c r="BW347" s="76" t="n">
        <v>45885.58680555555</v>
      </c>
      <c r="BX347" t="inlineStr">
        <is>
          <t>Kenny Salazar S</t>
        </is>
      </c>
      <c r="BZ347" t="n">
        <v>47</v>
      </c>
      <c r="CA347" t="inlineStr">
        <is>
          <t>07/07/2026 14:04</t>
        </is>
      </c>
      <c r="CB347" t="n">
        <v>0</v>
      </c>
      <c r="CF347" t="inlineStr">
        <is>
          <t>Cobranzas_2026.csv</t>
        </is>
      </c>
      <c r="CG347" t="n">
        <v>2026</v>
      </c>
      <c r="CH347" t="inlineStr">
        <is>
          <t>01/01/2024</t>
        </is>
      </c>
      <c r="CI347" t="inlineStr">
        <is>
          <t>24/08/2031</t>
        </is>
      </c>
    </row>
    <row r="348">
      <c r="A348" t="inlineStr">
        <is>
          <t>RESIDENCIAL BEYOND</t>
        </is>
      </c>
      <c r="B348" t="inlineStr">
        <is>
          <t>Etapa 1</t>
        </is>
      </c>
      <c r="C348" t="inlineStr">
        <is>
          <t>Edificio</t>
        </is>
      </c>
      <c r="D348" t="inlineStr">
        <is>
          <t>A</t>
        </is>
      </c>
      <c r="E348" t="inlineStr">
        <is>
          <t>Departamento</t>
        </is>
      </c>
      <c r="F348" t="inlineStr">
        <is>
          <t>505</t>
        </is>
      </c>
      <c r="G348" t="n">
        <v>72</v>
      </c>
      <c r="H348" t="n">
        <v>0</v>
      </c>
      <c r="I348" s="39" t="n">
        <v>532100</v>
      </c>
      <c r="J348" s="39" t="n">
        <v>500000</v>
      </c>
      <c r="K348" t="inlineStr">
        <is>
          <t>Edificio</t>
        </is>
      </c>
      <c r="L348" t="inlineStr">
        <is>
          <t>A</t>
        </is>
      </c>
      <c r="M348" t="inlineStr">
        <is>
          <t>Estacionamiento</t>
        </is>
      </c>
      <c r="N348" t="inlineStr">
        <is>
          <t>E 05</t>
        </is>
      </c>
      <c r="O348" t="n">
        <v>12</v>
      </c>
      <c r="P348" t="n">
        <v>0</v>
      </c>
      <c r="Q348" s="39" t="n">
        <v>45600</v>
      </c>
      <c r="R348" s="39" t="n">
        <v>45600</v>
      </c>
      <c r="S348" t="inlineStr">
        <is>
          <t>Edificio</t>
        </is>
      </c>
      <c r="T348" t="inlineStr">
        <is>
          <t>A</t>
        </is>
      </c>
      <c r="U348" t="inlineStr">
        <is>
          <t>Depósito</t>
        </is>
      </c>
      <c r="V348" t="inlineStr">
        <is>
          <t>D 05</t>
        </is>
      </c>
      <c r="W348" t="n">
        <v>4.4</v>
      </c>
      <c r="X348" t="n">
        <v>0</v>
      </c>
      <c r="Y348" s="39" t="n">
        <v>15900</v>
      </c>
      <c r="Z348" s="39" t="n">
        <v>15900</v>
      </c>
      <c r="AG348" s="39" t="n"/>
      <c r="AH348" s="39" t="n"/>
      <c r="AI348" t="inlineStr">
        <is>
          <t>Dante Enrique Segura Florian</t>
        </is>
      </c>
      <c r="AJ348" t="inlineStr">
        <is>
          <t xml:space="preserve">45587286		</t>
        </is>
      </c>
      <c r="AK348" t="inlineStr">
        <is>
          <t xml:space="preserve">1845 San Andres Dr Pitsburg CA 94565 - San Francisco </t>
        </is>
      </c>
      <c r="AL348" t="n">
        <v>0</v>
      </c>
      <c r="AM348" t="inlineStr">
        <is>
          <t>+15103330517</t>
        </is>
      </c>
      <c r="AN348" t="inlineStr">
        <is>
          <t xml:space="preserve">d.segura@uaa.edu		</t>
        </is>
      </c>
      <c r="AQ348" s="75" t="n">
        <v>46047</v>
      </c>
      <c r="AR348" s="75" t="n"/>
      <c r="AS348" t="inlineStr">
        <is>
          <t>SALDO FINANCIAR</t>
        </is>
      </c>
      <c r="AT348" t="n">
        <v>10</v>
      </c>
      <c r="AU348" t="n">
        <v>21341.25</v>
      </c>
      <c r="AV348" t="n">
        <v>0</v>
      </c>
      <c r="AW348" t="n">
        <v>0</v>
      </c>
      <c r="AX348" s="39" t="n">
        <v>21341.25</v>
      </c>
      <c r="AY348" s="39" t="n">
        <v>0</v>
      </c>
      <c r="AZ348" s="39" t="n">
        <v>21341.25</v>
      </c>
      <c r="BB348" t="inlineStr">
        <is>
          <t>Crédito Directo</t>
        </is>
      </c>
      <c r="BH348" t="inlineStr">
        <is>
          <t>No</t>
        </is>
      </c>
      <c r="BK348" t="inlineStr">
        <is>
          <t>VENCIDO</t>
        </is>
      </c>
      <c r="BV348" t="inlineStr">
        <is>
          <t>No</t>
        </is>
      </c>
      <c r="BW348" s="76" t="n">
        <v>45386.40347222222</v>
      </c>
      <c r="BX348" t="inlineStr">
        <is>
          <t>Carla Michue M</t>
        </is>
      </c>
      <c r="BZ348" t="n">
        <v>35</v>
      </c>
      <c r="CB348" t="n">
        <v>0</v>
      </c>
      <c r="CF348" t="inlineStr">
        <is>
          <t>Cobranzas_2026.csv</t>
        </is>
      </c>
      <c r="CG348" t="n">
        <v>2026</v>
      </c>
      <c r="CH348" t="inlineStr">
        <is>
          <t>01/01/2024</t>
        </is>
      </c>
      <c r="CI348" t="inlineStr">
        <is>
          <t>24/08/2031</t>
        </is>
      </c>
    </row>
    <row r="349">
      <c r="A349" t="inlineStr">
        <is>
          <t>RESIDENCIAL BEYOND</t>
        </is>
      </c>
      <c r="B349" t="inlineStr">
        <is>
          <t>Etapa 1</t>
        </is>
      </c>
      <c r="C349" t="inlineStr">
        <is>
          <t>Edificio</t>
        </is>
      </c>
      <c r="D349" t="inlineStr">
        <is>
          <t>A</t>
        </is>
      </c>
      <c r="E349" t="inlineStr">
        <is>
          <t>Departamento</t>
        </is>
      </c>
      <c r="F349" t="inlineStr">
        <is>
          <t>505</t>
        </is>
      </c>
      <c r="G349" t="n">
        <v>72</v>
      </c>
      <c r="H349" t="n">
        <v>0</v>
      </c>
      <c r="I349" s="39" t="n">
        <v>532100</v>
      </c>
      <c r="J349" s="39" t="n">
        <v>500000</v>
      </c>
      <c r="K349" t="inlineStr">
        <is>
          <t>Edificio</t>
        </is>
      </c>
      <c r="L349" t="inlineStr">
        <is>
          <t>A</t>
        </is>
      </c>
      <c r="M349" t="inlineStr">
        <is>
          <t>Estacionamiento</t>
        </is>
      </c>
      <c r="N349" t="inlineStr">
        <is>
          <t>E 05</t>
        </is>
      </c>
      <c r="O349" t="n">
        <v>12</v>
      </c>
      <c r="P349" t="n">
        <v>0</v>
      </c>
      <c r="Q349" s="39" t="n">
        <v>45600</v>
      </c>
      <c r="R349" s="39" t="n">
        <v>45600</v>
      </c>
      <c r="S349" t="inlineStr">
        <is>
          <t>Edificio</t>
        </is>
      </c>
      <c r="T349" t="inlineStr">
        <is>
          <t>A</t>
        </is>
      </c>
      <c r="U349" t="inlineStr">
        <is>
          <t>Depósito</t>
        </is>
      </c>
      <c r="V349" t="inlineStr">
        <is>
          <t>D 05</t>
        </is>
      </c>
      <c r="W349" t="n">
        <v>4.4</v>
      </c>
      <c r="X349" t="n">
        <v>0</v>
      </c>
      <c r="Y349" s="39" t="n">
        <v>15900</v>
      </c>
      <c r="Z349" s="39" t="n">
        <v>15900</v>
      </c>
      <c r="AG349" s="39" t="n"/>
      <c r="AH349" s="39" t="n"/>
      <c r="AI349" t="inlineStr">
        <is>
          <t>Dante Enrique Segura Florian</t>
        </is>
      </c>
      <c r="AJ349" t="inlineStr">
        <is>
          <t xml:space="preserve">45587286		</t>
        </is>
      </c>
      <c r="AK349" t="inlineStr">
        <is>
          <t xml:space="preserve">1845 San Andres Dr Pitsburg CA 94565 - San Francisco </t>
        </is>
      </c>
      <c r="AL349" t="n">
        <v>0</v>
      </c>
      <c r="AM349" t="inlineStr">
        <is>
          <t>+15103330517</t>
        </is>
      </c>
      <c r="AN349" t="inlineStr">
        <is>
          <t xml:space="preserve">d.segura@uaa.edu		</t>
        </is>
      </c>
      <c r="AQ349" s="75" t="n">
        <v>46078</v>
      </c>
      <c r="AR349" s="75" t="n"/>
      <c r="AS349" t="inlineStr">
        <is>
          <t>SALDO FINANCIAR</t>
        </is>
      </c>
      <c r="AT349" t="n">
        <v>11</v>
      </c>
      <c r="AU349" t="n">
        <v>21341.25</v>
      </c>
      <c r="AV349" t="n">
        <v>0</v>
      </c>
      <c r="AW349" t="n">
        <v>0</v>
      </c>
      <c r="AX349" s="39" t="n">
        <v>21341.25</v>
      </c>
      <c r="AY349" s="39" t="n">
        <v>0</v>
      </c>
      <c r="AZ349" s="39" t="n">
        <v>21341.25</v>
      </c>
      <c r="BB349" t="inlineStr">
        <is>
          <t>Crédito Directo</t>
        </is>
      </c>
      <c r="BH349" t="inlineStr">
        <is>
          <t>No</t>
        </is>
      </c>
      <c r="BK349" t="inlineStr">
        <is>
          <t>VENCIDO</t>
        </is>
      </c>
      <c r="BV349" t="inlineStr">
        <is>
          <t>No</t>
        </is>
      </c>
      <c r="BW349" s="76" t="n">
        <v>45386.40347222222</v>
      </c>
      <c r="BX349" t="inlineStr">
        <is>
          <t>Carla Michue M</t>
        </is>
      </c>
      <c r="BZ349" t="n">
        <v>35</v>
      </c>
      <c r="CB349" t="n">
        <v>0</v>
      </c>
      <c r="CF349" t="inlineStr">
        <is>
          <t>Cobranzas_2026.csv</t>
        </is>
      </c>
      <c r="CG349" t="n">
        <v>2026</v>
      </c>
      <c r="CH349" t="inlineStr">
        <is>
          <t>01/01/2024</t>
        </is>
      </c>
      <c r="CI349" t="inlineStr">
        <is>
          <t>24/08/2031</t>
        </is>
      </c>
    </row>
    <row r="350">
      <c r="A350" t="inlineStr">
        <is>
          <t>RESIDENCIAL BEYOND</t>
        </is>
      </c>
      <c r="B350" t="inlineStr">
        <is>
          <t>Etapa 1</t>
        </is>
      </c>
      <c r="C350" t="inlineStr">
        <is>
          <t>Edificio</t>
        </is>
      </c>
      <c r="D350" t="inlineStr">
        <is>
          <t>A</t>
        </is>
      </c>
      <c r="E350" t="inlineStr">
        <is>
          <t>Departamento</t>
        </is>
      </c>
      <c r="F350" t="inlineStr">
        <is>
          <t>505</t>
        </is>
      </c>
      <c r="G350" t="n">
        <v>72</v>
      </c>
      <c r="H350" t="n">
        <v>0</v>
      </c>
      <c r="I350" s="39" t="n">
        <v>532100</v>
      </c>
      <c r="J350" s="39" t="n">
        <v>500000</v>
      </c>
      <c r="K350" t="inlineStr">
        <is>
          <t>Edificio</t>
        </is>
      </c>
      <c r="L350" t="inlineStr">
        <is>
          <t>A</t>
        </is>
      </c>
      <c r="M350" t="inlineStr">
        <is>
          <t>Estacionamiento</t>
        </is>
      </c>
      <c r="N350" t="inlineStr">
        <is>
          <t>E 05</t>
        </is>
      </c>
      <c r="O350" t="n">
        <v>12</v>
      </c>
      <c r="P350" t="n">
        <v>0</v>
      </c>
      <c r="Q350" s="39" t="n">
        <v>45600</v>
      </c>
      <c r="R350" s="39" t="n">
        <v>45600</v>
      </c>
      <c r="S350" t="inlineStr">
        <is>
          <t>Edificio</t>
        </is>
      </c>
      <c r="T350" t="inlineStr">
        <is>
          <t>A</t>
        </is>
      </c>
      <c r="U350" t="inlineStr">
        <is>
          <t>Depósito</t>
        </is>
      </c>
      <c r="V350" t="inlineStr">
        <is>
          <t>D 05</t>
        </is>
      </c>
      <c r="W350" t="n">
        <v>4.4</v>
      </c>
      <c r="X350" t="n">
        <v>0</v>
      </c>
      <c r="Y350" s="39" t="n">
        <v>15900</v>
      </c>
      <c r="Z350" s="39" t="n">
        <v>15900</v>
      </c>
      <c r="AG350" s="39" t="n"/>
      <c r="AH350" s="39" t="n"/>
      <c r="AI350" t="inlineStr">
        <is>
          <t>Dante Enrique Segura Florian</t>
        </is>
      </c>
      <c r="AJ350" t="inlineStr">
        <is>
          <t xml:space="preserve">45587286		</t>
        </is>
      </c>
      <c r="AK350" t="inlineStr">
        <is>
          <t xml:space="preserve">1845 San Andres Dr Pitsburg CA 94565 - San Francisco </t>
        </is>
      </c>
      <c r="AL350" t="n">
        <v>0</v>
      </c>
      <c r="AM350" t="inlineStr">
        <is>
          <t>+15103330517</t>
        </is>
      </c>
      <c r="AN350" t="inlineStr">
        <is>
          <t xml:space="preserve">d.segura@uaa.edu		</t>
        </is>
      </c>
      <c r="AQ350" s="75" t="n">
        <v>46106</v>
      </c>
      <c r="AR350" s="75" t="n"/>
      <c r="AS350" t="inlineStr">
        <is>
          <t>SALDO FINANCIAR</t>
        </is>
      </c>
      <c r="AT350" t="n">
        <v>12</v>
      </c>
      <c r="AU350" t="n">
        <v>21341.25</v>
      </c>
      <c r="AV350" t="n">
        <v>0</v>
      </c>
      <c r="AW350" t="n">
        <v>0</v>
      </c>
      <c r="AX350" s="39" t="n">
        <v>21341.25</v>
      </c>
      <c r="AY350" s="39" t="n">
        <v>0</v>
      </c>
      <c r="AZ350" s="39" t="n">
        <v>21341.25</v>
      </c>
      <c r="BB350" t="inlineStr">
        <is>
          <t>Crédito Directo</t>
        </is>
      </c>
      <c r="BH350" t="inlineStr">
        <is>
          <t>No</t>
        </is>
      </c>
      <c r="BK350" t="inlineStr">
        <is>
          <t>VENCIDO</t>
        </is>
      </c>
      <c r="BV350" t="inlineStr">
        <is>
          <t>No</t>
        </is>
      </c>
      <c r="BW350" s="76" t="n">
        <v>45386.40347222222</v>
      </c>
      <c r="BX350" t="inlineStr">
        <is>
          <t>Carla Michue M</t>
        </is>
      </c>
      <c r="BZ350" t="n">
        <v>35</v>
      </c>
      <c r="CB350" t="n">
        <v>0</v>
      </c>
      <c r="CF350" t="inlineStr">
        <is>
          <t>Cobranzas_2026.csv</t>
        </is>
      </c>
      <c r="CG350" t="n">
        <v>2026</v>
      </c>
      <c r="CH350" t="inlineStr">
        <is>
          <t>01/01/2024</t>
        </is>
      </c>
      <c r="CI350" t="inlineStr">
        <is>
          <t>24/08/2031</t>
        </is>
      </c>
    </row>
    <row r="351">
      <c r="A351" t="inlineStr">
        <is>
          <t>RESIDENCIAL BEYOND</t>
        </is>
      </c>
      <c r="B351" t="inlineStr">
        <is>
          <t>Etapa 1</t>
        </is>
      </c>
      <c r="C351" t="inlineStr">
        <is>
          <t>Edificio</t>
        </is>
      </c>
      <c r="D351" t="inlineStr">
        <is>
          <t>A</t>
        </is>
      </c>
      <c r="E351" t="inlineStr">
        <is>
          <t>Departamento</t>
        </is>
      </c>
      <c r="F351" t="inlineStr">
        <is>
          <t>505</t>
        </is>
      </c>
      <c r="G351" t="n">
        <v>72</v>
      </c>
      <c r="H351" t="n">
        <v>0</v>
      </c>
      <c r="I351" s="39" t="n">
        <v>532100</v>
      </c>
      <c r="J351" s="39" t="n">
        <v>500000</v>
      </c>
      <c r="K351" t="inlineStr">
        <is>
          <t>Edificio</t>
        </is>
      </c>
      <c r="L351" t="inlineStr">
        <is>
          <t>A</t>
        </is>
      </c>
      <c r="M351" t="inlineStr">
        <is>
          <t>Estacionamiento</t>
        </is>
      </c>
      <c r="N351" t="inlineStr">
        <is>
          <t>E 05</t>
        </is>
      </c>
      <c r="O351" t="n">
        <v>12</v>
      </c>
      <c r="P351" t="n">
        <v>0</v>
      </c>
      <c r="Q351" s="39" t="n">
        <v>45600</v>
      </c>
      <c r="R351" s="39" t="n">
        <v>45600</v>
      </c>
      <c r="S351" t="inlineStr">
        <is>
          <t>Edificio</t>
        </is>
      </c>
      <c r="T351" t="inlineStr">
        <is>
          <t>A</t>
        </is>
      </c>
      <c r="U351" t="inlineStr">
        <is>
          <t>Depósito</t>
        </is>
      </c>
      <c r="V351" t="inlineStr">
        <is>
          <t>D 05</t>
        </is>
      </c>
      <c r="W351" t="n">
        <v>4.4</v>
      </c>
      <c r="X351" t="n">
        <v>0</v>
      </c>
      <c r="Y351" s="39" t="n">
        <v>15900</v>
      </c>
      <c r="Z351" s="39" t="n">
        <v>15900</v>
      </c>
      <c r="AG351" s="39" t="n"/>
      <c r="AH351" s="39" t="n"/>
      <c r="AI351" t="inlineStr">
        <is>
          <t>Dante Enrique Segura Florian</t>
        </is>
      </c>
      <c r="AJ351" t="inlineStr">
        <is>
          <t xml:space="preserve">45587286		</t>
        </is>
      </c>
      <c r="AK351" t="inlineStr">
        <is>
          <t xml:space="preserve">1845 San Andres Dr Pitsburg CA 94565 - San Francisco </t>
        </is>
      </c>
      <c r="AL351" t="n">
        <v>0</v>
      </c>
      <c r="AM351" t="inlineStr">
        <is>
          <t>+15103330517</t>
        </is>
      </c>
      <c r="AN351" t="inlineStr">
        <is>
          <t xml:space="preserve">d.segura@uaa.edu		</t>
        </is>
      </c>
      <c r="AQ351" s="75" t="n">
        <v>46137</v>
      </c>
      <c r="AR351" s="75" t="n"/>
      <c r="AS351" t="inlineStr">
        <is>
          <t>SALDO FINANCIAR</t>
        </is>
      </c>
      <c r="AT351" t="n">
        <v>13</v>
      </c>
      <c r="AU351" t="n">
        <v>21341.25</v>
      </c>
      <c r="AV351" t="n">
        <v>0</v>
      </c>
      <c r="AW351" t="n">
        <v>0</v>
      </c>
      <c r="AX351" s="39" t="n">
        <v>21341.25</v>
      </c>
      <c r="AY351" s="39" t="n">
        <v>0</v>
      </c>
      <c r="AZ351" s="39" t="n">
        <v>21341.25</v>
      </c>
      <c r="BB351" t="inlineStr">
        <is>
          <t>Crédito Directo</t>
        </is>
      </c>
      <c r="BH351" t="inlineStr">
        <is>
          <t>No</t>
        </is>
      </c>
      <c r="BK351" t="inlineStr">
        <is>
          <t>VENCIDO</t>
        </is>
      </c>
      <c r="BV351" t="inlineStr">
        <is>
          <t>No</t>
        </is>
      </c>
      <c r="BW351" s="76" t="n">
        <v>45386.40347222222</v>
      </c>
      <c r="BX351" t="inlineStr">
        <is>
          <t>Carla Michue M</t>
        </is>
      </c>
      <c r="BZ351" t="n">
        <v>35</v>
      </c>
      <c r="CB351" t="n">
        <v>0</v>
      </c>
      <c r="CF351" t="inlineStr">
        <is>
          <t>Cobranzas_2026.csv</t>
        </is>
      </c>
      <c r="CG351" t="n">
        <v>2026</v>
      </c>
      <c r="CH351" t="inlineStr">
        <is>
          <t>01/01/2024</t>
        </is>
      </c>
      <c r="CI351" t="inlineStr">
        <is>
          <t>24/08/2031</t>
        </is>
      </c>
    </row>
    <row r="352">
      <c r="A352" t="inlineStr">
        <is>
          <t>RESIDENCIAL BEYOND</t>
        </is>
      </c>
      <c r="B352" t="inlineStr">
        <is>
          <t>Etapa 1</t>
        </is>
      </c>
      <c r="C352" t="inlineStr">
        <is>
          <t>Edificio</t>
        </is>
      </c>
      <c r="D352" t="inlineStr">
        <is>
          <t>A</t>
        </is>
      </c>
      <c r="E352" t="inlineStr">
        <is>
          <t>Departamento</t>
        </is>
      </c>
      <c r="F352" t="inlineStr">
        <is>
          <t>505</t>
        </is>
      </c>
      <c r="G352" t="n">
        <v>72</v>
      </c>
      <c r="H352" t="n">
        <v>0</v>
      </c>
      <c r="I352" s="39" t="n">
        <v>532100</v>
      </c>
      <c r="J352" s="39" t="n">
        <v>500000</v>
      </c>
      <c r="K352" t="inlineStr">
        <is>
          <t>Edificio</t>
        </is>
      </c>
      <c r="L352" t="inlineStr">
        <is>
          <t>A</t>
        </is>
      </c>
      <c r="M352" t="inlineStr">
        <is>
          <t>Estacionamiento</t>
        </is>
      </c>
      <c r="N352" t="inlineStr">
        <is>
          <t>E 05</t>
        </is>
      </c>
      <c r="O352" t="n">
        <v>12</v>
      </c>
      <c r="P352" t="n">
        <v>0</v>
      </c>
      <c r="Q352" s="39" t="n">
        <v>45600</v>
      </c>
      <c r="R352" s="39" t="n">
        <v>45600</v>
      </c>
      <c r="S352" t="inlineStr">
        <is>
          <t>Edificio</t>
        </is>
      </c>
      <c r="T352" t="inlineStr">
        <is>
          <t>A</t>
        </is>
      </c>
      <c r="U352" t="inlineStr">
        <is>
          <t>Depósito</t>
        </is>
      </c>
      <c r="V352" t="inlineStr">
        <is>
          <t>D 05</t>
        </is>
      </c>
      <c r="W352" t="n">
        <v>4.4</v>
      </c>
      <c r="X352" t="n">
        <v>0</v>
      </c>
      <c r="Y352" s="39" t="n">
        <v>15900</v>
      </c>
      <c r="Z352" s="39" t="n">
        <v>15900</v>
      </c>
      <c r="AG352" s="39" t="n"/>
      <c r="AH352" s="39" t="n"/>
      <c r="AI352" t="inlineStr">
        <is>
          <t>Dante Enrique Segura Florian</t>
        </is>
      </c>
      <c r="AJ352" t="inlineStr">
        <is>
          <t xml:space="preserve">45587286		</t>
        </is>
      </c>
      <c r="AK352" t="inlineStr">
        <is>
          <t xml:space="preserve">1845 San Andres Dr Pitsburg CA 94565 - San Francisco </t>
        </is>
      </c>
      <c r="AL352" t="n">
        <v>0</v>
      </c>
      <c r="AM352" t="inlineStr">
        <is>
          <t>+15103330517</t>
        </is>
      </c>
      <c r="AN352" t="inlineStr">
        <is>
          <t xml:space="preserve">d.segura@uaa.edu		</t>
        </is>
      </c>
      <c r="AQ352" s="75" t="n">
        <v>46167</v>
      </c>
      <c r="AR352" s="75" t="n"/>
      <c r="AS352" t="inlineStr">
        <is>
          <t>SALDO FINANCIAR</t>
        </is>
      </c>
      <c r="AT352" t="n">
        <v>14</v>
      </c>
      <c r="AU352" t="n">
        <v>21341.25</v>
      </c>
      <c r="AV352" t="n">
        <v>0</v>
      </c>
      <c r="AW352" t="n">
        <v>0</v>
      </c>
      <c r="AX352" s="39" t="n">
        <v>21341.25</v>
      </c>
      <c r="AY352" s="39" t="n">
        <v>0</v>
      </c>
      <c r="AZ352" s="39" t="n">
        <v>21341.25</v>
      </c>
      <c r="BB352" t="inlineStr">
        <is>
          <t>Crédito Directo</t>
        </is>
      </c>
      <c r="BH352" t="inlineStr">
        <is>
          <t>No</t>
        </is>
      </c>
      <c r="BK352" t="inlineStr">
        <is>
          <t>VENCIDO</t>
        </is>
      </c>
      <c r="BV352" t="inlineStr">
        <is>
          <t>No</t>
        </is>
      </c>
      <c r="BW352" s="76" t="n">
        <v>45386.40347222222</v>
      </c>
      <c r="BX352" t="inlineStr">
        <is>
          <t>Carla Michue M</t>
        </is>
      </c>
      <c r="BZ352" t="n">
        <v>35</v>
      </c>
      <c r="CB352" t="n">
        <v>0</v>
      </c>
      <c r="CF352" t="inlineStr">
        <is>
          <t>Cobranzas_2026.csv</t>
        </is>
      </c>
      <c r="CG352" t="n">
        <v>2026</v>
      </c>
      <c r="CH352" t="inlineStr">
        <is>
          <t>01/01/2024</t>
        </is>
      </c>
      <c r="CI352" t="inlineStr">
        <is>
          <t>24/08/2031</t>
        </is>
      </c>
    </row>
    <row r="353">
      <c r="A353" t="inlineStr">
        <is>
          <t>RESIDENCIAL BEYOND</t>
        </is>
      </c>
      <c r="B353" t="inlineStr">
        <is>
          <t>Etapa 1</t>
        </is>
      </c>
      <c r="C353" t="inlineStr">
        <is>
          <t>Edificio</t>
        </is>
      </c>
      <c r="D353" t="inlineStr">
        <is>
          <t>A</t>
        </is>
      </c>
      <c r="E353" t="inlineStr">
        <is>
          <t>Departamento</t>
        </is>
      </c>
      <c r="F353" t="inlineStr">
        <is>
          <t>505</t>
        </is>
      </c>
      <c r="G353" t="n">
        <v>72</v>
      </c>
      <c r="H353" t="n">
        <v>0</v>
      </c>
      <c r="I353" s="39" t="n">
        <v>532100</v>
      </c>
      <c r="J353" s="39" t="n">
        <v>500000</v>
      </c>
      <c r="K353" t="inlineStr">
        <is>
          <t>Edificio</t>
        </is>
      </c>
      <c r="L353" t="inlineStr">
        <is>
          <t>A</t>
        </is>
      </c>
      <c r="M353" t="inlineStr">
        <is>
          <t>Estacionamiento</t>
        </is>
      </c>
      <c r="N353" t="inlineStr">
        <is>
          <t>E 05</t>
        </is>
      </c>
      <c r="O353" t="n">
        <v>12</v>
      </c>
      <c r="P353" t="n">
        <v>0</v>
      </c>
      <c r="Q353" s="39" t="n">
        <v>45600</v>
      </c>
      <c r="R353" s="39" t="n">
        <v>45600</v>
      </c>
      <c r="S353" t="inlineStr">
        <is>
          <t>Edificio</t>
        </is>
      </c>
      <c r="T353" t="inlineStr">
        <is>
          <t>A</t>
        </is>
      </c>
      <c r="U353" t="inlineStr">
        <is>
          <t>Depósito</t>
        </is>
      </c>
      <c r="V353" t="inlineStr">
        <is>
          <t>D 05</t>
        </is>
      </c>
      <c r="W353" t="n">
        <v>4.4</v>
      </c>
      <c r="X353" t="n">
        <v>0</v>
      </c>
      <c r="Y353" s="39" t="n">
        <v>15900</v>
      </c>
      <c r="Z353" s="39" t="n">
        <v>15900</v>
      </c>
      <c r="AG353" s="39" t="n"/>
      <c r="AH353" s="39" t="n"/>
      <c r="AI353" t="inlineStr">
        <is>
          <t>Dante Enrique Segura Florian</t>
        </is>
      </c>
      <c r="AJ353" t="inlineStr">
        <is>
          <t xml:space="preserve">45587286		</t>
        </is>
      </c>
      <c r="AK353" t="inlineStr">
        <is>
          <t xml:space="preserve">1845 San Andres Dr Pitsburg CA 94565 - San Francisco </t>
        </is>
      </c>
      <c r="AL353" t="n">
        <v>0</v>
      </c>
      <c r="AM353" t="inlineStr">
        <is>
          <t>+15103330517</t>
        </is>
      </c>
      <c r="AN353" t="inlineStr">
        <is>
          <t xml:space="preserve">d.segura@uaa.edu		</t>
        </is>
      </c>
      <c r="AQ353" s="75" t="n">
        <v>46198</v>
      </c>
      <c r="AR353" s="75" t="n"/>
      <c r="AS353" t="inlineStr">
        <is>
          <t>SALDO FINANCIAR</t>
        </is>
      </c>
      <c r="AT353" t="n">
        <v>15</v>
      </c>
      <c r="AU353" t="n">
        <v>21341.25</v>
      </c>
      <c r="AV353" t="n">
        <v>0</v>
      </c>
      <c r="AW353" t="n">
        <v>0</v>
      </c>
      <c r="AX353" s="39" t="n">
        <v>21341.25</v>
      </c>
      <c r="AY353" s="39" t="n">
        <v>0</v>
      </c>
      <c r="AZ353" s="39" t="n">
        <v>21341.25</v>
      </c>
      <c r="BB353" t="inlineStr">
        <is>
          <t>Crédito Directo</t>
        </is>
      </c>
      <c r="BH353" t="inlineStr">
        <is>
          <t>No</t>
        </is>
      </c>
      <c r="BK353" t="inlineStr">
        <is>
          <t>VENCIDO</t>
        </is>
      </c>
      <c r="BV353" t="inlineStr">
        <is>
          <t>No</t>
        </is>
      </c>
      <c r="BW353" s="76" t="n">
        <v>45386.40347222222</v>
      </c>
      <c r="BX353" t="inlineStr">
        <is>
          <t>Carla Michue M</t>
        </is>
      </c>
      <c r="BZ353" t="n">
        <v>35</v>
      </c>
      <c r="CB353" t="n">
        <v>0</v>
      </c>
      <c r="CF353" t="inlineStr">
        <is>
          <t>Cobranzas_2026.csv</t>
        </is>
      </c>
      <c r="CG353" t="n">
        <v>2026</v>
      </c>
      <c r="CH353" t="inlineStr">
        <is>
          <t>01/01/2024</t>
        </is>
      </c>
      <c r="CI353" t="inlineStr">
        <is>
          <t>24/08/2031</t>
        </is>
      </c>
    </row>
    <row r="354">
      <c r="A354" t="inlineStr">
        <is>
          <t>RESIDENCIAL BEYOND</t>
        </is>
      </c>
      <c r="B354" t="inlineStr">
        <is>
          <t>Etapa 1</t>
        </is>
      </c>
      <c r="C354" t="inlineStr">
        <is>
          <t>Edificio</t>
        </is>
      </c>
      <c r="D354" t="inlineStr">
        <is>
          <t>A</t>
        </is>
      </c>
      <c r="E354" t="inlineStr">
        <is>
          <t>Departamento</t>
        </is>
      </c>
      <c r="F354" t="inlineStr">
        <is>
          <t>505</t>
        </is>
      </c>
      <c r="G354" t="n">
        <v>72</v>
      </c>
      <c r="H354" t="n">
        <v>0</v>
      </c>
      <c r="I354" s="39" t="n">
        <v>532100</v>
      </c>
      <c r="J354" s="39" t="n">
        <v>500000</v>
      </c>
      <c r="K354" t="inlineStr">
        <is>
          <t>Edificio</t>
        </is>
      </c>
      <c r="L354" t="inlineStr">
        <is>
          <t>A</t>
        </is>
      </c>
      <c r="M354" t="inlineStr">
        <is>
          <t>Estacionamiento</t>
        </is>
      </c>
      <c r="N354" t="inlineStr">
        <is>
          <t>E 05</t>
        </is>
      </c>
      <c r="O354" t="n">
        <v>12</v>
      </c>
      <c r="P354" t="n">
        <v>0</v>
      </c>
      <c r="Q354" s="39" t="n">
        <v>45600</v>
      </c>
      <c r="R354" s="39" t="n">
        <v>45600</v>
      </c>
      <c r="S354" t="inlineStr">
        <is>
          <t>Edificio</t>
        </is>
      </c>
      <c r="T354" t="inlineStr">
        <is>
          <t>A</t>
        </is>
      </c>
      <c r="U354" t="inlineStr">
        <is>
          <t>Depósito</t>
        </is>
      </c>
      <c r="V354" t="inlineStr">
        <is>
          <t>D 05</t>
        </is>
      </c>
      <c r="W354" t="n">
        <v>4.4</v>
      </c>
      <c r="X354" t="n">
        <v>0</v>
      </c>
      <c r="Y354" s="39" t="n">
        <v>15900</v>
      </c>
      <c r="Z354" s="39" t="n">
        <v>15900</v>
      </c>
      <c r="AG354" s="39" t="n"/>
      <c r="AH354" s="39" t="n"/>
      <c r="AI354" t="inlineStr">
        <is>
          <t>Dante Enrique Segura Florian</t>
        </is>
      </c>
      <c r="AJ354" t="inlineStr">
        <is>
          <t xml:space="preserve">45587286		</t>
        </is>
      </c>
      <c r="AK354" t="inlineStr">
        <is>
          <t xml:space="preserve">1845 San Andres Dr Pitsburg CA 94565 - San Francisco </t>
        </is>
      </c>
      <c r="AL354" t="n">
        <v>0</v>
      </c>
      <c r="AM354" t="inlineStr">
        <is>
          <t>+15103330517</t>
        </is>
      </c>
      <c r="AN354" t="inlineStr">
        <is>
          <t xml:space="preserve">d.segura@uaa.edu		</t>
        </is>
      </c>
      <c r="AQ354" s="75" t="n">
        <v>46228</v>
      </c>
      <c r="AR354" s="75" t="n"/>
      <c r="AS354" t="inlineStr">
        <is>
          <t>SALDO FINANCIAR</t>
        </is>
      </c>
      <c r="AT354" t="n">
        <v>16</v>
      </c>
      <c r="AU354" t="n">
        <v>21341.25</v>
      </c>
      <c r="AV354" t="n">
        <v>0</v>
      </c>
      <c r="AW354" t="n">
        <v>0</v>
      </c>
      <c r="AX354" s="39" t="n">
        <v>21341.25</v>
      </c>
      <c r="AY354" s="39" t="n">
        <v>0</v>
      </c>
      <c r="AZ354" s="39" t="n">
        <v>21341.25</v>
      </c>
      <c r="BB354" t="inlineStr">
        <is>
          <t>Crédito Directo</t>
        </is>
      </c>
      <c r="BH354" t="inlineStr">
        <is>
          <t>No</t>
        </is>
      </c>
      <c r="BK354" t="inlineStr">
        <is>
          <t>VENCIDO</t>
        </is>
      </c>
      <c r="BV354" t="inlineStr">
        <is>
          <t>No</t>
        </is>
      </c>
      <c r="BW354" s="76" t="n">
        <v>45386.40347222222</v>
      </c>
      <c r="BX354" t="inlineStr">
        <is>
          <t>Carla Michue M</t>
        </is>
      </c>
      <c r="BZ354" t="n">
        <v>35</v>
      </c>
      <c r="CB354" t="n">
        <v>0</v>
      </c>
      <c r="CF354" t="inlineStr">
        <is>
          <t>Cobranzas_2026.csv</t>
        </is>
      </c>
      <c r="CG354" t="n">
        <v>2026</v>
      </c>
      <c r="CH354" t="inlineStr">
        <is>
          <t>01/01/2024</t>
        </is>
      </c>
      <c r="CI354" t="inlineStr">
        <is>
          <t>24/08/2031</t>
        </is>
      </c>
    </row>
    <row r="355">
      <c r="A355" t="inlineStr">
        <is>
          <t>RESIDENCIAL PRADA</t>
        </is>
      </c>
      <c r="B355" t="inlineStr">
        <is>
          <t>Etapa 1</t>
        </is>
      </c>
      <c r="C355" t="inlineStr">
        <is>
          <t>Edificio</t>
        </is>
      </c>
      <c r="D355" t="inlineStr">
        <is>
          <t>A</t>
        </is>
      </c>
      <c r="E355" t="inlineStr">
        <is>
          <t>Departamento</t>
        </is>
      </c>
      <c r="F355" t="inlineStr">
        <is>
          <t>703</t>
        </is>
      </c>
      <c r="G355" t="n">
        <v>88.27</v>
      </c>
      <c r="H355" t="n">
        <v>0</v>
      </c>
      <c r="I355" s="39" t="n">
        <v>654000</v>
      </c>
      <c r="J355" s="39" t="n">
        <v>654000</v>
      </c>
      <c r="K355" t="inlineStr">
        <is>
          <t>Edificio</t>
        </is>
      </c>
      <c r="L355" t="inlineStr">
        <is>
          <t>A</t>
        </is>
      </c>
      <c r="M355" t="inlineStr">
        <is>
          <t>Estacionamiento</t>
        </is>
      </c>
      <c r="N355" t="inlineStr">
        <is>
          <t>E 06 - D 04</t>
        </is>
      </c>
      <c r="O355" t="n">
        <v>15.9</v>
      </c>
      <c r="P355" t="n">
        <v>2.26</v>
      </c>
      <c r="Q355" s="39" t="n">
        <v>57500</v>
      </c>
      <c r="R355" s="39" t="n">
        <v>57500</v>
      </c>
      <c r="Y355" s="39" t="n"/>
      <c r="Z355" s="39" t="n"/>
      <c r="AG355" s="39" t="n"/>
      <c r="AH355" s="39" t="n"/>
      <c r="AI355" t="inlineStr">
        <is>
          <t>David Edgar Valencia Cordova</t>
        </is>
      </c>
      <c r="AJ355" t="inlineStr">
        <is>
          <t>41844906</t>
        </is>
      </c>
      <c r="AK355" t="inlineStr">
        <is>
          <t>P. Joven Año Nuevo Jr. Montero Rosas 860</t>
        </is>
      </c>
      <c r="AL355" t="n">
        <v>991846561</v>
      </c>
      <c r="AM355" t="inlineStr">
        <is>
          <t>991846561</t>
        </is>
      </c>
      <c r="AN355" t="inlineStr">
        <is>
          <t>davico29@gmail.com</t>
        </is>
      </c>
      <c r="AO355" t="inlineStr">
        <is>
          <t>LIMA</t>
        </is>
      </c>
      <c r="AP355" t="inlineStr">
        <is>
          <t>COMAS</t>
        </is>
      </c>
      <c r="AQ355" s="75" t="n">
        <v>46052</v>
      </c>
      <c r="AR355" s="75" t="n">
        <v>46043</v>
      </c>
      <c r="AS355" t="inlineStr">
        <is>
          <t>SALDO FINANCIAR</t>
        </is>
      </c>
      <c r="AT355" t="n">
        <v>12</v>
      </c>
      <c r="AU355" t="n">
        <v>34750</v>
      </c>
      <c r="AV355" t="n">
        <v>0</v>
      </c>
      <c r="AW355" t="n">
        <v>0</v>
      </c>
      <c r="AX355" s="39" t="n">
        <v>34750</v>
      </c>
      <c r="AY355" s="39" t="n">
        <v>34750</v>
      </c>
      <c r="AZ355" s="39" t="n">
        <v>0</v>
      </c>
      <c r="BA355" t="n">
        <v>0</v>
      </c>
      <c r="BB355" t="inlineStr">
        <is>
          <t>Crédito Hipotecario</t>
        </is>
      </c>
      <c r="BC355" t="inlineStr">
        <is>
          <t>Scotiabank Perú</t>
        </is>
      </c>
      <c r="BD355" t="inlineStr">
        <is>
          <t>000-2768484</t>
        </is>
      </c>
      <c r="BE355" t="inlineStr">
        <is>
          <t>TRANSFERENCIA BANCARIA</t>
        </is>
      </c>
      <c r="BF355" t="inlineStr">
        <is>
          <t>41844906</t>
        </is>
      </c>
      <c r="BG355" t="inlineStr">
        <is>
          <t>503251</t>
        </is>
      </c>
      <c r="BH355" t="inlineStr">
        <is>
          <t>No</t>
        </is>
      </c>
      <c r="BI355" t="inlineStr">
        <is>
          <t>NO PRECISA</t>
        </is>
      </c>
      <c r="BJ355" t="n">
        <v>4</v>
      </c>
      <c r="BK355" t="inlineStr">
        <is>
          <t>CANCELADO</t>
        </is>
      </c>
      <c r="BV355" t="inlineStr">
        <is>
          <t>Si</t>
        </is>
      </c>
      <c r="BW355" s="76" t="n">
        <v>45687.61736111111</v>
      </c>
      <c r="BX355" t="inlineStr">
        <is>
          <t>Carla Michue M</t>
        </is>
      </c>
      <c r="BZ355" t="n">
        <v>38</v>
      </c>
      <c r="CA355" t="inlineStr">
        <is>
          <t>05/06/2026 11:16</t>
        </is>
      </c>
      <c r="CB355" t="n">
        <v>0</v>
      </c>
      <c r="CF355" t="inlineStr">
        <is>
          <t>Cobranzas_2026.csv</t>
        </is>
      </c>
      <c r="CG355" t="n">
        <v>2026</v>
      </c>
      <c r="CH355" t="inlineStr">
        <is>
          <t>01/01/2024</t>
        </is>
      </c>
      <c r="CI355" t="inlineStr">
        <is>
          <t>24/08/2031</t>
        </is>
      </c>
    </row>
    <row r="356">
      <c r="A356" t="inlineStr">
        <is>
          <t>RESIDENCIAL PRADA</t>
        </is>
      </c>
      <c r="B356" t="inlineStr">
        <is>
          <t>Etapa 1</t>
        </is>
      </c>
      <c r="C356" t="inlineStr">
        <is>
          <t>Edificio</t>
        </is>
      </c>
      <c r="D356" t="inlineStr">
        <is>
          <t>A</t>
        </is>
      </c>
      <c r="E356" t="inlineStr">
        <is>
          <t>Departamento</t>
        </is>
      </c>
      <c r="F356" t="inlineStr">
        <is>
          <t>801</t>
        </is>
      </c>
      <c r="G356" t="n">
        <v>84</v>
      </c>
      <c r="H356" t="n">
        <v>0</v>
      </c>
      <c r="I356" s="39" t="n">
        <v>630000</v>
      </c>
      <c r="J356" s="39" t="n">
        <v>630000</v>
      </c>
      <c r="Q356" s="39" t="n"/>
      <c r="R356" s="39" t="n"/>
      <c r="Y356" s="39" t="n"/>
      <c r="Z356" s="39" t="n"/>
      <c r="AG356" s="39" t="n"/>
      <c r="AH356" s="39" t="n"/>
      <c r="AI356" t="inlineStr">
        <is>
          <t>Denisse Estela Linares Suarez</t>
        </is>
      </c>
      <c r="AJ356" t="inlineStr">
        <is>
          <t>44457800</t>
        </is>
      </c>
      <c r="AK356" t="inlineStr">
        <is>
          <t>Jr. Zorritos 1399 – Block 37 Dpto. 201 - Cercado Lima</t>
        </is>
      </c>
      <c r="AL356" t="n">
        <v>991810339</v>
      </c>
      <c r="AM356" t="inlineStr">
        <is>
          <t>991810339</t>
        </is>
      </c>
      <c r="AN356" t="inlineStr">
        <is>
          <t>dlinaressuarez@gmail.com</t>
        </is>
      </c>
      <c r="AO356" t="inlineStr">
        <is>
          <t>LIMA</t>
        </is>
      </c>
      <c r="AP356" t="inlineStr">
        <is>
          <t>CERCADO DE LIMA</t>
        </is>
      </c>
      <c r="AQ356" s="75" t="n">
        <v>46081</v>
      </c>
      <c r="AR356" s="75" t="n">
        <v>46053</v>
      </c>
      <c r="AS356" t="inlineStr">
        <is>
          <t>SALDO FINANCIAR</t>
        </is>
      </c>
      <c r="AT356" t="n">
        <v>1</v>
      </c>
      <c r="AU356" t="n">
        <v>504000</v>
      </c>
      <c r="AV356" t="n">
        <v>0</v>
      </c>
      <c r="AW356" t="n">
        <v>0</v>
      </c>
      <c r="AX356" s="39" t="n">
        <v>504000</v>
      </c>
      <c r="AY356" s="39" t="n">
        <v>504000</v>
      </c>
      <c r="AZ356" s="39" t="n">
        <v>0</v>
      </c>
      <c r="BA356" t="n">
        <v>0</v>
      </c>
      <c r="BB356" t="inlineStr">
        <is>
          <t>Ahorro</t>
        </is>
      </c>
      <c r="BC356" t="inlineStr">
        <is>
          <t>Scotiabank Perú</t>
        </is>
      </c>
      <c r="BD356" t="inlineStr">
        <is>
          <t>000-2768484</t>
        </is>
      </c>
      <c r="BE356" t="inlineStr">
        <is>
          <t>TRANSFERENCIA BANCARIA</t>
        </is>
      </c>
      <c r="BG356" t="inlineStr">
        <is>
          <t>02708000033</t>
        </is>
      </c>
      <c r="BH356" t="inlineStr">
        <is>
          <t>No</t>
        </is>
      </c>
      <c r="BJ356" t="n">
        <v>4</v>
      </c>
      <c r="BK356" t="inlineStr">
        <is>
          <t>CANCELADO</t>
        </is>
      </c>
      <c r="BV356" t="inlineStr">
        <is>
          <t>Si</t>
        </is>
      </c>
      <c r="BW356" s="76" t="n">
        <v>45880.51319444444</v>
      </c>
      <c r="BX356" t="inlineStr">
        <is>
          <t>Kenny Salazar S</t>
        </is>
      </c>
      <c r="BZ356" t="n">
        <v>44</v>
      </c>
      <c r="CA356" t="inlineStr">
        <is>
          <t>07/07/2026 12:18</t>
        </is>
      </c>
      <c r="CB356" t="n">
        <v>0</v>
      </c>
      <c r="CF356" t="inlineStr">
        <is>
          <t>Cobranzas_2026.csv</t>
        </is>
      </c>
      <c r="CG356" t="n">
        <v>2026</v>
      </c>
      <c r="CH356" t="inlineStr">
        <is>
          <t>01/01/2024</t>
        </is>
      </c>
      <c r="CI356" t="inlineStr">
        <is>
          <t>24/08/2031</t>
        </is>
      </c>
    </row>
    <row r="357">
      <c r="A357" t="inlineStr">
        <is>
          <t>RESIDENCIAL BEYOND</t>
        </is>
      </c>
      <c r="B357" t="inlineStr">
        <is>
          <t>Etapa 1</t>
        </is>
      </c>
      <c r="C357" t="inlineStr">
        <is>
          <t>Edificio</t>
        </is>
      </c>
      <c r="D357" t="inlineStr">
        <is>
          <t>A</t>
        </is>
      </c>
      <c r="E357" t="inlineStr">
        <is>
          <t>Departamento</t>
        </is>
      </c>
      <c r="F357" t="inlineStr">
        <is>
          <t>1202</t>
        </is>
      </c>
      <c r="G357" t="n">
        <v>57</v>
      </c>
      <c r="H357" t="n">
        <v>0</v>
      </c>
      <c r="I357" s="39" t="n">
        <v>422000</v>
      </c>
      <c r="J357" s="39" t="n">
        <v>370000</v>
      </c>
      <c r="Q357" s="39" t="n"/>
      <c r="R357" s="39" t="n"/>
      <c r="Y357" s="39" t="n"/>
      <c r="Z357" s="39" t="n"/>
      <c r="AG357" s="39" t="n"/>
      <c r="AH357" s="39" t="n"/>
      <c r="AI357" t="inlineStr">
        <is>
          <t>Diana Carolina Asmat Cuno</t>
        </is>
      </c>
      <c r="AJ357" t="inlineStr">
        <is>
          <t>47198881</t>
        </is>
      </c>
      <c r="AK357" t="inlineStr">
        <is>
          <t>Jr. Las Cidras 684 Coop Las Flores</t>
        </is>
      </c>
      <c r="AL357" t="n">
        <v>0</v>
      </c>
      <c r="AM357" t="inlineStr">
        <is>
          <t>+61451852811</t>
        </is>
      </c>
      <c r="AN357" t="inlineStr">
        <is>
          <t>ianikro@outlook.com</t>
        </is>
      </c>
      <c r="AO357" t="inlineStr">
        <is>
          <t>LIMA</t>
        </is>
      </c>
      <c r="AP357" t="inlineStr">
        <is>
          <t>SAN JUAN DE LURIGANCHO</t>
        </is>
      </c>
      <c r="AQ357" s="75" t="n">
        <v>46027</v>
      </c>
      <c r="AR357" s="75" t="n">
        <v>46027</v>
      </c>
      <c r="AS357" t="inlineStr">
        <is>
          <t>SEPARACION</t>
        </is>
      </c>
      <c r="AT357" t="n">
        <v>1</v>
      </c>
      <c r="AU357" t="n">
        <v>5000</v>
      </c>
      <c r="AV357" t="n">
        <v>0</v>
      </c>
      <c r="AW357" t="n">
        <v>0</v>
      </c>
      <c r="AX357" s="39" t="n">
        <v>5000</v>
      </c>
      <c r="AY357" s="39" t="n">
        <v>5000</v>
      </c>
      <c r="AZ357" s="39" t="n">
        <v>0</v>
      </c>
      <c r="BA357" t="n">
        <v>0</v>
      </c>
      <c r="BB357" t="inlineStr">
        <is>
          <t>Crédito Directo</t>
        </is>
      </c>
      <c r="BC357" t="inlineStr">
        <is>
          <t>Banco de Credito del Perú</t>
        </is>
      </c>
      <c r="BD357" t="inlineStr">
        <is>
          <t>194-7325779-0-65</t>
        </is>
      </c>
      <c r="BE357" t="inlineStr">
        <is>
          <t>TRANSFERENCIA BANCARIA</t>
        </is>
      </c>
      <c r="BG357" t="inlineStr">
        <is>
          <t>03758507</t>
        </is>
      </c>
      <c r="BH357" t="inlineStr">
        <is>
          <t>No</t>
        </is>
      </c>
      <c r="BJ357" t="n">
        <v>4</v>
      </c>
      <c r="BK357" t="inlineStr">
        <is>
          <t>CANCELADO</t>
        </is>
      </c>
      <c r="BV357" t="inlineStr">
        <is>
          <t>Si</t>
        </is>
      </c>
      <c r="BW357" s="76" t="n">
        <v>46079.4375</v>
      </c>
      <c r="BX357" t="inlineStr">
        <is>
          <t>Magaly Guevara Perez</t>
        </is>
      </c>
      <c r="BZ357" t="n">
        <v>15</v>
      </c>
      <c r="CA357" t="inlineStr">
        <is>
          <t>23/05/2026 21:55</t>
        </is>
      </c>
      <c r="CB357" t="n">
        <v>0</v>
      </c>
      <c r="CF357" t="inlineStr">
        <is>
          <t>Cobranzas_2026.csv</t>
        </is>
      </c>
      <c r="CG357" t="n">
        <v>2026</v>
      </c>
      <c r="CH357" t="inlineStr">
        <is>
          <t>01/01/2024</t>
        </is>
      </c>
      <c r="CI357" t="inlineStr">
        <is>
          <t>24/08/2031</t>
        </is>
      </c>
    </row>
    <row r="358">
      <c r="A358" t="inlineStr">
        <is>
          <t>RESIDENCIAL BEYOND</t>
        </is>
      </c>
      <c r="B358" t="inlineStr">
        <is>
          <t>Etapa 1</t>
        </is>
      </c>
      <c r="C358" t="inlineStr">
        <is>
          <t>Edificio</t>
        </is>
      </c>
      <c r="D358" t="inlineStr">
        <is>
          <t>A</t>
        </is>
      </c>
      <c r="E358" t="inlineStr">
        <is>
          <t>Departamento</t>
        </is>
      </c>
      <c r="F358" t="inlineStr">
        <is>
          <t>1202</t>
        </is>
      </c>
      <c r="G358" t="n">
        <v>57</v>
      </c>
      <c r="H358" t="n">
        <v>0</v>
      </c>
      <c r="I358" s="39" t="n">
        <v>422000</v>
      </c>
      <c r="J358" s="39" t="n">
        <v>370000</v>
      </c>
      <c r="Q358" s="39" t="n"/>
      <c r="R358" s="39" t="n"/>
      <c r="Y358" s="39" t="n"/>
      <c r="Z358" s="39" t="n"/>
      <c r="AG358" s="39" t="n"/>
      <c r="AH358" s="39" t="n"/>
      <c r="AI358" t="inlineStr">
        <is>
          <t>Diana Carolina Asmat Cuno</t>
        </is>
      </c>
      <c r="AJ358" t="inlineStr">
        <is>
          <t>47198881</t>
        </is>
      </c>
      <c r="AK358" t="inlineStr">
        <is>
          <t>Jr. Las Cidras 684 Coop Las Flores</t>
        </is>
      </c>
      <c r="AL358" t="n">
        <v>0</v>
      </c>
      <c r="AM358" t="inlineStr">
        <is>
          <t>+61451852811</t>
        </is>
      </c>
      <c r="AN358" t="inlineStr">
        <is>
          <t>ianikro@outlook.com</t>
        </is>
      </c>
      <c r="AO358" t="inlineStr">
        <is>
          <t>LIMA</t>
        </is>
      </c>
      <c r="AP358" t="inlineStr">
        <is>
          <t>SAN JUAN DE LURIGANCHO</t>
        </is>
      </c>
      <c r="AQ358" s="75" t="n">
        <v>46079</v>
      </c>
      <c r="AR358" s="75" t="n">
        <v>46079</v>
      </c>
      <c r="AS358" t="inlineStr">
        <is>
          <t>CUOTA INICIAL</t>
        </is>
      </c>
      <c r="AT358" t="n">
        <v>1</v>
      </c>
      <c r="AU358" t="n">
        <v>5000</v>
      </c>
      <c r="AV358" t="n">
        <v>0</v>
      </c>
      <c r="AW358" t="n">
        <v>0</v>
      </c>
      <c r="AX358" s="39" t="n">
        <v>5000</v>
      </c>
      <c r="AY358" s="39" t="n">
        <v>5000</v>
      </c>
      <c r="AZ358" s="39" t="n">
        <v>0</v>
      </c>
      <c r="BA358" t="n">
        <v>0</v>
      </c>
      <c r="BB358" t="inlineStr">
        <is>
          <t>Crédito Directo</t>
        </is>
      </c>
      <c r="BC358" t="inlineStr">
        <is>
          <t>Banco de Credito del Perú</t>
        </is>
      </c>
      <c r="BD358" t="inlineStr">
        <is>
          <t>194-7325779-0-65</t>
        </is>
      </c>
      <c r="BE358" t="inlineStr">
        <is>
          <t>TRANSFERENCIA BANCARIA</t>
        </is>
      </c>
      <c r="BG358" t="inlineStr">
        <is>
          <t>05503990</t>
        </is>
      </c>
      <c r="BH358" t="inlineStr">
        <is>
          <t>No</t>
        </is>
      </c>
      <c r="BJ358" t="n">
        <v>4</v>
      </c>
      <c r="BK358" t="inlineStr">
        <is>
          <t>CANCELADO</t>
        </is>
      </c>
      <c r="BV358" t="inlineStr">
        <is>
          <t>Si</t>
        </is>
      </c>
      <c r="BW358" s="76" t="n">
        <v>46079.4375</v>
      </c>
      <c r="BX358" t="inlineStr">
        <is>
          <t>Magaly Guevara Perez</t>
        </is>
      </c>
      <c r="BZ358" t="n">
        <v>15</v>
      </c>
      <c r="CA358" t="inlineStr">
        <is>
          <t>23/05/2026 22:02</t>
        </is>
      </c>
      <c r="CB358" t="n">
        <v>0</v>
      </c>
      <c r="CF358" t="inlineStr">
        <is>
          <t>Cobranzas_2026.csv</t>
        </is>
      </c>
      <c r="CG358" t="n">
        <v>2026</v>
      </c>
      <c r="CH358" t="inlineStr">
        <is>
          <t>01/01/2024</t>
        </is>
      </c>
      <c r="CI358" t="inlineStr">
        <is>
          <t>24/08/2031</t>
        </is>
      </c>
    </row>
    <row r="359">
      <c r="A359" t="inlineStr">
        <is>
          <t>RESIDENCIAL BEYOND</t>
        </is>
      </c>
      <c r="B359" t="inlineStr">
        <is>
          <t>Etapa 1</t>
        </is>
      </c>
      <c r="C359" t="inlineStr">
        <is>
          <t>Edificio</t>
        </is>
      </c>
      <c r="D359" t="inlineStr">
        <is>
          <t>A</t>
        </is>
      </c>
      <c r="E359" t="inlineStr">
        <is>
          <t>Departamento</t>
        </is>
      </c>
      <c r="F359" t="inlineStr">
        <is>
          <t>1202</t>
        </is>
      </c>
      <c r="G359" t="n">
        <v>57</v>
      </c>
      <c r="H359" t="n">
        <v>0</v>
      </c>
      <c r="I359" s="39" t="n">
        <v>422000</v>
      </c>
      <c r="J359" s="39" t="n">
        <v>370000</v>
      </c>
      <c r="Q359" s="39" t="n"/>
      <c r="R359" s="39" t="n"/>
      <c r="Y359" s="39" t="n"/>
      <c r="Z359" s="39" t="n"/>
      <c r="AG359" s="39" t="n"/>
      <c r="AH359" s="39" t="n"/>
      <c r="AI359" t="inlineStr">
        <is>
          <t>Diana Carolina Asmat Cuno</t>
        </is>
      </c>
      <c r="AJ359" t="inlineStr">
        <is>
          <t>47198881</t>
        </is>
      </c>
      <c r="AK359" t="inlineStr">
        <is>
          <t>Jr. Las Cidras 684 Coop Las Flores</t>
        </is>
      </c>
      <c r="AL359" t="n">
        <v>0</v>
      </c>
      <c r="AM359" t="inlineStr">
        <is>
          <t>+61451852811</t>
        </is>
      </c>
      <c r="AN359" t="inlineStr">
        <is>
          <t>ianikro@outlook.com</t>
        </is>
      </c>
      <c r="AO359" t="inlineStr">
        <is>
          <t>LIMA</t>
        </is>
      </c>
      <c r="AP359" t="inlineStr">
        <is>
          <t>SAN JUAN DE LURIGANCHO</t>
        </is>
      </c>
      <c r="AQ359" s="75" t="n">
        <v>46132</v>
      </c>
      <c r="AR359" s="75" t="n">
        <v>46132</v>
      </c>
      <c r="AS359" t="inlineStr">
        <is>
          <t>CUOTA INICIAL</t>
        </is>
      </c>
      <c r="AT359" t="n">
        <v>2</v>
      </c>
      <c r="AU359" t="n">
        <v>20000</v>
      </c>
      <c r="AV359" t="n">
        <v>0</v>
      </c>
      <c r="AW359" t="n">
        <v>0</v>
      </c>
      <c r="AX359" s="39" t="n">
        <v>20000</v>
      </c>
      <c r="AY359" s="39" t="n">
        <v>20000</v>
      </c>
      <c r="AZ359" s="39" t="n">
        <v>0</v>
      </c>
      <c r="BA359" t="n">
        <v>0</v>
      </c>
      <c r="BB359" t="inlineStr">
        <is>
          <t>Crédito Directo</t>
        </is>
      </c>
      <c r="BC359" t="inlineStr">
        <is>
          <t>Banco de Credito del Perú</t>
        </is>
      </c>
      <c r="BD359" t="inlineStr">
        <is>
          <t>194-7325779-0-65</t>
        </is>
      </c>
      <c r="BE359" t="inlineStr">
        <is>
          <t>TRANSFERENCIA BANCARIA</t>
        </is>
      </c>
      <c r="BG359" t="inlineStr">
        <is>
          <t>06610290</t>
        </is>
      </c>
      <c r="BH359" t="inlineStr">
        <is>
          <t>No</t>
        </is>
      </c>
      <c r="BJ359" t="n">
        <v>4</v>
      </c>
      <c r="BK359" t="inlineStr">
        <is>
          <t>CANCELADO</t>
        </is>
      </c>
      <c r="BV359" t="inlineStr">
        <is>
          <t>Si</t>
        </is>
      </c>
      <c r="BW359" s="76" t="n">
        <v>46079.4375</v>
      </c>
      <c r="BX359" t="inlineStr">
        <is>
          <t>Magaly Guevara Perez</t>
        </is>
      </c>
      <c r="BZ359" t="n">
        <v>15</v>
      </c>
      <c r="CA359" t="inlineStr">
        <is>
          <t>23/05/2026 22:03</t>
        </is>
      </c>
      <c r="CB359" t="n">
        <v>0</v>
      </c>
      <c r="CF359" t="inlineStr">
        <is>
          <t>Cobranzas_2026.csv</t>
        </is>
      </c>
      <c r="CG359" t="n">
        <v>2026</v>
      </c>
      <c r="CH359" t="inlineStr">
        <is>
          <t>01/01/2024</t>
        </is>
      </c>
      <c r="CI359" t="inlineStr">
        <is>
          <t>24/08/2031</t>
        </is>
      </c>
    </row>
    <row r="360">
      <c r="A360" t="inlineStr">
        <is>
          <t>RESIDENCIAL BEYOND</t>
        </is>
      </c>
      <c r="B360" t="inlineStr">
        <is>
          <t>Etapa 1</t>
        </is>
      </c>
      <c r="C360" t="inlineStr">
        <is>
          <t>Edificio</t>
        </is>
      </c>
      <c r="D360" t="inlineStr">
        <is>
          <t>A</t>
        </is>
      </c>
      <c r="E360" t="inlineStr">
        <is>
          <t>Departamento</t>
        </is>
      </c>
      <c r="F360" t="inlineStr">
        <is>
          <t>1202</t>
        </is>
      </c>
      <c r="G360" t="n">
        <v>57</v>
      </c>
      <c r="H360" t="n">
        <v>0</v>
      </c>
      <c r="I360" s="39" t="n">
        <v>422000</v>
      </c>
      <c r="J360" s="39" t="n">
        <v>370000</v>
      </c>
      <c r="Q360" s="39" t="n"/>
      <c r="R360" s="39" t="n"/>
      <c r="Y360" s="39" t="n"/>
      <c r="Z360" s="39" t="n"/>
      <c r="AG360" s="39" t="n"/>
      <c r="AH360" s="39" t="n"/>
      <c r="AI360" t="inlineStr">
        <is>
          <t>Diana Carolina Asmat Cuno</t>
        </is>
      </c>
      <c r="AJ360" t="inlineStr">
        <is>
          <t>47198881</t>
        </is>
      </c>
      <c r="AK360" t="inlineStr">
        <is>
          <t>Jr. Las Cidras 684 Coop Las Flores</t>
        </is>
      </c>
      <c r="AL360" t="n">
        <v>0</v>
      </c>
      <c r="AM360" t="inlineStr">
        <is>
          <t>+61451852811</t>
        </is>
      </c>
      <c r="AN360" t="inlineStr">
        <is>
          <t>ianikro@outlook.com</t>
        </is>
      </c>
      <c r="AO360" t="inlineStr">
        <is>
          <t>LIMA</t>
        </is>
      </c>
      <c r="AP360" t="inlineStr">
        <is>
          <t>SAN JUAN DE LURIGANCHO</t>
        </is>
      </c>
      <c r="AQ360" s="75" t="n">
        <v>46234</v>
      </c>
      <c r="AR360" s="75" t="n"/>
      <c r="AS360" t="inlineStr">
        <is>
          <t>SALDO FINANCIAR</t>
        </is>
      </c>
      <c r="AT360" t="n">
        <v>1</v>
      </c>
      <c r="AU360" t="n">
        <v>99500</v>
      </c>
      <c r="AV360" t="n">
        <v>0</v>
      </c>
      <c r="AW360" t="n">
        <v>0</v>
      </c>
      <c r="AX360" s="39" t="n">
        <v>99500</v>
      </c>
      <c r="AY360" s="39" t="n">
        <v>0</v>
      </c>
      <c r="AZ360" s="39" t="n">
        <v>99500</v>
      </c>
      <c r="BB360" t="inlineStr">
        <is>
          <t>Crédito Directo</t>
        </is>
      </c>
      <c r="BH360" t="inlineStr">
        <is>
          <t>No</t>
        </is>
      </c>
      <c r="BK360" t="inlineStr">
        <is>
          <t>VENCIDO</t>
        </is>
      </c>
      <c r="BV360" t="inlineStr">
        <is>
          <t>No</t>
        </is>
      </c>
      <c r="BW360" s="76" t="n">
        <v>46079.4375</v>
      </c>
      <c r="BX360" t="inlineStr">
        <is>
          <t>Magaly Guevara Perez</t>
        </is>
      </c>
      <c r="BZ360" t="n">
        <v>15</v>
      </c>
      <c r="CB360" t="n">
        <v>0</v>
      </c>
      <c r="CF360" t="inlineStr">
        <is>
          <t>Cobranzas_2026.csv</t>
        </is>
      </c>
      <c r="CG360" t="n">
        <v>2026</v>
      </c>
      <c r="CH360" t="inlineStr">
        <is>
          <t>01/01/2024</t>
        </is>
      </c>
      <c r="CI360" t="inlineStr">
        <is>
          <t>24/08/2031</t>
        </is>
      </c>
    </row>
    <row r="361">
      <c r="A361" t="inlineStr">
        <is>
          <t>RESIDENCIAL BEYOND</t>
        </is>
      </c>
      <c r="B361" t="inlineStr">
        <is>
          <t>Etapa 1</t>
        </is>
      </c>
      <c r="C361" t="inlineStr">
        <is>
          <t>Edificio</t>
        </is>
      </c>
      <c r="D361" t="inlineStr">
        <is>
          <t>A</t>
        </is>
      </c>
      <c r="E361" t="inlineStr">
        <is>
          <t>Departamento</t>
        </is>
      </c>
      <c r="F361" t="inlineStr">
        <is>
          <t>701</t>
        </is>
      </c>
      <c r="G361" t="n">
        <v>70</v>
      </c>
      <c r="H361" t="n">
        <v>0</v>
      </c>
      <c r="I361" s="39" t="n">
        <v>475000</v>
      </c>
      <c r="J361" s="39" t="n">
        <v>475000</v>
      </c>
      <c r="K361" t="inlineStr">
        <is>
          <t>Edificio</t>
        </is>
      </c>
      <c r="L361" t="inlineStr">
        <is>
          <t>A</t>
        </is>
      </c>
      <c r="M361" t="inlineStr">
        <is>
          <t>Estacionamiento</t>
        </is>
      </c>
      <c r="N361" t="inlineStr">
        <is>
          <t>E 17</t>
        </is>
      </c>
      <c r="O361" t="n">
        <v>12.5</v>
      </c>
      <c r="P361" t="n">
        <v>0</v>
      </c>
      <c r="Q361" s="39" t="n">
        <v>46800</v>
      </c>
      <c r="R361" s="39" t="n">
        <v>46800</v>
      </c>
      <c r="Y361" s="39" t="n"/>
      <c r="Z361" s="39" t="n"/>
      <c r="AG361" s="39" t="n"/>
      <c r="AH361" s="39" t="n"/>
      <c r="AI361" t="inlineStr">
        <is>
          <t>Dolores Lissett Castillo Diaz</t>
        </is>
      </c>
      <c r="AJ361" t="inlineStr">
        <is>
          <t>43780263</t>
        </is>
      </c>
      <c r="AK361" t="inlineStr">
        <is>
          <t xml:space="preserve"> Sargento Lores 950      </t>
        </is>
      </c>
      <c r="AL361" t="n">
        <v>0</v>
      </c>
      <c r="AM361" t="inlineStr">
        <is>
          <t>920487874</t>
        </is>
      </c>
      <c r="AN361" t="inlineStr">
        <is>
          <t>licady2486@gmail.com</t>
        </is>
      </c>
      <c r="AO361" t="inlineStr">
        <is>
          <t>MAYNAS</t>
        </is>
      </c>
      <c r="AP361" t="inlineStr">
        <is>
          <t>IQUITOS</t>
        </is>
      </c>
      <c r="AQ361" s="75" t="n">
        <v>46197.0125</v>
      </c>
      <c r="AR361" s="75" t="n">
        <v>46003</v>
      </c>
      <c r="AS361" t="inlineStr">
        <is>
          <t>CUOTA INICIAL</t>
        </is>
      </c>
      <c r="AT361" t="n">
        <v>1</v>
      </c>
      <c r="AU361" t="n">
        <v>0</v>
      </c>
      <c r="AV361" t="n">
        <v>0</v>
      </c>
      <c r="AW361" t="n">
        <v>0</v>
      </c>
      <c r="AX361" s="39" t="n">
        <v>101360</v>
      </c>
      <c r="AY361" s="39" t="n">
        <v>86440</v>
      </c>
      <c r="AZ361" s="39" t="n">
        <v>0</v>
      </c>
      <c r="BA361" t="n">
        <v>0</v>
      </c>
      <c r="BB361" t="inlineStr">
        <is>
          <t>Ahorro</t>
        </is>
      </c>
      <c r="BC361" t="inlineStr">
        <is>
          <t>Banco de Credito del Perú</t>
        </is>
      </c>
      <c r="BD361" t="inlineStr">
        <is>
          <t>194-7325779-0-65</t>
        </is>
      </c>
      <c r="BE361" t="inlineStr">
        <is>
          <t>TRANSFERENCIA BANCARIA</t>
        </is>
      </c>
      <c r="BG361" t="inlineStr">
        <is>
          <t>0152562</t>
        </is>
      </c>
      <c r="BH361" t="inlineStr">
        <is>
          <t>No</t>
        </is>
      </c>
      <c r="BJ361" t="n">
        <v>4</v>
      </c>
      <c r="BK361" t="inlineStr">
        <is>
          <t>CANCELADO</t>
        </is>
      </c>
      <c r="BV361" t="inlineStr">
        <is>
          <t>Si</t>
        </is>
      </c>
      <c r="BW361" s="76" t="n">
        <v>46003.40833333333</v>
      </c>
      <c r="BX361" t="inlineStr">
        <is>
          <t>Magaly Guevara Perez</t>
        </is>
      </c>
      <c r="BZ361" t="n">
        <v>21</v>
      </c>
      <c r="CA361" t="inlineStr">
        <is>
          <t>24/05/2026 00:22</t>
        </is>
      </c>
      <c r="CB361" t="n">
        <v>0</v>
      </c>
      <c r="CF361" t="inlineStr">
        <is>
          <t>Cobranzas_2026.csv</t>
        </is>
      </c>
      <c r="CG361" t="n">
        <v>2026</v>
      </c>
      <c r="CH361" t="inlineStr">
        <is>
          <t>01/01/2024</t>
        </is>
      </c>
      <c r="CI361" t="inlineStr">
        <is>
          <t>24/08/2031</t>
        </is>
      </c>
    </row>
    <row r="362">
      <c r="A362" t="inlineStr">
        <is>
          <t>RESIDENCIAL BEYOND</t>
        </is>
      </c>
      <c r="B362" t="inlineStr">
        <is>
          <t>Etapa 1</t>
        </is>
      </c>
      <c r="C362" t="inlineStr">
        <is>
          <t>Edificio</t>
        </is>
      </c>
      <c r="D362" t="inlineStr">
        <is>
          <t>A</t>
        </is>
      </c>
      <c r="E362" t="inlineStr">
        <is>
          <t>Departamento</t>
        </is>
      </c>
      <c r="F362" t="inlineStr">
        <is>
          <t>701</t>
        </is>
      </c>
      <c r="G362" t="n">
        <v>70</v>
      </c>
      <c r="H362" t="n">
        <v>0</v>
      </c>
      <c r="I362" s="39" t="n">
        <v>475000</v>
      </c>
      <c r="J362" s="39" t="n">
        <v>475000</v>
      </c>
      <c r="K362" t="inlineStr">
        <is>
          <t>Edificio</t>
        </is>
      </c>
      <c r="L362" t="inlineStr">
        <is>
          <t>A</t>
        </is>
      </c>
      <c r="M362" t="inlineStr">
        <is>
          <t>Estacionamiento</t>
        </is>
      </c>
      <c r="N362" t="inlineStr">
        <is>
          <t>E 17</t>
        </is>
      </c>
      <c r="O362" t="n">
        <v>12.5</v>
      </c>
      <c r="P362" t="n">
        <v>0</v>
      </c>
      <c r="Q362" s="39" t="n">
        <v>46800</v>
      </c>
      <c r="R362" s="39" t="n">
        <v>46800</v>
      </c>
      <c r="Y362" s="39" t="n"/>
      <c r="Z362" s="39" t="n"/>
      <c r="AG362" s="39" t="n"/>
      <c r="AH362" s="39" t="n"/>
      <c r="AI362" t="inlineStr">
        <is>
          <t>Dolores Lissett Castillo Diaz</t>
        </is>
      </c>
      <c r="AJ362" t="inlineStr">
        <is>
          <t>43780263</t>
        </is>
      </c>
      <c r="AK362" t="inlineStr">
        <is>
          <t xml:space="preserve"> Sargento Lores 950      </t>
        </is>
      </c>
      <c r="AL362" t="n">
        <v>0</v>
      </c>
      <c r="AM362" t="inlineStr">
        <is>
          <t>920487874</t>
        </is>
      </c>
      <c r="AN362" t="inlineStr">
        <is>
          <t>licady2486@gmail.com</t>
        </is>
      </c>
      <c r="AO362" t="inlineStr">
        <is>
          <t>MAYNAS</t>
        </is>
      </c>
      <c r="AP362" t="inlineStr">
        <is>
          <t>IQUITOS</t>
        </is>
      </c>
      <c r="AQ362" s="75" t="n">
        <v>46197.0125</v>
      </c>
      <c r="AR362" s="75" t="n">
        <v>46252</v>
      </c>
      <c r="AS362" t="inlineStr">
        <is>
          <t>CUOTA INICIAL</t>
        </is>
      </c>
      <c r="AT362" t="n">
        <v>1</v>
      </c>
      <c r="AU362" t="n">
        <v>101360</v>
      </c>
      <c r="AV362" t="n">
        <v>0</v>
      </c>
      <c r="AW362" t="n">
        <v>0</v>
      </c>
      <c r="AX362" s="39" t="n">
        <v>0</v>
      </c>
      <c r="AY362" s="39" t="n">
        <v>14920</v>
      </c>
      <c r="AZ362" s="39" t="n">
        <v>0</v>
      </c>
      <c r="BA362" t="n">
        <v>0</v>
      </c>
      <c r="BB362" t="inlineStr">
        <is>
          <t>Ahorro</t>
        </is>
      </c>
      <c r="BC362" t="inlineStr">
        <is>
          <t>Banco de Credito del Perú</t>
        </is>
      </c>
      <c r="BD362" t="inlineStr">
        <is>
          <t>194-7325779-0-65</t>
        </is>
      </c>
      <c r="BE362" t="inlineStr">
        <is>
          <t>TRANSFERENCIA BANCARIA</t>
        </is>
      </c>
      <c r="BG362" t="inlineStr">
        <is>
          <t>21419525</t>
        </is>
      </c>
      <c r="BH362" t="inlineStr">
        <is>
          <t>No</t>
        </is>
      </c>
      <c r="BJ362" t="n">
        <v>4</v>
      </c>
      <c r="BK362" t="inlineStr">
        <is>
          <t>CANCELADO</t>
        </is>
      </c>
      <c r="BV362" t="inlineStr">
        <is>
          <t>Si</t>
        </is>
      </c>
      <c r="BW362" s="76" t="n">
        <v>46003.40833333333</v>
      </c>
      <c r="BX362" t="inlineStr">
        <is>
          <t>Magaly Guevara Perez</t>
        </is>
      </c>
      <c r="BZ362" t="n">
        <v>21</v>
      </c>
      <c r="CA362" t="inlineStr">
        <is>
          <t>20/08/2026 09:40</t>
        </is>
      </c>
      <c r="CB362" t="n">
        <v>0</v>
      </c>
      <c r="CF362" t="inlineStr">
        <is>
          <t>Cobranzas_2026.csv</t>
        </is>
      </c>
      <c r="CG362" t="n">
        <v>2026</v>
      </c>
      <c r="CH362" t="inlineStr">
        <is>
          <t>01/01/2024</t>
        </is>
      </c>
      <c r="CI362" t="inlineStr">
        <is>
          <t>24/08/2031</t>
        </is>
      </c>
    </row>
    <row r="363">
      <c r="A363" t="inlineStr">
        <is>
          <t>RESIDENCIAL BEYOND</t>
        </is>
      </c>
      <c r="B363" t="inlineStr">
        <is>
          <t>Etapa 1</t>
        </is>
      </c>
      <c r="C363" t="inlineStr">
        <is>
          <t>Edificio</t>
        </is>
      </c>
      <c r="D363" t="inlineStr">
        <is>
          <t>A</t>
        </is>
      </c>
      <c r="E363" t="inlineStr">
        <is>
          <t>Departamento</t>
        </is>
      </c>
      <c r="F363" t="inlineStr">
        <is>
          <t>701</t>
        </is>
      </c>
      <c r="G363" t="n">
        <v>70</v>
      </c>
      <c r="H363" t="n">
        <v>0</v>
      </c>
      <c r="I363" s="39" t="n">
        <v>475000</v>
      </c>
      <c r="J363" s="39" t="n">
        <v>475000</v>
      </c>
      <c r="K363" t="inlineStr">
        <is>
          <t>Edificio</t>
        </is>
      </c>
      <c r="L363" t="inlineStr">
        <is>
          <t>A</t>
        </is>
      </c>
      <c r="M363" t="inlineStr">
        <is>
          <t>Estacionamiento</t>
        </is>
      </c>
      <c r="N363" t="inlineStr">
        <is>
          <t>E 17</t>
        </is>
      </c>
      <c r="O363" t="n">
        <v>12.5</v>
      </c>
      <c r="P363" t="n">
        <v>0</v>
      </c>
      <c r="Q363" s="39" t="n">
        <v>46800</v>
      </c>
      <c r="R363" s="39" t="n">
        <v>46800</v>
      </c>
      <c r="Y363" s="39" t="n"/>
      <c r="Z363" s="39" t="n"/>
      <c r="AG363" s="39" t="n"/>
      <c r="AH363" s="39" t="n"/>
      <c r="AI363" t="inlineStr">
        <is>
          <t>Dolores Lissett Castillo Diaz</t>
        </is>
      </c>
      <c r="AJ363" t="inlineStr">
        <is>
          <t>43780263</t>
        </is>
      </c>
      <c r="AK363" t="inlineStr">
        <is>
          <t xml:space="preserve"> Sargento Lores 950      </t>
        </is>
      </c>
      <c r="AL363" t="n">
        <v>0</v>
      </c>
      <c r="AM363" t="inlineStr">
        <is>
          <t>920487874</t>
        </is>
      </c>
      <c r="AN363" t="inlineStr">
        <is>
          <t>licady2486@gmail.com</t>
        </is>
      </c>
      <c r="AO363" t="inlineStr">
        <is>
          <t>MAYNAS</t>
        </is>
      </c>
      <c r="AP363" t="inlineStr">
        <is>
          <t>IQUITOS</t>
        </is>
      </c>
      <c r="AQ363" s="75" t="n">
        <v>46227.0125</v>
      </c>
      <c r="AR363" s="75" t="n"/>
      <c r="AS363" t="inlineStr">
        <is>
          <t>SALDO FINANCIAR</t>
        </is>
      </c>
      <c r="AT363" t="n">
        <v>1</v>
      </c>
      <c r="AU363" t="n">
        <v>417440</v>
      </c>
      <c r="AV363" t="n">
        <v>0</v>
      </c>
      <c r="AW363" t="n">
        <v>0</v>
      </c>
      <c r="AX363" s="39" t="n">
        <v>417440</v>
      </c>
      <c r="AY363" s="39" t="n">
        <v>0</v>
      </c>
      <c r="AZ363" s="39" t="n">
        <v>417440</v>
      </c>
      <c r="BB363" t="inlineStr">
        <is>
          <t>Ahorro</t>
        </is>
      </c>
      <c r="BH363" t="inlineStr">
        <is>
          <t>No</t>
        </is>
      </c>
      <c r="BK363" t="inlineStr">
        <is>
          <t>VENCIDO</t>
        </is>
      </c>
      <c r="BV363" t="inlineStr">
        <is>
          <t>No</t>
        </is>
      </c>
      <c r="BW363" s="76" t="n">
        <v>46003.40833333333</v>
      </c>
      <c r="BX363" t="inlineStr">
        <is>
          <t>Magaly Guevara Perez</t>
        </is>
      </c>
      <c r="BZ363" t="n">
        <v>21</v>
      </c>
      <c r="CB363" t="n">
        <v>0</v>
      </c>
      <c r="CF363" t="inlineStr">
        <is>
          <t>Cobranzas_2026.csv</t>
        </is>
      </c>
      <c r="CG363" t="n">
        <v>2026</v>
      </c>
      <c r="CH363" t="inlineStr">
        <is>
          <t>01/01/2024</t>
        </is>
      </c>
      <c r="CI363" t="inlineStr">
        <is>
          <t>24/08/2031</t>
        </is>
      </c>
    </row>
    <row r="364">
      <c r="A364" t="inlineStr">
        <is>
          <t>RESIDENCIAL PRADA</t>
        </is>
      </c>
      <c r="B364" t="inlineStr">
        <is>
          <t>Etapa 1</t>
        </is>
      </c>
      <c r="C364" t="inlineStr">
        <is>
          <t>Edificio</t>
        </is>
      </c>
      <c r="D364" t="inlineStr">
        <is>
          <t>A</t>
        </is>
      </c>
      <c r="E364" t="inlineStr">
        <is>
          <t>Estacionamiento</t>
        </is>
      </c>
      <c r="F364" t="inlineStr">
        <is>
          <t>E 10 - D 07</t>
        </is>
      </c>
      <c r="G364" t="n">
        <v>12.5</v>
      </c>
      <c r="H364" t="n">
        <v>5.32</v>
      </c>
      <c r="I364" s="39" t="n">
        <v>66300</v>
      </c>
      <c r="J364" s="39" t="n">
        <v>66300</v>
      </c>
      <c r="Q364" s="39" t="n"/>
      <c r="R364" s="39" t="n"/>
      <c r="Y364" s="39" t="n"/>
      <c r="Z364" s="39" t="n"/>
      <c r="AG364" s="39" t="n"/>
      <c r="AH364" s="39" t="n"/>
      <c r="AI364" t="inlineStr">
        <is>
          <t>Edwin Modigliani Efrai Suclla Flores</t>
        </is>
      </c>
      <c r="AJ364" t="inlineStr">
        <is>
          <t>08062531</t>
        </is>
      </c>
      <c r="AK364" t="inlineStr">
        <is>
          <t xml:space="preserve">Jr. Monitor Huascar Norte N° 551 Urb. Ventura Rossi  </t>
        </is>
      </c>
      <c r="AL364" t="n">
        <v>997463109</v>
      </c>
      <c r="AM364" t="inlineStr">
        <is>
          <t>997463109</t>
        </is>
      </c>
      <c r="AN364" t="inlineStr">
        <is>
          <t>efrainchbxpar@gmail.com</t>
        </is>
      </c>
      <c r="AO364" t="inlineStr">
        <is>
          <t>LIMA</t>
        </is>
      </c>
      <c r="AP364" t="inlineStr">
        <is>
          <t>RIMAC</t>
        </is>
      </c>
      <c r="AQ364" s="75" t="n">
        <v>46051</v>
      </c>
      <c r="AR364" s="75" t="n">
        <v>46048</v>
      </c>
      <c r="AS364" t="inlineStr">
        <is>
          <t>SALDO FINANCIAR</t>
        </is>
      </c>
      <c r="AT364" t="n">
        <v>7</v>
      </c>
      <c r="AU364" t="n">
        <v>7037.5</v>
      </c>
      <c r="AV364" t="n">
        <v>0</v>
      </c>
      <c r="AW364" t="n">
        <v>0</v>
      </c>
      <c r="AX364" s="39" t="n">
        <v>7037.5</v>
      </c>
      <c r="AY364" s="39" t="n">
        <v>7037.5</v>
      </c>
      <c r="AZ364" s="39" t="n">
        <v>0</v>
      </c>
      <c r="BA364" t="n">
        <v>0</v>
      </c>
      <c r="BB364" t="inlineStr">
        <is>
          <t>Crédito Directo</t>
        </is>
      </c>
      <c r="BC364" t="inlineStr">
        <is>
          <t>Scotiabank Perú</t>
        </is>
      </c>
      <c r="BD364" t="inlineStr">
        <is>
          <t>000-2768484</t>
        </is>
      </c>
      <c r="BE364" t="inlineStr">
        <is>
          <t>TRANSFERENCIA BANCARIA</t>
        </is>
      </c>
      <c r="BG364" t="inlineStr">
        <is>
          <t>7844655587482</t>
        </is>
      </c>
      <c r="BH364" t="inlineStr">
        <is>
          <t>No</t>
        </is>
      </c>
      <c r="BJ364" t="n">
        <v>4</v>
      </c>
      <c r="BK364" t="inlineStr">
        <is>
          <t>CANCELADO</t>
        </is>
      </c>
      <c r="BV364" t="inlineStr">
        <is>
          <t>Si</t>
        </is>
      </c>
      <c r="BW364" s="76" t="n">
        <v>45862.56597222222</v>
      </c>
      <c r="BX364" t="inlineStr">
        <is>
          <t>Magaly Guevara Perez</t>
        </is>
      </c>
      <c r="BZ364" t="n">
        <v>55</v>
      </c>
      <c r="CA364" t="inlineStr">
        <is>
          <t>26/06/2026 17:06</t>
        </is>
      </c>
      <c r="CB364" t="n">
        <v>0</v>
      </c>
      <c r="CF364" t="inlineStr">
        <is>
          <t>Cobranzas_2026.csv</t>
        </is>
      </c>
      <c r="CG364" t="n">
        <v>2026</v>
      </c>
      <c r="CH364" t="inlineStr">
        <is>
          <t>01/01/2024</t>
        </is>
      </c>
      <c r="CI364" t="inlineStr">
        <is>
          <t>24/08/2031</t>
        </is>
      </c>
    </row>
    <row r="365">
      <c r="A365" t="inlineStr">
        <is>
          <t>RESIDENCIAL PRADA</t>
        </is>
      </c>
      <c r="B365" t="inlineStr">
        <is>
          <t>Etapa 1</t>
        </is>
      </c>
      <c r="C365" t="inlineStr">
        <is>
          <t>Edificio</t>
        </is>
      </c>
      <c r="D365" t="inlineStr">
        <is>
          <t>A</t>
        </is>
      </c>
      <c r="E365" t="inlineStr">
        <is>
          <t>Estacionamiento</t>
        </is>
      </c>
      <c r="F365" t="inlineStr">
        <is>
          <t>E 10 - D 07</t>
        </is>
      </c>
      <c r="G365" t="n">
        <v>12.5</v>
      </c>
      <c r="H365" t="n">
        <v>5.32</v>
      </c>
      <c r="I365" s="39" t="n">
        <v>66300</v>
      </c>
      <c r="J365" s="39" t="n">
        <v>66300</v>
      </c>
      <c r="Q365" s="39" t="n"/>
      <c r="R365" s="39" t="n"/>
      <c r="Y365" s="39" t="n"/>
      <c r="Z365" s="39" t="n"/>
      <c r="AG365" s="39" t="n"/>
      <c r="AH365" s="39" t="n"/>
      <c r="AI365" t="inlineStr">
        <is>
          <t>Edwin Modigliani Efrai Suclla Flores</t>
        </is>
      </c>
      <c r="AJ365" t="inlineStr">
        <is>
          <t>08062531</t>
        </is>
      </c>
      <c r="AK365" t="inlineStr">
        <is>
          <t xml:space="preserve">Jr. Monitor Huascar Norte N° 551 Urb. Ventura Rossi  </t>
        </is>
      </c>
      <c r="AL365" t="n">
        <v>997463109</v>
      </c>
      <c r="AM365" t="inlineStr">
        <is>
          <t>997463109</t>
        </is>
      </c>
      <c r="AN365" t="inlineStr">
        <is>
          <t>efrainchbxpar@gmail.com</t>
        </is>
      </c>
      <c r="AO365" t="inlineStr">
        <is>
          <t>LIMA</t>
        </is>
      </c>
      <c r="AP365" t="inlineStr">
        <is>
          <t>RIMAC</t>
        </is>
      </c>
      <c r="AQ365" s="75" t="n">
        <v>46081</v>
      </c>
      <c r="AR365" s="75" t="n">
        <v>46078</v>
      </c>
      <c r="AS365" t="inlineStr">
        <is>
          <t>SALDO FINANCIAR</t>
        </is>
      </c>
      <c r="AT365" t="n">
        <v>8</v>
      </c>
      <c r="AU365" t="n">
        <v>7037.5</v>
      </c>
      <c r="AV365" t="n">
        <v>0</v>
      </c>
      <c r="AW365" t="n">
        <v>0</v>
      </c>
      <c r="AX365" s="39" t="n">
        <v>7037.5</v>
      </c>
      <c r="AY365" s="39" t="n">
        <v>7037.5</v>
      </c>
      <c r="AZ365" s="39" t="n">
        <v>0</v>
      </c>
      <c r="BA365" t="n">
        <v>0</v>
      </c>
      <c r="BB365" t="inlineStr">
        <is>
          <t>Crédito Directo</t>
        </is>
      </c>
      <c r="BC365" t="inlineStr">
        <is>
          <t>Scotiabank Perú</t>
        </is>
      </c>
      <c r="BD365" t="inlineStr">
        <is>
          <t>000-2768484</t>
        </is>
      </c>
      <c r="BE365" t="inlineStr">
        <is>
          <t>TRANSFERENCIA BANCARIA</t>
        </is>
      </c>
      <c r="BG365" t="inlineStr">
        <is>
          <t>7844655511642</t>
        </is>
      </c>
      <c r="BH365" t="inlineStr">
        <is>
          <t>No</t>
        </is>
      </c>
      <c r="BJ365" t="n">
        <v>4</v>
      </c>
      <c r="BK365" t="inlineStr">
        <is>
          <t>CANCELADO</t>
        </is>
      </c>
      <c r="BV365" t="inlineStr">
        <is>
          <t>Si</t>
        </is>
      </c>
      <c r="BW365" s="76" t="n">
        <v>45862.56597222222</v>
      </c>
      <c r="BX365" t="inlineStr">
        <is>
          <t>Magaly Guevara Perez</t>
        </is>
      </c>
      <c r="BZ365" t="n">
        <v>55</v>
      </c>
      <c r="CA365" t="inlineStr">
        <is>
          <t>26/06/2026 17:07</t>
        </is>
      </c>
      <c r="CB365" t="n">
        <v>0</v>
      </c>
      <c r="CF365" t="inlineStr">
        <is>
          <t>Cobranzas_2026.csv</t>
        </is>
      </c>
      <c r="CG365" t="n">
        <v>2026</v>
      </c>
      <c r="CH365" t="inlineStr">
        <is>
          <t>01/01/2024</t>
        </is>
      </c>
      <c r="CI365" t="inlineStr">
        <is>
          <t>24/08/2031</t>
        </is>
      </c>
    </row>
    <row r="366">
      <c r="A366" t="inlineStr">
        <is>
          <t>RESIDENCIAL PRADA</t>
        </is>
      </c>
      <c r="B366" t="inlineStr">
        <is>
          <t>Etapa 1</t>
        </is>
      </c>
      <c r="C366" t="inlineStr">
        <is>
          <t>Edificio</t>
        </is>
      </c>
      <c r="D366" t="inlineStr">
        <is>
          <t>A</t>
        </is>
      </c>
      <c r="E366" t="inlineStr">
        <is>
          <t>Departamento</t>
        </is>
      </c>
      <c r="F366" t="inlineStr">
        <is>
          <t>602</t>
        </is>
      </c>
      <c r="G366" t="n">
        <v>56</v>
      </c>
      <c r="H366" t="n">
        <v>0</v>
      </c>
      <c r="I366" s="39" t="n">
        <v>475000</v>
      </c>
      <c r="J366" s="39" t="n">
        <v>475000</v>
      </c>
      <c r="Q366" s="39" t="n"/>
      <c r="R366" s="39" t="n"/>
      <c r="Y366" s="39" t="n"/>
      <c r="Z366" s="39" t="n"/>
      <c r="AG366" s="39" t="n"/>
      <c r="AH366" s="39" t="n"/>
      <c r="AI366" t="inlineStr">
        <is>
          <t>EDWIN VICTOR ASHTU ACOSTA</t>
        </is>
      </c>
      <c r="AJ366" t="inlineStr">
        <is>
          <t>40910651</t>
        </is>
      </c>
      <c r="AK366" t="inlineStr">
        <is>
          <t>Psj. Ramon Castilla 146 , San Felipe</t>
        </is>
      </c>
      <c r="AL366" t="n">
        <v>943011992</v>
      </c>
      <c r="AM366" t="inlineStr">
        <is>
          <t>943011992</t>
        </is>
      </c>
      <c r="AN366" t="inlineStr">
        <is>
          <t>edwin.ashtu@gmail.com</t>
        </is>
      </c>
      <c r="AO366" t="inlineStr">
        <is>
          <t>LIMA</t>
        </is>
      </c>
      <c r="AP366" t="inlineStr">
        <is>
          <t>COMAS</t>
        </is>
      </c>
      <c r="AQ366" s="75" t="n">
        <v>46096</v>
      </c>
      <c r="AR366" s="75" t="n">
        <v>46096</v>
      </c>
      <c r="AS366" t="inlineStr">
        <is>
          <t>SEPARACION</t>
        </is>
      </c>
      <c r="AT366" t="n">
        <v>1</v>
      </c>
      <c r="AU366" t="n">
        <v>3000</v>
      </c>
      <c r="AV366" t="n">
        <v>0</v>
      </c>
      <c r="AW366" t="n">
        <v>0</v>
      </c>
      <c r="AX366" s="39" t="n">
        <v>3000</v>
      </c>
      <c r="AY366" s="39" t="n">
        <v>3000</v>
      </c>
      <c r="AZ366" s="39" t="n">
        <v>0</v>
      </c>
      <c r="BA366" t="n">
        <v>0</v>
      </c>
      <c r="BB366" t="inlineStr">
        <is>
          <t>Crédito Directo</t>
        </is>
      </c>
      <c r="BC366" t="inlineStr">
        <is>
          <t>Scotiabank Perú</t>
        </is>
      </c>
      <c r="BD366" t="inlineStr">
        <is>
          <t>000-2768484</t>
        </is>
      </c>
      <c r="BE366" t="inlineStr">
        <is>
          <t>POS VISA</t>
        </is>
      </c>
      <c r="BG366" t="inlineStr">
        <is>
          <t>430551</t>
        </is>
      </c>
      <c r="BH366" t="inlineStr">
        <is>
          <t>Si</t>
        </is>
      </c>
      <c r="BJ366" t="n">
        <v>4</v>
      </c>
      <c r="BK366" t="inlineStr">
        <is>
          <t>CANCELADO</t>
        </is>
      </c>
      <c r="BV366" t="inlineStr">
        <is>
          <t>Si</t>
        </is>
      </c>
      <c r="BW366" s="76" t="n">
        <v>46111.69375</v>
      </c>
      <c r="BX366" t="inlineStr">
        <is>
          <t>Kenny Salazar S</t>
        </is>
      </c>
      <c r="BZ366" t="n">
        <v>29</v>
      </c>
      <c r="CA366" t="inlineStr">
        <is>
          <t>02/06/2026 17:37</t>
        </is>
      </c>
      <c r="CB366" t="n">
        <v>0</v>
      </c>
      <c r="CF366" t="inlineStr">
        <is>
          <t>Cobranzas_2026.csv</t>
        </is>
      </c>
      <c r="CG366" t="n">
        <v>2026</v>
      </c>
      <c r="CH366" t="inlineStr">
        <is>
          <t>01/01/2024</t>
        </is>
      </c>
      <c r="CI366" t="inlineStr">
        <is>
          <t>24/08/2031</t>
        </is>
      </c>
    </row>
    <row r="367">
      <c r="A367" t="inlineStr">
        <is>
          <t>RESIDENCIAL PRADA</t>
        </is>
      </c>
      <c r="B367" t="inlineStr">
        <is>
          <t>Etapa 1</t>
        </is>
      </c>
      <c r="C367" t="inlineStr">
        <is>
          <t>Edificio</t>
        </is>
      </c>
      <c r="D367" t="inlineStr">
        <is>
          <t>A</t>
        </is>
      </c>
      <c r="E367" t="inlineStr">
        <is>
          <t>Departamento</t>
        </is>
      </c>
      <c r="F367" t="inlineStr">
        <is>
          <t>602</t>
        </is>
      </c>
      <c r="G367" t="n">
        <v>56</v>
      </c>
      <c r="H367" t="n">
        <v>0</v>
      </c>
      <c r="I367" s="39" t="n">
        <v>475000</v>
      </c>
      <c r="J367" s="39" t="n">
        <v>475000</v>
      </c>
      <c r="Q367" s="39" t="n"/>
      <c r="R367" s="39" t="n"/>
      <c r="Y367" s="39" t="n"/>
      <c r="Z367" s="39" t="n"/>
      <c r="AG367" s="39" t="n"/>
      <c r="AH367" s="39" t="n"/>
      <c r="AI367" t="inlineStr">
        <is>
          <t>EDWIN VICTOR ASHTU ACOSTA</t>
        </is>
      </c>
      <c r="AJ367" t="inlineStr">
        <is>
          <t>40910651</t>
        </is>
      </c>
      <c r="AK367" t="inlineStr">
        <is>
          <t>Psj. Ramon Castilla 146 , San Felipe</t>
        </is>
      </c>
      <c r="AL367" t="n">
        <v>943011992</v>
      </c>
      <c r="AM367" t="inlineStr">
        <is>
          <t>943011992</t>
        </is>
      </c>
      <c r="AN367" t="inlineStr">
        <is>
          <t>edwin.ashtu@gmail.com</t>
        </is>
      </c>
      <c r="AO367" t="inlineStr">
        <is>
          <t>LIMA</t>
        </is>
      </c>
      <c r="AP367" t="inlineStr">
        <is>
          <t>COMAS</t>
        </is>
      </c>
      <c r="AQ367" s="75" t="n">
        <v>46112</v>
      </c>
      <c r="AR367" s="75" t="n">
        <v>46112</v>
      </c>
      <c r="AS367" t="inlineStr">
        <is>
          <t>CUOTA INICIAL</t>
        </is>
      </c>
      <c r="AT367" t="n">
        <v>1</v>
      </c>
      <c r="AU367" t="n">
        <v>234500</v>
      </c>
      <c r="AV367" t="n">
        <v>0</v>
      </c>
      <c r="AW367" t="n">
        <v>0</v>
      </c>
      <c r="AX367" s="39" t="n">
        <v>234500</v>
      </c>
      <c r="AY367" s="39" t="n">
        <v>100000</v>
      </c>
      <c r="AZ367" s="39" t="n">
        <v>0</v>
      </c>
      <c r="BA367" t="n">
        <v>0</v>
      </c>
      <c r="BB367" t="inlineStr">
        <is>
          <t>Crédito Directo</t>
        </is>
      </c>
      <c r="BC367" t="inlineStr">
        <is>
          <t>Scotiabank Perú</t>
        </is>
      </c>
      <c r="BD367" t="inlineStr">
        <is>
          <t>000-2768484</t>
        </is>
      </c>
      <c r="BE367" t="inlineStr">
        <is>
          <t>TRANSFERENCIA BANCARIA</t>
        </is>
      </c>
      <c r="BG367" t="inlineStr">
        <is>
          <t>170000003308</t>
        </is>
      </c>
      <c r="BH367" t="inlineStr">
        <is>
          <t>Si</t>
        </is>
      </c>
      <c r="BJ367" t="n">
        <v>4</v>
      </c>
      <c r="BK367" t="inlineStr">
        <is>
          <t>CANCELADO</t>
        </is>
      </c>
      <c r="BV367" t="inlineStr">
        <is>
          <t>Si</t>
        </is>
      </c>
      <c r="BW367" s="76" t="n">
        <v>46111.69375</v>
      </c>
      <c r="BX367" t="inlineStr">
        <is>
          <t>Kenny Salazar S</t>
        </is>
      </c>
      <c r="BZ367" t="n">
        <v>29</v>
      </c>
      <c r="CA367" t="inlineStr">
        <is>
          <t>09/06/2026 16:10</t>
        </is>
      </c>
      <c r="CB367" t="n">
        <v>0</v>
      </c>
      <c r="CF367" t="inlineStr">
        <is>
          <t>Cobranzas_2026.csv</t>
        </is>
      </c>
      <c r="CG367" t="n">
        <v>2026</v>
      </c>
      <c r="CH367" t="inlineStr">
        <is>
          <t>01/01/2024</t>
        </is>
      </c>
      <c r="CI367" t="inlineStr">
        <is>
          <t>24/08/2031</t>
        </is>
      </c>
    </row>
    <row r="368">
      <c r="A368" t="inlineStr">
        <is>
          <t>RESIDENCIAL PRADA</t>
        </is>
      </c>
      <c r="B368" t="inlineStr">
        <is>
          <t>Etapa 1</t>
        </is>
      </c>
      <c r="C368" t="inlineStr">
        <is>
          <t>Edificio</t>
        </is>
      </c>
      <c r="D368" t="inlineStr">
        <is>
          <t>A</t>
        </is>
      </c>
      <c r="E368" t="inlineStr">
        <is>
          <t>Departamento</t>
        </is>
      </c>
      <c r="F368" t="inlineStr">
        <is>
          <t>602</t>
        </is>
      </c>
      <c r="G368" t="n">
        <v>56</v>
      </c>
      <c r="H368" t="n">
        <v>0</v>
      </c>
      <c r="I368" s="39" t="n">
        <v>475000</v>
      </c>
      <c r="J368" s="39" t="n">
        <v>475000</v>
      </c>
      <c r="Q368" s="39" t="n"/>
      <c r="R368" s="39" t="n"/>
      <c r="Y368" s="39" t="n"/>
      <c r="Z368" s="39" t="n"/>
      <c r="AG368" s="39" t="n"/>
      <c r="AH368" s="39" t="n"/>
      <c r="AI368" t="inlineStr">
        <is>
          <t>EDWIN VICTOR ASHTU ACOSTA</t>
        </is>
      </c>
      <c r="AJ368" t="inlineStr">
        <is>
          <t>40910651</t>
        </is>
      </c>
      <c r="AK368" t="inlineStr">
        <is>
          <t>Psj. Ramon Castilla 146 , San Felipe</t>
        </is>
      </c>
      <c r="AL368" t="n">
        <v>943011992</v>
      </c>
      <c r="AM368" t="inlineStr">
        <is>
          <t>943011992</t>
        </is>
      </c>
      <c r="AN368" t="inlineStr">
        <is>
          <t>edwin.ashtu@gmail.com</t>
        </is>
      </c>
      <c r="AO368" t="inlineStr">
        <is>
          <t>LIMA</t>
        </is>
      </c>
      <c r="AP368" t="inlineStr">
        <is>
          <t>COMAS</t>
        </is>
      </c>
      <c r="AQ368" s="75" t="n">
        <v>46112</v>
      </c>
      <c r="AR368" s="75" t="n">
        <v>46112</v>
      </c>
      <c r="AS368" t="inlineStr">
        <is>
          <t>CUOTA INICIAL</t>
        </is>
      </c>
      <c r="AT368" t="n">
        <v>1</v>
      </c>
      <c r="AU368" t="n">
        <v>0</v>
      </c>
      <c r="AV368" t="n">
        <v>0</v>
      </c>
      <c r="AW368" t="n">
        <v>0</v>
      </c>
      <c r="AX368" s="39" t="n">
        <v>0</v>
      </c>
      <c r="AY368" s="39" t="n">
        <v>134500</v>
      </c>
      <c r="AZ368" s="39" t="n">
        <v>0</v>
      </c>
      <c r="BA368" t="n">
        <v>0</v>
      </c>
      <c r="BB368" t="inlineStr">
        <is>
          <t>Crédito Directo</t>
        </is>
      </c>
      <c r="BC368" t="inlineStr">
        <is>
          <t>Scotiabank Perú</t>
        </is>
      </c>
      <c r="BD368" t="inlineStr">
        <is>
          <t>000-2768484</t>
        </is>
      </c>
      <c r="BE368" t="inlineStr">
        <is>
          <t>TRANSFERENCIA BANCARIA</t>
        </is>
      </c>
      <c r="BG368" t="inlineStr">
        <is>
          <t>210009</t>
        </is>
      </c>
      <c r="BH368" t="inlineStr">
        <is>
          <t>Si</t>
        </is>
      </c>
      <c r="BJ368" t="n">
        <v>4</v>
      </c>
      <c r="BK368" t="inlineStr">
        <is>
          <t>CANCELADO</t>
        </is>
      </c>
      <c r="BV368" t="inlineStr">
        <is>
          <t>Si</t>
        </is>
      </c>
      <c r="BW368" s="76" t="n">
        <v>46111.69375</v>
      </c>
      <c r="BX368" t="inlineStr">
        <is>
          <t>Kenny Salazar S</t>
        </is>
      </c>
      <c r="BZ368" t="n">
        <v>29</v>
      </c>
      <c r="CA368" t="inlineStr">
        <is>
          <t>09/06/2026 16:12</t>
        </is>
      </c>
      <c r="CB368" t="n">
        <v>0</v>
      </c>
      <c r="CF368" t="inlineStr">
        <is>
          <t>Cobranzas_2026.csv</t>
        </is>
      </c>
      <c r="CG368" t="n">
        <v>2026</v>
      </c>
      <c r="CH368" t="inlineStr">
        <is>
          <t>01/01/2024</t>
        </is>
      </c>
      <c r="CI368" t="inlineStr">
        <is>
          <t>24/08/2031</t>
        </is>
      </c>
    </row>
    <row r="369">
      <c r="A369" t="inlineStr">
        <is>
          <t>RESIDENCIAL PRADA</t>
        </is>
      </c>
      <c r="B369" t="inlineStr">
        <is>
          <t>Etapa 1</t>
        </is>
      </c>
      <c r="C369" t="inlineStr">
        <is>
          <t>Edificio</t>
        </is>
      </c>
      <c r="D369" t="inlineStr">
        <is>
          <t>A</t>
        </is>
      </c>
      <c r="E369" t="inlineStr">
        <is>
          <t>Departamento</t>
        </is>
      </c>
      <c r="F369" t="inlineStr">
        <is>
          <t>602</t>
        </is>
      </c>
      <c r="G369" t="n">
        <v>56</v>
      </c>
      <c r="H369" t="n">
        <v>0</v>
      </c>
      <c r="I369" s="39" t="n">
        <v>475000</v>
      </c>
      <c r="J369" s="39" t="n">
        <v>475000</v>
      </c>
      <c r="Q369" s="39" t="n"/>
      <c r="R369" s="39" t="n"/>
      <c r="Y369" s="39" t="n"/>
      <c r="Z369" s="39" t="n"/>
      <c r="AG369" s="39" t="n"/>
      <c r="AH369" s="39" t="n"/>
      <c r="AI369" t="inlineStr">
        <is>
          <t>EDWIN VICTOR ASHTU ACOSTA</t>
        </is>
      </c>
      <c r="AJ369" t="inlineStr">
        <is>
          <t>40910651</t>
        </is>
      </c>
      <c r="AK369" t="inlineStr">
        <is>
          <t>Psj. Ramon Castilla 146 , San Felipe</t>
        </is>
      </c>
      <c r="AL369" t="n">
        <v>943011992</v>
      </c>
      <c r="AM369" t="inlineStr">
        <is>
          <t>943011992</t>
        </is>
      </c>
      <c r="AN369" t="inlineStr">
        <is>
          <t>edwin.ashtu@gmail.com</t>
        </is>
      </c>
      <c r="AO369" t="inlineStr">
        <is>
          <t>LIMA</t>
        </is>
      </c>
      <c r="AP369" t="inlineStr">
        <is>
          <t>COMAS</t>
        </is>
      </c>
      <c r="AQ369" s="75" t="n">
        <v>46188</v>
      </c>
      <c r="AR369" s="75" t="n">
        <v>46188</v>
      </c>
      <c r="AS369" t="inlineStr">
        <is>
          <t>SALDO FINANCIAR</t>
        </is>
      </c>
      <c r="AT369" t="n">
        <v>1</v>
      </c>
      <c r="AU369" t="n">
        <v>237500</v>
      </c>
      <c r="AV369" t="n">
        <v>0</v>
      </c>
      <c r="AW369" t="n">
        <v>0</v>
      </c>
      <c r="AX369" s="39" t="n">
        <v>237500</v>
      </c>
      <c r="AY369" s="39" t="n">
        <v>237500</v>
      </c>
      <c r="AZ369" s="39" t="n">
        <v>0</v>
      </c>
      <c r="BA369" t="n">
        <v>0</v>
      </c>
      <c r="BB369" t="inlineStr">
        <is>
          <t>Crédito Directo</t>
        </is>
      </c>
      <c r="BC369" t="inlineStr">
        <is>
          <t>Scotiabank Perú</t>
        </is>
      </c>
      <c r="BD369" t="inlineStr">
        <is>
          <t>000-2768484</t>
        </is>
      </c>
      <c r="BE369" t="inlineStr">
        <is>
          <t>TRANSFERENCIA BANCARIA</t>
        </is>
      </c>
      <c r="BG369" t="inlineStr">
        <is>
          <t>9170</t>
        </is>
      </c>
      <c r="BH369" t="inlineStr">
        <is>
          <t>Si</t>
        </is>
      </c>
      <c r="BJ369" t="n">
        <v>4</v>
      </c>
      <c r="BK369" t="inlineStr">
        <is>
          <t>CANCELADO</t>
        </is>
      </c>
      <c r="BV369" t="inlineStr">
        <is>
          <t>Si</t>
        </is>
      </c>
      <c r="BW369" s="76" t="n">
        <v>46111.69375</v>
      </c>
      <c r="BX369" t="inlineStr">
        <is>
          <t>Kenny Salazar S</t>
        </is>
      </c>
      <c r="BZ369" t="n">
        <v>29</v>
      </c>
      <c r="CA369" t="inlineStr">
        <is>
          <t>16/06/2026 09:13</t>
        </is>
      </c>
      <c r="CB369" t="n">
        <v>0</v>
      </c>
      <c r="CF369" t="inlineStr">
        <is>
          <t>Cobranzas_2026.csv</t>
        </is>
      </c>
      <c r="CG369" t="n">
        <v>2026</v>
      </c>
      <c r="CH369" t="inlineStr">
        <is>
          <t>01/01/2024</t>
        </is>
      </c>
      <c r="CI369" t="inlineStr">
        <is>
          <t>24/08/2031</t>
        </is>
      </c>
    </row>
    <row r="370">
      <c r="A370" t="inlineStr">
        <is>
          <t>RESIDENCIAL PRADA</t>
        </is>
      </c>
      <c r="B370" t="inlineStr">
        <is>
          <t>Etapa 1</t>
        </is>
      </c>
      <c r="C370" t="inlineStr">
        <is>
          <t>Edificio</t>
        </is>
      </c>
      <c r="D370" t="inlineStr">
        <is>
          <t>A</t>
        </is>
      </c>
      <c r="E370" t="inlineStr">
        <is>
          <t>Estacionamiento</t>
        </is>
      </c>
      <c r="F370" t="inlineStr">
        <is>
          <t>E 44</t>
        </is>
      </c>
      <c r="G370" t="n">
        <v>13.52</v>
      </c>
      <c r="H370" t="n">
        <v>0</v>
      </c>
      <c r="I370" s="39" t="n">
        <v>50000</v>
      </c>
      <c r="J370" s="39" t="n">
        <v>50000</v>
      </c>
      <c r="Q370" s="39" t="n"/>
      <c r="R370" s="39" t="n"/>
      <c r="Y370" s="39" t="n"/>
      <c r="Z370" s="39" t="n"/>
      <c r="AG370" s="39" t="n"/>
      <c r="AH370" s="39" t="n"/>
      <c r="AI370" t="inlineStr">
        <is>
          <t>EDWIN VICTOR ASHTU ACOSTA</t>
        </is>
      </c>
      <c r="AJ370" t="inlineStr">
        <is>
          <t>40910651</t>
        </is>
      </c>
      <c r="AK370" t="inlineStr">
        <is>
          <t>Psj. Ramon Castilla 146 , San Felipe</t>
        </is>
      </c>
      <c r="AM370" t="inlineStr">
        <is>
          <t>943011992</t>
        </is>
      </c>
      <c r="AN370" t="inlineStr">
        <is>
          <t>edwin.ashtu@gmail.com</t>
        </is>
      </c>
      <c r="AO370" t="inlineStr">
        <is>
          <t>LIMA</t>
        </is>
      </c>
      <c r="AP370" t="inlineStr">
        <is>
          <t>COMAS</t>
        </is>
      </c>
      <c r="AQ370" s="75" t="n">
        <v>46098</v>
      </c>
      <c r="AR370" s="75" t="n">
        <v>46098</v>
      </c>
      <c r="AS370" t="inlineStr">
        <is>
          <t>SEPARACION</t>
        </is>
      </c>
      <c r="AT370" t="n">
        <v>1</v>
      </c>
      <c r="AU370" t="n">
        <v>3000</v>
      </c>
      <c r="AV370" t="n">
        <v>0</v>
      </c>
      <c r="AW370" t="n">
        <v>0</v>
      </c>
      <c r="AX370" s="39" t="n">
        <v>3000</v>
      </c>
      <c r="AY370" s="39" t="n">
        <v>3000</v>
      </c>
      <c r="AZ370" s="39" t="n">
        <v>0</v>
      </c>
      <c r="BA370" t="n">
        <v>0</v>
      </c>
      <c r="BB370" t="inlineStr">
        <is>
          <t>Crédito Directo</t>
        </is>
      </c>
      <c r="BC370" t="inlineStr">
        <is>
          <t>Scotiabank Perú</t>
        </is>
      </c>
      <c r="BD370" t="inlineStr">
        <is>
          <t>000-2768484</t>
        </is>
      </c>
      <c r="BE370" t="inlineStr">
        <is>
          <t>TRANSFERENCIA BANCARIA</t>
        </is>
      </c>
      <c r="BG370" t="inlineStr">
        <is>
          <t>17032026</t>
        </is>
      </c>
      <c r="BH370" t="inlineStr">
        <is>
          <t>No</t>
        </is>
      </c>
      <c r="BJ370" t="n">
        <v>4</v>
      </c>
      <c r="BK370" t="inlineStr">
        <is>
          <t>CANCELADO</t>
        </is>
      </c>
      <c r="BV370" t="inlineStr">
        <is>
          <t>Si</t>
        </is>
      </c>
      <c r="BW370" s="76" t="n">
        <v>46140.39583333334</v>
      </c>
      <c r="BX370" t="inlineStr">
        <is>
          <t>Carla Michue M</t>
        </is>
      </c>
      <c r="BZ370" t="n">
        <v>23</v>
      </c>
      <c r="CA370" t="inlineStr">
        <is>
          <t>14/07/2026 09:38</t>
        </is>
      </c>
      <c r="CB370" t="n">
        <v>0</v>
      </c>
      <c r="CF370" t="inlineStr">
        <is>
          <t>Cobranzas_2026.csv</t>
        </is>
      </c>
      <c r="CG370" t="n">
        <v>2026</v>
      </c>
      <c r="CH370" t="inlineStr">
        <is>
          <t>01/01/2024</t>
        </is>
      </c>
      <c r="CI370" t="inlineStr">
        <is>
          <t>24/08/2031</t>
        </is>
      </c>
    </row>
    <row r="371">
      <c r="A371" t="inlineStr">
        <is>
          <t>RESIDENCIAL PRADA</t>
        </is>
      </c>
      <c r="B371" t="inlineStr">
        <is>
          <t>Etapa 1</t>
        </is>
      </c>
      <c r="C371" t="inlineStr">
        <is>
          <t>Edificio</t>
        </is>
      </c>
      <c r="D371" t="inlineStr">
        <is>
          <t>A</t>
        </is>
      </c>
      <c r="E371" t="inlineStr">
        <is>
          <t>Estacionamiento</t>
        </is>
      </c>
      <c r="F371" t="inlineStr">
        <is>
          <t>E 44</t>
        </is>
      </c>
      <c r="G371" t="n">
        <v>13.52</v>
      </c>
      <c r="H371" t="n">
        <v>0</v>
      </c>
      <c r="I371" s="39" t="n">
        <v>50000</v>
      </c>
      <c r="J371" s="39" t="n">
        <v>50000</v>
      </c>
      <c r="Q371" s="39" t="n"/>
      <c r="R371" s="39" t="n"/>
      <c r="Y371" s="39" t="n"/>
      <c r="Z371" s="39" t="n"/>
      <c r="AG371" s="39" t="n"/>
      <c r="AH371" s="39" t="n"/>
      <c r="AI371" t="inlineStr">
        <is>
          <t>EDWIN VICTOR ASHTU ACOSTA</t>
        </is>
      </c>
      <c r="AJ371" t="inlineStr">
        <is>
          <t>40910651</t>
        </is>
      </c>
      <c r="AK371" t="inlineStr">
        <is>
          <t>Psj. Ramon Castilla 146 , San Felipe</t>
        </is>
      </c>
      <c r="AM371" t="inlineStr">
        <is>
          <t>943011992</t>
        </is>
      </c>
      <c r="AN371" t="inlineStr">
        <is>
          <t>edwin.ashtu@gmail.com</t>
        </is>
      </c>
      <c r="AO371" t="inlineStr">
        <is>
          <t>LIMA</t>
        </is>
      </c>
      <c r="AP371" t="inlineStr">
        <is>
          <t>COMAS</t>
        </is>
      </c>
      <c r="AQ371" s="75" t="n">
        <v>46111</v>
      </c>
      <c r="AR371" s="75" t="n">
        <v>46140</v>
      </c>
      <c r="AS371" t="inlineStr">
        <is>
          <t>CUOTA INICIAL</t>
        </is>
      </c>
      <c r="AT371" t="n">
        <v>2</v>
      </c>
      <c r="AU371" t="n">
        <v>17000</v>
      </c>
      <c r="AV371" t="n">
        <v>0</v>
      </c>
      <c r="AW371" t="n">
        <v>0</v>
      </c>
      <c r="AX371" s="39" t="n">
        <v>17000</v>
      </c>
      <c r="AY371" s="39" t="n">
        <v>17000</v>
      </c>
      <c r="AZ371" s="39" t="n">
        <v>0</v>
      </c>
      <c r="BA371" t="n">
        <v>0</v>
      </c>
      <c r="BB371" t="inlineStr">
        <is>
          <t>Crédito Directo</t>
        </is>
      </c>
      <c r="BC371" t="inlineStr">
        <is>
          <t>Scotiabank Perú</t>
        </is>
      </c>
      <c r="BD371" t="inlineStr">
        <is>
          <t>000-2768484</t>
        </is>
      </c>
      <c r="BE371" t="inlineStr">
        <is>
          <t>TRANSFERENCIA BANCARIA</t>
        </is>
      </c>
      <c r="BG371" t="inlineStr">
        <is>
          <t>00000235200000000</t>
        </is>
      </c>
      <c r="BH371" t="inlineStr">
        <is>
          <t>No</t>
        </is>
      </c>
      <c r="BJ371" t="n">
        <v>4</v>
      </c>
      <c r="BK371" t="inlineStr">
        <is>
          <t>CANCELADO</t>
        </is>
      </c>
      <c r="BV371" t="inlineStr">
        <is>
          <t>Si</t>
        </is>
      </c>
      <c r="BW371" s="76" t="n">
        <v>46140.39583333334</v>
      </c>
      <c r="BX371" t="inlineStr">
        <is>
          <t>Carla Michue M</t>
        </is>
      </c>
      <c r="BZ371" t="n">
        <v>23</v>
      </c>
      <c r="CA371" t="inlineStr">
        <is>
          <t>14/07/2026 09:38</t>
        </is>
      </c>
      <c r="CB371" t="n">
        <v>0</v>
      </c>
      <c r="CF371" t="inlineStr">
        <is>
          <t>Cobranzas_2026.csv</t>
        </is>
      </c>
      <c r="CG371" t="n">
        <v>2026</v>
      </c>
      <c r="CH371" t="inlineStr">
        <is>
          <t>01/01/2024</t>
        </is>
      </c>
      <c r="CI371" t="inlineStr">
        <is>
          <t>24/08/2031</t>
        </is>
      </c>
    </row>
    <row r="372">
      <c r="A372" t="inlineStr">
        <is>
          <t>RESIDENCIAL PRADA</t>
        </is>
      </c>
      <c r="B372" t="inlineStr">
        <is>
          <t>Etapa 1</t>
        </is>
      </c>
      <c r="C372" t="inlineStr">
        <is>
          <t>Edificio</t>
        </is>
      </c>
      <c r="D372" t="inlineStr">
        <is>
          <t>A</t>
        </is>
      </c>
      <c r="E372" t="inlineStr">
        <is>
          <t>Estacionamiento</t>
        </is>
      </c>
      <c r="F372" t="inlineStr">
        <is>
          <t>E 44</t>
        </is>
      </c>
      <c r="G372" t="n">
        <v>13.52</v>
      </c>
      <c r="H372" t="n">
        <v>0</v>
      </c>
      <c r="I372" s="39" t="n">
        <v>50000</v>
      </c>
      <c r="J372" s="39" t="n">
        <v>50000</v>
      </c>
      <c r="Q372" s="39" t="n"/>
      <c r="R372" s="39" t="n"/>
      <c r="Y372" s="39" t="n"/>
      <c r="Z372" s="39" t="n"/>
      <c r="AG372" s="39" t="n"/>
      <c r="AH372" s="39" t="n"/>
      <c r="AI372" t="inlineStr">
        <is>
          <t>EDWIN VICTOR ASHTU ACOSTA</t>
        </is>
      </c>
      <c r="AJ372" t="inlineStr">
        <is>
          <t>40910651</t>
        </is>
      </c>
      <c r="AK372" t="inlineStr">
        <is>
          <t>Psj. Ramon Castilla 146 , San Felipe</t>
        </is>
      </c>
      <c r="AM372" t="inlineStr">
        <is>
          <t>943011992</t>
        </is>
      </c>
      <c r="AN372" t="inlineStr">
        <is>
          <t>edwin.ashtu@gmail.com</t>
        </is>
      </c>
      <c r="AO372" t="inlineStr">
        <is>
          <t>LIMA</t>
        </is>
      </c>
      <c r="AP372" t="inlineStr">
        <is>
          <t>COMAS</t>
        </is>
      </c>
      <c r="AQ372" s="75" t="n">
        <v>46203</v>
      </c>
      <c r="AR372" s="75" t="n">
        <v>46188</v>
      </c>
      <c r="AS372" t="inlineStr">
        <is>
          <t>SALDO FINANCIAR</t>
        </is>
      </c>
      <c r="AT372" t="n">
        <v>3</v>
      </c>
      <c r="AU372" t="n">
        <v>10000</v>
      </c>
      <c r="AV372" t="n">
        <v>0</v>
      </c>
      <c r="AW372" t="n">
        <v>0</v>
      </c>
      <c r="AX372" s="39" t="n">
        <v>10000</v>
      </c>
      <c r="AY372" s="39" t="n">
        <v>10000</v>
      </c>
      <c r="AZ372" s="39" t="n">
        <v>0</v>
      </c>
      <c r="BA372" t="n">
        <v>0</v>
      </c>
      <c r="BB372" t="inlineStr">
        <is>
          <t>Crédito Directo</t>
        </is>
      </c>
      <c r="BC372" t="inlineStr">
        <is>
          <t>Scotiabank Perú</t>
        </is>
      </c>
      <c r="BD372" t="inlineStr">
        <is>
          <t>000-2768484</t>
        </is>
      </c>
      <c r="BE372" t="inlineStr">
        <is>
          <t>TRANSFERENCIA BANCARIA</t>
        </is>
      </c>
      <c r="BG372" t="inlineStr">
        <is>
          <t>501043</t>
        </is>
      </c>
      <c r="BH372" t="inlineStr">
        <is>
          <t>No</t>
        </is>
      </c>
      <c r="BJ372" t="n">
        <v>4</v>
      </c>
      <c r="BK372" t="inlineStr">
        <is>
          <t>CANCELADO</t>
        </is>
      </c>
      <c r="BV372" t="inlineStr">
        <is>
          <t>Si</t>
        </is>
      </c>
      <c r="BW372" s="76" t="n">
        <v>46140.39583333334</v>
      </c>
      <c r="BX372" t="inlineStr">
        <is>
          <t>Carla Michue M</t>
        </is>
      </c>
      <c r="BZ372" t="n">
        <v>23</v>
      </c>
      <c r="CA372" t="inlineStr">
        <is>
          <t>14/07/2026 09:40</t>
        </is>
      </c>
      <c r="CB372" t="n">
        <v>0</v>
      </c>
      <c r="CF372" t="inlineStr">
        <is>
          <t>Cobranzas_2026.csv</t>
        </is>
      </c>
      <c r="CG372" t="n">
        <v>2026</v>
      </c>
      <c r="CH372" t="inlineStr">
        <is>
          <t>01/01/2024</t>
        </is>
      </c>
      <c r="CI372" t="inlineStr">
        <is>
          <t>24/08/2031</t>
        </is>
      </c>
    </row>
    <row r="373">
      <c r="A373" t="inlineStr">
        <is>
          <t>RESIDENCIAL PRADA</t>
        </is>
      </c>
      <c r="B373" t="inlineStr">
        <is>
          <t>Etapa 1</t>
        </is>
      </c>
      <c r="C373" t="inlineStr">
        <is>
          <t>Edificio</t>
        </is>
      </c>
      <c r="D373" t="inlineStr">
        <is>
          <t>A</t>
        </is>
      </c>
      <c r="E373" t="inlineStr">
        <is>
          <t>Estacionamiento</t>
        </is>
      </c>
      <c r="F373" t="inlineStr">
        <is>
          <t>E 44</t>
        </is>
      </c>
      <c r="G373" t="n">
        <v>13.52</v>
      </c>
      <c r="H373" t="n">
        <v>0</v>
      </c>
      <c r="I373" s="39" t="n">
        <v>50000</v>
      </c>
      <c r="J373" s="39" t="n">
        <v>50000</v>
      </c>
      <c r="Q373" s="39" t="n"/>
      <c r="R373" s="39" t="n"/>
      <c r="Y373" s="39" t="n"/>
      <c r="Z373" s="39" t="n"/>
      <c r="AG373" s="39" t="n"/>
      <c r="AH373" s="39" t="n"/>
      <c r="AI373" t="inlineStr">
        <is>
          <t>EDWIN VICTOR ASHTU ACOSTA</t>
        </is>
      </c>
      <c r="AJ373" t="inlineStr">
        <is>
          <t>40910651</t>
        </is>
      </c>
      <c r="AK373" t="inlineStr">
        <is>
          <t>Psj. Ramon Castilla 146 , San Felipe</t>
        </is>
      </c>
      <c r="AM373" t="inlineStr">
        <is>
          <t>943011992</t>
        </is>
      </c>
      <c r="AN373" t="inlineStr">
        <is>
          <t>edwin.ashtu@gmail.com</t>
        </is>
      </c>
      <c r="AO373" t="inlineStr">
        <is>
          <t>LIMA</t>
        </is>
      </c>
      <c r="AP373" t="inlineStr">
        <is>
          <t>COMAS</t>
        </is>
      </c>
      <c r="AQ373" s="75" t="n">
        <v>46295</v>
      </c>
      <c r="AR373" s="75" t="n">
        <v>46188</v>
      </c>
      <c r="AS373" t="inlineStr">
        <is>
          <t>SALDO FINANCIAR</t>
        </is>
      </c>
      <c r="AT373" t="n">
        <v>4</v>
      </c>
      <c r="AU373" t="n">
        <v>10000</v>
      </c>
      <c r="AV373" t="n">
        <v>0</v>
      </c>
      <c r="AW373" t="n">
        <v>0</v>
      </c>
      <c r="AX373" s="39" t="n">
        <v>10000</v>
      </c>
      <c r="AY373" s="39" t="n">
        <v>5010.2</v>
      </c>
      <c r="AZ373" s="39" t="n">
        <v>4989.8</v>
      </c>
      <c r="BA373" t="n">
        <v>0</v>
      </c>
      <c r="BB373" t="inlineStr">
        <is>
          <t>Crédito Directo</t>
        </is>
      </c>
      <c r="BC373" t="inlineStr">
        <is>
          <t>Scotiabank Perú</t>
        </is>
      </c>
      <c r="BD373" t="inlineStr">
        <is>
          <t>000-2768484</t>
        </is>
      </c>
      <c r="BE373" t="inlineStr">
        <is>
          <t>TRANSFERENCIA BANCARIA</t>
        </is>
      </c>
      <c r="BG373" t="inlineStr">
        <is>
          <t>501043</t>
        </is>
      </c>
      <c r="BH373" t="inlineStr">
        <is>
          <t>No</t>
        </is>
      </c>
      <c r="BJ373" t="n">
        <v>4</v>
      </c>
      <c r="BK373" t="inlineStr">
        <is>
          <t>PENDIENTE - PARC. CANCELADO</t>
        </is>
      </c>
      <c r="BV373" t="inlineStr">
        <is>
          <t>Si</t>
        </is>
      </c>
      <c r="BW373" s="76" t="n">
        <v>46140.39583333334</v>
      </c>
      <c r="BX373" t="inlineStr">
        <is>
          <t>Carla Michue M</t>
        </is>
      </c>
      <c r="BZ373" t="n">
        <v>23</v>
      </c>
      <c r="CA373" t="inlineStr">
        <is>
          <t>14/07/2026 09:40</t>
        </is>
      </c>
      <c r="CB373" t="n">
        <v>0</v>
      </c>
      <c r="CF373" t="inlineStr">
        <is>
          <t>Cobranzas_2026.csv</t>
        </is>
      </c>
      <c r="CG373" t="n">
        <v>2026</v>
      </c>
      <c r="CH373" t="inlineStr">
        <is>
          <t>01/01/2024</t>
        </is>
      </c>
      <c r="CI373" t="inlineStr">
        <is>
          <t>24/08/2031</t>
        </is>
      </c>
    </row>
    <row r="374">
      <c r="A374" t="inlineStr">
        <is>
          <t>RESIDENCIAL PRADA</t>
        </is>
      </c>
      <c r="B374" t="inlineStr">
        <is>
          <t>Etapa 1</t>
        </is>
      </c>
      <c r="C374" t="inlineStr">
        <is>
          <t>Edificio</t>
        </is>
      </c>
      <c r="D374" t="inlineStr">
        <is>
          <t>A</t>
        </is>
      </c>
      <c r="E374" t="inlineStr">
        <is>
          <t>Estacionamiento</t>
        </is>
      </c>
      <c r="F374" t="inlineStr">
        <is>
          <t>E 44</t>
        </is>
      </c>
      <c r="G374" t="n">
        <v>13.52</v>
      </c>
      <c r="H374" t="n">
        <v>0</v>
      </c>
      <c r="I374" s="39" t="n">
        <v>50000</v>
      </c>
      <c r="J374" s="39" t="n">
        <v>50000</v>
      </c>
      <c r="Q374" s="39" t="n"/>
      <c r="R374" s="39" t="n"/>
      <c r="Y374" s="39" t="n"/>
      <c r="Z374" s="39" t="n"/>
      <c r="AG374" s="39" t="n"/>
      <c r="AH374" s="39" t="n"/>
      <c r="AI374" t="inlineStr">
        <is>
          <t>EDWIN VICTOR ASHTU ACOSTA</t>
        </is>
      </c>
      <c r="AJ374" t="inlineStr">
        <is>
          <t>40910651</t>
        </is>
      </c>
      <c r="AK374" t="inlineStr">
        <is>
          <t>Psj. Ramon Castilla 146 , San Felipe</t>
        </is>
      </c>
      <c r="AM374" t="inlineStr">
        <is>
          <t>943011992</t>
        </is>
      </c>
      <c r="AN374" t="inlineStr">
        <is>
          <t>edwin.ashtu@gmail.com</t>
        </is>
      </c>
      <c r="AO374" t="inlineStr">
        <is>
          <t>LIMA</t>
        </is>
      </c>
      <c r="AP374" t="inlineStr">
        <is>
          <t>COMAS</t>
        </is>
      </c>
      <c r="AQ374" s="75" t="n">
        <v>46386</v>
      </c>
      <c r="AR374" s="75" t="n"/>
      <c r="AS374" t="inlineStr">
        <is>
          <t>SALDO FINANCIAR</t>
        </is>
      </c>
      <c r="AT374" t="n">
        <v>5</v>
      </c>
      <c r="AU374" t="n">
        <v>10000</v>
      </c>
      <c r="AV374" t="n">
        <v>0</v>
      </c>
      <c r="AW374" t="n">
        <v>0</v>
      </c>
      <c r="AX374" s="39" t="n">
        <v>10000</v>
      </c>
      <c r="AY374" s="39" t="n">
        <v>0</v>
      </c>
      <c r="AZ374" s="39" t="n">
        <v>10000</v>
      </c>
      <c r="BB374" t="inlineStr">
        <is>
          <t>Crédito Directo</t>
        </is>
      </c>
      <c r="BH374" t="inlineStr">
        <is>
          <t>No</t>
        </is>
      </c>
      <c r="BK374" t="inlineStr">
        <is>
          <t>PENDIENTE</t>
        </is>
      </c>
      <c r="BV374" t="inlineStr">
        <is>
          <t>No</t>
        </is>
      </c>
      <c r="BW374" s="76" t="n">
        <v>46140.39583333334</v>
      </c>
      <c r="BX374" t="inlineStr">
        <is>
          <t>Carla Michue M</t>
        </is>
      </c>
      <c r="BZ374" t="n">
        <v>23</v>
      </c>
      <c r="CB374" t="n">
        <v>0</v>
      </c>
      <c r="CF374" t="inlineStr">
        <is>
          <t>Cobranzas_2026.csv</t>
        </is>
      </c>
      <c r="CG374" t="n">
        <v>2026</v>
      </c>
      <c r="CH374" t="inlineStr">
        <is>
          <t>01/01/2024</t>
        </is>
      </c>
      <c r="CI374" t="inlineStr">
        <is>
          <t>24/08/2031</t>
        </is>
      </c>
    </row>
    <row r="375">
      <c r="A375" t="inlineStr">
        <is>
          <t>RESIDENCIAL BEYOND</t>
        </is>
      </c>
      <c r="B375" t="inlineStr">
        <is>
          <t>Etapa 1</t>
        </is>
      </c>
      <c r="C375" t="inlineStr">
        <is>
          <t>Edificio</t>
        </is>
      </c>
      <c r="D375" t="inlineStr">
        <is>
          <t>A</t>
        </is>
      </c>
      <c r="E375" t="inlineStr">
        <is>
          <t>Departamento</t>
        </is>
      </c>
      <c r="F375" t="inlineStr">
        <is>
          <t>801</t>
        </is>
      </c>
      <c r="G375" t="n">
        <v>70</v>
      </c>
      <c r="H375" t="n">
        <v>0</v>
      </c>
      <c r="I375" s="39" t="n">
        <v>531100</v>
      </c>
      <c r="J375" s="39" t="n">
        <v>493000</v>
      </c>
      <c r="Q375" s="39" t="n"/>
      <c r="R375" s="39" t="n"/>
      <c r="Y375" s="39" t="n"/>
      <c r="Z375" s="39" t="n"/>
      <c r="AG375" s="39" t="n"/>
      <c r="AH375" s="39" t="n"/>
      <c r="AI375" t="inlineStr">
        <is>
          <t>Elizabeth Bertha Fierro Cancho</t>
        </is>
      </c>
      <c r="AJ375" t="inlineStr">
        <is>
          <t>10599276</t>
        </is>
      </c>
      <c r="AK375" t="inlineStr">
        <is>
          <t>Calle uno Numero 270 Edif D Dpto. 301 – Urb. Los Parques del El Agustino</t>
        </is>
      </c>
      <c r="AL375" t="n">
        <v>0</v>
      </c>
      <c r="AM375" t="inlineStr">
        <is>
          <t>966794666</t>
        </is>
      </c>
      <c r="AN375" t="inlineStr">
        <is>
          <t>esdrasjoelpatillarojas@hotmail.com</t>
        </is>
      </c>
      <c r="AO375" t="inlineStr">
        <is>
          <t>LIMA</t>
        </is>
      </c>
      <c r="AP375" t="inlineStr">
        <is>
          <t>EL AGUSTINO</t>
        </is>
      </c>
      <c r="AQ375" s="75" t="n">
        <v>46139</v>
      </c>
      <c r="AR375" s="75" t="n">
        <v>46139</v>
      </c>
      <c r="AS375" t="inlineStr">
        <is>
          <t>SEPARACION</t>
        </is>
      </c>
      <c r="AT375" t="n">
        <v>1</v>
      </c>
      <c r="AU375" t="n">
        <v>3000</v>
      </c>
      <c r="AV375" t="n">
        <v>0</v>
      </c>
      <c r="AW375" t="n">
        <v>0</v>
      </c>
      <c r="AX375" s="39" t="n">
        <v>3000</v>
      </c>
      <c r="AY375" s="39" t="n">
        <v>3000</v>
      </c>
      <c r="AZ375" s="39" t="n">
        <v>0</v>
      </c>
      <c r="BA375" t="n">
        <v>0</v>
      </c>
      <c r="BB375" t="inlineStr">
        <is>
          <t>Ahorro</t>
        </is>
      </c>
      <c r="BC375" t="inlineStr">
        <is>
          <t>Banco de Credito del Perú</t>
        </is>
      </c>
      <c r="BD375" t="inlineStr">
        <is>
          <t>194-7325779-0-65</t>
        </is>
      </c>
      <c r="BE375" t="inlineStr">
        <is>
          <t>DEPOSITO EN CUENTA</t>
        </is>
      </c>
      <c r="BG375" t="inlineStr">
        <is>
          <t>0909063</t>
        </is>
      </c>
      <c r="BH375" t="inlineStr">
        <is>
          <t>Si</t>
        </is>
      </c>
      <c r="BJ375" t="n">
        <v>4</v>
      </c>
      <c r="BK375" t="inlineStr">
        <is>
          <t>CANCELADO</t>
        </is>
      </c>
      <c r="BV375" t="inlineStr">
        <is>
          <t>Si</t>
        </is>
      </c>
      <c r="BW375" s="76" t="n">
        <v>46142.41597222222</v>
      </c>
      <c r="BX375" t="inlineStr">
        <is>
          <t>Magaly Guevara Perez</t>
        </is>
      </c>
      <c r="BZ375" t="n">
        <v>19</v>
      </c>
      <c r="CA375" t="inlineStr">
        <is>
          <t>18/05/2026 05:29</t>
        </is>
      </c>
      <c r="CB375" t="n">
        <v>0</v>
      </c>
      <c r="CF375" t="inlineStr">
        <is>
          <t>Cobranzas_2026.csv</t>
        </is>
      </c>
      <c r="CG375" t="n">
        <v>2026</v>
      </c>
      <c r="CH375" t="inlineStr">
        <is>
          <t>01/01/2024</t>
        </is>
      </c>
      <c r="CI375" t="inlineStr">
        <is>
          <t>24/08/2031</t>
        </is>
      </c>
    </row>
    <row r="376">
      <c r="A376" t="inlineStr">
        <is>
          <t>RESIDENCIAL BEYOND</t>
        </is>
      </c>
      <c r="B376" t="inlineStr">
        <is>
          <t>Etapa 1</t>
        </is>
      </c>
      <c r="C376" t="inlineStr">
        <is>
          <t>Edificio</t>
        </is>
      </c>
      <c r="D376" t="inlineStr">
        <is>
          <t>A</t>
        </is>
      </c>
      <c r="E376" t="inlineStr">
        <is>
          <t>Departamento</t>
        </is>
      </c>
      <c r="F376" t="inlineStr">
        <is>
          <t>801</t>
        </is>
      </c>
      <c r="G376" t="n">
        <v>70</v>
      </c>
      <c r="H376" t="n">
        <v>0</v>
      </c>
      <c r="I376" s="39" t="n">
        <v>531100</v>
      </c>
      <c r="J376" s="39" t="n">
        <v>493000</v>
      </c>
      <c r="Q376" s="39" t="n"/>
      <c r="R376" s="39" t="n"/>
      <c r="Y376" s="39" t="n"/>
      <c r="Z376" s="39" t="n"/>
      <c r="AG376" s="39" t="n"/>
      <c r="AH376" s="39" t="n"/>
      <c r="AI376" t="inlineStr">
        <is>
          <t>Elizabeth Bertha Fierro Cancho</t>
        </is>
      </c>
      <c r="AJ376" t="inlineStr">
        <is>
          <t>10599276</t>
        </is>
      </c>
      <c r="AK376" t="inlineStr">
        <is>
          <t>Calle uno Numero 270 Edif D Dpto. 301 – Urb. Los Parques del El Agustino</t>
        </is>
      </c>
      <c r="AL376" t="n">
        <v>0</v>
      </c>
      <c r="AM376" t="inlineStr">
        <is>
          <t>966794666</t>
        </is>
      </c>
      <c r="AN376" t="inlineStr">
        <is>
          <t>esdrasjoelpatillarojas@hotmail.com</t>
        </is>
      </c>
      <c r="AO376" t="inlineStr">
        <is>
          <t>LIMA</t>
        </is>
      </c>
      <c r="AP376" t="inlineStr">
        <is>
          <t>EL AGUSTINO</t>
        </is>
      </c>
      <c r="AQ376" s="75" t="n">
        <v>46142</v>
      </c>
      <c r="AR376" s="75" t="n">
        <v>46142</v>
      </c>
      <c r="AS376" t="inlineStr">
        <is>
          <t>CUOTA INICIAL</t>
        </is>
      </c>
      <c r="AT376" t="n">
        <v>1</v>
      </c>
      <c r="AU376" t="n">
        <v>30000</v>
      </c>
      <c r="AV376" t="n">
        <v>0</v>
      </c>
      <c r="AW376" t="n">
        <v>0</v>
      </c>
      <c r="AX376" s="39" t="n">
        <v>30000</v>
      </c>
      <c r="AY376" s="39" t="n">
        <v>30000</v>
      </c>
      <c r="AZ376" s="39" t="n">
        <v>0</v>
      </c>
      <c r="BA376" t="n">
        <v>0</v>
      </c>
      <c r="BB376" t="inlineStr">
        <is>
          <t>Ahorro</t>
        </is>
      </c>
      <c r="BC376" t="inlineStr">
        <is>
          <t>Banco de Credito del Perú</t>
        </is>
      </c>
      <c r="BD376" t="inlineStr">
        <is>
          <t>194-7325779-0-65</t>
        </is>
      </c>
      <c r="BE376" t="inlineStr">
        <is>
          <t>TRANSFERENCIA BANCARIA</t>
        </is>
      </c>
      <c r="BG376" t="inlineStr">
        <is>
          <t>0962588</t>
        </is>
      </c>
      <c r="BH376" t="inlineStr">
        <is>
          <t>Si</t>
        </is>
      </c>
      <c r="BJ376" t="n">
        <v>4</v>
      </c>
      <c r="BK376" t="inlineStr">
        <is>
          <t>CANCELADO</t>
        </is>
      </c>
      <c r="BV376" t="inlineStr">
        <is>
          <t>Si</t>
        </is>
      </c>
      <c r="BW376" s="76" t="n">
        <v>46142.41597222222</v>
      </c>
      <c r="BX376" t="inlineStr">
        <is>
          <t>Magaly Guevara Perez</t>
        </is>
      </c>
      <c r="BZ376" t="n">
        <v>19</v>
      </c>
      <c r="CA376" t="inlineStr">
        <is>
          <t>23/05/2026 23:48</t>
        </is>
      </c>
      <c r="CB376" t="n">
        <v>0</v>
      </c>
      <c r="CF376" t="inlineStr">
        <is>
          <t>Cobranzas_2026.csv</t>
        </is>
      </c>
      <c r="CG376" t="n">
        <v>2026</v>
      </c>
      <c r="CH376" t="inlineStr">
        <is>
          <t>01/01/2024</t>
        </is>
      </c>
      <c r="CI376" t="inlineStr">
        <is>
          <t>24/08/2031</t>
        </is>
      </c>
    </row>
    <row r="377">
      <c r="A377" t="inlineStr">
        <is>
          <t>RESIDENCIAL BEYOND</t>
        </is>
      </c>
      <c r="B377" t="inlineStr">
        <is>
          <t>Etapa 1</t>
        </is>
      </c>
      <c r="C377" t="inlineStr">
        <is>
          <t>Edificio</t>
        </is>
      </c>
      <c r="D377" t="inlineStr">
        <is>
          <t>A</t>
        </is>
      </c>
      <c r="E377" t="inlineStr">
        <is>
          <t>Departamento</t>
        </is>
      </c>
      <c r="F377" t="inlineStr">
        <is>
          <t>801</t>
        </is>
      </c>
      <c r="G377" t="n">
        <v>70</v>
      </c>
      <c r="H377" t="n">
        <v>0</v>
      </c>
      <c r="I377" s="39" t="n">
        <v>531100</v>
      </c>
      <c r="J377" s="39" t="n">
        <v>493000</v>
      </c>
      <c r="Q377" s="39" t="n"/>
      <c r="R377" s="39" t="n"/>
      <c r="Y377" s="39" t="n"/>
      <c r="Z377" s="39" t="n"/>
      <c r="AG377" s="39" t="n"/>
      <c r="AH377" s="39" t="n"/>
      <c r="AI377" t="inlineStr">
        <is>
          <t>Elizabeth Bertha Fierro Cancho</t>
        </is>
      </c>
      <c r="AJ377" t="inlineStr">
        <is>
          <t>10599276</t>
        </is>
      </c>
      <c r="AK377" t="inlineStr">
        <is>
          <t>Calle uno Numero 270 Edif D Dpto. 301 – Urb. Los Parques del El Agustino</t>
        </is>
      </c>
      <c r="AL377" t="n">
        <v>0</v>
      </c>
      <c r="AM377" t="inlineStr">
        <is>
          <t>966794666</t>
        </is>
      </c>
      <c r="AN377" t="inlineStr">
        <is>
          <t>esdrasjoelpatillarojas@hotmail.com</t>
        </is>
      </c>
      <c r="AO377" t="inlineStr">
        <is>
          <t>LIMA</t>
        </is>
      </c>
      <c r="AP377" t="inlineStr">
        <is>
          <t>EL AGUSTINO</t>
        </is>
      </c>
      <c r="AQ377" s="75" t="n">
        <v>46144</v>
      </c>
      <c r="AR377" s="75" t="n">
        <v>46144</v>
      </c>
      <c r="AS377" t="inlineStr">
        <is>
          <t>CUOTA INICIAL</t>
        </is>
      </c>
      <c r="AT377" t="n">
        <v>2</v>
      </c>
      <c r="AU377" t="n">
        <v>40000</v>
      </c>
      <c r="AV377" t="n">
        <v>0</v>
      </c>
      <c r="AW377" t="n">
        <v>0</v>
      </c>
      <c r="AX377" s="39" t="n">
        <v>40000</v>
      </c>
      <c r="AY377" s="39" t="n">
        <v>40000</v>
      </c>
      <c r="AZ377" s="39" t="n">
        <v>0</v>
      </c>
      <c r="BA377" t="n">
        <v>0</v>
      </c>
      <c r="BB377" t="inlineStr">
        <is>
          <t>Ahorro</t>
        </is>
      </c>
      <c r="BC377" t="inlineStr">
        <is>
          <t>Banco de Credito del Perú</t>
        </is>
      </c>
      <c r="BD377" t="inlineStr">
        <is>
          <t>194-7325779-0-65</t>
        </is>
      </c>
      <c r="BE377" t="inlineStr">
        <is>
          <t>TRANSFERENCIA BANCARIA</t>
        </is>
      </c>
      <c r="BG377" t="inlineStr">
        <is>
          <t>0944792</t>
        </is>
      </c>
      <c r="BH377" t="inlineStr">
        <is>
          <t>Si</t>
        </is>
      </c>
      <c r="BJ377" t="n">
        <v>4</v>
      </c>
      <c r="BK377" t="inlineStr">
        <is>
          <t>CANCELADO</t>
        </is>
      </c>
      <c r="BV377" t="inlineStr">
        <is>
          <t>Si</t>
        </is>
      </c>
      <c r="BW377" s="76" t="n">
        <v>46142.41597222222</v>
      </c>
      <c r="BX377" t="inlineStr">
        <is>
          <t>Magaly Guevara Perez</t>
        </is>
      </c>
      <c r="BZ377" t="n">
        <v>19</v>
      </c>
      <c r="CA377" t="inlineStr">
        <is>
          <t>23/05/2026 23:49</t>
        </is>
      </c>
      <c r="CB377" t="n">
        <v>0</v>
      </c>
      <c r="CF377" t="inlineStr">
        <is>
          <t>Cobranzas_2026.csv</t>
        </is>
      </c>
      <c r="CG377" t="n">
        <v>2026</v>
      </c>
      <c r="CH377" t="inlineStr">
        <is>
          <t>01/01/2024</t>
        </is>
      </c>
      <c r="CI377" t="inlineStr">
        <is>
          <t>24/08/2031</t>
        </is>
      </c>
    </row>
    <row r="378">
      <c r="A378" t="inlineStr">
        <is>
          <t>RESIDENCIAL BEYOND</t>
        </is>
      </c>
      <c r="B378" t="inlineStr">
        <is>
          <t>Etapa 1</t>
        </is>
      </c>
      <c r="C378" t="inlineStr">
        <is>
          <t>Edificio</t>
        </is>
      </c>
      <c r="D378" t="inlineStr">
        <is>
          <t>A</t>
        </is>
      </c>
      <c r="E378" t="inlineStr">
        <is>
          <t>Departamento</t>
        </is>
      </c>
      <c r="F378" t="inlineStr">
        <is>
          <t>801</t>
        </is>
      </c>
      <c r="G378" t="n">
        <v>70</v>
      </c>
      <c r="H378" t="n">
        <v>0</v>
      </c>
      <c r="I378" s="39" t="n">
        <v>531100</v>
      </c>
      <c r="J378" s="39" t="n">
        <v>493000</v>
      </c>
      <c r="Q378" s="39" t="n"/>
      <c r="R378" s="39" t="n"/>
      <c r="Y378" s="39" t="n"/>
      <c r="Z378" s="39" t="n"/>
      <c r="AG378" s="39" t="n"/>
      <c r="AH378" s="39" t="n"/>
      <c r="AI378" t="inlineStr">
        <is>
          <t>Elizabeth Bertha Fierro Cancho</t>
        </is>
      </c>
      <c r="AJ378" t="inlineStr">
        <is>
          <t>10599276</t>
        </is>
      </c>
      <c r="AK378" t="inlineStr">
        <is>
          <t>Calle uno Numero 270 Edif D Dpto. 301 – Urb. Los Parques del El Agustino</t>
        </is>
      </c>
      <c r="AL378" t="n">
        <v>0</v>
      </c>
      <c r="AM378" t="inlineStr">
        <is>
          <t>966794666</t>
        </is>
      </c>
      <c r="AN378" t="inlineStr">
        <is>
          <t>esdrasjoelpatillarojas@hotmail.com</t>
        </is>
      </c>
      <c r="AO378" t="inlineStr">
        <is>
          <t>LIMA</t>
        </is>
      </c>
      <c r="AP378" t="inlineStr">
        <is>
          <t>EL AGUSTINO</t>
        </is>
      </c>
      <c r="AQ378" s="75" t="n">
        <v>46157</v>
      </c>
      <c r="AR378" s="75" t="n">
        <v>46148</v>
      </c>
      <c r="AS378" t="inlineStr">
        <is>
          <t>CUOTA INICIAL</t>
        </is>
      </c>
      <c r="AT378" t="n">
        <v>3</v>
      </c>
      <c r="AU378" t="n">
        <v>53700</v>
      </c>
      <c r="AV378" t="n">
        <v>0</v>
      </c>
      <c r="AW378" t="n">
        <v>0</v>
      </c>
      <c r="AX378" s="39" t="n">
        <v>53700</v>
      </c>
      <c r="AY378" s="39" t="n">
        <v>53700</v>
      </c>
      <c r="AZ378" s="39" t="n">
        <v>0</v>
      </c>
      <c r="BA378" t="n">
        <v>0</v>
      </c>
      <c r="BB378" t="inlineStr">
        <is>
          <t>Ahorro</t>
        </is>
      </c>
      <c r="BC378" t="inlineStr">
        <is>
          <t>Banco de Credito del Perú</t>
        </is>
      </c>
      <c r="BD378" t="inlineStr">
        <is>
          <t>194-7325779-0-65</t>
        </is>
      </c>
      <c r="BE378" t="inlineStr">
        <is>
          <t>TRANSFERENCIA BANCARIA</t>
        </is>
      </c>
      <c r="BG378" t="inlineStr">
        <is>
          <t>0637495</t>
        </is>
      </c>
      <c r="BH378" t="inlineStr">
        <is>
          <t>Si</t>
        </is>
      </c>
      <c r="BJ378" t="n">
        <v>4</v>
      </c>
      <c r="BK378" t="inlineStr">
        <is>
          <t>CANCELADO</t>
        </is>
      </c>
      <c r="BV378" t="inlineStr">
        <is>
          <t>Si</t>
        </is>
      </c>
      <c r="BW378" s="76" t="n">
        <v>46142.41597222222</v>
      </c>
      <c r="BX378" t="inlineStr">
        <is>
          <t>Magaly Guevara Perez</t>
        </is>
      </c>
      <c r="BZ378" t="n">
        <v>19</v>
      </c>
      <c r="CA378" t="inlineStr">
        <is>
          <t>09/06/2026 15:04</t>
        </is>
      </c>
      <c r="CB378" t="n">
        <v>0</v>
      </c>
      <c r="CF378" t="inlineStr">
        <is>
          <t>Cobranzas_2026.csv</t>
        </is>
      </c>
      <c r="CG378" t="n">
        <v>2026</v>
      </c>
      <c r="CH378" t="inlineStr">
        <is>
          <t>01/01/2024</t>
        </is>
      </c>
      <c r="CI378" t="inlineStr">
        <is>
          <t>24/08/2031</t>
        </is>
      </c>
    </row>
    <row r="379">
      <c r="A379" t="inlineStr">
        <is>
          <t>RESIDENCIAL BEYOND</t>
        </is>
      </c>
      <c r="B379" t="inlineStr">
        <is>
          <t>Etapa 1</t>
        </is>
      </c>
      <c r="C379" t="inlineStr">
        <is>
          <t>Edificio</t>
        </is>
      </c>
      <c r="D379" t="inlineStr">
        <is>
          <t>A</t>
        </is>
      </c>
      <c r="E379" t="inlineStr">
        <is>
          <t>Departamento</t>
        </is>
      </c>
      <c r="F379" t="inlineStr">
        <is>
          <t>801</t>
        </is>
      </c>
      <c r="G379" t="n">
        <v>70</v>
      </c>
      <c r="H379" t="n">
        <v>0</v>
      </c>
      <c r="I379" s="39" t="n">
        <v>531100</v>
      </c>
      <c r="J379" s="39" t="n">
        <v>493000</v>
      </c>
      <c r="Q379" s="39" t="n"/>
      <c r="R379" s="39" t="n"/>
      <c r="Y379" s="39" t="n"/>
      <c r="Z379" s="39" t="n"/>
      <c r="AG379" s="39" t="n"/>
      <c r="AH379" s="39" t="n"/>
      <c r="AI379" t="inlineStr">
        <is>
          <t>Elizabeth Bertha Fierro Cancho</t>
        </is>
      </c>
      <c r="AJ379" t="inlineStr">
        <is>
          <t>10599276</t>
        </is>
      </c>
      <c r="AK379" t="inlineStr">
        <is>
          <t>Calle uno Numero 270 Edif D Dpto. 301 – Urb. Los Parques del El Agustino</t>
        </is>
      </c>
      <c r="AL379" t="n">
        <v>0</v>
      </c>
      <c r="AM379" t="inlineStr">
        <is>
          <t>966794666</t>
        </is>
      </c>
      <c r="AN379" t="inlineStr">
        <is>
          <t>esdrasjoelpatillarojas@hotmail.com</t>
        </is>
      </c>
      <c r="AO379" t="inlineStr">
        <is>
          <t>LIMA</t>
        </is>
      </c>
      <c r="AP379" t="inlineStr">
        <is>
          <t>EL AGUSTINO</t>
        </is>
      </c>
      <c r="AQ379" s="75" t="n">
        <v>46233</v>
      </c>
      <c r="AR379" s="75" t="n">
        <v>46154</v>
      </c>
      <c r="AS379" t="inlineStr">
        <is>
          <t>CUOTA INICIAL</t>
        </is>
      </c>
      <c r="AT379" t="n">
        <v>4</v>
      </c>
      <c r="AU379" t="n">
        <v>53700</v>
      </c>
      <c r="AV379" t="n">
        <v>0</v>
      </c>
      <c r="AW379" t="n">
        <v>0</v>
      </c>
      <c r="AX379" s="39" t="n">
        <v>53700</v>
      </c>
      <c r="AY379" s="39" t="n">
        <v>53700</v>
      </c>
      <c r="AZ379" s="39" t="n">
        <v>0</v>
      </c>
      <c r="BA379" t="n">
        <v>0</v>
      </c>
      <c r="BB379" t="inlineStr">
        <is>
          <t>Ahorro</t>
        </is>
      </c>
      <c r="BC379" t="inlineStr">
        <is>
          <t>Banco de Credito del Perú</t>
        </is>
      </c>
      <c r="BD379" t="inlineStr">
        <is>
          <t>194-7325779-0-65</t>
        </is>
      </c>
      <c r="BE379" t="inlineStr">
        <is>
          <t>TRANSFERENCIA BANCARIA</t>
        </is>
      </c>
      <c r="BG379" t="inlineStr">
        <is>
          <t>0950768</t>
        </is>
      </c>
      <c r="BH379" t="inlineStr">
        <is>
          <t>Si</t>
        </is>
      </c>
      <c r="BJ379" t="n">
        <v>4</v>
      </c>
      <c r="BK379" t="inlineStr">
        <is>
          <t>CANCELADO</t>
        </is>
      </c>
      <c r="BV379" t="inlineStr">
        <is>
          <t>Si</t>
        </is>
      </c>
      <c r="BW379" s="76" t="n">
        <v>46142.41597222222</v>
      </c>
      <c r="BX379" t="inlineStr">
        <is>
          <t>Magaly Guevara Perez</t>
        </is>
      </c>
      <c r="BZ379" t="n">
        <v>19</v>
      </c>
      <c r="CA379" t="inlineStr">
        <is>
          <t>09/06/2026 15:05</t>
        </is>
      </c>
      <c r="CB379" t="n">
        <v>0</v>
      </c>
      <c r="CF379" t="inlineStr">
        <is>
          <t>Cobranzas_2026.csv</t>
        </is>
      </c>
      <c r="CG379" t="n">
        <v>2026</v>
      </c>
      <c r="CH379" t="inlineStr">
        <is>
          <t>01/01/2024</t>
        </is>
      </c>
      <c r="CI379" t="inlineStr">
        <is>
          <t>24/08/2031</t>
        </is>
      </c>
    </row>
    <row r="380">
      <c r="A380" t="inlineStr">
        <is>
          <t>RESIDENCIAL BEYOND</t>
        </is>
      </c>
      <c r="B380" t="inlineStr">
        <is>
          <t>Etapa 1</t>
        </is>
      </c>
      <c r="C380" t="inlineStr">
        <is>
          <t>Edificio</t>
        </is>
      </c>
      <c r="D380" t="inlineStr">
        <is>
          <t>A</t>
        </is>
      </c>
      <c r="E380" t="inlineStr">
        <is>
          <t>Departamento</t>
        </is>
      </c>
      <c r="F380" t="inlineStr">
        <is>
          <t>801</t>
        </is>
      </c>
      <c r="G380" t="n">
        <v>70</v>
      </c>
      <c r="H380" t="n">
        <v>0</v>
      </c>
      <c r="I380" s="39" t="n">
        <v>531100</v>
      </c>
      <c r="J380" s="39" t="n">
        <v>493000</v>
      </c>
      <c r="Q380" s="39" t="n"/>
      <c r="R380" s="39" t="n"/>
      <c r="Y380" s="39" t="n"/>
      <c r="Z380" s="39" t="n"/>
      <c r="AG380" s="39" t="n"/>
      <c r="AH380" s="39" t="n"/>
      <c r="AI380" t="inlineStr">
        <is>
          <t>Elizabeth Bertha Fierro Cancho</t>
        </is>
      </c>
      <c r="AJ380" t="inlineStr">
        <is>
          <t>10599276</t>
        </is>
      </c>
      <c r="AK380" t="inlineStr">
        <is>
          <t>Calle uno Numero 270 Edif D Dpto. 301 – Urb. Los Parques del El Agustino</t>
        </is>
      </c>
      <c r="AL380" t="n">
        <v>0</v>
      </c>
      <c r="AM380" t="inlineStr">
        <is>
          <t>966794666</t>
        </is>
      </c>
      <c r="AN380" t="inlineStr">
        <is>
          <t>esdrasjoelpatillarojas@hotmail.com</t>
        </is>
      </c>
      <c r="AO380" t="inlineStr">
        <is>
          <t>LIMA</t>
        </is>
      </c>
      <c r="AP380" t="inlineStr">
        <is>
          <t>EL AGUSTINO</t>
        </is>
      </c>
      <c r="AQ380" s="75" t="n">
        <v>46264</v>
      </c>
      <c r="AR380" s="75" t="n"/>
      <c r="AS380" t="inlineStr">
        <is>
          <t>AHORRO CASA</t>
        </is>
      </c>
      <c r="AT380" t="n">
        <v>5</v>
      </c>
      <c r="AU380" t="n">
        <v>16800</v>
      </c>
      <c r="AV380" t="n">
        <v>0</v>
      </c>
      <c r="AW380" t="n">
        <v>0</v>
      </c>
      <c r="AX380" s="39" t="n">
        <v>16800</v>
      </c>
      <c r="AY380" s="39" t="n">
        <v>0</v>
      </c>
      <c r="AZ380" s="39" t="n">
        <v>16800</v>
      </c>
      <c r="BB380" t="inlineStr">
        <is>
          <t>Ahorro</t>
        </is>
      </c>
      <c r="BH380" t="inlineStr">
        <is>
          <t>No</t>
        </is>
      </c>
      <c r="BK380" t="inlineStr">
        <is>
          <t>PENDIENTE</t>
        </is>
      </c>
      <c r="BV380" t="inlineStr">
        <is>
          <t>No</t>
        </is>
      </c>
      <c r="BW380" s="76" t="n">
        <v>46142.41597222222</v>
      </c>
      <c r="BX380" t="inlineStr">
        <is>
          <t>Magaly Guevara Perez</t>
        </is>
      </c>
      <c r="BZ380" t="n">
        <v>19</v>
      </c>
      <c r="CB380" t="n">
        <v>0</v>
      </c>
      <c r="CF380" t="inlineStr">
        <is>
          <t>Cobranzas_2026.csv</t>
        </is>
      </c>
      <c r="CG380" t="n">
        <v>2026</v>
      </c>
      <c r="CH380" t="inlineStr">
        <is>
          <t>01/01/2024</t>
        </is>
      </c>
      <c r="CI380" t="inlineStr">
        <is>
          <t>24/08/2031</t>
        </is>
      </c>
    </row>
    <row r="381">
      <c r="A381" t="inlineStr">
        <is>
          <t>RESIDENCIAL BEYOND</t>
        </is>
      </c>
      <c r="B381" t="inlineStr">
        <is>
          <t>Etapa 1</t>
        </is>
      </c>
      <c r="C381" t="inlineStr">
        <is>
          <t>Edificio</t>
        </is>
      </c>
      <c r="D381" t="inlineStr">
        <is>
          <t>A</t>
        </is>
      </c>
      <c r="E381" t="inlineStr">
        <is>
          <t>Departamento</t>
        </is>
      </c>
      <c r="F381" t="inlineStr">
        <is>
          <t>801</t>
        </is>
      </c>
      <c r="G381" t="n">
        <v>70</v>
      </c>
      <c r="H381" t="n">
        <v>0</v>
      </c>
      <c r="I381" s="39" t="n">
        <v>531100</v>
      </c>
      <c r="J381" s="39" t="n">
        <v>493000</v>
      </c>
      <c r="Q381" s="39" t="n"/>
      <c r="R381" s="39" t="n"/>
      <c r="Y381" s="39" t="n"/>
      <c r="Z381" s="39" t="n"/>
      <c r="AG381" s="39" t="n"/>
      <c r="AH381" s="39" t="n"/>
      <c r="AI381" t="inlineStr">
        <is>
          <t>Elizabeth Bertha Fierro Cancho</t>
        </is>
      </c>
      <c r="AJ381" t="inlineStr">
        <is>
          <t>10599276</t>
        </is>
      </c>
      <c r="AK381" t="inlineStr">
        <is>
          <t>Calle uno Numero 270 Edif D Dpto. 301 – Urb. Los Parques del El Agustino</t>
        </is>
      </c>
      <c r="AL381" t="n">
        <v>0</v>
      </c>
      <c r="AM381" t="inlineStr">
        <is>
          <t>966794666</t>
        </is>
      </c>
      <c r="AN381" t="inlineStr">
        <is>
          <t>esdrasjoelpatillarojas@hotmail.com</t>
        </is>
      </c>
      <c r="AO381" t="inlineStr">
        <is>
          <t>LIMA</t>
        </is>
      </c>
      <c r="AP381" t="inlineStr">
        <is>
          <t>EL AGUSTINO</t>
        </is>
      </c>
      <c r="AQ381" s="75" t="n">
        <v>46356</v>
      </c>
      <c r="AR381" s="75" t="n"/>
      <c r="AS381" t="inlineStr">
        <is>
          <t>SALDO FINANCIAR</t>
        </is>
      </c>
      <c r="AT381" t="n">
        <v>1</v>
      </c>
      <c r="AU381" t="n">
        <v>295800</v>
      </c>
      <c r="AV381" t="n">
        <v>0</v>
      </c>
      <c r="AW381" t="n">
        <v>0</v>
      </c>
      <c r="AX381" s="39" t="n">
        <v>295800</v>
      </c>
      <c r="AY381" s="39" t="n">
        <v>0</v>
      </c>
      <c r="AZ381" s="39" t="n">
        <v>295800</v>
      </c>
      <c r="BB381" t="inlineStr">
        <is>
          <t>Ahorro</t>
        </is>
      </c>
      <c r="BH381" t="inlineStr">
        <is>
          <t>No</t>
        </is>
      </c>
      <c r="BK381" t="inlineStr">
        <is>
          <t>PENDIENTE</t>
        </is>
      </c>
      <c r="BV381" t="inlineStr">
        <is>
          <t>No</t>
        </is>
      </c>
      <c r="BW381" s="76" t="n">
        <v>46142.41597222222</v>
      </c>
      <c r="BX381" t="inlineStr">
        <is>
          <t>Magaly Guevara Perez</t>
        </is>
      </c>
      <c r="BZ381" t="n">
        <v>19</v>
      </c>
      <c r="CB381" t="n">
        <v>0</v>
      </c>
      <c r="CF381" t="inlineStr">
        <is>
          <t>Cobranzas_2026.csv</t>
        </is>
      </c>
      <c r="CG381" t="n">
        <v>2026</v>
      </c>
      <c r="CH381" t="inlineStr">
        <is>
          <t>01/01/2024</t>
        </is>
      </c>
      <c r="CI381" t="inlineStr">
        <is>
          <t>24/08/2031</t>
        </is>
      </c>
    </row>
    <row r="382">
      <c r="A382" t="inlineStr">
        <is>
          <t>RESIDENCIAL BEYOND</t>
        </is>
      </c>
      <c r="B382" t="inlineStr">
        <is>
          <t>Etapa 1</t>
        </is>
      </c>
      <c r="C382" t="inlineStr">
        <is>
          <t>Edificio</t>
        </is>
      </c>
      <c r="D382" t="inlineStr">
        <is>
          <t>A</t>
        </is>
      </c>
      <c r="E382" t="inlineStr">
        <is>
          <t>Departamento</t>
        </is>
      </c>
      <c r="F382" t="inlineStr">
        <is>
          <t>1301</t>
        </is>
      </c>
      <c r="G382" t="n">
        <v>70</v>
      </c>
      <c r="H382" t="n">
        <v>0</v>
      </c>
      <c r="I382" s="39" t="n">
        <v>508500</v>
      </c>
      <c r="J382" s="39" t="n">
        <v>455500</v>
      </c>
      <c r="Q382" s="39" t="n"/>
      <c r="R382" s="39" t="n"/>
      <c r="Y382" s="39" t="n"/>
      <c r="Z382" s="39" t="n"/>
      <c r="AG382" s="39" t="n"/>
      <c r="AH382" s="39" t="n"/>
      <c r="AI382" t="inlineStr">
        <is>
          <t>ELIZABETH MINDY DELGADO PEREYRA</t>
        </is>
      </c>
      <c r="AJ382" t="inlineStr">
        <is>
          <t>44350777</t>
        </is>
      </c>
      <c r="AK382" t="inlineStr">
        <is>
          <t xml:space="preserve">Jr. Jorge Chavez 1219 </t>
        </is>
      </c>
      <c r="AL382" t="n">
        <v>0</v>
      </c>
      <c r="AM382" t="inlineStr">
        <is>
          <t>988599067</t>
        </is>
      </c>
      <c r="AN382" t="inlineStr">
        <is>
          <t>mindydelgado@hotmail.com</t>
        </is>
      </c>
      <c r="AO382" t="inlineStr">
        <is>
          <t>LIMA</t>
        </is>
      </c>
      <c r="AP382" t="inlineStr">
        <is>
          <t>BREÑA</t>
        </is>
      </c>
      <c r="AQ382" s="75" t="n">
        <v>46066</v>
      </c>
      <c r="AR382" s="75" t="n">
        <v>46066</v>
      </c>
      <c r="AS382" t="inlineStr">
        <is>
          <t>SEPARACION</t>
        </is>
      </c>
      <c r="AT382" t="n">
        <v>1</v>
      </c>
      <c r="AU382" t="n">
        <v>5000</v>
      </c>
      <c r="AV382" t="n">
        <v>0</v>
      </c>
      <c r="AW382" t="n">
        <v>0</v>
      </c>
      <c r="AX382" s="39" t="n">
        <v>5000</v>
      </c>
      <c r="AY382" s="39" t="n">
        <v>5000</v>
      </c>
      <c r="AZ382" s="39" t="n">
        <v>0</v>
      </c>
      <c r="BA382" t="n">
        <v>0</v>
      </c>
      <c r="BB382" t="inlineStr">
        <is>
          <t>Ahorro</t>
        </is>
      </c>
      <c r="BC382" t="inlineStr">
        <is>
          <t>Banco de Credito del Perú</t>
        </is>
      </c>
      <c r="BD382" t="inlineStr">
        <is>
          <t>194-7325779-0-65</t>
        </is>
      </c>
      <c r="BE382" t="inlineStr">
        <is>
          <t>POS VISA</t>
        </is>
      </c>
      <c r="BG382" t="inlineStr">
        <is>
          <t>095850</t>
        </is>
      </c>
      <c r="BH382" t="inlineStr">
        <is>
          <t>No</t>
        </is>
      </c>
      <c r="BJ382" t="n">
        <v>4</v>
      </c>
      <c r="BK382" t="inlineStr">
        <is>
          <t>CANCELADO</t>
        </is>
      </c>
      <c r="BV382" t="inlineStr">
        <is>
          <t>Si</t>
        </is>
      </c>
      <c r="BW382" s="76" t="n">
        <v>46101.43958333333</v>
      </c>
      <c r="BX382" t="inlineStr">
        <is>
          <t>Magaly Guevara Perez</t>
        </is>
      </c>
      <c r="BZ382" t="n">
        <v>13</v>
      </c>
      <c r="CA382" t="inlineStr">
        <is>
          <t>23/05/2026 20:50</t>
        </is>
      </c>
      <c r="CB382" t="n">
        <v>0</v>
      </c>
      <c r="CF382" t="inlineStr">
        <is>
          <t>Cobranzas_2026.csv</t>
        </is>
      </c>
      <c r="CG382" t="n">
        <v>2026</v>
      </c>
      <c r="CH382" t="inlineStr">
        <is>
          <t>01/01/2024</t>
        </is>
      </c>
      <c r="CI382" t="inlineStr">
        <is>
          <t>24/08/2031</t>
        </is>
      </c>
    </row>
    <row r="383">
      <c r="A383" t="inlineStr">
        <is>
          <t>RESIDENCIAL BEYOND</t>
        </is>
      </c>
      <c r="B383" t="inlineStr">
        <is>
          <t>Etapa 1</t>
        </is>
      </c>
      <c r="C383" t="inlineStr">
        <is>
          <t>Edificio</t>
        </is>
      </c>
      <c r="D383" t="inlineStr">
        <is>
          <t>A</t>
        </is>
      </c>
      <c r="E383" t="inlineStr">
        <is>
          <t>Departamento</t>
        </is>
      </c>
      <c r="F383" t="inlineStr">
        <is>
          <t>1301</t>
        </is>
      </c>
      <c r="G383" t="n">
        <v>70</v>
      </c>
      <c r="H383" t="n">
        <v>0</v>
      </c>
      <c r="I383" s="39" t="n">
        <v>508500</v>
      </c>
      <c r="J383" s="39" t="n">
        <v>455500</v>
      </c>
      <c r="Q383" s="39" t="n"/>
      <c r="R383" s="39" t="n"/>
      <c r="Y383" s="39" t="n"/>
      <c r="Z383" s="39" t="n"/>
      <c r="AG383" s="39" t="n"/>
      <c r="AH383" s="39" t="n"/>
      <c r="AI383" t="inlineStr">
        <is>
          <t>ELIZABETH MINDY DELGADO PEREYRA</t>
        </is>
      </c>
      <c r="AJ383" t="inlineStr">
        <is>
          <t>44350777</t>
        </is>
      </c>
      <c r="AK383" t="inlineStr">
        <is>
          <t xml:space="preserve">Jr. Jorge Chavez 1219 </t>
        </is>
      </c>
      <c r="AL383" t="n">
        <v>0</v>
      </c>
      <c r="AM383" t="inlineStr">
        <is>
          <t>988599067</t>
        </is>
      </c>
      <c r="AN383" t="inlineStr">
        <is>
          <t>mindydelgado@hotmail.com</t>
        </is>
      </c>
      <c r="AO383" t="inlineStr">
        <is>
          <t>LIMA</t>
        </is>
      </c>
      <c r="AP383" t="inlineStr">
        <is>
          <t>BREÑA</t>
        </is>
      </c>
      <c r="AQ383" s="75" t="n">
        <v>46101</v>
      </c>
      <c r="AR383" s="75" t="n">
        <v>46101</v>
      </c>
      <c r="AS383" t="inlineStr">
        <is>
          <t>CUOTA INICIAL</t>
        </is>
      </c>
      <c r="AT383" t="n">
        <v>1</v>
      </c>
      <c r="AU383" t="n">
        <v>8888</v>
      </c>
      <c r="AV383" t="n">
        <v>0</v>
      </c>
      <c r="AW383" t="n">
        <v>0</v>
      </c>
      <c r="AX383" s="39" t="n">
        <v>8888</v>
      </c>
      <c r="AY383" s="39" t="n">
        <v>8888</v>
      </c>
      <c r="AZ383" s="39" t="n">
        <v>0</v>
      </c>
      <c r="BA383" t="n">
        <v>0</v>
      </c>
      <c r="BB383" t="inlineStr">
        <is>
          <t>Ahorro</t>
        </is>
      </c>
      <c r="BC383" t="inlineStr">
        <is>
          <t>Banco de Credito del Perú</t>
        </is>
      </c>
      <c r="BD383" t="inlineStr">
        <is>
          <t>194-7325779-0-65</t>
        </is>
      </c>
      <c r="BE383" t="inlineStr">
        <is>
          <t>TRANSFERENCIA BANCARIA</t>
        </is>
      </c>
      <c r="BG383" t="inlineStr">
        <is>
          <t>0918237</t>
        </is>
      </c>
      <c r="BH383" t="inlineStr">
        <is>
          <t>No</t>
        </is>
      </c>
      <c r="BJ383" t="n">
        <v>4</v>
      </c>
      <c r="BK383" t="inlineStr">
        <is>
          <t>CANCELADO</t>
        </is>
      </c>
      <c r="BV383" t="inlineStr">
        <is>
          <t>Si</t>
        </is>
      </c>
      <c r="BW383" s="76" t="n">
        <v>46101.43958333333</v>
      </c>
      <c r="BX383" t="inlineStr">
        <is>
          <t>Magaly Guevara Perez</t>
        </is>
      </c>
      <c r="BZ383" t="n">
        <v>13</v>
      </c>
      <c r="CA383" t="inlineStr">
        <is>
          <t>23/05/2026 20:52</t>
        </is>
      </c>
      <c r="CB383" t="n">
        <v>0</v>
      </c>
      <c r="CF383" t="inlineStr">
        <is>
          <t>Cobranzas_2026.csv</t>
        </is>
      </c>
      <c r="CG383" t="n">
        <v>2026</v>
      </c>
      <c r="CH383" t="inlineStr">
        <is>
          <t>01/01/2024</t>
        </is>
      </c>
      <c r="CI383" t="inlineStr">
        <is>
          <t>24/08/2031</t>
        </is>
      </c>
    </row>
    <row r="384">
      <c r="A384" t="inlineStr">
        <is>
          <t>RESIDENCIAL BEYOND</t>
        </is>
      </c>
      <c r="B384" t="inlineStr">
        <is>
          <t>Etapa 1</t>
        </is>
      </c>
      <c r="C384" t="inlineStr">
        <is>
          <t>Edificio</t>
        </is>
      </c>
      <c r="D384" t="inlineStr">
        <is>
          <t>A</t>
        </is>
      </c>
      <c r="E384" t="inlineStr">
        <is>
          <t>Departamento</t>
        </is>
      </c>
      <c r="F384" t="inlineStr">
        <is>
          <t>1301</t>
        </is>
      </c>
      <c r="G384" t="n">
        <v>70</v>
      </c>
      <c r="H384" t="n">
        <v>0</v>
      </c>
      <c r="I384" s="39" t="n">
        <v>508500</v>
      </c>
      <c r="J384" s="39" t="n">
        <v>455500</v>
      </c>
      <c r="Q384" s="39" t="n"/>
      <c r="R384" s="39" t="n"/>
      <c r="Y384" s="39" t="n"/>
      <c r="Z384" s="39" t="n"/>
      <c r="AG384" s="39" t="n"/>
      <c r="AH384" s="39" t="n"/>
      <c r="AI384" t="inlineStr">
        <is>
          <t>ELIZABETH MINDY DELGADO PEREYRA</t>
        </is>
      </c>
      <c r="AJ384" t="inlineStr">
        <is>
          <t>44350777</t>
        </is>
      </c>
      <c r="AK384" t="inlineStr">
        <is>
          <t xml:space="preserve">Jr. Jorge Chavez 1219 </t>
        </is>
      </c>
      <c r="AL384" t="n">
        <v>0</v>
      </c>
      <c r="AM384" t="inlineStr">
        <is>
          <t>988599067</t>
        </is>
      </c>
      <c r="AN384" t="inlineStr">
        <is>
          <t>mindydelgado@hotmail.com</t>
        </is>
      </c>
      <c r="AO384" t="inlineStr">
        <is>
          <t>LIMA</t>
        </is>
      </c>
      <c r="AP384" t="inlineStr">
        <is>
          <t>BREÑA</t>
        </is>
      </c>
      <c r="AQ384" s="75" t="n">
        <v>46142</v>
      </c>
      <c r="AR384" s="75" t="n">
        <v>46139</v>
      </c>
      <c r="AS384" t="inlineStr">
        <is>
          <t>CUOTA INICIAL</t>
        </is>
      </c>
      <c r="AT384" t="n">
        <v>2</v>
      </c>
      <c r="AU384" t="n">
        <v>8888</v>
      </c>
      <c r="AV384" t="n">
        <v>0</v>
      </c>
      <c r="AW384" t="n">
        <v>0</v>
      </c>
      <c r="AX384" s="39" t="n">
        <v>8888</v>
      </c>
      <c r="AY384" s="39" t="n">
        <v>8888</v>
      </c>
      <c r="AZ384" s="39" t="n">
        <v>0</v>
      </c>
      <c r="BA384" t="n">
        <v>0</v>
      </c>
      <c r="BB384" t="inlineStr">
        <is>
          <t>Ahorro</t>
        </is>
      </c>
      <c r="BC384" t="inlineStr">
        <is>
          <t>Banco de Credito del Perú</t>
        </is>
      </c>
      <c r="BD384" t="inlineStr">
        <is>
          <t>194-7325779-0-65</t>
        </is>
      </c>
      <c r="BE384" t="inlineStr">
        <is>
          <t>TRANSFERENCIA BANCARIA</t>
        </is>
      </c>
      <c r="BG384" t="inlineStr">
        <is>
          <t>04691094</t>
        </is>
      </c>
      <c r="BH384" t="inlineStr">
        <is>
          <t>No</t>
        </is>
      </c>
      <c r="BJ384" t="n">
        <v>4</v>
      </c>
      <c r="BK384" t="inlineStr">
        <is>
          <t>CANCELADO</t>
        </is>
      </c>
      <c r="BV384" t="inlineStr">
        <is>
          <t>Si</t>
        </is>
      </c>
      <c r="BW384" s="76" t="n">
        <v>46101.43958333333</v>
      </c>
      <c r="BX384" t="inlineStr">
        <is>
          <t>Magaly Guevara Perez</t>
        </is>
      </c>
      <c r="BZ384" t="n">
        <v>13</v>
      </c>
      <c r="CA384" t="inlineStr">
        <is>
          <t>23/05/2026 20:52</t>
        </is>
      </c>
      <c r="CB384" t="n">
        <v>0</v>
      </c>
      <c r="CF384" t="inlineStr">
        <is>
          <t>Cobranzas_2026.csv</t>
        </is>
      </c>
      <c r="CG384" t="n">
        <v>2026</v>
      </c>
      <c r="CH384" t="inlineStr">
        <is>
          <t>01/01/2024</t>
        </is>
      </c>
      <c r="CI384" t="inlineStr">
        <is>
          <t>24/08/2031</t>
        </is>
      </c>
    </row>
    <row r="385">
      <c r="A385" t="inlineStr">
        <is>
          <t>RESIDENCIAL BEYOND</t>
        </is>
      </c>
      <c r="B385" t="inlineStr">
        <is>
          <t>Etapa 1</t>
        </is>
      </c>
      <c r="C385" t="inlineStr">
        <is>
          <t>Edificio</t>
        </is>
      </c>
      <c r="D385" t="inlineStr">
        <is>
          <t>A</t>
        </is>
      </c>
      <c r="E385" t="inlineStr">
        <is>
          <t>Departamento</t>
        </is>
      </c>
      <c r="F385" t="inlineStr">
        <is>
          <t>1301</t>
        </is>
      </c>
      <c r="G385" t="n">
        <v>70</v>
      </c>
      <c r="H385" t="n">
        <v>0</v>
      </c>
      <c r="I385" s="39" t="n">
        <v>508500</v>
      </c>
      <c r="J385" s="39" t="n">
        <v>455500</v>
      </c>
      <c r="Q385" s="39" t="n"/>
      <c r="R385" s="39" t="n"/>
      <c r="Y385" s="39" t="n"/>
      <c r="Z385" s="39" t="n"/>
      <c r="AG385" s="39" t="n"/>
      <c r="AH385" s="39" t="n"/>
      <c r="AI385" t="inlineStr">
        <is>
          <t>ELIZABETH MINDY DELGADO PEREYRA</t>
        </is>
      </c>
      <c r="AJ385" t="inlineStr">
        <is>
          <t>44350777</t>
        </is>
      </c>
      <c r="AK385" t="inlineStr">
        <is>
          <t xml:space="preserve">Jr. Jorge Chavez 1219 </t>
        </is>
      </c>
      <c r="AL385" t="n">
        <v>0</v>
      </c>
      <c r="AM385" t="inlineStr">
        <is>
          <t>988599067</t>
        </is>
      </c>
      <c r="AN385" t="inlineStr">
        <is>
          <t>mindydelgado@hotmail.com</t>
        </is>
      </c>
      <c r="AO385" t="inlineStr">
        <is>
          <t>LIMA</t>
        </is>
      </c>
      <c r="AP385" t="inlineStr">
        <is>
          <t>BREÑA</t>
        </is>
      </c>
      <c r="AQ385" s="75" t="n">
        <v>46295</v>
      </c>
      <c r="AR385" s="75" t="n"/>
      <c r="AS385" t="inlineStr">
        <is>
          <t>AHORRO CASA</t>
        </is>
      </c>
      <c r="AT385" t="n">
        <v>3</v>
      </c>
      <c r="AU385" t="n">
        <v>22774</v>
      </c>
      <c r="AV385" t="n">
        <v>0</v>
      </c>
      <c r="AW385" t="n">
        <v>0</v>
      </c>
      <c r="AX385" s="39" t="n">
        <v>22774</v>
      </c>
      <c r="AY385" s="39" t="n">
        <v>0</v>
      </c>
      <c r="AZ385" s="39" t="n">
        <v>22774</v>
      </c>
      <c r="BB385" t="inlineStr">
        <is>
          <t>Ahorro</t>
        </is>
      </c>
      <c r="BH385" t="inlineStr">
        <is>
          <t>No</t>
        </is>
      </c>
      <c r="BK385" t="inlineStr">
        <is>
          <t>PENDIENTE</t>
        </is>
      </c>
      <c r="BV385" t="inlineStr">
        <is>
          <t>No</t>
        </is>
      </c>
      <c r="BW385" s="76" t="n">
        <v>46101.43958333333</v>
      </c>
      <c r="BX385" t="inlineStr">
        <is>
          <t>Magaly Guevara Perez</t>
        </is>
      </c>
      <c r="BZ385" t="n">
        <v>13</v>
      </c>
      <c r="CB385" t="n">
        <v>0</v>
      </c>
      <c r="CF385" t="inlineStr">
        <is>
          <t>Cobranzas_2026.csv</t>
        </is>
      </c>
      <c r="CG385" t="n">
        <v>2026</v>
      </c>
      <c r="CH385" t="inlineStr">
        <is>
          <t>01/01/2024</t>
        </is>
      </c>
      <c r="CI385" t="inlineStr">
        <is>
          <t>24/08/2031</t>
        </is>
      </c>
    </row>
    <row r="386">
      <c r="A386" t="inlineStr">
        <is>
          <t>RESIDENCIAL BEYOND</t>
        </is>
      </c>
      <c r="B386" t="inlineStr">
        <is>
          <t>Etapa 1</t>
        </is>
      </c>
      <c r="C386" t="inlineStr">
        <is>
          <t>Edificio</t>
        </is>
      </c>
      <c r="D386" t="inlineStr">
        <is>
          <t>A</t>
        </is>
      </c>
      <c r="E386" t="inlineStr">
        <is>
          <t>Departamento</t>
        </is>
      </c>
      <c r="F386" t="inlineStr">
        <is>
          <t>1301</t>
        </is>
      </c>
      <c r="G386" t="n">
        <v>70</v>
      </c>
      <c r="H386" t="n">
        <v>0</v>
      </c>
      <c r="I386" s="39" t="n">
        <v>508500</v>
      </c>
      <c r="J386" s="39" t="n">
        <v>455500</v>
      </c>
      <c r="Q386" s="39" t="n"/>
      <c r="R386" s="39" t="n"/>
      <c r="Y386" s="39" t="n"/>
      <c r="Z386" s="39" t="n"/>
      <c r="AG386" s="39" t="n"/>
      <c r="AH386" s="39" t="n"/>
      <c r="AI386" t="inlineStr">
        <is>
          <t>ELIZABETH MINDY DELGADO PEREYRA</t>
        </is>
      </c>
      <c r="AJ386" t="inlineStr">
        <is>
          <t>44350777</t>
        </is>
      </c>
      <c r="AK386" t="inlineStr">
        <is>
          <t xml:space="preserve">Jr. Jorge Chavez 1219 </t>
        </is>
      </c>
      <c r="AL386" t="n">
        <v>0</v>
      </c>
      <c r="AM386" t="inlineStr">
        <is>
          <t>988599067</t>
        </is>
      </c>
      <c r="AN386" t="inlineStr">
        <is>
          <t>mindydelgado@hotmail.com</t>
        </is>
      </c>
      <c r="AO386" t="inlineStr">
        <is>
          <t>LIMA</t>
        </is>
      </c>
      <c r="AP386" t="inlineStr">
        <is>
          <t>BREÑA</t>
        </is>
      </c>
      <c r="AQ386" s="75" t="n">
        <v>46356</v>
      </c>
      <c r="AR386" s="75" t="n"/>
      <c r="AS386" t="inlineStr">
        <is>
          <t>SALDO FINANCIAR</t>
        </is>
      </c>
      <c r="AT386" t="n">
        <v>1</v>
      </c>
      <c r="AU386" t="n">
        <v>409950</v>
      </c>
      <c r="AV386" t="n">
        <v>0</v>
      </c>
      <c r="AW386" t="n">
        <v>0</v>
      </c>
      <c r="AX386" s="39" t="n">
        <v>409950</v>
      </c>
      <c r="AY386" s="39" t="n">
        <v>0</v>
      </c>
      <c r="AZ386" s="39" t="n">
        <v>409950</v>
      </c>
      <c r="BB386" t="inlineStr">
        <is>
          <t>Ahorro</t>
        </is>
      </c>
      <c r="BH386" t="inlineStr">
        <is>
          <t>No</t>
        </is>
      </c>
      <c r="BK386" t="inlineStr">
        <is>
          <t>PENDIENTE</t>
        </is>
      </c>
      <c r="BV386" t="inlineStr">
        <is>
          <t>No</t>
        </is>
      </c>
      <c r="BW386" s="76" t="n">
        <v>46101.43958333333</v>
      </c>
      <c r="BX386" t="inlineStr">
        <is>
          <t>Magaly Guevara Perez</t>
        </is>
      </c>
      <c r="BZ386" t="n">
        <v>13</v>
      </c>
      <c r="CB386" t="n">
        <v>0</v>
      </c>
      <c r="CF386" t="inlineStr">
        <is>
          <t>Cobranzas_2026.csv</t>
        </is>
      </c>
      <c r="CG386" t="n">
        <v>2026</v>
      </c>
      <c r="CH386" t="inlineStr">
        <is>
          <t>01/01/2024</t>
        </is>
      </c>
      <c r="CI386" t="inlineStr">
        <is>
          <t>24/08/2031</t>
        </is>
      </c>
    </row>
    <row r="387">
      <c r="A387" t="inlineStr">
        <is>
          <t>RESIDENCIAL PRADA</t>
        </is>
      </c>
      <c r="B387" t="inlineStr">
        <is>
          <t>Etapa 1</t>
        </is>
      </c>
      <c r="C387" t="inlineStr">
        <is>
          <t>Edificio</t>
        </is>
      </c>
      <c r="D387" t="inlineStr">
        <is>
          <t>A</t>
        </is>
      </c>
      <c r="E387" t="inlineStr">
        <is>
          <t>Estacionamiento</t>
        </is>
      </c>
      <c r="F387" t="inlineStr">
        <is>
          <t>E 08</t>
        </is>
      </c>
      <c r="G387" t="n">
        <v>12.5</v>
      </c>
      <c r="H387" t="n">
        <v>0</v>
      </c>
      <c r="I387" s="39" t="n">
        <v>47500</v>
      </c>
      <c r="J387" s="39" t="n">
        <v>47500</v>
      </c>
      <c r="Q387" s="39" t="n"/>
      <c r="R387" s="39" t="n"/>
      <c r="Y387" s="39" t="n"/>
      <c r="Z387" s="39" t="n"/>
      <c r="AG387" s="39" t="n"/>
      <c r="AH387" s="39" t="n"/>
      <c r="AI387" t="inlineStr">
        <is>
          <t>Elizabeth Rocio Urbina Ñañez</t>
        </is>
      </c>
      <c r="AJ387" t="inlineStr">
        <is>
          <t>71404863</t>
        </is>
      </c>
      <c r="AK387" t="inlineStr">
        <is>
          <t>Av. Arequipa 2651</t>
        </is>
      </c>
      <c r="AL387" t="n">
        <v>0</v>
      </c>
      <c r="AM387" t="inlineStr">
        <is>
          <t>943921218</t>
        </is>
      </c>
      <c r="AN387" t="inlineStr">
        <is>
          <t>elizabethurbina9624@gmail.com</t>
        </is>
      </c>
      <c r="AO387" t="inlineStr">
        <is>
          <t>LIMA</t>
        </is>
      </c>
      <c r="AP387" t="inlineStr">
        <is>
          <t>LINCE</t>
        </is>
      </c>
      <c r="AQ387" s="75" t="n">
        <v>46023</v>
      </c>
      <c r="AR387" s="75" t="n">
        <v>46024</v>
      </c>
      <c r="AS387" t="inlineStr">
        <is>
          <t>SALDO FINANCIAR</t>
        </is>
      </c>
      <c r="AT387" t="n">
        <v>2</v>
      </c>
      <c r="AU387" t="n">
        <v>7000</v>
      </c>
      <c r="AV387" t="n">
        <v>0</v>
      </c>
      <c r="AW387" t="n">
        <v>0</v>
      </c>
      <c r="AX387" s="39" t="n">
        <v>7000</v>
      </c>
      <c r="AY387" s="39" t="n">
        <v>7000</v>
      </c>
      <c r="AZ387" s="39" t="n">
        <v>0</v>
      </c>
      <c r="BA387" t="n">
        <v>0</v>
      </c>
      <c r="BB387" t="inlineStr">
        <is>
          <t>Crédito Directo</t>
        </is>
      </c>
      <c r="BC387" t="inlineStr">
        <is>
          <t>Scotiabank Perú</t>
        </is>
      </c>
      <c r="BD387" t="inlineStr">
        <is>
          <t>000-2768484</t>
        </is>
      </c>
      <c r="BE387" t="inlineStr">
        <is>
          <t>TRANSFERENCIA BANCARIA</t>
        </is>
      </c>
      <c r="BG387" t="inlineStr">
        <is>
          <t>8047007</t>
        </is>
      </c>
      <c r="BH387" t="inlineStr">
        <is>
          <t>No</t>
        </is>
      </c>
      <c r="BJ387" t="n">
        <v>4</v>
      </c>
      <c r="BK387" t="inlineStr">
        <is>
          <t>CANCELADO</t>
        </is>
      </c>
      <c r="BV387" t="inlineStr">
        <is>
          <t>Si</t>
        </is>
      </c>
      <c r="BW387" s="76" t="n">
        <v>45903.68958333333</v>
      </c>
      <c r="BX387" t="inlineStr">
        <is>
          <t>Carla Michue M</t>
        </is>
      </c>
      <c r="BZ387" t="n">
        <v>53</v>
      </c>
      <c r="CA387" t="inlineStr">
        <is>
          <t>03/07/2026 10:26</t>
        </is>
      </c>
      <c r="CB387" t="n">
        <v>0</v>
      </c>
      <c r="CF387" t="inlineStr">
        <is>
          <t>Cobranzas_2026.csv</t>
        </is>
      </c>
      <c r="CG387" t="n">
        <v>2026</v>
      </c>
      <c r="CH387" t="inlineStr">
        <is>
          <t>01/01/2024</t>
        </is>
      </c>
      <c r="CI387" t="inlineStr">
        <is>
          <t>24/08/2031</t>
        </is>
      </c>
    </row>
    <row r="388">
      <c r="A388" t="inlineStr">
        <is>
          <t>RESIDENCIAL PRADA</t>
        </is>
      </c>
      <c r="B388" t="inlineStr">
        <is>
          <t>Etapa 1</t>
        </is>
      </c>
      <c r="C388" t="inlineStr">
        <is>
          <t>Edificio</t>
        </is>
      </c>
      <c r="D388" t="inlineStr">
        <is>
          <t>A</t>
        </is>
      </c>
      <c r="E388" t="inlineStr">
        <is>
          <t>Estacionamiento</t>
        </is>
      </c>
      <c r="F388" t="inlineStr">
        <is>
          <t>E 08</t>
        </is>
      </c>
      <c r="G388" t="n">
        <v>12.5</v>
      </c>
      <c r="H388" t="n">
        <v>0</v>
      </c>
      <c r="I388" s="39" t="n">
        <v>47500</v>
      </c>
      <c r="J388" s="39" t="n">
        <v>47500</v>
      </c>
      <c r="Q388" s="39" t="n"/>
      <c r="R388" s="39" t="n"/>
      <c r="Y388" s="39" t="n"/>
      <c r="Z388" s="39" t="n"/>
      <c r="AG388" s="39" t="n"/>
      <c r="AH388" s="39" t="n"/>
      <c r="AI388" t="inlineStr">
        <is>
          <t>Elizabeth Rocio Urbina Ñañez</t>
        </is>
      </c>
      <c r="AJ388" t="inlineStr">
        <is>
          <t>71404863</t>
        </is>
      </c>
      <c r="AK388" t="inlineStr">
        <is>
          <t>Av. Arequipa 2651</t>
        </is>
      </c>
      <c r="AL388" t="n">
        <v>0</v>
      </c>
      <c r="AM388" t="inlineStr">
        <is>
          <t>943921218</t>
        </is>
      </c>
      <c r="AN388" t="inlineStr">
        <is>
          <t>elizabethurbina9624@gmail.com</t>
        </is>
      </c>
      <c r="AO388" t="inlineStr">
        <is>
          <t>LIMA</t>
        </is>
      </c>
      <c r="AP388" t="inlineStr">
        <is>
          <t>LINCE</t>
        </is>
      </c>
      <c r="AQ388" s="75" t="n">
        <v>46112</v>
      </c>
      <c r="AR388" s="75" t="n">
        <v>46112</v>
      </c>
      <c r="AS388" t="inlineStr">
        <is>
          <t>SALDO FINANCIAR</t>
        </is>
      </c>
      <c r="AT388" t="n">
        <v>3</v>
      </c>
      <c r="AU388" t="n">
        <v>22500</v>
      </c>
      <c r="AV388" t="n">
        <v>0</v>
      </c>
      <c r="AW388" t="n">
        <v>0</v>
      </c>
      <c r="AX388" s="39" t="n">
        <v>22500</v>
      </c>
      <c r="AY388" s="39" t="n">
        <v>22500</v>
      </c>
      <c r="AZ388" s="39" t="n">
        <v>0</v>
      </c>
      <c r="BA388" t="n">
        <v>0</v>
      </c>
      <c r="BB388" t="inlineStr">
        <is>
          <t>Crédito Directo</t>
        </is>
      </c>
      <c r="BC388" t="inlineStr">
        <is>
          <t>Scotiabank Perú</t>
        </is>
      </c>
      <c r="BD388" t="inlineStr">
        <is>
          <t>000-2768484</t>
        </is>
      </c>
      <c r="BE388" t="inlineStr">
        <is>
          <t>TRANSFERENCIA BANCARIA</t>
        </is>
      </c>
      <c r="BG388" t="inlineStr">
        <is>
          <t>2798845</t>
        </is>
      </c>
      <c r="BH388" t="inlineStr">
        <is>
          <t>No</t>
        </is>
      </c>
      <c r="BJ388" t="n">
        <v>4</v>
      </c>
      <c r="BK388" t="inlineStr">
        <is>
          <t>CANCELADO</t>
        </is>
      </c>
      <c r="BV388" t="inlineStr">
        <is>
          <t>Si</t>
        </is>
      </c>
      <c r="BW388" s="76" t="n">
        <v>45903.68958333333</v>
      </c>
      <c r="BX388" t="inlineStr">
        <is>
          <t>Carla Michue M</t>
        </is>
      </c>
      <c r="BZ388" t="n">
        <v>53</v>
      </c>
      <c r="CA388" t="inlineStr">
        <is>
          <t>03/07/2026 10:27</t>
        </is>
      </c>
      <c r="CB388" t="n">
        <v>0</v>
      </c>
      <c r="CF388" t="inlineStr">
        <is>
          <t>Cobranzas_2026.csv</t>
        </is>
      </c>
      <c r="CG388" t="n">
        <v>2026</v>
      </c>
      <c r="CH388" t="inlineStr">
        <is>
          <t>01/01/2024</t>
        </is>
      </c>
      <c r="CI388" t="inlineStr">
        <is>
          <t>24/08/2031</t>
        </is>
      </c>
    </row>
    <row r="389">
      <c r="A389" t="inlineStr">
        <is>
          <t>RESIDENCIAL PRADA</t>
        </is>
      </c>
      <c r="B389" t="inlineStr">
        <is>
          <t>Etapa 1</t>
        </is>
      </c>
      <c r="C389" t="inlineStr">
        <is>
          <t>Edificio</t>
        </is>
      </c>
      <c r="D389" t="inlineStr">
        <is>
          <t>A</t>
        </is>
      </c>
      <c r="E389" t="inlineStr">
        <is>
          <t>Estacionamiento</t>
        </is>
      </c>
      <c r="F389" t="inlineStr">
        <is>
          <t>E 13 - D 10</t>
        </is>
      </c>
      <c r="G389" t="n">
        <v>12.86</v>
      </c>
      <c r="H389" t="n">
        <v>3</v>
      </c>
      <c r="I389" s="39" t="n">
        <v>57800</v>
      </c>
      <c r="J389" s="39" t="n">
        <v>57800</v>
      </c>
      <c r="Q389" s="39" t="n"/>
      <c r="R389" s="39" t="n"/>
      <c r="Y389" s="39" t="n"/>
      <c r="Z389" s="39" t="n"/>
      <c r="AG389" s="39" t="n"/>
      <c r="AH389" s="39" t="n"/>
      <c r="AI389" t="inlineStr">
        <is>
          <t>Elmo Calatayud Chumbes</t>
        </is>
      </c>
      <c r="AJ389" t="inlineStr">
        <is>
          <t>15580131</t>
        </is>
      </c>
      <c r="AK389" t="inlineStr">
        <is>
          <t>Avenida Tomas Valles 1530 Block 14 departamento 204</t>
        </is>
      </c>
      <c r="AL389" t="n">
        <v>955600933</v>
      </c>
      <c r="AM389" t="inlineStr">
        <is>
          <t>955600933</t>
        </is>
      </c>
      <c r="AN389" t="inlineStr">
        <is>
          <t>ec.calatayud@gmail.com</t>
        </is>
      </c>
      <c r="AO389" t="inlineStr">
        <is>
          <t>LIMA</t>
        </is>
      </c>
      <c r="AP389" t="inlineStr">
        <is>
          <t>LOS OLIVOS</t>
        </is>
      </c>
      <c r="AQ389" s="75" t="n">
        <v>46083</v>
      </c>
      <c r="AR389" s="75" t="n">
        <v>46083</v>
      </c>
      <c r="AS389" t="inlineStr">
        <is>
          <t>SALDO FINANCIAR</t>
        </is>
      </c>
      <c r="AT389" t="n">
        <v>1</v>
      </c>
      <c r="AU389" t="n">
        <v>10000</v>
      </c>
      <c r="AV389" t="n">
        <v>0</v>
      </c>
      <c r="AW389" t="n">
        <v>0</v>
      </c>
      <c r="AX389" s="39" t="n">
        <v>10000</v>
      </c>
      <c r="AY389" s="39" t="n">
        <v>10000</v>
      </c>
      <c r="AZ389" s="39" t="n">
        <v>0</v>
      </c>
      <c r="BA389" t="n">
        <v>0</v>
      </c>
      <c r="BB389" t="inlineStr">
        <is>
          <t>Crédito Directo</t>
        </is>
      </c>
      <c r="BC389" t="inlineStr">
        <is>
          <t>Scotiabank Perú</t>
        </is>
      </c>
      <c r="BD389" t="inlineStr">
        <is>
          <t>000-2768484</t>
        </is>
      </c>
      <c r="BE389" t="inlineStr">
        <is>
          <t>TRANSFERENCIA BANCARIA</t>
        </is>
      </c>
      <c r="BG389" t="inlineStr">
        <is>
          <t>7844655587205</t>
        </is>
      </c>
      <c r="BH389" t="inlineStr">
        <is>
          <t>No</t>
        </is>
      </c>
      <c r="BJ389" t="n">
        <v>4</v>
      </c>
      <c r="BK389" t="inlineStr">
        <is>
          <t>CANCELADO</t>
        </is>
      </c>
      <c r="BV389" t="inlineStr">
        <is>
          <t>Si</t>
        </is>
      </c>
      <c r="BW389" s="76" t="n">
        <v>46083.42569444444</v>
      </c>
      <c r="BX389" t="inlineStr">
        <is>
          <t>Magaly Guevara Perez</t>
        </is>
      </c>
      <c r="BZ389" t="n">
        <v>61</v>
      </c>
      <c r="CA389" t="inlineStr">
        <is>
          <t>26/06/2026 15:30</t>
        </is>
      </c>
      <c r="CB389" t="n">
        <v>0</v>
      </c>
      <c r="CF389" t="inlineStr">
        <is>
          <t>Cobranzas_2026.csv</t>
        </is>
      </c>
      <c r="CG389" t="n">
        <v>2026</v>
      </c>
      <c r="CH389" t="inlineStr">
        <is>
          <t>01/01/2024</t>
        </is>
      </c>
      <c r="CI389" t="inlineStr">
        <is>
          <t>24/08/2031</t>
        </is>
      </c>
    </row>
    <row r="390">
      <c r="A390" t="inlineStr">
        <is>
          <t>RESIDENCIAL PRADA</t>
        </is>
      </c>
      <c r="B390" t="inlineStr">
        <is>
          <t>Etapa 1</t>
        </is>
      </c>
      <c r="C390" t="inlineStr">
        <is>
          <t>Edificio</t>
        </is>
      </c>
      <c r="D390" t="inlineStr">
        <is>
          <t>A</t>
        </is>
      </c>
      <c r="E390" t="inlineStr">
        <is>
          <t>Estacionamiento</t>
        </is>
      </c>
      <c r="F390" t="inlineStr">
        <is>
          <t>E 13 - D 10</t>
        </is>
      </c>
      <c r="G390" t="n">
        <v>12.86</v>
      </c>
      <c r="H390" t="n">
        <v>3</v>
      </c>
      <c r="I390" s="39" t="n">
        <v>57800</v>
      </c>
      <c r="J390" s="39" t="n">
        <v>57800</v>
      </c>
      <c r="Q390" s="39" t="n"/>
      <c r="R390" s="39" t="n"/>
      <c r="Y390" s="39" t="n"/>
      <c r="Z390" s="39" t="n"/>
      <c r="AG390" s="39" t="n"/>
      <c r="AH390" s="39" t="n"/>
      <c r="AI390" t="inlineStr">
        <is>
          <t>Elmo Calatayud Chumbes</t>
        </is>
      </c>
      <c r="AJ390" t="inlineStr">
        <is>
          <t>15580131</t>
        </is>
      </c>
      <c r="AK390" t="inlineStr">
        <is>
          <t>Avenida Tomas Valles 1530 Block 14 departamento 204</t>
        </is>
      </c>
      <c r="AL390" t="n">
        <v>955600933</v>
      </c>
      <c r="AM390" t="inlineStr">
        <is>
          <t>955600933</t>
        </is>
      </c>
      <c r="AN390" t="inlineStr">
        <is>
          <t>ec.calatayud@gmail.com</t>
        </is>
      </c>
      <c r="AO390" t="inlineStr">
        <is>
          <t>LIMA</t>
        </is>
      </c>
      <c r="AP390" t="inlineStr">
        <is>
          <t>LOS OLIVOS</t>
        </is>
      </c>
      <c r="AQ390" s="75" t="n">
        <v>46233</v>
      </c>
      <c r="AR390" s="75" t="n"/>
      <c r="AS390" t="inlineStr">
        <is>
          <t>SALDO FINANCIAR</t>
        </is>
      </c>
      <c r="AT390" t="n">
        <v>2</v>
      </c>
      <c r="AU390" t="n">
        <v>18900</v>
      </c>
      <c r="AV390" t="n">
        <v>0</v>
      </c>
      <c r="AW390" t="n">
        <v>0</v>
      </c>
      <c r="AX390" s="39" t="n">
        <v>18900</v>
      </c>
      <c r="AY390" s="39" t="n">
        <v>0</v>
      </c>
      <c r="AZ390" s="39" t="n">
        <v>18900</v>
      </c>
      <c r="BB390" t="inlineStr">
        <is>
          <t>Crédito Directo</t>
        </is>
      </c>
      <c r="BH390" t="inlineStr">
        <is>
          <t>No</t>
        </is>
      </c>
      <c r="BK390" t="inlineStr">
        <is>
          <t>VENCIDO</t>
        </is>
      </c>
      <c r="BV390" t="inlineStr">
        <is>
          <t>No</t>
        </is>
      </c>
      <c r="BW390" s="76" t="n">
        <v>46083.42569444444</v>
      </c>
      <c r="BX390" t="inlineStr">
        <is>
          <t>Magaly Guevara Perez</t>
        </is>
      </c>
      <c r="BZ390" t="n">
        <v>61</v>
      </c>
      <c r="CB390" t="n">
        <v>0</v>
      </c>
      <c r="CF390" t="inlineStr">
        <is>
          <t>Cobranzas_2026.csv</t>
        </is>
      </c>
      <c r="CG390" t="n">
        <v>2026</v>
      </c>
      <c r="CH390" t="inlineStr">
        <is>
          <t>01/01/2024</t>
        </is>
      </c>
      <c r="CI390" t="inlineStr">
        <is>
          <t>24/08/2031</t>
        </is>
      </c>
    </row>
    <row r="391">
      <c r="A391" t="inlineStr">
        <is>
          <t>RESIDENCIAL PRADA</t>
        </is>
      </c>
      <c r="B391" t="inlineStr">
        <is>
          <t>Etapa 1</t>
        </is>
      </c>
      <c r="C391" t="inlineStr">
        <is>
          <t>Edificio</t>
        </is>
      </c>
      <c r="D391" t="inlineStr">
        <is>
          <t>A</t>
        </is>
      </c>
      <c r="E391" t="inlineStr">
        <is>
          <t>Estacionamiento</t>
        </is>
      </c>
      <c r="F391" t="inlineStr">
        <is>
          <t>E 13 - D 10</t>
        </is>
      </c>
      <c r="G391" t="n">
        <v>12.86</v>
      </c>
      <c r="H391" t="n">
        <v>3</v>
      </c>
      <c r="I391" s="39" t="n">
        <v>57800</v>
      </c>
      <c r="J391" s="39" t="n">
        <v>57800</v>
      </c>
      <c r="Q391" s="39" t="n"/>
      <c r="R391" s="39" t="n"/>
      <c r="Y391" s="39" t="n"/>
      <c r="Z391" s="39" t="n"/>
      <c r="AG391" s="39" t="n"/>
      <c r="AH391" s="39" t="n"/>
      <c r="AI391" t="inlineStr">
        <is>
          <t>Elmo Calatayud Chumbes</t>
        </is>
      </c>
      <c r="AJ391" t="inlineStr">
        <is>
          <t>15580131</t>
        </is>
      </c>
      <c r="AK391" t="inlineStr">
        <is>
          <t>Avenida Tomas Valles 1530 Block 14 departamento 204</t>
        </is>
      </c>
      <c r="AL391" t="n">
        <v>955600933</v>
      </c>
      <c r="AM391" t="inlineStr">
        <is>
          <t>955600933</t>
        </is>
      </c>
      <c r="AN391" t="inlineStr">
        <is>
          <t>ec.calatayud@gmail.com</t>
        </is>
      </c>
      <c r="AO391" t="inlineStr">
        <is>
          <t>LIMA</t>
        </is>
      </c>
      <c r="AP391" t="inlineStr">
        <is>
          <t>LOS OLIVOS</t>
        </is>
      </c>
      <c r="AQ391" s="75" t="n">
        <v>46295</v>
      </c>
      <c r="AR391" s="75" t="n"/>
      <c r="AS391" t="inlineStr">
        <is>
          <t>SALDO FINANCIAR</t>
        </is>
      </c>
      <c r="AT391" t="n">
        <v>3</v>
      </c>
      <c r="AU391" t="n">
        <v>18900</v>
      </c>
      <c r="AV391" t="n">
        <v>0</v>
      </c>
      <c r="AW391" t="n">
        <v>0</v>
      </c>
      <c r="AX391" s="39" t="n">
        <v>18900</v>
      </c>
      <c r="AY391" s="39" t="n">
        <v>0</v>
      </c>
      <c r="AZ391" s="39" t="n">
        <v>18900</v>
      </c>
      <c r="BB391" t="inlineStr">
        <is>
          <t>Crédito Directo</t>
        </is>
      </c>
      <c r="BH391" t="inlineStr">
        <is>
          <t>No</t>
        </is>
      </c>
      <c r="BK391" t="inlineStr">
        <is>
          <t>PENDIENTE</t>
        </is>
      </c>
      <c r="BV391" t="inlineStr">
        <is>
          <t>No</t>
        </is>
      </c>
      <c r="BW391" s="76" t="n">
        <v>46083.42569444444</v>
      </c>
      <c r="BX391" t="inlineStr">
        <is>
          <t>Magaly Guevara Perez</t>
        </is>
      </c>
      <c r="BZ391" t="n">
        <v>61</v>
      </c>
      <c r="CB391" t="n">
        <v>0</v>
      </c>
      <c r="CF391" t="inlineStr">
        <is>
          <t>Cobranzas_2026.csv</t>
        </is>
      </c>
      <c r="CG391" t="n">
        <v>2026</v>
      </c>
      <c r="CH391" t="inlineStr">
        <is>
          <t>01/01/2024</t>
        </is>
      </c>
      <c r="CI391" t="inlineStr">
        <is>
          <t>24/08/2031</t>
        </is>
      </c>
    </row>
    <row r="392">
      <c r="A392" t="inlineStr">
        <is>
          <t>RESIDENCIAL BEYOND</t>
        </is>
      </c>
      <c r="B392" t="inlineStr">
        <is>
          <t>Etapa 1</t>
        </is>
      </c>
      <c r="C392" t="inlineStr">
        <is>
          <t>Edificio</t>
        </is>
      </c>
      <c r="D392" t="inlineStr">
        <is>
          <t>A</t>
        </is>
      </c>
      <c r="E392" t="inlineStr">
        <is>
          <t>Departamento</t>
        </is>
      </c>
      <c r="F392" t="inlineStr">
        <is>
          <t>503</t>
        </is>
      </c>
      <c r="G392" t="n">
        <v>68</v>
      </c>
      <c r="H392" t="n">
        <v>0</v>
      </c>
      <c r="I392" s="39" t="n">
        <v>504700</v>
      </c>
      <c r="J392" s="39" t="n">
        <v>470000</v>
      </c>
      <c r="K392" t="inlineStr">
        <is>
          <t>Edificio</t>
        </is>
      </c>
      <c r="L392" t="inlineStr">
        <is>
          <t>A</t>
        </is>
      </c>
      <c r="M392" t="inlineStr">
        <is>
          <t>Estacionamiento</t>
        </is>
      </c>
      <c r="N392" t="inlineStr">
        <is>
          <t>E 12 - D 10</t>
        </is>
      </c>
      <c r="O392" t="n">
        <v>12.5</v>
      </c>
      <c r="P392" t="n">
        <v>1.77</v>
      </c>
      <c r="Q392" s="39" t="n">
        <v>51500</v>
      </c>
      <c r="R392" s="39" t="n">
        <v>51500</v>
      </c>
      <c r="Y392" s="39" t="n"/>
      <c r="Z392" s="39" t="n"/>
      <c r="AG392" s="39" t="n"/>
      <c r="AH392" s="39" t="n"/>
      <c r="AI392" t="inlineStr">
        <is>
          <t>ERICK RAUL BEDOYA BACA</t>
        </is>
      </c>
      <c r="AJ392" t="inlineStr">
        <is>
          <t>47551103</t>
        </is>
      </c>
      <c r="AK392" t="inlineStr">
        <is>
          <t>Urb. Virgen del Rosario I Etapa Mz D Lt 11</t>
        </is>
      </c>
      <c r="AL392" t="n">
        <v>0</v>
      </c>
      <c r="AM392" t="inlineStr">
        <is>
          <t>961968687</t>
        </is>
      </c>
      <c r="AN392" t="inlineStr">
        <is>
          <t>ebedoyaba@gmail.com</t>
        </is>
      </c>
      <c r="AO392" t="inlineStr">
        <is>
          <t>LIMA</t>
        </is>
      </c>
      <c r="AP392" t="inlineStr">
        <is>
          <t>SAN MARTIN DE PORRES</t>
        </is>
      </c>
      <c r="AQ392" s="75" t="n">
        <v>46033</v>
      </c>
      <c r="AR392" s="75" t="n">
        <v>46033</v>
      </c>
      <c r="AS392" t="inlineStr">
        <is>
          <t>SEPARACION</t>
        </is>
      </c>
      <c r="AT392" t="n">
        <v>1</v>
      </c>
      <c r="AU392" t="n">
        <v>3000</v>
      </c>
      <c r="AV392" t="n">
        <v>0</v>
      </c>
      <c r="AW392" t="n">
        <v>0</v>
      </c>
      <c r="AX392" s="39" t="n">
        <v>3000</v>
      </c>
      <c r="AY392" s="39" t="n">
        <v>3000</v>
      </c>
      <c r="AZ392" s="39" t="n">
        <v>0</v>
      </c>
      <c r="BA392" t="n">
        <v>0</v>
      </c>
      <c r="BB392" t="inlineStr">
        <is>
          <t>Crédito Hipotecario</t>
        </is>
      </c>
      <c r="BC392" t="inlineStr">
        <is>
          <t>Banco de Credito del Perú</t>
        </is>
      </c>
      <c r="BD392" t="inlineStr">
        <is>
          <t>194-7325779-0-65</t>
        </is>
      </c>
      <c r="BE392" t="inlineStr">
        <is>
          <t>TRANSFERENCIA BANCARIA</t>
        </is>
      </c>
      <c r="BG392" t="inlineStr">
        <is>
          <t>02283860</t>
        </is>
      </c>
      <c r="BH392" t="inlineStr">
        <is>
          <t>No</t>
        </is>
      </c>
      <c r="BJ392" t="n">
        <v>4</v>
      </c>
      <c r="BK392" t="inlineStr">
        <is>
          <t>CANCELADO</t>
        </is>
      </c>
      <c r="BV392" t="inlineStr">
        <is>
          <t>Si</t>
        </is>
      </c>
      <c r="BW392" s="76" t="n">
        <v>46049.39861111111</v>
      </c>
      <c r="BX392" t="inlineStr">
        <is>
          <t>Magaly Guevara Perez</t>
        </is>
      </c>
      <c r="BZ392" t="n">
        <v>31</v>
      </c>
      <c r="CA392" t="inlineStr">
        <is>
          <t>01/05/2026 18:42</t>
        </is>
      </c>
      <c r="CB392" t="n">
        <v>0</v>
      </c>
      <c r="CF392" t="inlineStr">
        <is>
          <t>Cobranzas_2026.csv</t>
        </is>
      </c>
      <c r="CG392" t="n">
        <v>2026</v>
      </c>
      <c r="CH392" t="inlineStr">
        <is>
          <t>01/01/2024</t>
        </is>
      </c>
      <c r="CI392" t="inlineStr">
        <is>
          <t>24/08/2031</t>
        </is>
      </c>
    </row>
    <row r="393">
      <c r="A393" t="inlineStr">
        <is>
          <t>RESIDENCIAL BEYOND</t>
        </is>
      </c>
      <c r="B393" t="inlineStr">
        <is>
          <t>Etapa 1</t>
        </is>
      </c>
      <c r="C393" t="inlineStr">
        <is>
          <t>Edificio</t>
        </is>
      </c>
      <c r="D393" t="inlineStr">
        <is>
          <t>A</t>
        </is>
      </c>
      <c r="E393" t="inlineStr">
        <is>
          <t>Departamento</t>
        </is>
      </c>
      <c r="F393" t="inlineStr">
        <is>
          <t>503</t>
        </is>
      </c>
      <c r="G393" t="n">
        <v>68</v>
      </c>
      <c r="H393" t="n">
        <v>0</v>
      </c>
      <c r="I393" s="39" t="n">
        <v>504700</v>
      </c>
      <c r="J393" s="39" t="n">
        <v>470000</v>
      </c>
      <c r="K393" t="inlineStr">
        <is>
          <t>Edificio</t>
        </is>
      </c>
      <c r="L393" t="inlineStr">
        <is>
          <t>A</t>
        </is>
      </c>
      <c r="M393" t="inlineStr">
        <is>
          <t>Estacionamiento</t>
        </is>
      </c>
      <c r="N393" t="inlineStr">
        <is>
          <t>E 12 - D 10</t>
        </is>
      </c>
      <c r="O393" t="n">
        <v>12.5</v>
      </c>
      <c r="P393" t="n">
        <v>1.77</v>
      </c>
      <c r="Q393" s="39" t="n">
        <v>51500</v>
      </c>
      <c r="R393" s="39" t="n">
        <v>51500</v>
      </c>
      <c r="Y393" s="39" t="n"/>
      <c r="Z393" s="39" t="n"/>
      <c r="AG393" s="39" t="n"/>
      <c r="AH393" s="39" t="n"/>
      <c r="AI393" t="inlineStr">
        <is>
          <t>ERICK RAUL BEDOYA BACA</t>
        </is>
      </c>
      <c r="AJ393" t="inlineStr">
        <is>
          <t>47551103</t>
        </is>
      </c>
      <c r="AK393" t="inlineStr">
        <is>
          <t>Urb. Virgen del Rosario I Etapa Mz D Lt 11</t>
        </is>
      </c>
      <c r="AL393" t="n">
        <v>0</v>
      </c>
      <c r="AM393" t="inlineStr">
        <is>
          <t>961968687</t>
        </is>
      </c>
      <c r="AN393" t="inlineStr">
        <is>
          <t>ebedoyaba@gmail.com</t>
        </is>
      </c>
      <c r="AO393" t="inlineStr">
        <is>
          <t>LIMA</t>
        </is>
      </c>
      <c r="AP393" t="inlineStr">
        <is>
          <t>SAN MARTIN DE PORRES</t>
        </is>
      </c>
      <c r="AQ393" s="75" t="n">
        <v>46049</v>
      </c>
      <c r="AR393" s="75" t="n">
        <v>46049</v>
      </c>
      <c r="AS393" t="inlineStr">
        <is>
          <t>CUOTA INICIAL</t>
        </is>
      </c>
      <c r="AT393" t="n">
        <v>1</v>
      </c>
      <c r="AU393" t="n">
        <v>5500</v>
      </c>
      <c r="AV393" t="n">
        <v>0</v>
      </c>
      <c r="AW393" t="n">
        <v>0</v>
      </c>
      <c r="AX393" s="39" t="n">
        <v>5500</v>
      </c>
      <c r="AY393" s="39" t="n">
        <v>5500</v>
      </c>
      <c r="AZ393" s="39" t="n">
        <v>0</v>
      </c>
      <c r="BA393" t="n">
        <v>0</v>
      </c>
      <c r="BB393" t="inlineStr">
        <is>
          <t>Crédito Hipotecario</t>
        </is>
      </c>
      <c r="BC393" t="inlineStr">
        <is>
          <t>Banco de Credito del Perú</t>
        </is>
      </c>
      <c r="BD393" t="inlineStr">
        <is>
          <t>194-7325779-0-65</t>
        </is>
      </c>
      <c r="BE393" t="inlineStr">
        <is>
          <t>TRANSFERENCIA BANCARIA</t>
        </is>
      </c>
      <c r="BG393" t="inlineStr">
        <is>
          <t>00462579</t>
        </is>
      </c>
      <c r="BH393" t="inlineStr">
        <is>
          <t>No</t>
        </is>
      </c>
      <c r="BJ393" t="n">
        <v>4</v>
      </c>
      <c r="BK393" t="inlineStr">
        <is>
          <t>CANCELADO</t>
        </is>
      </c>
      <c r="BV393" t="inlineStr">
        <is>
          <t>Si</t>
        </is>
      </c>
      <c r="BW393" s="76" t="n">
        <v>46049.39861111111</v>
      </c>
      <c r="BX393" t="inlineStr">
        <is>
          <t>Magaly Guevara Perez</t>
        </is>
      </c>
      <c r="BZ393" t="n">
        <v>31</v>
      </c>
      <c r="CA393" t="inlineStr">
        <is>
          <t>13/08/2026 15:29</t>
        </is>
      </c>
      <c r="CB393" t="n">
        <v>0</v>
      </c>
      <c r="CF393" t="inlineStr">
        <is>
          <t>Cobranzas_2026.csv</t>
        </is>
      </c>
      <c r="CG393" t="n">
        <v>2026</v>
      </c>
      <c r="CH393" t="inlineStr">
        <is>
          <t>01/01/2024</t>
        </is>
      </c>
      <c r="CI393" t="inlineStr">
        <is>
          <t>24/08/2031</t>
        </is>
      </c>
    </row>
    <row r="394">
      <c r="A394" t="inlineStr">
        <is>
          <t>RESIDENCIAL BEYOND</t>
        </is>
      </c>
      <c r="B394" t="inlineStr">
        <is>
          <t>Etapa 1</t>
        </is>
      </c>
      <c r="C394" t="inlineStr">
        <is>
          <t>Edificio</t>
        </is>
      </c>
      <c r="D394" t="inlineStr">
        <is>
          <t>A</t>
        </is>
      </c>
      <c r="E394" t="inlineStr">
        <is>
          <t>Departamento</t>
        </is>
      </c>
      <c r="F394" t="inlineStr">
        <is>
          <t>503</t>
        </is>
      </c>
      <c r="G394" t="n">
        <v>68</v>
      </c>
      <c r="H394" t="n">
        <v>0</v>
      </c>
      <c r="I394" s="39" t="n">
        <v>504700</v>
      </c>
      <c r="J394" s="39" t="n">
        <v>470000</v>
      </c>
      <c r="K394" t="inlineStr">
        <is>
          <t>Edificio</t>
        </is>
      </c>
      <c r="L394" t="inlineStr">
        <is>
          <t>A</t>
        </is>
      </c>
      <c r="M394" t="inlineStr">
        <is>
          <t>Estacionamiento</t>
        </is>
      </c>
      <c r="N394" t="inlineStr">
        <is>
          <t>E 12 - D 10</t>
        </is>
      </c>
      <c r="O394" t="n">
        <v>12.5</v>
      </c>
      <c r="P394" t="n">
        <v>1.77</v>
      </c>
      <c r="Q394" s="39" t="n">
        <v>51500</v>
      </c>
      <c r="R394" s="39" t="n">
        <v>51500</v>
      </c>
      <c r="Y394" s="39" t="n"/>
      <c r="Z394" s="39" t="n"/>
      <c r="AG394" s="39" t="n"/>
      <c r="AH394" s="39" t="n"/>
      <c r="AI394" t="inlineStr">
        <is>
          <t>ERICK RAUL BEDOYA BACA</t>
        </is>
      </c>
      <c r="AJ394" t="inlineStr">
        <is>
          <t>47551103</t>
        </is>
      </c>
      <c r="AK394" t="inlineStr">
        <is>
          <t>Urb. Virgen del Rosario I Etapa Mz D Lt 11</t>
        </is>
      </c>
      <c r="AL394" t="n">
        <v>0</v>
      </c>
      <c r="AM394" t="inlineStr">
        <is>
          <t>961968687</t>
        </is>
      </c>
      <c r="AN394" t="inlineStr">
        <is>
          <t>ebedoyaba@gmail.com</t>
        </is>
      </c>
      <c r="AO394" t="inlineStr">
        <is>
          <t>LIMA</t>
        </is>
      </c>
      <c r="AP394" t="inlineStr">
        <is>
          <t>SAN MARTIN DE PORRES</t>
        </is>
      </c>
      <c r="AQ394" s="75" t="n">
        <v>46049</v>
      </c>
      <c r="AR394" s="75" t="n">
        <v>46049</v>
      </c>
      <c r="AS394" t="inlineStr">
        <is>
          <t>CUOTA INICIAL</t>
        </is>
      </c>
      <c r="AT394" t="n">
        <v>2</v>
      </c>
      <c r="AU394" t="n">
        <v>30000</v>
      </c>
      <c r="AV394" t="n">
        <v>0</v>
      </c>
      <c r="AW394" t="n">
        <v>0</v>
      </c>
      <c r="AX394" s="39" t="n">
        <v>30000</v>
      </c>
      <c r="AY394" s="39" t="n">
        <v>30000</v>
      </c>
      <c r="AZ394" s="39" t="n">
        <v>0</v>
      </c>
      <c r="BA394" t="n">
        <v>0</v>
      </c>
      <c r="BB394" t="inlineStr">
        <is>
          <t>Crédito Hipotecario</t>
        </is>
      </c>
      <c r="BC394" t="inlineStr">
        <is>
          <t>Banco de Credito del Perú</t>
        </is>
      </c>
      <c r="BD394" t="inlineStr">
        <is>
          <t>194-7325779-0-65</t>
        </is>
      </c>
      <c r="BE394" t="inlineStr">
        <is>
          <t>TRANSFERENCIA BANCARIA</t>
        </is>
      </c>
      <c r="BG394" t="inlineStr">
        <is>
          <t>76518</t>
        </is>
      </c>
      <c r="BH394" t="inlineStr">
        <is>
          <t>No</t>
        </is>
      </c>
      <c r="BJ394" t="n">
        <v>4</v>
      </c>
      <c r="BK394" t="inlineStr">
        <is>
          <t>CANCELADO</t>
        </is>
      </c>
      <c r="BV394" t="inlineStr">
        <is>
          <t>Si</t>
        </is>
      </c>
      <c r="BW394" s="76" t="n">
        <v>46049.39861111111</v>
      </c>
      <c r="BX394" t="inlineStr">
        <is>
          <t>Magaly Guevara Perez</t>
        </is>
      </c>
      <c r="BZ394" t="n">
        <v>31</v>
      </c>
      <c r="CA394" t="inlineStr">
        <is>
          <t>13/08/2026 15:31</t>
        </is>
      </c>
      <c r="CB394" t="n">
        <v>0</v>
      </c>
      <c r="CF394" t="inlineStr">
        <is>
          <t>Cobranzas_2026.csv</t>
        </is>
      </c>
      <c r="CG394" t="n">
        <v>2026</v>
      </c>
      <c r="CH394" t="inlineStr">
        <is>
          <t>01/01/2024</t>
        </is>
      </c>
      <c r="CI394" t="inlineStr">
        <is>
          <t>24/08/2031</t>
        </is>
      </c>
    </row>
    <row r="395">
      <c r="A395" t="inlineStr">
        <is>
          <t>RESIDENCIAL BEYOND</t>
        </is>
      </c>
      <c r="B395" t="inlineStr">
        <is>
          <t>Etapa 1</t>
        </is>
      </c>
      <c r="C395" t="inlineStr">
        <is>
          <t>Edificio</t>
        </is>
      </c>
      <c r="D395" t="inlineStr">
        <is>
          <t>A</t>
        </is>
      </c>
      <c r="E395" t="inlineStr">
        <is>
          <t>Departamento</t>
        </is>
      </c>
      <c r="F395" t="inlineStr">
        <is>
          <t>503</t>
        </is>
      </c>
      <c r="G395" t="n">
        <v>68</v>
      </c>
      <c r="H395" t="n">
        <v>0</v>
      </c>
      <c r="I395" s="39" t="n">
        <v>504700</v>
      </c>
      <c r="J395" s="39" t="n">
        <v>470000</v>
      </c>
      <c r="K395" t="inlineStr">
        <is>
          <t>Edificio</t>
        </is>
      </c>
      <c r="L395" t="inlineStr">
        <is>
          <t>A</t>
        </is>
      </c>
      <c r="M395" t="inlineStr">
        <is>
          <t>Estacionamiento</t>
        </is>
      </c>
      <c r="N395" t="inlineStr">
        <is>
          <t>E 12 - D 10</t>
        </is>
      </c>
      <c r="O395" t="n">
        <v>12.5</v>
      </c>
      <c r="P395" t="n">
        <v>1.77</v>
      </c>
      <c r="Q395" s="39" t="n">
        <v>51500</v>
      </c>
      <c r="R395" s="39" t="n">
        <v>51500</v>
      </c>
      <c r="Y395" s="39" t="n"/>
      <c r="Z395" s="39" t="n"/>
      <c r="AG395" s="39" t="n"/>
      <c r="AH395" s="39" t="n"/>
      <c r="AI395" t="inlineStr">
        <is>
          <t>ERICK RAUL BEDOYA BACA</t>
        </is>
      </c>
      <c r="AJ395" t="inlineStr">
        <is>
          <t>47551103</t>
        </is>
      </c>
      <c r="AK395" t="inlineStr">
        <is>
          <t>Urb. Virgen del Rosario I Etapa Mz D Lt 11</t>
        </is>
      </c>
      <c r="AL395" t="n">
        <v>0</v>
      </c>
      <c r="AM395" t="inlineStr">
        <is>
          <t>961968687</t>
        </is>
      </c>
      <c r="AN395" t="inlineStr">
        <is>
          <t>ebedoyaba@gmail.com</t>
        </is>
      </c>
      <c r="AO395" t="inlineStr">
        <is>
          <t>LIMA</t>
        </is>
      </c>
      <c r="AP395" t="inlineStr">
        <is>
          <t>SAN MARTIN DE PORRES</t>
        </is>
      </c>
      <c r="AQ395" s="75" t="n">
        <v>46050</v>
      </c>
      <c r="AR395" s="75" t="n">
        <v>46050</v>
      </c>
      <c r="AS395" t="inlineStr">
        <is>
          <t>CUOTA INICIAL</t>
        </is>
      </c>
      <c r="AT395" t="n">
        <v>3</v>
      </c>
      <c r="AU395" t="n">
        <v>30000</v>
      </c>
      <c r="AV395" t="n">
        <v>0</v>
      </c>
      <c r="AW395" t="n">
        <v>0</v>
      </c>
      <c r="AX395" s="39" t="n">
        <v>30000</v>
      </c>
      <c r="AY395" s="39" t="n">
        <v>30000</v>
      </c>
      <c r="AZ395" s="39" t="n">
        <v>0</v>
      </c>
      <c r="BA395" t="n">
        <v>0</v>
      </c>
      <c r="BB395" t="inlineStr">
        <is>
          <t>Crédito Hipotecario</t>
        </is>
      </c>
      <c r="BC395" t="inlineStr">
        <is>
          <t>Banco de Credito del Perú</t>
        </is>
      </c>
      <c r="BD395" t="inlineStr">
        <is>
          <t>194-7325779-0-65</t>
        </is>
      </c>
      <c r="BE395" t="inlineStr">
        <is>
          <t>TRANSFERENCIA BANCARIA</t>
        </is>
      </c>
      <c r="BG395" t="inlineStr">
        <is>
          <t>98161</t>
        </is>
      </c>
      <c r="BH395" t="inlineStr">
        <is>
          <t>No</t>
        </is>
      </c>
      <c r="BJ395" t="n">
        <v>4</v>
      </c>
      <c r="BK395" t="inlineStr">
        <is>
          <t>CANCELADO</t>
        </is>
      </c>
      <c r="BV395" t="inlineStr">
        <is>
          <t>Si</t>
        </is>
      </c>
      <c r="BW395" s="76" t="n">
        <v>46049.39861111111</v>
      </c>
      <c r="BX395" t="inlineStr">
        <is>
          <t>Magaly Guevara Perez</t>
        </is>
      </c>
      <c r="BZ395" t="n">
        <v>31</v>
      </c>
      <c r="CA395" t="inlineStr">
        <is>
          <t>13/08/2026 16:11</t>
        </is>
      </c>
      <c r="CB395" t="n">
        <v>0</v>
      </c>
      <c r="CF395" t="inlineStr">
        <is>
          <t>Cobranzas_2026.csv</t>
        </is>
      </c>
      <c r="CG395" t="n">
        <v>2026</v>
      </c>
      <c r="CH395" t="inlineStr">
        <is>
          <t>01/01/2024</t>
        </is>
      </c>
      <c r="CI395" t="inlineStr">
        <is>
          <t>24/08/2031</t>
        </is>
      </c>
    </row>
    <row r="396">
      <c r="A396" t="inlineStr">
        <is>
          <t>RESIDENCIAL BEYOND</t>
        </is>
      </c>
      <c r="B396" t="inlineStr">
        <is>
          <t>Etapa 1</t>
        </is>
      </c>
      <c r="C396" t="inlineStr">
        <is>
          <t>Edificio</t>
        </is>
      </c>
      <c r="D396" t="inlineStr">
        <is>
          <t>A</t>
        </is>
      </c>
      <c r="E396" t="inlineStr">
        <is>
          <t>Departamento</t>
        </is>
      </c>
      <c r="F396" t="inlineStr">
        <is>
          <t>503</t>
        </is>
      </c>
      <c r="G396" t="n">
        <v>68</v>
      </c>
      <c r="H396" t="n">
        <v>0</v>
      </c>
      <c r="I396" s="39" t="n">
        <v>504700</v>
      </c>
      <c r="J396" s="39" t="n">
        <v>470000</v>
      </c>
      <c r="K396" t="inlineStr">
        <is>
          <t>Edificio</t>
        </is>
      </c>
      <c r="L396" t="inlineStr">
        <is>
          <t>A</t>
        </is>
      </c>
      <c r="M396" t="inlineStr">
        <is>
          <t>Estacionamiento</t>
        </is>
      </c>
      <c r="N396" t="inlineStr">
        <is>
          <t>E 12 - D 10</t>
        </is>
      </c>
      <c r="O396" t="n">
        <v>12.5</v>
      </c>
      <c r="P396" t="n">
        <v>1.77</v>
      </c>
      <c r="Q396" s="39" t="n">
        <v>51500</v>
      </c>
      <c r="R396" s="39" t="n">
        <v>51500</v>
      </c>
      <c r="Y396" s="39" t="n"/>
      <c r="Z396" s="39" t="n"/>
      <c r="AG396" s="39" t="n"/>
      <c r="AH396" s="39" t="n"/>
      <c r="AI396" t="inlineStr">
        <is>
          <t>ERICK RAUL BEDOYA BACA</t>
        </is>
      </c>
      <c r="AJ396" t="inlineStr">
        <is>
          <t>47551103</t>
        </is>
      </c>
      <c r="AK396" t="inlineStr">
        <is>
          <t>Urb. Virgen del Rosario I Etapa Mz D Lt 11</t>
        </is>
      </c>
      <c r="AL396" t="n">
        <v>0</v>
      </c>
      <c r="AM396" t="inlineStr">
        <is>
          <t>961968687</t>
        </is>
      </c>
      <c r="AN396" t="inlineStr">
        <is>
          <t>ebedoyaba@gmail.com</t>
        </is>
      </c>
      <c r="AO396" t="inlineStr">
        <is>
          <t>LIMA</t>
        </is>
      </c>
      <c r="AP396" t="inlineStr">
        <is>
          <t>SAN MARTIN DE PORRES</t>
        </is>
      </c>
      <c r="AQ396" s="75" t="n">
        <v>46051</v>
      </c>
      <c r="AR396" s="75" t="n">
        <v>46051</v>
      </c>
      <c r="AS396" t="inlineStr">
        <is>
          <t>CUOTA INICIAL</t>
        </is>
      </c>
      <c r="AT396" t="n">
        <v>4</v>
      </c>
      <c r="AU396" t="n">
        <v>2000</v>
      </c>
      <c r="AV396" t="n">
        <v>0</v>
      </c>
      <c r="AW396" t="n">
        <v>0</v>
      </c>
      <c r="AX396" s="39" t="n">
        <v>2000</v>
      </c>
      <c r="AY396" s="39" t="n">
        <v>2000</v>
      </c>
      <c r="AZ396" s="39" t="n">
        <v>0</v>
      </c>
      <c r="BA396" t="n">
        <v>0</v>
      </c>
      <c r="BB396" t="inlineStr">
        <is>
          <t>Crédito Hipotecario</t>
        </is>
      </c>
      <c r="BC396" t="inlineStr">
        <is>
          <t>Banco de Credito del Perú</t>
        </is>
      </c>
      <c r="BD396" t="inlineStr">
        <is>
          <t>194-7325779-0-65</t>
        </is>
      </c>
      <c r="BE396" t="inlineStr">
        <is>
          <t>TRANSFERENCIA BANCARIA</t>
        </is>
      </c>
      <c r="BH396" t="inlineStr">
        <is>
          <t>No</t>
        </is>
      </c>
      <c r="BJ396" t="n">
        <v>4</v>
      </c>
      <c r="BK396" t="inlineStr">
        <is>
          <t>CANCELADO</t>
        </is>
      </c>
      <c r="BV396" t="inlineStr">
        <is>
          <t>Si</t>
        </is>
      </c>
      <c r="BW396" s="76" t="n">
        <v>46049.39861111111</v>
      </c>
      <c r="BX396" t="inlineStr">
        <is>
          <t>Magaly Guevara Perez</t>
        </is>
      </c>
      <c r="BZ396" t="n">
        <v>31</v>
      </c>
      <c r="CA396" t="inlineStr">
        <is>
          <t>13/08/2026 16:12</t>
        </is>
      </c>
      <c r="CB396" t="n">
        <v>0</v>
      </c>
      <c r="CF396" t="inlineStr">
        <is>
          <t>Cobranzas_2026.csv</t>
        </is>
      </c>
      <c r="CG396" t="n">
        <v>2026</v>
      </c>
      <c r="CH396" t="inlineStr">
        <is>
          <t>01/01/2024</t>
        </is>
      </c>
      <c r="CI396" t="inlineStr">
        <is>
          <t>24/08/2031</t>
        </is>
      </c>
    </row>
    <row r="397">
      <c r="A397" t="inlineStr">
        <is>
          <t>RESIDENCIAL BEYOND</t>
        </is>
      </c>
      <c r="B397" t="inlineStr">
        <is>
          <t>Etapa 1</t>
        </is>
      </c>
      <c r="C397" t="inlineStr">
        <is>
          <t>Edificio</t>
        </is>
      </c>
      <c r="D397" t="inlineStr">
        <is>
          <t>A</t>
        </is>
      </c>
      <c r="E397" t="inlineStr">
        <is>
          <t>Departamento</t>
        </is>
      </c>
      <c r="F397" t="inlineStr">
        <is>
          <t>503</t>
        </is>
      </c>
      <c r="G397" t="n">
        <v>68</v>
      </c>
      <c r="H397" t="n">
        <v>0</v>
      </c>
      <c r="I397" s="39" t="n">
        <v>504700</v>
      </c>
      <c r="J397" s="39" t="n">
        <v>470000</v>
      </c>
      <c r="K397" t="inlineStr">
        <is>
          <t>Edificio</t>
        </is>
      </c>
      <c r="L397" t="inlineStr">
        <is>
          <t>A</t>
        </is>
      </c>
      <c r="M397" t="inlineStr">
        <is>
          <t>Estacionamiento</t>
        </is>
      </c>
      <c r="N397" t="inlineStr">
        <is>
          <t>E 12 - D 10</t>
        </is>
      </c>
      <c r="O397" t="n">
        <v>12.5</v>
      </c>
      <c r="P397" t="n">
        <v>1.77</v>
      </c>
      <c r="Q397" s="39" t="n">
        <v>51500</v>
      </c>
      <c r="R397" s="39" t="n">
        <v>51500</v>
      </c>
      <c r="Y397" s="39" t="n"/>
      <c r="Z397" s="39" t="n"/>
      <c r="AG397" s="39" t="n"/>
      <c r="AH397" s="39" t="n"/>
      <c r="AI397" t="inlineStr">
        <is>
          <t>ERICK RAUL BEDOYA BACA</t>
        </is>
      </c>
      <c r="AJ397" t="inlineStr">
        <is>
          <t>47551103</t>
        </is>
      </c>
      <c r="AK397" t="inlineStr">
        <is>
          <t>Urb. Virgen del Rosario I Etapa Mz D Lt 11</t>
        </is>
      </c>
      <c r="AL397" t="n">
        <v>0</v>
      </c>
      <c r="AM397" t="inlineStr">
        <is>
          <t>961968687</t>
        </is>
      </c>
      <c r="AN397" t="inlineStr">
        <is>
          <t>ebedoyaba@gmail.com</t>
        </is>
      </c>
      <c r="AO397" t="inlineStr">
        <is>
          <t>LIMA</t>
        </is>
      </c>
      <c r="AP397" t="inlineStr">
        <is>
          <t>SAN MARTIN DE PORRES</t>
        </is>
      </c>
      <c r="AQ397" s="75" t="n">
        <v>46059</v>
      </c>
      <c r="AR397" s="75" t="n">
        <v>46059</v>
      </c>
      <c r="AS397" t="inlineStr">
        <is>
          <t>CUOTA INICIAL</t>
        </is>
      </c>
      <c r="AT397" t="n">
        <v>5</v>
      </c>
      <c r="AU397" t="n">
        <v>10000</v>
      </c>
      <c r="AV397" t="n">
        <v>0</v>
      </c>
      <c r="AW397" t="n">
        <v>0</v>
      </c>
      <c r="AX397" s="39" t="n">
        <v>10000</v>
      </c>
      <c r="AY397" s="39" t="n">
        <v>10000</v>
      </c>
      <c r="AZ397" s="39" t="n">
        <v>0</v>
      </c>
      <c r="BA397" t="n">
        <v>0</v>
      </c>
      <c r="BB397" t="inlineStr">
        <is>
          <t>Crédito Hipotecario</t>
        </is>
      </c>
      <c r="BC397" t="inlineStr">
        <is>
          <t>Banco de Credito del Perú</t>
        </is>
      </c>
      <c r="BD397" t="inlineStr">
        <is>
          <t>194-7325779-0-65</t>
        </is>
      </c>
      <c r="BE397" t="inlineStr">
        <is>
          <t>TRANSFERENCIA BANCARIA</t>
        </is>
      </c>
      <c r="BG397" t="inlineStr">
        <is>
          <t>01039447</t>
        </is>
      </c>
      <c r="BH397" t="inlineStr">
        <is>
          <t>No</t>
        </is>
      </c>
      <c r="BJ397" t="n">
        <v>4</v>
      </c>
      <c r="BK397" t="inlineStr">
        <is>
          <t>CANCELADO</t>
        </is>
      </c>
      <c r="BV397" t="inlineStr">
        <is>
          <t>Si</t>
        </is>
      </c>
      <c r="BW397" s="76" t="n">
        <v>46049.39861111111</v>
      </c>
      <c r="BX397" t="inlineStr">
        <is>
          <t>Magaly Guevara Perez</t>
        </is>
      </c>
      <c r="BZ397" t="n">
        <v>31</v>
      </c>
      <c r="CA397" t="inlineStr">
        <is>
          <t>13/08/2026 16:54</t>
        </is>
      </c>
      <c r="CB397" t="n">
        <v>0</v>
      </c>
      <c r="CF397" t="inlineStr">
        <is>
          <t>Cobranzas_2026.csv</t>
        </is>
      </c>
      <c r="CG397" t="n">
        <v>2026</v>
      </c>
      <c r="CH397" t="inlineStr">
        <is>
          <t>01/01/2024</t>
        </is>
      </c>
      <c r="CI397" t="inlineStr">
        <is>
          <t>24/08/2031</t>
        </is>
      </c>
    </row>
    <row r="398">
      <c r="A398" t="inlineStr">
        <is>
          <t>RESIDENCIAL BEYOND</t>
        </is>
      </c>
      <c r="B398" t="inlineStr">
        <is>
          <t>Etapa 1</t>
        </is>
      </c>
      <c r="C398" t="inlineStr">
        <is>
          <t>Edificio</t>
        </is>
      </c>
      <c r="D398" t="inlineStr">
        <is>
          <t>A</t>
        </is>
      </c>
      <c r="E398" t="inlineStr">
        <is>
          <t>Departamento</t>
        </is>
      </c>
      <c r="F398" t="inlineStr">
        <is>
          <t>503</t>
        </is>
      </c>
      <c r="G398" t="n">
        <v>68</v>
      </c>
      <c r="H398" t="n">
        <v>0</v>
      </c>
      <c r="I398" s="39" t="n">
        <v>504700</v>
      </c>
      <c r="J398" s="39" t="n">
        <v>470000</v>
      </c>
      <c r="K398" t="inlineStr">
        <is>
          <t>Edificio</t>
        </is>
      </c>
      <c r="L398" t="inlineStr">
        <is>
          <t>A</t>
        </is>
      </c>
      <c r="M398" t="inlineStr">
        <is>
          <t>Estacionamiento</t>
        </is>
      </c>
      <c r="N398" t="inlineStr">
        <is>
          <t>E 12 - D 10</t>
        </is>
      </c>
      <c r="O398" t="n">
        <v>12.5</v>
      </c>
      <c r="P398" t="n">
        <v>1.77</v>
      </c>
      <c r="Q398" s="39" t="n">
        <v>51500</v>
      </c>
      <c r="R398" s="39" t="n">
        <v>51500</v>
      </c>
      <c r="Y398" s="39" t="n"/>
      <c r="Z398" s="39" t="n"/>
      <c r="AG398" s="39" t="n"/>
      <c r="AH398" s="39" t="n"/>
      <c r="AI398" t="inlineStr">
        <is>
          <t>ERICK RAUL BEDOYA BACA</t>
        </is>
      </c>
      <c r="AJ398" t="inlineStr">
        <is>
          <t>47551103</t>
        </is>
      </c>
      <c r="AK398" t="inlineStr">
        <is>
          <t>Urb. Virgen del Rosario I Etapa Mz D Lt 11</t>
        </is>
      </c>
      <c r="AL398" t="n">
        <v>0</v>
      </c>
      <c r="AM398" t="inlineStr">
        <is>
          <t>961968687</t>
        </is>
      </c>
      <c r="AN398" t="inlineStr">
        <is>
          <t>ebedoyaba@gmail.com</t>
        </is>
      </c>
      <c r="AO398" t="inlineStr">
        <is>
          <t>LIMA</t>
        </is>
      </c>
      <c r="AP398" t="inlineStr">
        <is>
          <t>SAN MARTIN DE PORRES</t>
        </is>
      </c>
      <c r="AQ398" s="75" t="n">
        <v>46234</v>
      </c>
      <c r="AR398" s="75" t="n">
        <v>46234</v>
      </c>
      <c r="AS398" t="inlineStr">
        <is>
          <t>CUOTA INICIAL</t>
        </is>
      </c>
      <c r="AT398" t="n">
        <v>6</v>
      </c>
      <c r="AU398" t="n">
        <v>10000</v>
      </c>
      <c r="AV398" t="n">
        <v>0</v>
      </c>
      <c r="AW398" t="n">
        <v>0</v>
      </c>
      <c r="AX398" s="39" t="n">
        <v>10000</v>
      </c>
      <c r="AY398" s="39" t="n">
        <v>10000</v>
      </c>
      <c r="AZ398" s="39" t="n">
        <v>0</v>
      </c>
      <c r="BA398" t="n">
        <v>0</v>
      </c>
      <c r="BB398" t="inlineStr">
        <is>
          <t>Crédito Hipotecario</t>
        </is>
      </c>
      <c r="BC398" t="inlineStr">
        <is>
          <t>Banco de Credito del Perú</t>
        </is>
      </c>
      <c r="BD398" t="inlineStr">
        <is>
          <t>194-7325779-0-65</t>
        </is>
      </c>
      <c r="BE398" t="inlineStr">
        <is>
          <t>TRANSFERENCIA BANCARIA</t>
        </is>
      </c>
      <c r="BG398" t="inlineStr">
        <is>
          <t>00547264</t>
        </is>
      </c>
      <c r="BH398" t="inlineStr">
        <is>
          <t>No</t>
        </is>
      </c>
      <c r="BJ398" t="n">
        <v>4</v>
      </c>
      <c r="BK398" t="inlineStr">
        <is>
          <t>CANCELADO</t>
        </is>
      </c>
      <c r="BV398" t="inlineStr">
        <is>
          <t>Si</t>
        </is>
      </c>
      <c r="BW398" s="76" t="n">
        <v>46049.39861111111</v>
      </c>
      <c r="BX398" t="inlineStr">
        <is>
          <t>Magaly Guevara Perez</t>
        </is>
      </c>
      <c r="BZ398" t="n">
        <v>31</v>
      </c>
      <c r="CA398" t="inlineStr">
        <is>
          <t>13/08/2026 16:55</t>
        </is>
      </c>
      <c r="CB398" t="n">
        <v>0</v>
      </c>
      <c r="CF398" t="inlineStr">
        <is>
          <t>Cobranzas_2026.csv</t>
        </is>
      </c>
      <c r="CG398" t="n">
        <v>2026</v>
      </c>
      <c r="CH398" t="inlineStr">
        <is>
          <t>01/01/2024</t>
        </is>
      </c>
      <c r="CI398" t="inlineStr">
        <is>
          <t>24/08/2031</t>
        </is>
      </c>
    </row>
    <row r="399">
      <c r="A399" t="inlineStr">
        <is>
          <t>RESIDENCIAL BEYOND</t>
        </is>
      </c>
      <c r="B399" t="inlineStr">
        <is>
          <t>Etapa 1</t>
        </is>
      </c>
      <c r="C399" t="inlineStr">
        <is>
          <t>Edificio</t>
        </is>
      </c>
      <c r="D399" t="inlineStr">
        <is>
          <t>A</t>
        </is>
      </c>
      <c r="E399" t="inlineStr">
        <is>
          <t>Departamento</t>
        </is>
      </c>
      <c r="F399" t="inlineStr">
        <is>
          <t>503</t>
        </is>
      </c>
      <c r="G399" t="n">
        <v>68</v>
      </c>
      <c r="H399" t="n">
        <v>0</v>
      </c>
      <c r="I399" s="39" t="n">
        <v>504700</v>
      </c>
      <c r="J399" s="39" t="n">
        <v>470000</v>
      </c>
      <c r="K399" t="inlineStr">
        <is>
          <t>Edificio</t>
        </is>
      </c>
      <c r="L399" t="inlineStr">
        <is>
          <t>A</t>
        </is>
      </c>
      <c r="M399" t="inlineStr">
        <is>
          <t>Estacionamiento</t>
        </is>
      </c>
      <c r="N399" t="inlineStr">
        <is>
          <t>E 12 - D 10</t>
        </is>
      </c>
      <c r="O399" t="n">
        <v>12.5</v>
      </c>
      <c r="P399" t="n">
        <v>1.77</v>
      </c>
      <c r="Q399" s="39" t="n">
        <v>51500</v>
      </c>
      <c r="R399" s="39" t="n">
        <v>51500</v>
      </c>
      <c r="Y399" s="39" t="n"/>
      <c r="Z399" s="39" t="n"/>
      <c r="AG399" s="39" t="n"/>
      <c r="AH399" s="39" t="n"/>
      <c r="AI399" t="inlineStr">
        <is>
          <t>ERICK RAUL BEDOYA BACA</t>
        </is>
      </c>
      <c r="AJ399" t="inlineStr">
        <is>
          <t>47551103</t>
        </is>
      </c>
      <c r="AK399" t="inlineStr">
        <is>
          <t>Urb. Virgen del Rosario I Etapa Mz D Lt 11</t>
        </is>
      </c>
      <c r="AL399" t="n">
        <v>0</v>
      </c>
      <c r="AM399" t="inlineStr">
        <is>
          <t>961968687</t>
        </is>
      </c>
      <c r="AN399" t="inlineStr">
        <is>
          <t>ebedoyaba@gmail.com</t>
        </is>
      </c>
      <c r="AO399" t="inlineStr">
        <is>
          <t>LIMA</t>
        </is>
      </c>
      <c r="AP399" t="inlineStr">
        <is>
          <t>SAN MARTIN DE PORRES</t>
        </is>
      </c>
      <c r="AQ399" s="75" t="n">
        <v>46112</v>
      </c>
      <c r="AR399" s="75" t="n"/>
      <c r="AS399" t="inlineStr">
        <is>
          <t>SALDO FINANCIAR</t>
        </is>
      </c>
      <c r="AT399" t="n">
        <v>1</v>
      </c>
      <c r="AU399" t="n">
        <v>107750</v>
      </c>
      <c r="AV399" t="n">
        <v>0</v>
      </c>
      <c r="AW399" t="n">
        <v>0</v>
      </c>
      <c r="AX399" s="39" t="n">
        <v>107750</v>
      </c>
      <c r="AY399" s="39" t="n">
        <v>0</v>
      </c>
      <c r="AZ399" s="39" t="n">
        <v>107750</v>
      </c>
      <c r="BB399" t="inlineStr">
        <is>
          <t>Crédito Hipotecario</t>
        </is>
      </c>
      <c r="BH399" t="inlineStr">
        <is>
          <t>No</t>
        </is>
      </c>
      <c r="BK399" t="inlineStr">
        <is>
          <t>VENCIDO</t>
        </is>
      </c>
      <c r="BV399" t="inlineStr">
        <is>
          <t>No</t>
        </is>
      </c>
      <c r="BW399" s="76" t="n">
        <v>46049.39861111111</v>
      </c>
      <c r="BX399" t="inlineStr">
        <is>
          <t>Magaly Guevara Perez</t>
        </is>
      </c>
      <c r="BZ399" t="n">
        <v>31</v>
      </c>
      <c r="CB399" t="n">
        <v>0</v>
      </c>
      <c r="CF399" t="inlineStr">
        <is>
          <t>Cobranzas_2026.csv</t>
        </is>
      </c>
      <c r="CG399" t="n">
        <v>2026</v>
      </c>
      <c r="CH399" t="inlineStr">
        <is>
          <t>01/01/2024</t>
        </is>
      </c>
      <c r="CI399" t="inlineStr">
        <is>
          <t>24/08/2031</t>
        </is>
      </c>
    </row>
    <row r="400">
      <c r="A400" t="inlineStr">
        <is>
          <t>RESIDENCIAL BEYOND</t>
        </is>
      </c>
      <c r="B400" t="inlineStr">
        <is>
          <t>Etapa 1</t>
        </is>
      </c>
      <c r="C400" t="inlineStr">
        <is>
          <t>Edificio</t>
        </is>
      </c>
      <c r="D400" t="inlineStr">
        <is>
          <t>A</t>
        </is>
      </c>
      <c r="E400" t="inlineStr">
        <is>
          <t>Departamento</t>
        </is>
      </c>
      <c r="F400" t="inlineStr">
        <is>
          <t>503</t>
        </is>
      </c>
      <c r="G400" t="n">
        <v>68</v>
      </c>
      <c r="H400" t="n">
        <v>0</v>
      </c>
      <c r="I400" s="39" t="n">
        <v>504700</v>
      </c>
      <c r="J400" s="39" t="n">
        <v>470000</v>
      </c>
      <c r="K400" t="inlineStr">
        <is>
          <t>Edificio</t>
        </is>
      </c>
      <c r="L400" t="inlineStr">
        <is>
          <t>A</t>
        </is>
      </c>
      <c r="M400" t="inlineStr">
        <is>
          <t>Estacionamiento</t>
        </is>
      </c>
      <c r="N400" t="inlineStr">
        <is>
          <t>E 12 - D 10</t>
        </is>
      </c>
      <c r="O400" t="n">
        <v>12.5</v>
      </c>
      <c r="P400" t="n">
        <v>1.77</v>
      </c>
      <c r="Q400" s="39" t="n">
        <v>51500</v>
      </c>
      <c r="R400" s="39" t="n">
        <v>51500</v>
      </c>
      <c r="Y400" s="39" t="n"/>
      <c r="Z400" s="39" t="n"/>
      <c r="AG400" s="39" t="n"/>
      <c r="AH400" s="39" t="n"/>
      <c r="AI400" t="inlineStr">
        <is>
          <t>ERICK RAUL BEDOYA BACA</t>
        </is>
      </c>
      <c r="AJ400" t="inlineStr">
        <is>
          <t>47551103</t>
        </is>
      </c>
      <c r="AK400" t="inlineStr">
        <is>
          <t>Urb. Virgen del Rosario I Etapa Mz D Lt 11</t>
        </is>
      </c>
      <c r="AL400" t="n">
        <v>0</v>
      </c>
      <c r="AM400" t="inlineStr">
        <is>
          <t>961968687</t>
        </is>
      </c>
      <c r="AN400" t="inlineStr">
        <is>
          <t>ebedoyaba@gmail.com</t>
        </is>
      </c>
      <c r="AO400" t="inlineStr">
        <is>
          <t>LIMA</t>
        </is>
      </c>
      <c r="AP400" t="inlineStr">
        <is>
          <t>SAN MARTIN DE PORRES</t>
        </is>
      </c>
      <c r="AQ400" s="75" t="n">
        <v>46387</v>
      </c>
      <c r="AR400" s="75" t="n"/>
      <c r="AS400" t="inlineStr">
        <is>
          <t>SALDO FINANCIAR</t>
        </is>
      </c>
      <c r="AT400" t="n">
        <v>2</v>
      </c>
      <c r="AU400" t="n">
        <v>107750</v>
      </c>
      <c r="AV400" t="n">
        <v>0</v>
      </c>
      <c r="AW400" t="n">
        <v>0</v>
      </c>
      <c r="AX400" s="39" t="n">
        <v>107750</v>
      </c>
      <c r="AY400" s="39" t="n">
        <v>0</v>
      </c>
      <c r="AZ400" s="39" t="n">
        <v>107750</v>
      </c>
      <c r="BB400" t="inlineStr">
        <is>
          <t>Crédito Hipotecario</t>
        </is>
      </c>
      <c r="BH400" t="inlineStr">
        <is>
          <t>No</t>
        </is>
      </c>
      <c r="BK400" t="inlineStr">
        <is>
          <t>PENDIENTE</t>
        </is>
      </c>
      <c r="BV400" t="inlineStr">
        <is>
          <t>No</t>
        </is>
      </c>
      <c r="BW400" s="76" t="n">
        <v>46049.39861111111</v>
      </c>
      <c r="BX400" t="inlineStr">
        <is>
          <t>Magaly Guevara Perez</t>
        </is>
      </c>
      <c r="BZ400" t="n">
        <v>31</v>
      </c>
      <c r="CB400" t="n">
        <v>0</v>
      </c>
      <c r="CF400" t="inlineStr">
        <is>
          <t>Cobranzas_2026.csv</t>
        </is>
      </c>
      <c r="CG400" t="n">
        <v>2026</v>
      </c>
      <c r="CH400" t="inlineStr">
        <is>
          <t>01/01/2024</t>
        </is>
      </c>
      <c r="CI400" t="inlineStr">
        <is>
          <t>24/08/2031</t>
        </is>
      </c>
    </row>
    <row r="401">
      <c r="A401" t="inlineStr">
        <is>
          <t>RESIDENCIAL BEYOND</t>
        </is>
      </c>
      <c r="B401" t="inlineStr">
        <is>
          <t>Etapa 1</t>
        </is>
      </c>
      <c r="C401" t="inlineStr">
        <is>
          <t>Edificio</t>
        </is>
      </c>
      <c r="D401" t="inlineStr">
        <is>
          <t>A</t>
        </is>
      </c>
      <c r="E401" t="inlineStr">
        <is>
          <t>Departamento</t>
        </is>
      </c>
      <c r="F401" t="inlineStr">
        <is>
          <t>403</t>
        </is>
      </c>
      <c r="G401" t="n">
        <v>68</v>
      </c>
      <c r="H401" t="n">
        <v>0</v>
      </c>
      <c r="I401" s="39" t="n">
        <v>504700</v>
      </c>
      <c r="J401" s="39" t="n">
        <v>459100</v>
      </c>
      <c r="K401" t="inlineStr">
        <is>
          <t>Edificio</t>
        </is>
      </c>
      <c r="L401" t="inlineStr">
        <is>
          <t>A</t>
        </is>
      </c>
      <c r="M401" t="inlineStr">
        <is>
          <t>Estacionamiento</t>
        </is>
      </c>
      <c r="N401" t="inlineStr">
        <is>
          <t>E 06</t>
        </is>
      </c>
      <c r="O401" t="n">
        <v>12</v>
      </c>
      <c r="P401" t="n">
        <v>0</v>
      </c>
      <c r="Q401" s="39" t="n">
        <v>45600</v>
      </c>
      <c r="R401" s="39" t="n">
        <v>45600</v>
      </c>
      <c r="Y401" s="39" t="n"/>
      <c r="Z401" s="39" t="n"/>
      <c r="AG401" s="39" t="n"/>
      <c r="AH401" s="39" t="n"/>
      <c r="AI401" t="inlineStr">
        <is>
          <t>Erla Liseth Carhuavilca Pérez</t>
        </is>
      </c>
      <c r="AJ401" t="inlineStr">
        <is>
          <t>40642153</t>
        </is>
      </c>
      <c r="AK401" t="inlineStr">
        <is>
          <t>Av. Bolivia 848 Dpto. 504</t>
        </is>
      </c>
      <c r="AL401" t="n">
        <v>0</v>
      </c>
      <c r="AM401" t="inlineStr">
        <is>
          <t>999200216</t>
        </is>
      </c>
      <c r="AN401" t="inlineStr">
        <is>
          <t>grecialiseth26@gmail.com</t>
        </is>
      </c>
      <c r="AO401" t="inlineStr">
        <is>
          <t>LIMA</t>
        </is>
      </c>
      <c r="AP401" t="inlineStr">
        <is>
          <t>BREÑA</t>
        </is>
      </c>
      <c r="AQ401" s="75" t="n">
        <v>46172</v>
      </c>
      <c r="AR401" s="75" t="n"/>
      <c r="AS401" t="inlineStr">
        <is>
          <t>CUOTA INICIAL</t>
        </is>
      </c>
      <c r="AT401" t="n">
        <v>2</v>
      </c>
      <c r="AU401" t="n">
        <v>14000</v>
      </c>
      <c r="AV401" t="n">
        <v>0</v>
      </c>
      <c r="AW401" t="n">
        <v>0</v>
      </c>
      <c r="AX401" s="39" t="n">
        <v>14000</v>
      </c>
      <c r="AY401" s="39" t="n">
        <v>0</v>
      </c>
      <c r="AZ401" s="39" t="n">
        <v>14000</v>
      </c>
      <c r="BB401" t="inlineStr">
        <is>
          <t>Ahorro</t>
        </is>
      </c>
      <c r="BH401" t="inlineStr">
        <is>
          <t>No</t>
        </is>
      </c>
      <c r="BK401" t="inlineStr">
        <is>
          <t>VENCIDO</t>
        </is>
      </c>
      <c r="BV401" t="inlineStr">
        <is>
          <t>No</t>
        </is>
      </c>
      <c r="BW401" s="76" t="n">
        <v>46017.42569444444</v>
      </c>
      <c r="BX401" t="inlineStr">
        <is>
          <t>Magaly Guevara Perez</t>
        </is>
      </c>
      <c r="BZ401" t="n">
        <v>28</v>
      </c>
      <c r="CB401" t="n">
        <v>0</v>
      </c>
      <c r="CF401" t="inlineStr">
        <is>
          <t>Cobranzas_2026.csv</t>
        </is>
      </c>
      <c r="CG401" t="n">
        <v>2026</v>
      </c>
      <c r="CH401" t="inlineStr">
        <is>
          <t>01/01/2024</t>
        </is>
      </c>
      <c r="CI401" t="inlineStr">
        <is>
          <t>24/08/2031</t>
        </is>
      </c>
    </row>
    <row r="402">
      <c r="A402" t="inlineStr">
        <is>
          <t>RESIDENCIAL BEYOND</t>
        </is>
      </c>
      <c r="B402" t="inlineStr">
        <is>
          <t>Etapa 1</t>
        </is>
      </c>
      <c r="C402" t="inlineStr">
        <is>
          <t>Edificio</t>
        </is>
      </c>
      <c r="D402" t="inlineStr">
        <is>
          <t>A</t>
        </is>
      </c>
      <c r="E402" t="inlineStr">
        <is>
          <t>Departamento</t>
        </is>
      </c>
      <c r="F402" t="inlineStr">
        <is>
          <t>403</t>
        </is>
      </c>
      <c r="G402" t="n">
        <v>68</v>
      </c>
      <c r="H402" t="n">
        <v>0</v>
      </c>
      <c r="I402" s="39" t="n">
        <v>504700</v>
      </c>
      <c r="J402" s="39" t="n">
        <v>459100</v>
      </c>
      <c r="K402" t="inlineStr">
        <is>
          <t>Edificio</t>
        </is>
      </c>
      <c r="L402" t="inlineStr">
        <is>
          <t>A</t>
        </is>
      </c>
      <c r="M402" t="inlineStr">
        <is>
          <t>Estacionamiento</t>
        </is>
      </c>
      <c r="N402" t="inlineStr">
        <is>
          <t>E 06</t>
        </is>
      </c>
      <c r="O402" t="n">
        <v>12</v>
      </c>
      <c r="P402" t="n">
        <v>0</v>
      </c>
      <c r="Q402" s="39" t="n">
        <v>45600</v>
      </c>
      <c r="R402" s="39" t="n">
        <v>45600</v>
      </c>
      <c r="Y402" s="39" t="n"/>
      <c r="Z402" s="39" t="n"/>
      <c r="AG402" s="39" t="n"/>
      <c r="AH402" s="39" t="n"/>
      <c r="AI402" t="inlineStr">
        <is>
          <t>Erla Liseth Carhuavilca Pérez</t>
        </is>
      </c>
      <c r="AJ402" t="inlineStr">
        <is>
          <t>40642153</t>
        </is>
      </c>
      <c r="AK402" t="inlineStr">
        <is>
          <t>Av. Bolivia 848 Dpto. 504</t>
        </is>
      </c>
      <c r="AL402" t="n">
        <v>0</v>
      </c>
      <c r="AM402" t="inlineStr">
        <is>
          <t>999200216</t>
        </is>
      </c>
      <c r="AN402" t="inlineStr">
        <is>
          <t>grecialiseth26@gmail.com</t>
        </is>
      </c>
      <c r="AO402" t="inlineStr">
        <is>
          <t>LIMA</t>
        </is>
      </c>
      <c r="AP402" t="inlineStr">
        <is>
          <t>BREÑA</t>
        </is>
      </c>
      <c r="AQ402" s="75" t="n">
        <v>46172</v>
      </c>
      <c r="AR402" s="75" t="n">
        <v>46168</v>
      </c>
      <c r="AS402" t="inlineStr">
        <is>
          <t>CUOTA INICIAL</t>
        </is>
      </c>
      <c r="AT402" t="n">
        <v>3</v>
      </c>
      <c r="AU402" t="n">
        <v>0</v>
      </c>
      <c r="AV402" t="n">
        <v>0</v>
      </c>
      <c r="AW402" t="n">
        <v>0</v>
      </c>
      <c r="AX402" s="39" t="n">
        <v>173000</v>
      </c>
      <c r="AY402" s="39" t="n">
        <v>148000</v>
      </c>
      <c r="AZ402" s="39" t="n">
        <v>0</v>
      </c>
      <c r="BA402" t="n">
        <v>0</v>
      </c>
      <c r="BB402" t="inlineStr">
        <is>
          <t>Ahorro</t>
        </is>
      </c>
      <c r="BC402" t="inlineStr">
        <is>
          <t>Banco de Credito del Perú</t>
        </is>
      </c>
      <c r="BD402" t="inlineStr">
        <is>
          <t>194-7325779-0-65</t>
        </is>
      </c>
      <c r="BE402" t="inlineStr">
        <is>
          <t>TRANSFERENCIA BANCARIA</t>
        </is>
      </c>
      <c r="BG402" t="inlineStr">
        <is>
          <t>005129</t>
        </is>
      </c>
      <c r="BH402" t="inlineStr">
        <is>
          <t>No</t>
        </is>
      </c>
      <c r="BJ402" t="n">
        <v>4</v>
      </c>
      <c r="BK402" t="inlineStr">
        <is>
          <t>CANCELADO</t>
        </is>
      </c>
      <c r="BV402" t="inlineStr">
        <is>
          <t>Si</t>
        </is>
      </c>
      <c r="BW402" s="76" t="n">
        <v>46017.42569444444</v>
      </c>
      <c r="BX402" t="inlineStr">
        <is>
          <t>Magaly Guevara Perez</t>
        </is>
      </c>
      <c r="BZ402" t="n">
        <v>28</v>
      </c>
      <c r="CA402" t="inlineStr">
        <is>
          <t>13/08/2026 12:14</t>
        </is>
      </c>
      <c r="CB402" t="n">
        <v>0</v>
      </c>
      <c r="CF402" t="inlineStr">
        <is>
          <t>Cobranzas_2026.csv</t>
        </is>
      </c>
      <c r="CG402" t="n">
        <v>2026</v>
      </c>
      <c r="CH402" t="inlineStr">
        <is>
          <t>01/01/2024</t>
        </is>
      </c>
      <c r="CI402" t="inlineStr">
        <is>
          <t>24/08/2031</t>
        </is>
      </c>
    </row>
    <row r="403">
      <c r="A403" t="inlineStr">
        <is>
          <t>RESIDENCIAL BEYOND</t>
        </is>
      </c>
      <c r="B403" t="inlineStr">
        <is>
          <t>Etapa 1</t>
        </is>
      </c>
      <c r="C403" t="inlineStr">
        <is>
          <t>Edificio</t>
        </is>
      </c>
      <c r="D403" t="inlineStr">
        <is>
          <t>A</t>
        </is>
      </c>
      <c r="E403" t="inlineStr">
        <is>
          <t>Departamento</t>
        </is>
      </c>
      <c r="F403" t="inlineStr">
        <is>
          <t>403</t>
        </is>
      </c>
      <c r="G403" t="n">
        <v>68</v>
      </c>
      <c r="H403" t="n">
        <v>0</v>
      </c>
      <c r="I403" s="39" t="n">
        <v>504700</v>
      </c>
      <c r="J403" s="39" t="n">
        <v>459100</v>
      </c>
      <c r="K403" t="inlineStr">
        <is>
          <t>Edificio</t>
        </is>
      </c>
      <c r="L403" t="inlineStr">
        <is>
          <t>A</t>
        </is>
      </c>
      <c r="M403" t="inlineStr">
        <is>
          <t>Estacionamiento</t>
        </is>
      </c>
      <c r="N403" t="inlineStr">
        <is>
          <t>E 06</t>
        </is>
      </c>
      <c r="O403" t="n">
        <v>12</v>
      </c>
      <c r="P403" t="n">
        <v>0</v>
      </c>
      <c r="Q403" s="39" t="n">
        <v>45600</v>
      </c>
      <c r="R403" s="39" t="n">
        <v>45600</v>
      </c>
      <c r="Y403" s="39" t="n"/>
      <c r="Z403" s="39" t="n"/>
      <c r="AG403" s="39" t="n"/>
      <c r="AH403" s="39" t="n"/>
      <c r="AI403" t="inlineStr">
        <is>
          <t>Erla Liseth Carhuavilca Pérez</t>
        </is>
      </c>
      <c r="AJ403" t="inlineStr">
        <is>
          <t>40642153</t>
        </is>
      </c>
      <c r="AK403" t="inlineStr">
        <is>
          <t>Av. Bolivia 848 Dpto. 504</t>
        </is>
      </c>
      <c r="AL403" t="n">
        <v>0</v>
      </c>
      <c r="AM403" t="inlineStr">
        <is>
          <t>999200216</t>
        </is>
      </c>
      <c r="AN403" t="inlineStr">
        <is>
          <t>grecialiseth26@gmail.com</t>
        </is>
      </c>
      <c r="AO403" t="inlineStr">
        <is>
          <t>LIMA</t>
        </is>
      </c>
      <c r="AP403" t="inlineStr">
        <is>
          <t>BREÑA</t>
        </is>
      </c>
      <c r="AQ403" s="75" t="n">
        <v>46172</v>
      </c>
      <c r="AR403" s="75" t="n">
        <v>46200</v>
      </c>
      <c r="AS403" t="inlineStr">
        <is>
          <t>CUOTA INICIAL</t>
        </is>
      </c>
      <c r="AT403" t="n">
        <v>3</v>
      </c>
      <c r="AU403" t="n">
        <v>0</v>
      </c>
      <c r="AV403" t="n">
        <v>0</v>
      </c>
      <c r="AW403" t="n">
        <v>0</v>
      </c>
      <c r="AX403" s="39" t="n">
        <v>0</v>
      </c>
      <c r="AY403" s="39" t="n">
        <v>9300</v>
      </c>
      <c r="AZ403" s="39" t="n">
        <v>0</v>
      </c>
      <c r="BA403" t="n">
        <v>0</v>
      </c>
      <c r="BB403" t="inlineStr">
        <is>
          <t>Ahorro</t>
        </is>
      </c>
      <c r="BC403" t="inlineStr">
        <is>
          <t>Banco de Credito del Perú</t>
        </is>
      </c>
      <c r="BD403" t="inlineStr">
        <is>
          <t>194-7325779-0-65</t>
        </is>
      </c>
      <c r="BE403" t="inlineStr">
        <is>
          <t>TRANSFERENCIA BANCARIA</t>
        </is>
      </c>
      <c r="BG403" t="inlineStr">
        <is>
          <t>1560</t>
        </is>
      </c>
      <c r="BH403" t="inlineStr">
        <is>
          <t>No</t>
        </is>
      </c>
      <c r="BJ403" t="n">
        <v>4</v>
      </c>
      <c r="BK403" t="inlineStr">
        <is>
          <t>CANCELADO</t>
        </is>
      </c>
      <c r="BV403" t="inlineStr">
        <is>
          <t>Si</t>
        </is>
      </c>
      <c r="BW403" s="76" t="n">
        <v>46017.42569444444</v>
      </c>
      <c r="BX403" t="inlineStr">
        <is>
          <t>Magaly Guevara Perez</t>
        </is>
      </c>
      <c r="BZ403" t="n">
        <v>28</v>
      </c>
      <c r="CA403" t="inlineStr">
        <is>
          <t>13/08/2026 12:15</t>
        </is>
      </c>
      <c r="CB403" t="n">
        <v>0</v>
      </c>
      <c r="CF403" t="inlineStr">
        <is>
          <t>Cobranzas_2026.csv</t>
        </is>
      </c>
      <c r="CG403" t="n">
        <v>2026</v>
      </c>
      <c r="CH403" t="inlineStr">
        <is>
          <t>01/01/2024</t>
        </is>
      </c>
      <c r="CI403" t="inlineStr">
        <is>
          <t>24/08/2031</t>
        </is>
      </c>
    </row>
    <row r="404">
      <c r="A404" t="inlineStr">
        <is>
          <t>RESIDENCIAL BEYOND</t>
        </is>
      </c>
      <c r="B404" t="inlineStr">
        <is>
          <t>Etapa 1</t>
        </is>
      </c>
      <c r="C404" t="inlineStr">
        <is>
          <t>Edificio</t>
        </is>
      </c>
      <c r="D404" t="inlineStr">
        <is>
          <t>A</t>
        </is>
      </c>
      <c r="E404" t="inlineStr">
        <is>
          <t>Departamento</t>
        </is>
      </c>
      <c r="F404" t="inlineStr">
        <is>
          <t>403</t>
        </is>
      </c>
      <c r="G404" t="n">
        <v>68</v>
      </c>
      <c r="H404" t="n">
        <v>0</v>
      </c>
      <c r="I404" s="39" t="n">
        <v>504700</v>
      </c>
      <c r="J404" s="39" t="n">
        <v>459100</v>
      </c>
      <c r="K404" t="inlineStr">
        <is>
          <t>Edificio</t>
        </is>
      </c>
      <c r="L404" t="inlineStr">
        <is>
          <t>A</t>
        </is>
      </c>
      <c r="M404" t="inlineStr">
        <is>
          <t>Estacionamiento</t>
        </is>
      </c>
      <c r="N404" t="inlineStr">
        <is>
          <t>E 06</t>
        </is>
      </c>
      <c r="O404" t="n">
        <v>12</v>
      </c>
      <c r="P404" t="n">
        <v>0</v>
      </c>
      <c r="Q404" s="39" t="n">
        <v>45600</v>
      </c>
      <c r="R404" s="39" t="n">
        <v>45600</v>
      </c>
      <c r="Y404" s="39" t="n"/>
      <c r="Z404" s="39" t="n"/>
      <c r="AG404" s="39" t="n"/>
      <c r="AH404" s="39" t="n"/>
      <c r="AI404" t="inlineStr">
        <is>
          <t>Erla Liseth Carhuavilca Pérez</t>
        </is>
      </c>
      <c r="AJ404" t="inlineStr">
        <is>
          <t>40642153</t>
        </is>
      </c>
      <c r="AK404" t="inlineStr">
        <is>
          <t>Av. Bolivia 848 Dpto. 504</t>
        </is>
      </c>
      <c r="AL404" t="n">
        <v>0</v>
      </c>
      <c r="AM404" t="inlineStr">
        <is>
          <t>999200216</t>
        </is>
      </c>
      <c r="AN404" t="inlineStr">
        <is>
          <t>grecialiseth26@gmail.com</t>
        </is>
      </c>
      <c r="AO404" t="inlineStr">
        <is>
          <t>LIMA</t>
        </is>
      </c>
      <c r="AP404" t="inlineStr">
        <is>
          <t>BREÑA</t>
        </is>
      </c>
      <c r="AQ404" s="75" t="n">
        <v>46172</v>
      </c>
      <c r="AR404" s="75" t="n">
        <v>46247</v>
      </c>
      <c r="AS404" t="inlineStr">
        <is>
          <t>CUOTA INICIAL</t>
        </is>
      </c>
      <c r="AT404" t="n">
        <v>3</v>
      </c>
      <c r="AU404" t="n">
        <v>0</v>
      </c>
      <c r="AV404" t="n">
        <v>0</v>
      </c>
      <c r="AW404" t="n">
        <v>0</v>
      </c>
      <c r="AX404" s="39" t="n">
        <v>0</v>
      </c>
      <c r="AY404" s="39" t="n">
        <v>700</v>
      </c>
      <c r="AZ404" s="39" t="n">
        <v>0</v>
      </c>
      <c r="BA404" t="n">
        <v>0</v>
      </c>
      <c r="BB404" t="inlineStr">
        <is>
          <t>Ahorro</t>
        </is>
      </c>
      <c r="BC404" t="inlineStr">
        <is>
          <t>Banco de Credito del Perú</t>
        </is>
      </c>
      <c r="BD404" t="inlineStr">
        <is>
          <t>194-7325779-0-65</t>
        </is>
      </c>
      <c r="BE404" t="inlineStr">
        <is>
          <t>TRANSFERENCIA BANCARIA</t>
        </is>
      </c>
      <c r="BG404" t="inlineStr">
        <is>
          <t>1562</t>
        </is>
      </c>
      <c r="BH404" t="inlineStr">
        <is>
          <t>Si</t>
        </is>
      </c>
      <c r="BJ404" t="n">
        <v>4</v>
      </c>
      <c r="BK404" t="inlineStr">
        <is>
          <t>CANCELADO</t>
        </is>
      </c>
      <c r="BV404" t="inlineStr">
        <is>
          <t>Si</t>
        </is>
      </c>
      <c r="BW404" s="76" t="n">
        <v>46017.42569444444</v>
      </c>
      <c r="BX404" t="inlineStr">
        <is>
          <t>Magaly Guevara Perez</t>
        </is>
      </c>
      <c r="BZ404" t="n">
        <v>28</v>
      </c>
      <c r="CA404" t="inlineStr">
        <is>
          <t>13/08/2026 12:15</t>
        </is>
      </c>
      <c r="CB404" t="n">
        <v>0</v>
      </c>
      <c r="CF404" t="inlineStr">
        <is>
          <t>Cobranzas_2026.csv</t>
        </is>
      </c>
      <c r="CG404" t="n">
        <v>2026</v>
      </c>
      <c r="CH404" t="inlineStr">
        <is>
          <t>01/01/2024</t>
        </is>
      </c>
      <c r="CI404" t="inlineStr">
        <is>
          <t>24/08/2031</t>
        </is>
      </c>
    </row>
    <row r="405">
      <c r="A405" t="inlineStr">
        <is>
          <t>RESIDENCIAL BEYOND</t>
        </is>
      </c>
      <c r="B405" t="inlineStr">
        <is>
          <t>Etapa 1</t>
        </is>
      </c>
      <c r="C405" t="inlineStr">
        <is>
          <t>Edificio</t>
        </is>
      </c>
      <c r="D405" t="inlineStr">
        <is>
          <t>A</t>
        </is>
      </c>
      <c r="E405" t="inlineStr">
        <is>
          <t>Departamento</t>
        </is>
      </c>
      <c r="F405" t="inlineStr">
        <is>
          <t>403</t>
        </is>
      </c>
      <c r="G405" t="n">
        <v>68</v>
      </c>
      <c r="H405" t="n">
        <v>0</v>
      </c>
      <c r="I405" s="39" t="n">
        <v>504700</v>
      </c>
      <c r="J405" s="39" t="n">
        <v>459100</v>
      </c>
      <c r="K405" t="inlineStr">
        <is>
          <t>Edificio</t>
        </is>
      </c>
      <c r="L405" t="inlineStr">
        <is>
          <t>A</t>
        </is>
      </c>
      <c r="M405" t="inlineStr">
        <is>
          <t>Estacionamiento</t>
        </is>
      </c>
      <c r="N405" t="inlineStr">
        <is>
          <t>E 06</t>
        </is>
      </c>
      <c r="O405" t="n">
        <v>12</v>
      </c>
      <c r="P405" t="n">
        <v>0</v>
      </c>
      <c r="Q405" s="39" t="n">
        <v>45600</v>
      </c>
      <c r="R405" s="39" t="n">
        <v>45600</v>
      </c>
      <c r="Y405" s="39" t="n"/>
      <c r="Z405" s="39" t="n"/>
      <c r="AG405" s="39" t="n"/>
      <c r="AH405" s="39" t="n"/>
      <c r="AI405" t="inlineStr">
        <is>
          <t>Erla Liseth Carhuavilca Pérez</t>
        </is>
      </c>
      <c r="AJ405" t="inlineStr">
        <is>
          <t>40642153</t>
        </is>
      </c>
      <c r="AK405" t="inlineStr">
        <is>
          <t>Av. Bolivia 848 Dpto. 504</t>
        </is>
      </c>
      <c r="AL405" t="n">
        <v>0</v>
      </c>
      <c r="AM405" t="inlineStr">
        <is>
          <t>999200216</t>
        </is>
      </c>
      <c r="AN405" t="inlineStr">
        <is>
          <t>grecialiseth26@gmail.com</t>
        </is>
      </c>
      <c r="AO405" t="inlineStr">
        <is>
          <t>LIMA</t>
        </is>
      </c>
      <c r="AP405" t="inlineStr">
        <is>
          <t>BREÑA</t>
        </is>
      </c>
      <c r="AQ405" s="75" t="n">
        <v>46172</v>
      </c>
      <c r="AR405" s="75" t="n">
        <v>46202</v>
      </c>
      <c r="AS405" t="inlineStr">
        <is>
          <t>CUOTA INICIAL</t>
        </is>
      </c>
      <c r="AT405" t="n">
        <v>3</v>
      </c>
      <c r="AU405" t="n">
        <v>0</v>
      </c>
      <c r="AV405" t="n">
        <v>0</v>
      </c>
      <c r="AW405" t="n">
        <v>0</v>
      </c>
      <c r="AX405" s="39" t="n">
        <v>0</v>
      </c>
      <c r="AY405" s="39" t="n">
        <v>4900</v>
      </c>
      <c r="AZ405" s="39" t="n">
        <v>0</v>
      </c>
      <c r="BA405" t="n">
        <v>0</v>
      </c>
      <c r="BB405" t="inlineStr">
        <is>
          <t>Ahorro</t>
        </is>
      </c>
      <c r="BC405" t="inlineStr">
        <is>
          <t>Banco de Credito del Perú</t>
        </is>
      </c>
      <c r="BD405" t="inlineStr">
        <is>
          <t>194-7325779-0-65</t>
        </is>
      </c>
      <c r="BE405" t="inlineStr">
        <is>
          <t>TRANSFERENCIA BANCARIA</t>
        </is>
      </c>
      <c r="BG405" t="inlineStr">
        <is>
          <t>4313</t>
        </is>
      </c>
      <c r="BH405" t="inlineStr">
        <is>
          <t>No</t>
        </is>
      </c>
      <c r="BJ405" t="n">
        <v>4</v>
      </c>
      <c r="BK405" t="inlineStr">
        <is>
          <t>CANCELADO</t>
        </is>
      </c>
      <c r="BV405" t="inlineStr">
        <is>
          <t>Si</t>
        </is>
      </c>
      <c r="BW405" s="76" t="n">
        <v>46017.42569444444</v>
      </c>
      <c r="BX405" t="inlineStr">
        <is>
          <t>Magaly Guevara Perez</t>
        </is>
      </c>
      <c r="BZ405" t="n">
        <v>28</v>
      </c>
      <c r="CA405" t="inlineStr">
        <is>
          <t>13/08/2026 12:16</t>
        </is>
      </c>
      <c r="CB405" t="n">
        <v>0</v>
      </c>
      <c r="CF405" t="inlineStr">
        <is>
          <t>Cobranzas_2026.csv</t>
        </is>
      </c>
      <c r="CG405" t="n">
        <v>2026</v>
      </c>
      <c r="CH405" t="inlineStr">
        <is>
          <t>01/01/2024</t>
        </is>
      </c>
      <c r="CI405" t="inlineStr">
        <is>
          <t>24/08/2031</t>
        </is>
      </c>
    </row>
    <row r="406">
      <c r="A406" t="inlineStr">
        <is>
          <t>RESIDENCIAL BEYOND</t>
        </is>
      </c>
      <c r="B406" t="inlineStr">
        <is>
          <t>Etapa 1</t>
        </is>
      </c>
      <c r="C406" t="inlineStr">
        <is>
          <t>Edificio</t>
        </is>
      </c>
      <c r="D406" t="inlineStr">
        <is>
          <t>A</t>
        </is>
      </c>
      <c r="E406" t="inlineStr">
        <is>
          <t>Departamento</t>
        </is>
      </c>
      <c r="F406" t="inlineStr">
        <is>
          <t>403</t>
        </is>
      </c>
      <c r="G406" t="n">
        <v>68</v>
      </c>
      <c r="H406" t="n">
        <v>0</v>
      </c>
      <c r="I406" s="39" t="n">
        <v>504700</v>
      </c>
      <c r="J406" s="39" t="n">
        <v>459100</v>
      </c>
      <c r="K406" t="inlineStr">
        <is>
          <t>Edificio</t>
        </is>
      </c>
      <c r="L406" t="inlineStr">
        <is>
          <t>A</t>
        </is>
      </c>
      <c r="M406" t="inlineStr">
        <is>
          <t>Estacionamiento</t>
        </is>
      </c>
      <c r="N406" t="inlineStr">
        <is>
          <t>E 06</t>
        </is>
      </c>
      <c r="O406" t="n">
        <v>12</v>
      </c>
      <c r="P406" t="n">
        <v>0</v>
      </c>
      <c r="Q406" s="39" t="n">
        <v>45600</v>
      </c>
      <c r="R406" s="39" t="n">
        <v>45600</v>
      </c>
      <c r="Y406" s="39" t="n"/>
      <c r="Z406" s="39" t="n"/>
      <c r="AG406" s="39" t="n"/>
      <c r="AH406" s="39" t="n"/>
      <c r="AI406" t="inlineStr">
        <is>
          <t>Erla Liseth Carhuavilca Pérez</t>
        </is>
      </c>
      <c r="AJ406" t="inlineStr">
        <is>
          <t>40642153</t>
        </is>
      </c>
      <c r="AK406" t="inlineStr">
        <is>
          <t>Av. Bolivia 848 Dpto. 504</t>
        </is>
      </c>
      <c r="AL406" t="n">
        <v>0</v>
      </c>
      <c r="AM406" t="inlineStr">
        <is>
          <t>999200216</t>
        </is>
      </c>
      <c r="AN406" t="inlineStr">
        <is>
          <t>grecialiseth26@gmail.com</t>
        </is>
      </c>
      <c r="AO406" t="inlineStr">
        <is>
          <t>LIMA</t>
        </is>
      </c>
      <c r="AP406" t="inlineStr">
        <is>
          <t>BREÑA</t>
        </is>
      </c>
      <c r="AQ406" s="75" t="n">
        <v>46172</v>
      </c>
      <c r="AR406" s="75" t="n">
        <v>46201</v>
      </c>
      <c r="AS406" t="inlineStr">
        <is>
          <t>CUOTA INICIAL</t>
        </is>
      </c>
      <c r="AT406" t="n">
        <v>3</v>
      </c>
      <c r="AU406" t="n">
        <v>0</v>
      </c>
      <c r="AV406" t="n">
        <v>0</v>
      </c>
      <c r="AW406" t="n">
        <v>0</v>
      </c>
      <c r="AX406" s="39" t="n">
        <v>0</v>
      </c>
      <c r="AY406" s="39" t="n">
        <v>10000</v>
      </c>
      <c r="AZ406" s="39" t="n">
        <v>0</v>
      </c>
      <c r="BA406" t="n">
        <v>0</v>
      </c>
      <c r="BB406" t="inlineStr">
        <is>
          <t>Ahorro</t>
        </is>
      </c>
      <c r="BC406" t="inlineStr">
        <is>
          <t>Banco de Credito del Perú</t>
        </is>
      </c>
      <c r="BD406" t="inlineStr">
        <is>
          <t>194-7325779-0-65</t>
        </is>
      </c>
      <c r="BE406" t="inlineStr">
        <is>
          <t>TRANSFERENCIA BANCARIA</t>
        </is>
      </c>
      <c r="BG406" t="inlineStr">
        <is>
          <t>1784</t>
        </is>
      </c>
      <c r="BH406" t="inlineStr">
        <is>
          <t>No</t>
        </is>
      </c>
      <c r="BJ406" t="n">
        <v>4</v>
      </c>
      <c r="BK406" t="inlineStr">
        <is>
          <t>CANCELADO</t>
        </is>
      </c>
      <c r="BV406" t="inlineStr">
        <is>
          <t>Si</t>
        </is>
      </c>
      <c r="BW406" s="76" t="n">
        <v>46017.42569444444</v>
      </c>
      <c r="BX406" t="inlineStr">
        <is>
          <t>Magaly Guevara Perez</t>
        </is>
      </c>
      <c r="BZ406" t="n">
        <v>28</v>
      </c>
      <c r="CA406" t="inlineStr">
        <is>
          <t>13/08/2026 12:23</t>
        </is>
      </c>
      <c r="CB406" t="n">
        <v>0</v>
      </c>
      <c r="CF406" t="inlineStr">
        <is>
          <t>Cobranzas_2026.csv</t>
        </is>
      </c>
      <c r="CG406" t="n">
        <v>2026</v>
      </c>
      <c r="CH406" t="inlineStr">
        <is>
          <t>01/01/2024</t>
        </is>
      </c>
      <c r="CI406" t="inlineStr">
        <is>
          <t>24/08/2031</t>
        </is>
      </c>
    </row>
    <row r="407">
      <c r="A407" t="inlineStr">
        <is>
          <t>RESIDENCIAL BEYOND</t>
        </is>
      </c>
      <c r="B407" t="inlineStr">
        <is>
          <t>Etapa 1</t>
        </is>
      </c>
      <c r="C407" t="inlineStr">
        <is>
          <t>Edificio</t>
        </is>
      </c>
      <c r="D407" t="inlineStr">
        <is>
          <t>A</t>
        </is>
      </c>
      <c r="E407" t="inlineStr">
        <is>
          <t>Departamento</t>
        </is>
      </c>
      <c r="F407" t="inlineStr">
        <is>
          <t>403</t>
        </is>
      </c>
      <c r="G407" t="n">
        <v>68</v>
      </c>
      <c r="H407" t="n">
        <v>0</v>
      </c>
      <c r="I407" s="39" t="n">
        <v>504700</v>
      </c>
      <c r="J407" s="39" t="n">
        <v>459100</v>
      </c>
      <c r="K407" t="inlineStr">
        <is>
          <t>Edificio</t>
        </is>
      </c>
      <c r="L407" t="inlineStr">
        <is>
          <t>A</t>
        </is>
      </c>
      <c r="M407" t="inlineStr">
        <is>
          <t>Estacionamiento</t>
        </is>
      </c>
      <c r="N407" t="inlineStr">
        <is>
          <t>E 06</t>
        </is>
      </c>
      <c r="O407" t="n">
        <v>12</v>
      </c>
      <c r="P407" t="n">
        <v>0</v>
      </c>
      <c r="Q407" s="39" t="n">
        <v>45600</v>
      </c>
      <c r="R407" s="39" t="n">
        <v>45600</v>
      </c>
      <c r="Y407" s="39" t="n"/>
      <c r="Z407" s="39" t="n"/>
      <c r="AG407" s="39" t="n"/>
      <c r="AH407" s="39" t="n"/>
      <c r="AI407" t="inlineStr">
        <is>
          <t>Erla Liseth Carhuavilca Pérez</t>
        </is>
      </c>
      <c r="AJ407" t="inlineStr">
        <is>
          <t>40642153</t>
        </is>
      </c>
      <c r="AK407" t="inlineStr">
        <is>
          <t>Av. Bolivia 848 Dpto. 504</t>
        </is>
      </c>
      <c r="AL407" t="n">
        <v>0</v>
      </c>
      <c r="AM407" t="inlineStr">
        <is>
          <t>999200216</t>
        </is>
      </c>
      <c r="AN407" t="inlineStr">
        <is>
          <t>grecialiseth26@gmail.com</t>
        </is>
      </c>
      <c r="AO407" t="inlineStr">
        <is>
          <t>LIMA</t>
        </is>
      </c>
      <c r="AP407" t="inlineStr">
        <is>
          <t>BREÑA</t>
        </is>
      </c>
      <c r="AQ407" s="75" t="n">
        <v>46172</v>
      </c>
      <c r="AR407" s="75" t="n">
        <v>46202</v>
      </c>
      <c r="AS407" t="inlineStr">
        <is>
          <t>CUOTA INICIAL</t>
        </is>
      </c>
      <c r="AT407" t="n">
        <v>3</v>
      </c>
      <c r="AU407" t="n">
        <v>173000</v>
      </c>
      <c r="AV407" t="n">
        <v>0</v>
      </c>
      <c r="AW407" t="n">
        <v>0</v>
      </c>
      <c r="AX407" s="39" t="n">
        <v>0</v>
      </c>
      <c r="AY407" s="39" t="n">
        <v>100</v>
      </c>
      <c r="AZ407" s="39" t="n">
        <v>0</v>
      </c>
      <c r="BA407" t="n">
        <v>0</v>
      </c>
      <c r="BB407" t="inlineStr">
        <is>
          <t>Ahorro</t>
        </is>
      </c>
      <c r="BC407" t="inlineStr">
        <is>
          <t>Banco de Credito del Perú</t>
        </is>
      </c>
      <c r="BD407" t="inlineStr">
        <is>
          <t>194-7325779-0-65</t>
        </is>
      </c>
      <c r="BE407" t="inlineStr">
        <is>
          <t>TRANSFERENCIA BANCARIA</t>
        </is>
      </c>
      <c r="BG407" t="inlineStr">
        <is>
          <t>4315</t>
        </is>
      </c>
      <c r="BH407" t="inlineStr">
        <is>
          <t>No</t>
        </is>
      </c>
      <c r="BJ407" t="n">
        <v>4</v>
      </c>
      <c r="BK407" t="inlineStr">
        <is>
          <t>CANCELADO</t>
        </is>
      </c>
      <c r="BV407" t="inlineStr">
        <is>
          <t>Si</t>
        </is>
      </c>
      <c r="BW407" s="76" t="n">
        <v>46017.42569444444</v>
      </c>
      <c r="BX407" t="inlineStr">
        <is>
          <t>Magaly Guevara Perez</t>
        </is>
      </c>
      <c r="BZ407" t="n">
        <v>28</v>
      </c>
      <c r="CA407" t="inlineStr">
        <is>
          <t>13/08/2026 12:24</t>
        </is>
      </c>
      <c r="CB407" t="n">
        <v>0</v>
      </c>
      <c r="CF407" t="inlineStr">
        <is>
          <t>Cobranzas_2026.csv</t>
        </is>
      </c>
      <c r="CG407" t="n">
        <v>2026</v>
      </c>
      <c r="CH407" t="inlineStr">
        <is>
          <t>01/01/2024</t>
        </is>
      </c>
      <c r="CI407" t="inlineStr">
        <is>
          <t>24/08/2031</t>
        </is>
      </c>
    </row>
    <row r="408">
      <c r="A408" t="inlineStr">
        <is>
          <t>RESIDENCIAL BEYOND</t>
        </is>
      </c>
      <c r="B408" t="inlineStr">
        <is>
          <t>Etapa 1</t>
        </is>
      </c>
      <c r="C408" t="inlineStr">
        <is>
          <t>Edificio</t>
        </is>
      </c>
      <c r="D408" t="inlineStr">
        <is>
          <t>A</t>
        </is>
      </c>
      <c r="E408" t="inlineStr">
        <is>
          <t>Departamento</t>
        </is>
      </c>
      <c r="F408" t="inlineStr">
        <is>
          <t>403</t>
        </is>
      </c>
      <c r="G408" t="n">
        <v>68</v>
      </c>
      <c r="H408" t="n">
        <v>0</v>
      </c>
      <c r="I408" s="39" t="n">
        <v>504700</v>
      </c>
      <c r="J408" s="39" t="n">
        <v>459100</v>
      </c>
      <c r="K408" t="inlineStr">
        <is>
          <t>Edificio</t>
        </is>
      </c>
      <c r="L408" t="inlineStr">
        <is>
          <t>A</t>
        </is>
      </c>
      <c r="M408" t="inlineStr">
        <is>
          <t>Estacionamiento</t>
        </is>
      </c>
      <c r="N408" t="inlineStr">
        <is>
          <t>E 06</t>
        </is>
      </c>
      <c r="O408" t="n">
        <v>12</v>
      </c>
      <c r="P408" t="n">
        <v>0</v>
      </c>
      <c r="Q408" s="39" t="n">
        <v>45600</v>
      </c>
      <c r="R408" s="39" t="n">
        <v>45600</v>
      </c>
      <c r="Y408" s="39" t="n"/>
      <c r="Z408" s="39" t="n"/>
      <c r="AG408" s="39" t="n"/>
      <c r="AH408" s="39" t="n"/>
      <c r="AI408" t="inlineStr">
        <is>
          <t>Erla Liseth Carhuavilca Pérez</t>
        </is>
      </c>
      <c r="AJ408" t="inlineStr">
        <is>
          <t>40642153</t>
        </is>
      </c>
      <c r="AK408" t="inlineStr">
        <is>
          <t>Av. Bolivia 848 Dpto. 504</t>
        </is>
      </c>
      <c r="AL408" t="n">
        <v>0</v>
      </c>
      <c r="AM408" t="inlineStr">
        <is>
          <t>999200216</t>
        </is>
      </c>
      <c r="AN408" t="inlineStr">
        <is>
          <t>grecialiseth26@gmail.com</t>
        </is>
      </c>
      <c r="AO408" t="inlineStr">
        <is>
          <t>LIMA</t>
        </is>
      </c>
      <c r="AP408" t="inlineStr">
        <is>
          <t>BREÑA</t>
        </is>
      </c>
      <c r="AQ408" s="75" t="n">
        <v>46234</v>
      </c>
      <c r="AR408" s="75" t="n"/>
      <c r="AS408" t="inlineStr">
        <is>
          <t>SALDO FINANCIAR</t>
        </is>
      </c>
      <c r="AT408" t="n">
        <v>1</v>
      </c>
      <c r="AU408" t="n">
        <v>304700</v>
      </c>
      <c r="AV408" t="n">
        <v>0</v>
      </c>
      <c r="AW408" t="n">
        <v>0</v>
      </c>
      <c r="AX408" s="39" t="n">
        <v>304700</v>
      </c>
      <c r="AY408" s="39" t="n">
        <v>0</v>
      </c>
      <c r="AZ408" s="39" t="n">
        <v>304700</v>
      </c>
      <c r="BB408" t="inlineStr">
        <is>
          <t>Ahorro</t>
        </is>
      </c>
      <c r="BH408" t="inlineStr">
        <is>
          <t>No</t>
        </is>
      </c>
      <c r="BK408" t="inlineStr">
        <is>
          <t>VENCIDO</t>
        </is>
      </c>
      <c r="BV408" t="inlineStr">
        <is>
          <t>No</t>
        </is>
      </c>
      <c r="BW408" s="76" t="n">
        <v>46017.42569444444</v>
      </c>
      <c r="BX408" t="inlineStr">
        <is>
          <t>Magaly Guevara Perez</t>
        </is>
      </c>
      <c r="BZ408" t="n">
        <v>28</v>
      </c>
      <c r="CB408" t="n">
        <v>0</v>
      </c>
      <c r="CF408" t="inlineStr">
        <is>
          <t>Cobranzas_2026.csv</t>
        </is>
      </c>
      <c r="CG408" t="n">
        <v>2026</v>
      </c>
      <c r="CH408" t="inlineStr">
        <is>
          <t>01/01/2024</t>
        </is>
      </c>
      <c r="CI408" t="inlineStr">
        <is>
          <t>24/08/2031</t>
        </is>
      </c>
    </row>
    <row r="409">
      <c r="A409" t="inlineStr">
        <is>
          <t>RESIDENCIAL VENECIA</t>
        </is>
      </c>
      <c r="B409" t="inlineStr">
        <is>
          <t>Etapa 1</t>
        </is>
      </c>
      <c r="C409" t="inlineStr">
        <is>
          <t>Edificio</t>
        </is>
      </c>
      <c r="D409" t="inlineStr">
        <is>
          <t>A</t>
        </is>
      </c>
      <c r="E409" t="inlineStr">
        <is>
          <t>Departamento</t>
        </is>
      </c>
      <c r="F409" t="inlineStr">
        <is>
          <t>404</t>
        </is>
      </c>
      <c r="G409" t="n">
        <v>67</v>
      </c>
      <c r="H409" t="n">
        <v>0</v>
      </c>
      <c r="I409" s="39" t="n">
        <v>430000</v>
      </c>
      <c r="J409" s="39" t="n">
        <v>430000</v>
      </c>
      <c r="Q409" s="39" t="n"/>
      <c r="R409" s="39" t="n"/>
      <c r="Y409" s="39" t="n"/>
      <c r="Z409" s="39" t="n"/>
      <c r="AG409" s="39" t="n"/>
      <c r="AH409" s="39" t="n"/>
      <c r="AI409" t="inlineStr">
        <is>
          <t>Evelyn Arciela Leon Estela</t>
        </is>
      </c>
      <c r="AJ409" t="inlineStr">
        <is>
          <t>70313948</t>
        </is>
      </c>
      <c r="AK409" t="inlineStr">
        <is>
          <t xml:space="preserve">Segunda Etapa.Mz 41 Lt. 35 -Urb. Torre Blanca </t>
        </is>
      </c>
      <c r="AL409" t="n">
        <v>0</v>
      </c>
      <c r="AM409" t="inlineStr">
        <is>
          <t>980746975</t>
        </is>
      </c>
      <c r="AN409" t="inlineStr">
        <is>
          <t>eale.050791@gmail.com</t>
        </is>
      </c>
      <c r="AO409" t="inlineStr">
        <is>
          <t>LIMA</t>
        </is>
      </c>
      <c r="AP409" t="inlineStr">
        <is>
          <t>CARABAYLLO</t>
        </is>
      </c>
      <c r="AQ409" s="75" t="n">
        <v>46112</v>
      </c>
      <c r="AR409" s="75" t="n">
        <v>46107</v>
      </c>
      <c r="AS409" t="inlineStr">
        <is>
          <t>AHORRO CASA</t>
        </is>
      </c>
      <c r="AT409" t="n">
        <v>2</v>
      </c>
      <c r="AU409" t="n">
        <v>0</v>
      </c>
      <c r="AV409" t="n">
        <v>0</v>
      </c>
      <c r="AW409" t="n">
        <v>0</v>
      </c>
      <c r="AX409" s="39" t="n">
        <v>43000</v>
      </c>
      <c r="AY409" s="39" t="n">
        <v>23200</v>
      </c>
      <c r="AZ409" s="39" t="n">
        <v>0</v>
      </c>
      <c r="BA409" t="n">
        <v>0</v>
      </c>
      <c r="BB409" t="inlineStr">
        <is>
          <t>Crédito Hipotecario</t>
        </is>
      </c>
      <c r="BC409" t="inlineStr">
        <is>
          <t>Scotiabank Perú</t>
        </is>
      </c>
      <c r="BD409" t="inlineStr">
        <is>
          <t>0004071419</t>
        </is>
      </c>
      <c r="BE409" t="inlineStr">
        <is>
          <t>TRANSFERENCIA BANCARIA</t>
        </is>
      </c>
      <c r="BG409" t="inlineStr">
        <is>
          <t>0315785</t>
        </is>
      </c>
      <c r="BH409" t="inlineStr">
        <is>
          <t>No</t>
        </is>
      </c>
      <c r="BJ409" t="n">
        <v>4</v>
      </c>
      <c r="BK409" t="inlineStr">
        <is>
          <t>CANCELADO</t>
        </is>
      </c>
      <c r="BV409" t="inlineStr">
        <is>
          <t>Si</t>
        </is>
      </c>
      <c r="BW409" s="76" t="n">
        <v>46178.34166666667</v>
      </c>
      <c r="BX409" t="inlineStr">
        <is>
          <t>Magaly Guevara Perez</t>
        </is>
      </c>
      <c r="BZ409" t="n">
        <v>8</v>
      </c>
      <c r="CA409" t="inlineStr">
        <is>
          <t>24/05/2026 19:17</t>
        </is>
      </c>
      <c r="CB409" t="n">
        <v>0</v>
      </c>
      <c r="CF409" t="inlineStr">
        <is>
          <t>Cobranzas_2026.csv</t>
        </is>
      </c>
      <c r="CG409" t="n">
        <v>2026</v>
      </c>
      <c r="CH409" t="inlineStr">
        <is>
          <t>01/01/2024</t>
        </is>
      </c>
      <c r="CI409" t="inlineStr">
        <is>
          <t>24/08/2031</t>
        </is>
      </c>
    </row>
    <row r="410">
      <c r="A410" t="inlineStr">
        <is>
          <t>RESIDENCIAL VENECIA</t>
        </is>
      </c>
      <c r="B410" t="inlineStr">
        <is>
          <t>Etapa 1</t>
        </is>
      </c>
      <c r="C410" t="inlineStr">
        <is>
          <t>Edificio</t>
        </is>
      </c>
      <c r="D410" t="inlineStr">
        <is>
          <t>A</t>
        </is>
      </c>
      <c r="E410" t="inlineStr">
        <is>
          <t>Departamento</t>
        </is>
      </c>
      <c r="F410" t="inlineStr">
        <is>
          <t>404</t>
        </is>
      </c>
      <c r="G410" t="n">
        <v>67</v>
      </c>
      <c r="H410" t="n">
        <v>0</v>
      </c>
      <c r="I410" s="39" t="n">
        <v>430000</v>
      </c>
      <c r="J410" s="39" t="n">
        <v>430000</v>
      </c>
      <c r="Q410" s="39" t="n"/>
      <c r="R410" s="39" t="n"/>
      <c r="Y410" s="39" t="n"/>
      <c r="Z410" s="39" t="n"/>
      <c r="AG410" s="39" t="n"/>
      <c r="AH410" s="39" t="n"/>
      <c r="AI410" t="inlineStr">
        <is>
          <t>Evelyn Arciela Leon Estela</t>
        </is>
      </c>
      <c r="AJ410" t="inlineStr">
        <is>
          <t>70313948</t>
        </is>
      </c>
      <c r="AK410" t="inlineStr">
        <is>
          <t xml:space="preserve">Segunda Etapa.Mz 41 Lt. 35 -Urb. Torre Blanca </t>
        </is>
      </c>
      <c r="AL410" t="n">
        <v>0</v>
      </c>
      <c r="AM410" t="inlineStr">
        <is>
          <t>980746975</t>
        </is>
      </c>
      <c r="AN410" t="inlineStr">
        <is>
          <t>eale.050791@gmail.com</t>
        </is>
      </c>
      <c r="AO410" t="inlineStr">
        <is>
          <t>LIMA</t>
        </is>
      </c>
      <c r="AP410" t="inlineStr">
        <is>
          <t>CARABAYLLO</t>
        </is>
      </c>
      <c r="AQ410" s="75" t="n">
        <v>46112</v>
      </c>
      <c r="AR410" s="75" t="n">
        <v>46107</v>
      </c>
      <c r="AS410" t="inlineStr">
        <is>
          <t>AHORRO CASA</t>
        </is>
      </c>
      <c r="AT410" t="n">
        <v>2</v>
      </c>
      <c r="AU410" t="n">
        <v>43000</v>
      </c>
      <c r="AV410" t="n">
        <v>0</v>
      </c>
      <c r="AW410" t="n">
        <v>0</v>
      </c>
      <c r="AX410" s="39" t="n">
        <v>0</v>
      </c>
      <c r="AY410" s="39" t="n">
        <v>19800</v>
      </c>
      <c r="AZ410" s="39" t="n">
        <v>0</v>
      </c>
      <c r="BA410" t="n">
        <v>0</v>
      </c>
      <c r="BB410" t="inlineStr">
        <is>
          <t>Crédito Hipotecario</t>
        </is>
      </c>
      <c r="BC410" t="inlineStr">
        <is>
          <t>Scotiabank Perú</t>
        </is>
      </c>
      <c r="BD410" t="inlineStr">
        <is>
          <t>0004071419</t>
        </is>
      </c>
      <c r="BE410" t="inlineStr">
        <is>
          <t>TRANSFERENCIA BANCARIA</t>
        </is>
      </c>
      <c r="BG410" t="inlineStr">
        <is>
          <t>U24661</t>
        </is>
      </c>
      <c r="BH410" t="inlineStr">
        <is>
          <t>No</t>
        </is>
      </c>
      <c r="BJ410" t="n">
        <v>4</v>
      </c>
      <c r="BK410" t="inlineStr">
        <is>
          <t>CANCELADO</t>
        </is>
      </c>
      <c r="BV410" t="inlineStr">
        <is>
          <t>Si</t>
        </is>
      </c>
      <c r="BW410" s="76" t="n">
        <v>46178.34166666667</v>
      </c>
      <c r="BX410" t="inlineStr">
        <is>
          <t>Magaly Guevara Perez</t>
        </is>
      </c>
      <c r="BZ410" t="n">
        <v>8</v>
      </c>
      <c r="CA410" t="inlineStr">
        <is>
          <t>24/05/2026 19:20</t>
        </is>
      </c>
      <c r="CB410" t="n">
        <v>0</v>
      </c>
      <c r="CF410" t="inlineStr">
        <is>
          <t>Cobranzas_2026.csv</t>
        </is>
      </c>
      <c r="CG410" t="n">
        <v>2026</v>
      </c>
      <c r="CH410" t="inlineStr">
        <is>
          <t>01/01/2024</t>
        </is>
      </c>
      <c r="CI410" t="inlineStr">
        <is>
          <t>24/08/2031</t>
        </is>
      </c>
    </row>
    <row r="411">
      <c r="A411" t="inlineStr">
        <is>
          <t>RESIDENCIAL VENECIA</t>
        </is>
      </c>
      <c r="B411" t="inlineStr">
        <is>
          <t>Etapa 1</t>
        </is>
      </c>
      <c r="C411" t="inlineStr">
        <is>
          <t>Edificio</t>
        </is>
      </c>
      <c r="D411" t="inlineStr">
        <is>
          <t>A</t>
        </is>
      </c>
      <c r="E411" t="inlineStr">
        <is>
          <t>Departamento</t>
        </is>
      </c>
      <c r="F411" t="inlineStr">
        <is>
          <t>404</t>
        </is>
      </c>
      <c r="G411" t="n">
        <v>67</v>
      </c>
      <c r="H411" t="n">
        <v>0</v>
      </c>
      <c r="I411" s="39" t="n">
        <v>430000</v>
      </c>
      <c r="J411" s="39" t="n">
        <v>430000</v>
      </c>
      <c r="Q411" s="39" t="n"/>
      <c r="R411" s="39" t="n"/>
      <c r="Y411" s="39" t="n"/>
      <c r="Z411" s="39" t="n"/>
      <c r="AG411" s="39" t="n"/>
      <c r="AH411" s="39" t="n"/>
      <c r="AI411" t="inlineStr">
        <is>
          <t>Evelyn Arciela Leon Estela</t>
        </is>
      </c>
      <c r="AJ411" t="inlineStr">
        <is>
          <t>70313948</t>
        </is>
      </c>
      <c r="AK411" t="inlineStr">
        <is>
          <t xml:space="preserve">Segunda Etapa.Mz 41 Lt. 35 -Urb. Torre Blanca </t>
        </is>
      </c>
      <c r="AL411" t="n">
        <v>0</v>
      </c>
      <c r="AM411" t="inlineStr">
        <is>
          <t>980746975</t>
        </is>
      </c>
      <c r="AN411" t="inlineStr">
        <is>
          <t>eale.050791@gmail.com</t>
        </is>
      </c>
      <c r="AO411" t="inlineStr">
        <is>
          <t>LIMA</t>
        </is>
      </c>
      <c r="AP411" t="inlineStr">
        <is>
          <t>CARABAYLLO</t>
        </is>
      </c>
      <c r="AQ411" s="75" t="n">
        <v>46232.38888888889</v>
      </c>
      <c r="AR411" s="75" t="n">
        <v>46188</v>
      </c>
      <c r="AS411" t="inlineStr">
        <is>
          <t>SALDO FINANCIAR</t>
        </is>
      </c>
      <c r="AT411" t="n">
        <v>1</v>
      </c>
      <c r="AU411" t="n">
        <v>344000</v>
      </c>
      <c r="AV411" t="n">
        <v>0</v>
      </c>
      <c r="AW411" t="n">
        <v>0</v>
      </c>
      <c r="AX411" s="39" t="n">
        <v>344000</v>
      </c>
      <c r="AY411" s="39" t="n">
        <v>344000</v>
      </c>
      <c r="AZ411" s="39" t="n">
        <v>0</v>
      </c>
      <c r="BA411" t="n">
        <v>0</v>
      </c>
      <c r="BB411" t="inlineStr">
        <is>
          <t>Crédito Hipotecario</t>
        </is>
      </c>
      <c r="BC411" t="inlineStr">
        <is>
          <t>Scotiabank Perú</t>
        </is>
      </c>
      <c r="BD411" t="inlineStr">
        <is>
          <t>0004071419</t>
        </is>
      </c>
      <c r="BE411" t="inlineStr">
        <is>
          <t>TRANSFERENCIA BANCARIA</t>
        </is>
      </c>
      <c r="BH411" t="inlineStr">
        <is>
          <t>No</t>
        </is>
      </c>
      <c r="BJ411" t="n">
        <v>4</v>
      </c>
      <c r="BK411" t="inlineStr">
        <is>
          <t>CANCELADO</t>
        </is>
      </c>
      <c r="BV411" t="inlineStr">
        <is>
          <t>Si</t>
        </is>
      </c>
      <c r="BW411" s="76" t="n">
        <v>46178.34166666667</v>
      </c>
      <c r="BX411" t="inlineStr">
        <is>
          <t>Magaly Guevara Perez</t>
        </is>
      </c>
      <c r="BZ411" t="n">
        <v>8</v>
      </c>
      <c r="CA411" t="inlineStr">
        <is>
          <t>18/08/2026 16:07</t>
        </is>
      </c>
      <c r="CB411" t="n">
        <v>0</v>
      </c>
      <c r="CF411" t="inlineStr">
        <is>
          <t>Cobranzas_2026.csv</t>
        </is>
      </c>
      <c r="CG411" t="n">
        <v>2026</v>
      </c>
      <c r="CH411" t="inlineStr">
        <is>
          <t>01/01/2024</t>
        </is>
      </c>
      <c r="CI411" t="inlineStr">
        <is>
          <t>24/08/2031</t>
        </is>
      </c>
    </row>
    <row r="412">
      <c r="A412" t="inlineStr">
        <is>
          <t>RESIDENCIAL VENECIA</t>
        </is>
      </c>
      <c r="B412" t="inlineStr">
        <is>
          <t>Etapa 1</t>
        </is>
      </c>
      <c r="C412" t="inlineStr">
        <is>
          <t>Edificio</t>
        </is>
      </c>
      <c r="D412" t="inlineStr">
        <is>
          <t>A</t>
        </is>
      </c>
      <c r="E412" t="inlineStr">
        <is>
          <t>Estacionamiento</t>
        </is>
      </c>
      <c r="F412" t="inlineStr">
        <is>
          <t>E 04</t>
        </is>
      </c>
      <c r="G412" t="n">
        <v>13.63</v>
      </c>
      <c r="H412" t="n">
        <v>0</v>
      </c>
      <c r="I412" s="39" t="n">
        <v>48500</v>
      </c>
      <c r="J412" s="39" t="n">
        <v>48500</v>
      </c>
      <c r="Q412" s="39" t="n"/>
      <c r="R412" s="39" t="n"/>
      <c r="Y412" s="39" t="n"/>
      <c r="Z412" s="39" t="n"/>
      <c r="AG412" s="39" t="n"/>
      <c r="AH412" s="39" t="n"/>
      <c r="AI412" t="inlineStr">
        <is>
          <t>Evelyn Arciela Leon Estela</t>
        </is>
      </c>
      <c r="AJ412" t="inlineStr">
        <is>
          <t>70313948</t>
        </is>
      </c>
      <c r="AK412" t="inlineStr">
        <is>
          <t xml:space="preserve">Segunda Etapa.Mz 41 Lt. 35 -Urb. Torre Blanca </t>
        </is>
      </c>
      <c r="AL412" t="n">
        <v>0</v>
      </c>
      <c r="AM412" t="inlineStr">
        <is>
          <t>980746975</t>
        </is>
      </c>
      <c r="AN412" t="inlineStr">
        <is>
          <t>eale.050791@gmail.com</t>
        </is>
      </c>
      <c r="AO412" t="inlineStr">
        <is>
          <t>LIMA</t>
        </is>
      </c>
      <c r="AP412" t="inlineStr">
        <is>
          <t>CARABAYLLO</t>
        </is>
      </c>
      <c r="AQ412" s="75" t="n">
        <v>46053</v>
      </c>
      <c r="AR412" s="75" t="n">
        <v>46048</v>
      </c>
      <c r="AS412" t="inlineStr">
        <is>
          <t>SALDO FINANCIAR</t>
        </is>
      </c>
      <c r="AT412" t="n">
        <v>4</v>
      </c>
      <c r="AU412" t="n">
        <v>1940</v>
      </c>
      <c r="AV412" t="n">
        <v>0</v>
      </c>
      <c r="AW412" t="n">
        <v>0</v>
      </c>
      <c r="AX412" s="39" t="n">
        <v>1940</v>
      </c>
      <c r="AY412" s="39" t="n">
        <v>1940</v>
      </c>
      <c r="AZ412" s="39" t="n">
        <v>0</v>
      </c>
      <c r="BA412" t="n">
        <v>0</v>
      </c>
      <c r="BB412" t="inlineStr">
        <is>
          <t>Crédito Directo</t>
        </is>
      </c>
      <c r="BC412" t="inlineStr">
        <is>
          <t>Scotiabank Perú</t>
        </is>
      </c>
      <c r="BD412" t="inlineStr">
        <is>
          <t>0004071419</t>
        </is>
      </c>
      <c r="BE412" t="inlineStr">
        <is>
          <t>TRANSFERENCIA BANCARIA</t>
        </is>
      </c>
      <c r="BG412" t="inlineStr">
        <is>
          <t>U100022</t>
        </is>
      </c>
      <c r="BH412" t="inlineStr">
        <is>
          <t>No</t>
        </is>
      </c>
      <c r="BJ412" t="n">
        <v>4</v>
      </c>
      <c r="BK412" t="inlineStr">
        <is>
          <t>CANCELADO</t>
        </is>
      </c>
      <c r="BV412" t="inlineStr">
        <is>
          <t>Si</t>
        </is>
      </c>
      <c r="BW412" s="76" t="n">
        <v>45932.67638888889</v>
      </c>
      <c r="BX412" t="inlineStr">
        <is>
          <t>Magaly Guevara Perez</t>
        </is>
      </c>
      <c r="BZ412" t="n">
        <v>19</v>
      </c>
      <c r="CA412" t="inlineStr">
        <is>
          <t>02/07/2026 16:08</t>
        </is>
      </c>
      <c r="CB412" t="n">
        <v>0</v>
      </c>
      <c r="CF412" t="inlineStr">
        <is>
          <t>Cobranzas_2026.csv</t>
        </is>
      </c>
      <c r="CG412" t="n">
        <v>2026</v>
      </c>
      <c r="CH412" t="inlineStr">
        <is>
          <t>01/01/2024</t>
        </is>
      </c>
      <c r="CI412" t="inlineStr">
        <is>
          <t>24/08/2031</t>
        </is>
      </c>
    </row>
    <row r="413">
      <c r="A413" t="inlineStr">
        <is>
          <t>RESIDENCIAL VENECIA</t>
        </is>
      </c>
      <c r="B413" t="inlineStr">
        <is>
          <t>Etapa 1</t>
        </is>
      </c>
      <c r="C413" t="inlineStr">
        <is>
          <t>Edificio</t>
        </is>
      </c>
      <c r="D413" t="inlineStr">
        <is>
          <t>A</t>
        </is>
      </c>
      <c r="E413" t="inlineStr">
        <is>
          <t>Estacionamiento</t>
        </is>
      </c>
      <c r="F413" t="inlineStr">
        <is>
          <t>E 04</t>
        </is>
      </c>
      <c r="G413" t="n">
        <v>13.63</v>
      </c>
      <c r="H413" t="n">
        <v>0</v>
      </c>
      <c r="I413" s="39" t="n">
        <v>48500</v>
      </c>
      <c r="J413" s="39" t="n">
        <v>48500</v>
      </c>
      <c r="Q413" s="39" t="n"/>
      <c r="R413" s="39" t="n"/>
      <c r="Y413" s="39" t="n"/>
      <c r="Z413" s="39" t="n"/>
      <c r="AG413" s="39" t="n"/>
      <c r="AH413" s="39" t="n"/>
      <c r="AI413" t="inlineStr">
        <is>
          <t>Evelyn Arciela Leon Estela</t>
        </is>
      </c>
      <c r="AJ413" t="inlineStr">
        <is>
          <t>70313948</t>
        </is>
      </c>
      <c r="AK413" t="inlineStr">
        <is>
          <t xml:space="preserve">Segunda Etapa.Mz 41 Lt. 35 -Urb. Torre Blanca </t>
        </is>
      </c>
      <c r="AL413" t="n">
        <v>0</v>
      </c>
      <c r="AM413" t="inlineStr">
        <is>
          <t>980746975</t>
        </is>
      </c>
      <c r="AN413" t="inlineStr">
        <is>
          <t>eale.050791@gmail.com</t>
        </is>
      </c>
      <c r="AO413" t="inlineStr">
        <is>
          <t>LIMA</t>
        </is>
      </c>
      <c r="AP413" t="inlineStr">
        <is>
          <t>CARABAYLLO</t>
        </is>
      </c>
      <c r="AQ413" s="75" t="n">
        <v>46081</v>
      </c>
      <c r="AR413" s="75" t="n">
        <v>46078</v>
      </c>
      <c r="AS413" t="inlineStr">
        <is>
          <t>SALDO FINANCIAR</t>
        </is>
      </c>
      <c r="AT413" t="n">
        <v>5</v>
      </c>
      <c r="AU413" t="n">
        <v>1940</v>
      </c>
      <c r="AV413" t="n">
        <v>0</v>
      </c>
      <c r="AW413" t="n">
        <v>0</v>
      </c>
      <c r="AX413" s="39" t="n">
        <v>1940</v>
      </c>
      <c r="AY413" s="39" t="n">
        <v>1940</v>
      </c>
      <c r="AZ413" s="39" t="n">
        <v>0</v>
      </c>
      <c r="BA413" t="n">
        <v>0</v>
      </c>
      <c r="BB413" t="inlineStr">
        <is>
          <t>Crédito Directo</t>
        </is>
      </c>
      <c r="BC413" t="inlineStr">
        <is>
          <t>Scotiabank Perú</t>
        </is>
      </c>
      <c r="BD413" t="inlineStr">
        <is>
          <t>0004071419</t>
        </is>
      </c>
      <c r="BE413" t="inlineStr">
        <is>
          <t>TRANSFERENCIA BANCARIA</t>
        </is>
      </c>
      <c r="BG413" t="inlineStr">
        <is>
          <t>U27655</t>
        </is>
      </c>
      <c r="BH413" t="inlineStr">
        <is>
          <t>No</t>
        </is>
      </c>
      <c r="BJ413" t="n">
        <v>4</v>
      </c>
      <c r="BK413" t="inlineStr">
        <is>
          <t>CANCELADO</t>
        </is>
      </c>
      <c r="BV413" t="inlineStr">
        <is>
          <t>Si</t>
        </is>
      </c>
      <c r="BW413" s="76" t="n">
        <v>45932.67638888889</v>
      </c>
      <c r="BX413" t="inlineStr">
        <is>
          <t>Magaly Guevara Perez</t>
        </is>
      </c>
      <c r="BZ413" t="n">
        <v>19</v>
      </c>
      <c r="CA413" t="inlineStr">
        <is>
          <t>02/07/2026 16:09</t>
        </is>
      </c>
      <c r="CB413" t="n">
        <v>0</v>
      </c>
      <c r="CF413" t="inlineStr">
        <is>
          <t>Cobranzas_2026.csv</t>
        </is>
      </c>
      <c r="CG413" t="n">
        <v>2026</v>
      </c>
      <c r="CH413" t="inlineStr">
        <is>
          <t>01/01/2024</t>
        </is>
      </c>
      <c r="CI413" t="inlineStr">
        <is>
          <t>24/08/2031</t>
        </is>
      </c>
    </row>
    <row r="414">
      <c r="A414" t="inlineStr">
        <is>
          <t>RESIDENCIAL VENECIA</t>
        </is>
      </c>
      <c r="B414" t="inlineStr">
        <is>
          <t>Etapa 1</t>
        </is>
      </c>
      <c r="C414" t="inlineStr">
        <is>
          <t>Edificio</t>
        </is>
      </c>
      <c r="D414" t="inlineStr">
        <is>
          <t>A</t>
        </is>
      </c>
      <c r="E414" t="inlineStr">
        <is>
          <t>Estacionamiento</t>
        </is>
      </c>
      <c r="F414" t="inlineStr">
        <is>
          <t>E 04</t>
        </is>
      </c>
      <c r="G414" t="n">
        <v>13.63</v>
      </c>
      <c r="H414" t="n">
        <v>0</v>
      </c>
      <c r="I414" s="39" t="n">
        <v>48500</v>
      </c>
      <c r="J414" s="39" t="n">
        <v>48500</v>
      </c>
      <c r="Q414" s="39" t="n"/>
      <c r="R414" s="39" t="n"/>
      <c r="Y414" s="39" t="n"/>
      <c r="Z414" s="39" t="n"/>
      <c r="AG414" s="39" t="n"/>
      <c r="AH414" s="39" t="n"/>
      <c r="AI414" t="inlineStr">
        <is>
          <t>Evelyn Arciela Leon Estela</t>
        </is>
      </c>
      <c r="AJ414" t="inlineStr">
        <is>
          <t>70313948</t>
        </is>
      </c>
      <c r="AK414" t="inlineStr">
        <is>
          <t xml:space="preserve">Segunda Etapa.Mz 41 Lt. 35 -Urb. Torre Blanca </t>
        </is>
      </c>
      <c r="AL414" t="n">
        <v>0</v>
      </c>
      <c r="AM414" t="inlineStr">
        <is>
          <t>980746975</t>
        </is>
      </c>
      <c r="AN414" t="inlineStr">
        <is>
          <t>eale.050791@gmail.com</t>
        </is>
      </c>
      <c r="AO414" t="inlineStr">
        <is>
          <t>LIMA</t>
        </is>
      </c>
      <c r="AP414" t="inlineStr">
        <is>
          <t>CARABAYLLO</t>
        </is>
      </c>
      <c r="AQ414" s="75" t="n">
        <v>46112</v>
      </c>
      <c r="AR414" s="75" t="n">
        <v>46107</v>
      </c>
      <c r="AS414" t="inlineStr">
        <is>
          <t>SALDO FINANCIAR</t>
        </is>
      </c>
      <c r="AT414" t="n">
        <v>6</v>
      </c>
      <c r="AU414" t="n">
        <v>1940</v>
      </c>
      <c r="AV414" t="n">
        <v>0</v>
      </c>
      <c r="AW414" t="n">
        <v>0</v>
      </c>
      <c r="AX414" s="39" t="n">
        <v>1940</v>
      </c>
      <c r="AY414" s="39" t="n">
        <v>1940</v>
      </c>
      <c r="AZ414" s="39" t="n">
        <v>0</v>
      </c>
      <c r="BA414" t="n">
        <v>0</v>
      </c>
      <c r="BB414" t="inlineStr">
        <is>
          <t>Crédito Directo</t>
        </is>
      </c>
      <c r="BC414" t="inlineStr">
        <is>
          <t>Scotiabank Perú</t>
        </is>
      </c>
      <c r="BD414" t="inlineStr">
        <is>
          <t>0004071419</t>
        </is>
      </c>
      <c r="BE414" t="inlineStr">
        <is>
          <t>TRANSFERENCIA BANCARIA</t>
        </is>
      </c>
      <c r="BG414" t="inlineStr">
        <is>
          <t>U24661</t>
        </is>
      </c>
      <c r="BH414" t="inlineStr">
        <is>
          <t>No</t>
        </is>
      </c>
      <c r="BJ414" t="n">
        <v>4</v>
      </c>
      <c r="BK414" t="inlineStr">
        <is>
          <t>CANCELADO</t>
        </is>
      </c>
      <c r="BV414" t="inlineStr">
        <is>
          <t>Si</t>
        </is>
      </c>
      <c r="BW414" s="76" t="n">
        <v>45932.67638888889</v>
      </c>
      <c r="BX414" t="inlineStr">
        <is>
          <t>Magaly Guevara Perez</t>
        </is>
      </c>
      <c r="BZ414" t="n">
        <v>19</v>
      </c>
      <c r="CA414" t="inlineStr">
        <is>
          <t>02/07/2026 16:10</t>
        </is>
      </c>
      <c r="CB414" t="n">
        <v>0</v>
      </c>
      <c r="CF414" t="inlineStr">
        <is>
          <t>Cobranzas_2026.csv</t>
        </is>
      </c>
      <c r="CG414" t="n">
        <v>2026</v>
      </c>
      <c r="CH414" t="inlineStr">
        <is>
          <t>01/01/2024</t>
        </is>
      </c>
      <c r="CI414" t="inlineStr">
        <is>
          <t>24/08/2031</t>
        </is>
      </c>
    </row>
    <row r="415">
      <c r="A415" t="inlineStr">
        <is>
          <t>RESIDENCIAL VENECIA</t>
        </is>
      </c>
      <c r="B415" t="inlineStr">
        <is>
          <t>Etapa 1</t>
        </is>
      </c>
      <c r="C415" t="inlineStr">
        <is>
          <t>Edificio</t>
        </is>
      </c>
      <c r="D415" t="inlineStr">
        <is>
          <t>A</t>
        </is>
      </c>
      <c r="E415" t="inlineStr">
        <is>
          <t>Estacionamiento</t>
        </is>
      </c>
      <c r="F415" t="inlineStr">
        <is>
          <t>E 04</t>
        </is>
      </c>
      <c r="G415" t="n">
        <v>13.63</v>
      </c>
      <c r="H415" t="n">
        <v>0</v>
      </c>
      <c r="I415" s="39" t="n">
        <v>48500</v>
      </c>
      <c r="J415" s="39" t="n">
        <v>48500</v>
      </c>
      <c r="Q415" s="39" t="n"/>
      <c r="R415" s="39" t="n"/>
      <c r="Y415" s="39" t="n"/>
      <c r="Z415" s="39" t="n"/>
      <c r="AG415" s="39" t="n"/>
      <c r="AH415" s="39" t="n"/>
      <c r="AI415" t="inlineStr">
        <is>
          <t>Evelyn Arciela Leon Estela</t>
        </is>
      </c>
      <c r="AJ415" t="inlineStr">
        <is>
          <t>70313948</t>
        </is>
      </c>
      <c r="AK415" t="inlineStr">
        <is>
          <t xml:space="preserve">Segunda Etapa.Mz 41 Lt. 35 -Urb. Torre Blanca </t>
        </is>
      </c>
      <c r="AL415" t="n">
        <v>0</v>
      </c>
      <c r="AM415" t="inlineStr">
        <is>
          <t>980746975</t>
        </is>
      </c>
      <c r="AN415" t="inlineStr">
        <is>
          <t>eale.050791@gmail.com</t>
        </is>
      </c>
      <c r="AO415" t="inlineStr">
        <is>
          <t>LIMA</t>
        </is>
      </c>
      <c r="AP415" t="inlineStr">
        <is>
          <t>CARABAYLLO</t>
        </is>
      </c>
      <c r="AQ415" s="75" t="n">
        <v>46142</v>
      </c>
      <c r="AR415" s="75" t="n">
        <v>46134</v>
      </c>
      <c r="AS415" t="inlineStr">
        <is>
          <t>SALDO FINANCIAR</t>
        </is>
      </c>
      <c r="AT415" t="n">
        <v>7</v>
      </c>
      <c r="AU415" t="n">
        <v>1940</v>
      </c>
      <c r="AV415" t="n">
        <v>0</v>
      </c>
      <c r="AW415" t="n">
        <v>0</v>
      </c>
      <c r="AX415" s="39" t="n">
        <v>1940</v>
      </c>
      <c r="AY415" s="39" t="n">
        <v>1940</v>
      </c>
      <c r="AZ415" s="39" t="n">
        <v>0</v>
      </c>
      <c r="BA415" t="n">
        <v>0</v>
      </c>
      <c r="BB415" t="inlineStr">
        <is>
          <t>Crédito Directo</t>
        </is>
      </c>
      <c r="BC415" t="inlineStr">
        <is>
          <t>Scotiabank Perú</t>
        </is>
      </c>
      <c r="BD415" t="inlineStr">
        <is>
          <t>0004071419</t>
        </is>
      </c>
      <c r="BE415" t="inlineStr">
        <is>
          <t>TRANSFERENCIA BANCARIA</t>
        </is>
      </c>
      <c r="BG415" t="inlineStr">
        <is>
          <t>U1000499</t>
        </is>
      </c>
      <c r="BH415" t="inlineStr">
        <is>
          <t>No</t>
        </is>
      </c>
      <c r="BJ415" t="n">
        <v>4</v>
      </c>
      <c r="BK415" t="inlineStr">
        <is>
          <t>CANCELADO</t>
        </is>
      </c>
      <c r="BV415" t="inlineStr">
        <is>
          <t>Si</t>
        </is>
      </c>
      <c r="BW415" s="76" t="n">
        <v>45932.67638888889</v>
      </c>
      <c r="BX415" t="inlineStr">
        <is>
          <t>Magaly Guevara Perez</t>
        </is>
      </c>
      <c r="BZ415" t="n">
        <v>19</v>
      </c>
      <c r="CA415" t="inlineStr">
        <is>
          <t>02/07/2026 16:11</t>
        </is>
      </c>
      <c r="CB415" t="n">
        <v>0</v>
      </c>
      <c r="CF415" t="inlineStr">
        <is>
          <t>Cobranzas_2026.csv</t>
        </is>
      </c>
      <c r="CG415" t="n">
        <v>2026</v>
      </c>
      <c r="CH415" t="inlineStr">
        <is>
          <t>01/01/2024</t>
        </is>
      </c>
      <c r="CI415" t="inlineStr">
        <is>
          <t>24/08/2031</t>
        </is>
      </c>
    </row>
    <row r="416">
      <c r="A416" t="inlineStr">
        <is>
          <t>RESIDENCIAL VENECIA</t>
        </is>
      </c>
      <c r="B416" t="inlineStr">
        <is>
          <t>Etapa 1</t>
        </is>
      </c>
      <c r="C416" t="inlineStr">
        <is>
          <t>Edificio</t>
        </is>
      </c>
      <c r="D416" t="inlineStr">
        <is>
          <t>A</t>
        </is>
      </c>
      <c r="E416" t="inlineStr">
        <is>
          <t>Estacionamiento</t>
        </is>
      </c>
      <c r="F416" t="inlineStr">
        <is>
          <t>E 04</t>
        </is>
      </c>
      <c r="G416" t="n">
        <v>13.63</v>
      </c>
      <c r="H416" t="n">
        <v>0</v>
      </c>
      <c r="I416" s="39" t="n">
        <v>48500</v>
      </c>
      <c r="J416" s="39" t="n">
        <v>48500</v>
      </c>
      <c r="Q416" s="39" t="n"/>
      <c r="R416" s="39" t="n"/>
      <c r="Y416" s="39" t="n"/>
      <c r="Z416" s="39" t="n"/>
      <c r="AG416" s="39" t="n"/>
      <c r="AH416" s="39" t="n"/>
      <c r="AI416" t="inlineStr">
        <is>
          <t>Evelyn Arciela Leon Estela</t>
        </is>
      </c>
      <c r="AJ416" t="inlineStr">
        <is>
          <t>70313948</t>
        </is>
      </c>
      <c r="AK416" t="inlineStr">
        <is>
          <t xml:space="preserve">Segunda Etapa.Mz 41 Lt. 35 -Urb. Torre Blanca </t>
        </is>
      </c>
      <c r="AL416" t="n">
        <v>0</v>
      </c>
      <c r="AM416" t="inlineStr">
        <is>
          <t>980746975</t>
        </is>
      </c>
      <c r="AN416" t="inlineStr">
        <is>
          <t>eale.050791@gmail.com</t>
        </is>
      </c>
      <c r="AO416" t="inlineStr">
        <is>
          <t>LIMA</t>
        </is>
      </c>
      <c r="AP416" t="inlineStr">
        <is>
          <t>CARABAYLLO</t>
        </is>
      </c>
      <c r="AQ416" s="75" t="n">
        <v>46173</v>
      </c>
      <c r="AR416" s="75" t="n">
        <v>46167</v>
      </c>
      <c r="AS416" t="inlineStr">
        <is>
          <t>SALDO FINANCIAR</t>
        </is>
      </c>
      <c r="AT416" t="n">
        <v>8</v>
      </c>
      <c r="AU416" t="n">
        <v>1940</v>
      </c>
      <c r="AV416" t="n">
        <v>0</v>
      </c>
      <c r="AW416" t="n">
        <v>0</v>
      </c>
      <c r="AX416" s="39" t="n">
        <v>1940</v>
      </c>
      <c r="AY416" s="39" t="n">
        <v>1940</v>
      </c>
      <c r="AZ416" s="39" t="n">
        <v>0</v>
      </c>
      <c r="BA416" t="n">
        <v>0</v>
      </c>
      <c r="BB416" t="inlineStr">
        <is>
          <t>Crédito Directo</t>
        </is>
      </c>
      <c r="BC416" t="inlineStr">
        <is>
          <t>Scotiabank Perú</t>
        </is>
      </c>
      <c r="BD416" t="inlineStr">
        <is>
          <t>0004071419</t>
        </is>
      </c>
      <c r="BE416" t="inlineStr">
        <is>
          <t>TRANSFERENCIA BANCARIA</t>
        </is>
      </c>
      <c r="BG416" t="inlineStr">
        <is>
          <t>U24661</t>
        </is>
      </c>
      <c r="BH416" t="inlineStr">
        <is>
          <t>No</t>
        </is>
      </c>
      <c r="BJ416" t="n">
        <v>4</v>
      </c>
      <c r="BK416" t="inlineStr">
        <is>
          <t>CANCELADO</t>
        </is>
      </c>
      <c r="BV416" t="inlineStr">
        <is>
          <t>Si</t>
        </is>
      </c>
      <c r="BW416" s="76" t="n">
        <v>45932.67638888889</v>
      </c>
      <c r="BX416" t="inlineStr">
        <is>
          <t>Magaly Guevara Perez</t>
        </is>
      </c>
      <c r="BZ416" t="n">
        <v>19</v>
      </c>
      <c r="CA416" t="inlineStr">
        <is>
          <t>02/07/2026 16:12</t>
        </is>
      </c>
      <c r="CB416" t="n">
        <v>0</v>
      </c>
      <c r="CF416" t="inlineStr">
        <is>
          <t>Cobranzas_2026.csv</t>
        </is>
      </c>
      <c r="CG416" t="n">
        <v>2026</v>
      </c>
      <c r="CH416" t="inlineStr">
        <is>
          <t>01/01/2024</t>
        </is>
      </c>
      <c r="CI416" t="inlineStr">
        <is>
          <t>24/08/2031</t>
        </is>
      </c>
    </row>
    <row r="417">
      <c r="A417" t="inlineStr">
        <is>
          <t>RESIDENCIAL VENECIA</t>
        </is>
      </c>
      <c r="B417" t="inlineStr">
        <is>
          <t>Etapa 1</t>
        </is>
      </c>
      <c r="C417" t="inlineStr">
        <is>
          <t>Edificio</t>
        </is>
      </c>
      <c r="D417" t="inlineStr">
        <is>
          <t>A</t>
        </is>
      </c>
      <c r="E417" t="inlineStr">
        <is>
          <t>Estacionamiento</t>
        </is>
      </c>
      <c r="F417" t="inlineStr">
        <is>
          <t>E 04</t>
        </is>
      </c>
      <c r="G417" t="n">
        <v>13.63</v>
      </c>
      <c r="H417" t="n">
        <v>0</v>
      </c>
      <c r="I417" s="39" t="n">
        <v>48500</v>
      </c>
      <c r="J417" s="39" t="n">
        <v>48500</v>
      </c>
      <c r="Q417" s="39" t="n"/>
      <c r="R417" s="39" t="n"/>
      <c r="Y417" s="39" t="n"/>
      <c r="Z417" s="39" t="n"/>
      <c r="AG417" s="39" t="n"/>
      <c r="AH417" s="39" t="n"/>
      <c r="AI417" t="inlineStr">
        <is>
          <t>Evelyn Arciela Leon Estela</t>
        </is>
      </c>
      <c r="AJ417" t="inlineStr">
        <is>
          <t>70313948</t>
        </is>
      </c>
      <c r="AK417" t="inlineStr">
        <is>
          <t xml:space="preserve">Segunda Etapa.Mz 41 Lt. 35 -Urb. Torre Blanca </t>
        </is>
      </c>
      <c r="AL417" t="n">
        <v>0</v>
      </c>
      <c r="AM417" t="inlineStr">
        <is>
          <t>980746975</t>
        </is>
      </c>
      <c r="AN417" t="inlineStr">
        <is>
          <t>eale.050791@gmail.com</t>
        </is>
      </c>
      <c r="AO417" t="inlineStr">
        <is>
          <t>LIMA</t>
        </is>
      </c>
      <c r="AP417" t="inlineStr">
        <is>
          <t>CARABAYLLO</t>
        </is>
      </c>
      <c r="AQ417" s="75" t="n">
        <v>46203</v>
      </c>
      <c r="AR417" s="75" t="n">
        <v>46196</v>
      </c>
      <c r="AS417" t="inlineStr">
        <is>
          <t>SALDO FINANCIAR</t>
        </is>
      </c>
      <c r="AT417" t="n">
        <v>9</v>
      </c>
      <c r="AU417" t="n">
        <v>1940</v>
      </c>
      <c r="AV417" t="n">
        <v>0</v>
      </c>
      <c r="AW417" t="n">
        <v>0</v>
      </c>
      <c r="AX417" s="39" t="n">
        <v>1940</v>
      </c>
      <c r="AY417" s="39" t="n">
        <v>1940</v>
      </c>
      <c r="AZ417" s="39" t="n">
        <v>0</v>
      </c>
      <c r="BA417" t="n">
        <v>0</v>
      </c>
      <c r="BB417" t="inlineStr">
        <is>
          <t>Crédito Directo</t>
        </is>
      </c>
      <c r="BC417" t="inlineStr">
        <is>
          <t>Scotiabank Perú</t>
        </is>
      </c>
      <c r="BD417" t="inlineStr">
        <is>
          <t>0004071419</t>
        </is>
      </c>
      <c r="BE417" t="inlineStr">
        <is>
          <t>TRANSFERENCIA BANCARIA</t>
        </is>
      </c>
      <c r="BG417" t="inlineStr">
        <is>
          <t>U101281</t>
        </is>
      </c>
      <c r="BH417" t="inlineStr">
        <is>
          <t>No</t>
        </is>
      </c>
      <c r="BJ417" t="n">
        <v>4</v>
      </c>
      <c r="BK417" t="inlineStr">
        <is>
          <t>CANCELADO</t>
        </is>
      </c>
      <c r="BV417" t="inlineStr">
        <is>
          <t>Si</t>
        </is>
      </c>
      <c r="BW417" s="76" t="n">
        <v>45932.67638888889</v>
      </c>
      <c r="BX417" t="inlineStr">
        <is>
          <t>Magaly Guevara Perez</t>
        </is>
      </c>
      <c r="BZ417" t="n">
        <v>19</v>
      </c>
      <c r="CA417" t="inlineStr">
        <is>
          <t>02/07/2026 16:12</t>
        </is>
      </c>
      <c r="CB417" t="n">
        <v>0</v>
      </c>
      <c r="CF417" t="inlineStr">
        <is>
          <t>Cobranzas_2026.csv</t>
        </is>
      </c>
      <c r="CG417" t="n">
        <v>2026</v>
      </c>
      <c r="CH417" t="inlineStr">
        <is>
          <t>01/01/2024</t>
        </is>
      </c>
      <c r="CI417" t="inlineStr">
        <is>
          <t>24/08/2031</t>
        </is>
      </c>
    </row>
    <row r="418">
      <c r="A418" t="inlineStr">
        <is>
          <t>RESIDENCIAL VENECIA</t>
        </is>
      </c>
      <c r="B418" t="inlineStr">
        <is>
          <t>Etapa 1</t>
        </is>
      </c>
      <c r="C418" t="inlineStr">
        <is>
          <t>Edificio</t>
        </is>
      </c>
      <c r="D418" t="inlineStr">
        <is>
          <t>A</t>
        </is>
      </c>
      <c r="E418" t="inlineStr">
        <is>
          <t>Estacionamiento</t>
        </is>
      </c>
      <c r="F418" t="inlineStr">
        <is>
          <t>E 04</t>
        </is>
      </c>
      <c r="G418" t="n">
        <v>13.63</v>
      </c>
      <c r="H418" t="n">
        <v>0</v>
      </c>
      <c r="I418" s="39" t="n">
        <v>48500</v>
      </c>
      <c r="J418" s="39" t="n">
        <v>48500</v>
      </c>
      <c r="Q418" s="39" t="n"/>
      <c r="R418" s="39" t="n"/>
      <c r="Y418" s="39" t="n"/>
      <c r="Z418" s="39" t="n"/>
      <c r="AG418" s="39" t="n"/>
      <c r="AH418" s="39" t="n"/>
      <c r="AI418" t="inlineStr">
        <is>
          <t>Evelyn Arciela Leon Estela</t>
        </is>
      </c>
      <c r="AJ418" t="inlineStr">
        <is>
          <t>70313948</t>
        </is>
      </c>
      <c r="AK418" t="inlineStr">
        <is>
          <t xml:space="preserve">Segunda Etapa.Mz 41 Lt. 35 -Urb. Torre Blanca </t>
        </is>
      </c>
      <c r="AL418" t="n">
        <v>0</v>
      </c>
      <c r="AM418" t="inlineStr">
        <is>
          <t>980746975</t>
        </is>
      </c>
      <c r="AN418" t="inlineStr">
        <is>
          <t>eale.050791@gmail.com</t>
        </is>
      </c>
      <c r="AO418" t="inlineStr">
        <is>
          <t>LIMA</t>
        </is>
      </c>
      <c r="AP418" t="inlineStr">
        <is>
          <t>CARABAYLLO</t>
        </is>
      </c>
      <c r="AQ418" s="75" t="n">
        <v>46234</v>
      </c>
      <c r="AR418" s="75" t="n">
        <v>46223</v>
      </c>
      <c r="AS418" t="inlineStr">
        <is>
          <t>SALDO FINANCIAR</t>
        </is>
      </c>
      <c r="AT418" t="n">
        <v>10</v>
      </c>
      <c r="AU418" t="n">
        <v>1940</v>
      </c>
      <c r="AV418" t="n">
        <v>0</v>
      </c>
      <c r="AW418" t="n">
        <v>0</v>
      </c>
      <c r="AX418" s="39" t="n">
        <v>1940</v>
      </c>
      <c r="AY418" s="39" t="n">
        <v>1940</v>
      </c>
      <c r="AZ418" s="39" t="n">
        <v>0</v>
      </c>
      <c r="BA418" t="n">
        <v>0</v>
      </c>
      <c r="BB418" t="inlineStr">
        <is>
          <t>Crédito Directo</t>
        </is>
      </c>
      <c r="BC418" t="inlineStr">
        <is>
          <t>Scotiabank Perú</t>
        </is>
      </c>
      <c r="BD418" t="inlineStr">
        <is>
          <t>0004071419</t>
        </is>
      </c>
      <c r="BE418" t="inlineStr">
        <is>
          <t>TRANSFERENCIA BANCARIA</t>
        </is>
      </c>
      <c r="BG418" t="inlineStr">
        <is>
          <t>100645</t>
        </is>
      </c>
      <c r="BH418" t="inlineStr">
        <is>
          <t>No</t>
        </is>
      </c>
      <c r="BJ418" t="n">
        <v>4</v>
      </c>
      <c r="BK418" t="inlineStr">
        <is>
          <t>CANCELADO</t>
        </is>
      </c>
      <c r="BV418" t="inlineStr">
        <is>
          <t>Si</t>
        </is>
      </c>
      <c r="BW418" s="76" t="n">
        <v>45932.67638888889</v>
      </c>
      <c r="BX418" t="inlineStr">
        <is>
          <t>Magaly Guevara Perez</t>
        </is>
      </c>
      <c r="BZ418" t="n">
        <v>19</v>
      </c>
      <c r="CA418" t="inlineStr">
        <is>
          <t>18/08/2026 16:41</t>
        </is>
      </c>
      <c r="CB418" t="n">
        <v>0</v>
      </c>
      <c r="CF418" t="inlineStr">
        <is>
          <t>Cobranzas_2026.csv</t>
        </is>
      </c>
      <c r="CG418" t="n">
        <v>2026</v>
      </c>
      <c r="CH418" t="inlineStr">
        <is>
          <t>01/01/2024</t>
        </is>
      </c>
      <c r="CI418" t="inlineStr">
        <is>
          <t>24/08/2031</t>
        </is>
      </c>
    </row>
    <row r="419">
      <c r="A419" t="inlineStr">
        <is>
          <t>RESIDENCIAL VENECIA</t>
        </is>
      </c>
      <c r="B419" t="inlineStr">
        <is>
          <t>Etapa 1</t>
        </is>
      </c>
      <c r="C419" t="inlineStr">
        <is>
          <t>Edificio</t>
        </is>
      </c>
      <c r="D419" t="inlineStr">
        <is>
          <t>A</t>
        </is>
      </c>
      <c r="E419" t="inlineStr">
        <is>
          <t>Estacionamiento</t>
        </is>
      </c>
      <c r="F419" t="inlineStr">
        <is>
          <t>E 04</t>
        </is>
      </c>
      <c r="G419" t="n">
        <v>13.63</v>
      </c>
      <c r="H419" t="n">
        <v>0</v>
      </c>
      <c r="I419" s="39" t="n">
        <v>48500</v>
      </c>
      <c r="J419" s="39" t="n">
        <v>48500</v>
      </c>
      <c r="Q419" s="39" t="n"/>
      <c r="R419" s="39" t="n"/>
      <c r="Y419" s="39" t="n"/>
      <c r="Z419" s="39" t="n"/>
      <c r="AG419" s="39" t="n"/>
      <c r="AH419" s="39" t="n"/>
      <c r="AI419" t="inlineStr">
        <is>
          <t>Evelyn Arciela Leon Estela</t>
        </is>
      </c>
      <c r="AJ419" t="inlineStr">
        <is>
          <t>70313948</t>
        </is>
      </c>
      <c r="AK419" t="inlineStr">
        <is>
          <t xml:space="preserve">Segunda Etapa.Mz 41 Lt. 35 -Urb. Torre Blanca </t>
        </is>
      </c>
      <c r="AL419" t="n">
        <v>0</v>
      </c>
      <c r="AM419" t="inlineStr">
        <is>
          <t>980746975</t>
        </is>
      </c>
      <c r="AN419" t="inlineStr">
        <is>
          <t>eale.050791@gmail.com</t>
        </is>
      </c>
      <c r="AO419" t="inlineStr">
        <is>
          <t>LIMA</t>
        </is>
      </c>
      <c r="AP419" t="inlineStr">
        <is>
          <t>CARABAYLLO</t>
        </is>
      </c>
      <c r="AQ419" s="75" t="n">
        <v>46265</v>
      </c>
      <c r="AR419" s="75" t="n">
        <v>46254</v>
      </c>
      <c r="AS419" t="inlineStr">
        <is>
          <t>SALDO FINANCIAR</t>
        </is>
      </c>
      <c r="AT419" t="n">
        <v>11</v>
      </c>
      <c r="AU419" t="n">
        <v>1940</v>
      </c>
      <c r="AV419" t="n">
        <v>0</v>
      </c>
      <c r="AW419" t="n">
        <v>0</v>
      </c>
      <c r="AX419" s="39" t="n">
        <v>1940</v>
      </c>
      <c r="AY419" s="39" t="n">
        <v>1940</v>
      </c>
      <c r="AZ419" s="39" t="n">
        <v>0</v>
      </c>
      <c r="BA419" t="n">
        <v>0</v>
      </c>
      <c r="BB419" t="inlineStr">
        <is>
          <t>Crédito Directo</t>
        </is>
      </c>
      <c r="BC419" t="inlineStr">
        <is>
          <t>Scotiabank Perú</t>
        </is>
      </c>
      <c r="BD419" t="inlineStr">
        <is>
          <t>0004071419</t>
        </is>
      </c>
      <c r="BE419" t="inlineStr">
        <is>
          <t>TRANSFERENCIA BANCARIA</t>
        </is>
      </c>
      <c r="BG419" t="inlineStr">
        <is>
          <t>U27443</t>
        </is>
      </c>
      <c r="BH419" t="inlineStr">
        <is>
          <t>No</t>
        </is>
      </c>
      <c r="BJ419" t="n">
        <v>4</v>
      </c>
      <c r="BK419" t="inlineStr">
        <is>
          <t>CANCELADO</t>
        </is>
      </c>
      <c r="BV419" t="inlineStr">
        <is>
          <t>Si</t>
        </is>
      </c>
      <c r="BW419" s="76" t="n">
        <v>45932.67638888889</v>
      </c>
      <c r="BX419" t="inlineStr">
        <is>
          <t>Magaly Guevara Perez</t>
        </is>
      </c>
      <c r="BZ419" t="n">
        <v>19</v>
      </c>
      <c r="CA419" t="inlineStr">
        <is>
          <t>21/08/2026 10:47</t>
        </is>
      </c>
      <c r="CB419" t="n">
        <v>0</v>
      </c>
      <c r="CF419" t="inlineStr">
        <is>
          <t>Cobranzas_2026.csv</t>
        </is>
      </c>
      <c r="CG419" t="n">
        <v>2026</v>
      </c>
      <c r="CH419" t="inlineStr">
        <is>
          <t>01/01/2024</t>
        </is>
      </c>
      <c r="CI419" t="inlineStr">
        <is>
          <t>24/08/2031</t>
        </is>
      </c>
    </row>
    <row r="420">
      <c r="A420" t="inlineStr">
        <is>
          <t>RESIDENCIAL VENECIA</t>
        </is>
      </c>
      <c r="B420" t="inlineStr">
        <is>
          <t>Etapa 1</t>
        </is>
      </c>
      <c r="C420" t="inlineStr">
        <is>
          <t>Edificio</t>
        </is>
      </c>
      <c r="D420" t="inlineStr">
        <is>
          <t>A</t>
        </is>
      </c>
      <c r="E420" t="inlineStr">
        <is>
          <t>Estacionamiento</t>
        </is>
      </c>
      <c r="F420" t="inlineStr">
        <is>
          <t>E 04</t>
        </is>
      </c>
      <c r="G420" t="n">
        <v>13.63</v>
      </c>
      <c r="H420" t="n">
        <v>0</v>
      </c>
      <c r="I420" s="39" t="n">
        <v>48500</v>
      </c>
      <c r="J420" s="39" t="n">
        <v>48500</v>
      </c>
      <c r="Q420" s="39" t="n"/>
      <c r="R420" s="39" t="n"/>
      <c r="Y420" s="39" t="n"/>
      <c r="Z420" s="39" t="n"/>
      <c r="AG420" s="39" t="n"/>
      <c r="AH420" s="39" t="n"/>
      <c r="AI420" t="inlineStr">
        <is>
          <t>Evelyn Arciela Leon Estela</t>
        </is>
      </c>
      <c r="AJ420" t="inlineStr">
        <is>
          <t>70313948</t>
        </is>
      </c>
      <c r="AK420" t="inlineStr">
        <is>
          <t xml:space="preserve">Segunda Etapa.Mz 41 Lt. 35 -Urb. Torre Blanca </t>
        </is>
      </c>
      <c r="AL420" t="n">
        <v>0</v>
      </c>
      <c r="AM420" t="inlineStr">
        <is>
          <t>980746975</t>
        </is>
      </c>
      <c r="AN420" t="inlineStr">
        <is>
          <t>eale.050791@gmail.com</t>
        </is>
      </c>
      <c r="AO420" t="inlineStr">
        <is>
          <t>LIMA</t>
        </is>
      </c>
      <c r="AP420" t="inlineStr">
        <is>
          <t>CARABAYLLO</t>
        </is>
      </c>
      <c r="AQ420" s="75" t="n">
        <v>46295</v>
      </c>
      <c r="AR420" s="75" t="n"/>
      <c r="AS420" t="inlineStr">
        <is>
          <t>SALDO FINANCIAR</t>
        </is>
      </c>
      <c r="AT420" t="n">
        <v>12</v>
      </c>
      <c r="AU420" t="n">
        <v>1940</v>
      </c>
      <c r="AV420" t="n">
        <v>0</v>
      </c>
      <c r="AW420" t="n">
        <v>0</v>
      </c>
      <c r="AX420" s="39" t="n">
        <v>1940</v>
      </c>
      <c r="AY420" s="39" t="n">
        <v>0</v>
      </c>
      <c r="AZ420" s="39" t="n">
        <v>1940</v>
      </c>
      <c r="BB420" t="inlineStr">
        <is>
          <t>Crédito Directo</t>
        </is>
      </c>
      <c r="BH420" t="inlineStr">
        <is>
          <t>No</t>
        </is>
      </c>
      <c r="BK420" t="inlineStr">
        <is>
          <t>PENDIENTE</t>
        </is>
      </c>
      <c r="BV420" t="inlineStr">
        <is>
          <t>No</t>
        </is>
      </c>
      <c r="BW420" s="76" t="n">
        <v>45932.67638888889</v>
      </c>
      <c r="BX420" t="inlineStr">
        <is>
          <t>Magaly Guevara Perez</t>
        </is>
      </c>
      <c r="BZ420" t="n">
        <v>19</v>
      </c>
      <c r="CB420" t="n">
        <v>0</v>
      </c>
      <c r="CF420" t="inlineStr">
        <is>
          <t>Cobranzas_2026.csv</t>
        </is>
      </c>
      <c r="CG420" t="n">
        <v>2026</v>
      </c>
      <c r="CH420" t="inlineStr">
        <is>
          <t>01/01/2024</t>
        </is>
      </c>
      <c r="CI420" t="inlineStr">
        <is>
          <t>24/08/2031</t>
        </is>
      </c>
    </row>
    <row r="421">
      <c r="A421" t="inlineStr">
        <is>
          <t>RESIDENCIAL VENECIA</t>
        </is>
      </c>
      <c r="B421" t="inlineStr">
        <is>
          <t>Etapa 1</t>
        </is>
      </c>
      <c r="C421" t="inlineStr">
        <is>
          <t>Edificio</t>
        </is>
      </c>
      <c r="D421" t="inlineStr">
        <is>
          <t>A</t>
        </is>
      </c>
      <c r="E421" t="inlineStr">
        <is>
          <t>Estacionamiento</t>
        </is>
      </c>
      <c r="F421" t="inlineStr">
        <is>
          <t>E 04</t>
        </is>
      </c>
      <c r="G421" t="n">
        <v>13.63</v>
      </c>
      <c r="H421" t="n">
        <v>0</v>
      </c>
      <c r="I421" s="39" t="n">
        <v>48500</v>
      </c>
      <c r="J421" s="39" t="n">
        <v>48500</v>
      </c>
      <c r="Q421" s="39" t="n"/>
      <c r="R421" s="39" t="n"/>
      <c r="Y421" s="39" t="n"/>
      <c r="Z421" s="39" t="n"/>
      <c r="AG421" s="39" t="n"/>
      <c r="AH421" s="39" t="n"/>
      <c r="AI421" t="inlineStr">
        <is>
          <t>Evelyn Arciela Leon Estela</t>
        </is>
      </c>
      <c r="AJ421" t="inlineStr">
        <is>
          <t>70313948</t>
        </is>
      </c>
      <c r="AK421" t="inlineStr">
        <is>
          <t xml:space="preserve">Segunda Etapa.Mz 41 Lt. 35 -Urb. Torre Blanca </t>
        </is>
      </c>
      <c r="AL421" t="n">
        <v>0</v>
      </c>
      <c r="AM421" t="inlineStr">
        <is>
          <t>980746975</t>
        </is>
      </c>
      <c r="AN421" t="inlineStr">
        <is>
          <t>eale.050791@gmail.com</t>
        </is>
      </c>
      <c r="AO421" t="inlineStr">
        <is>
          <t>LIMA</t>
        </is>
      </c>
      <c r="AP421" t="inlineStr">
        <is>
          <t>CARABAYLLO</t>
        </is>
      </c>
      <c r="AQ421" s="75" t="n">
        <v>46326</v>
      </c>
      <c r="AR421" s="75" t="n"/>
      <c r="AS421" t="inlineStr">
        <is>
          <t>SALDO FINANCIAR</t>
        </is>
      </c>
      <c r="AT421" t="n">
        <v>13</v>
      </c>
      <c r="AU421" t="n">
        <v>1940</v>
      </c>
      <c r="AV421" t="n">
        <v>0</v>
      </c>
      <c r="AW421" t="n">
        <v>0</v>
      </c>
      <c r="AX421" s="39" t="n">
        <v>1940</v>
      </c>
      <c r="AY421" s="39" t="n">
        <v>0</v>
      </c>
      <c r="AZ421" s="39" t="n">
        <v>1940</v>
      </c>
      <c r="BB421" t="inlineStr">
        <is>
          <t>Crédito Directo</t>
        </is>
      </c>
      <c r="BH421" t="inlineStr">
        <is>
          <t>No</t>
        </is>
      </c>
      <c r="BK421" t="inlineStr">
        <is>
          <t>PENDIENTE</t>
        </is>
      </c>
      <c r="BV421" t="inlineStr">
        <is>
          <t>No</t>
        </is>
      </c>
      <c r="BW421" s="76" t="n">
        <v>45932.67638888889</v>
      </c>
      <c r="BX421" t="inlineStr">
        <is>
          <t>Magaly Guevara Perez</t>
        </is>
      </c>
      <c r="BZ421" t="n">
        <v>19</v>
      </c>
      <c r="CB421" t="n">
        <v>0</v>
      </c>
      <c r="CF421" t="inlineStr">
        <is>
          <t>Cobranzas_2026.csv</t>
        </is>
      </c>
      <c r="CG421" t="n">
        <v>2026</v>
      </c>
      <c r="CH421" t="inlineStr">
        <is>
          <t>01/01/2024</t>
        </is>
      </c>
      <c r="CI421" t="inlineStr">
        <is>
          <t>24/08/2031</t>
        </is>
      </c>
    </row>
    <row r="422">
      <c r="A422" t="inlineStr">
        <is>
          <t>RESIDENCIAL VENECIA</t>
        </is>
      </c>
      <c r="B422" t="inlineStr">
        <is>
          <t>Etapa 1</t>
        </is>
      </c>
      <c r="C422" t="inlineStr">
        <is>
          <t>Edificio</t>
        </is>
      </c>
      <c r="D422" t="inlineStr">
        <is>
          <t>A</t>
        </is>
      </c>
      <c r="E422" t="inlineStr">
        <is>
          <t>Estacionamiento</t>
        </is>
      </c>
      <c r="F422" t="inlineStr">
        <is>
          <t>E 04</t>
        </is>
      </c>
      <c r="G422" t="n">
        <v>13.63</v>
      </c>
      <c r="H422" t="n">
        <v>0</v>
      </c>
      <c r="I422" s="39" t="n">
        <v>48500</v>
      </c>
      <c r="J422" s="39" t="n">
        <v>48500</v>
      </c>
      <c r="Q422" s="39" t="n"/>
      <c r="R422" s="39" t="n"/>
      <c r="Y422" s="39" t="n"/>
      <c r="Z422" s="39" t="n"/>
      <c r="AG422" s="39" t="n"/>
      <c r="AH422" s="39" t="n"/>
      <c r="AI422" t="inlineStr">
        <is>
          <t>Evelyn Arciela Leon Estela</t>
        </is>
      </c>
      <c r="AJ422" t="inlineStr">
        <is>
          <t>70313948</t>
        </is>
      </c>
      <c r="AK422" t="inlineStr">
        <is>
          <t xml:space="preserve">Segunda Etapa.Mz 41 Lt. 35 -Urb. Torre Blanca </t>
        </is>
      </c>
      <c r="AL422" t="n">
        <v>0</v>
      </c>
      <c r="AM422" t="inlineStr">
        <is>
          <t>980746975</t>
        </is>
      </c>
      <c r="AN422" t="inlineStr">
        <is>
          <t>eale.050791@gmail.com</t>
        </is>
      </c>
      <c r="AO422" t="inlineStr">
        <is>
          <t>LIMA</t>
        </is>
      </c>
      <c r="AP422" t="inlineStr">
        <is>
          <t>CARABAYLLO</t>
        </is>
      </c>
      <c r="AQ422" s="75" t="n">
        <v>46356</v>
      </c>
      <c r="AR422" s="75" t="n"/>
      <c r="AS422" t="inlineStr">
        <is>
          <t>SALDO FINANCIAR</t>
        </is>
      </c>
      <c r="AT422" t="n">
        <v>14</v>
      </c>
      <c r="AU422" t="n">
        <v>1940</v>
      </c>
      <c r="AV422" t="n">
        <v>0</v>
      </c>
      <c r="AW422" t="n">
        <v>0</v>
      </c>
      <c r="AX422" s="39" t="n">
        <v>1940</v>
      </c>
      <c r="AY422" s="39" t="n">
        <v>0</v>
      </c>
      <c r="AZ422" s="39" t="n">
        <v>1940</v>
      </c>
      <c r="BB422" t="inlineStr">
        <is>
          <t>Crédito Directo</t>
        </is>
      </c>
      <c r="BH422" t="inlineStr">
        <is>
          <t>No</t>
        </is>
      </c>
      <c r="BK422" t="inlineStr">
        <is>
          <t>PENDIENTE</t>
        </is>
      </c>
      <c r="BV422" t="inlineStr">
        <is>
          <t>No</t>
        </is>
      </c>
      <c r="BW422" s="76" t="n">
        <v>45932.67638888889</v>
      </c>
      <c r="BX422" t="inlineStr">
        <is>
          <t>Magaly Guevara Perez</t>
        </is>
      </c>
      <c r="BZ422" t="n">
        <v>19</v>
      </c>
      <c r="CB422" t="n">
        <v>0</v>
      </c>
      <c r="CF422" t="inlineStr">
        <is>
          <t>Cobranzas_2026.csv</t>
        </is>
      </c>
      <c r="CG422" t="n">
        <v>2026</v>
      </c>
      <c r="CH422" t="inlineStr">
        <is>
          <t>01/01/2024</t>
        </is>
      </c>
      <c r="CI422" t="inlineStr">
        <is>
          <t>24/08/2031</t>
        </is>
      </c>
    </row>
    <row r="423">
      <c r="A423" t="inlineStr">
        <is>
          <t>RESIDENCIAL VENECIA</t>
        </is>
      </c>
      <c r="B423" t="inlineStr">
        <is>
          <t>Etapa 1</t>
        </is>
      </c>
      <c r="C423" t="inlineStr">
        <is>
          <t>Edificio</t>
        </is>
      </c>
      <c r="D423" t="inlineStr">
        <is>
          <t>A</t>
        </is>
      </c>
      <c r="E423" t="inlineStr">
        <is>
          <t>Estacionamiento</t>
        </is>
      </c>
      <c r="F423" t="inlineStr">
        <is>
          <t>E 04</t>
        </is>
      </c>
      <c r="G423" t="n">
        <v>13.63</v>
      </c>
      <c r="H423" t="n">
        <v>0</v>
      </c>
      <c r="I423" s="39" t="n">
        <v>48500</v>
      </c>
      <c r="J423" s="39" t="n">
        <v>48500</v>
      </c>
      <c r="Q423" s="39" t="n"/>
      <c r="R423" s="39" t="n"/>
      <c r="Y423" s="39" t="n"/>
      <c r="Z423" s="39" t="n"/>
      <c r="AG423" s="39" t="n"/>
      <c r="AH423" s="39" t="n"/>
      <c r="AI423" t="inlineStr">
        <is>
          <t>Evelyn Arciela Leon Estela</t>
        </is>
      </c>
      <c r="AJ423" t="inlineStr">
        <is>
          <t>70313948</t>
        </is>
      </c>
      <c r="AK423" t="inlineStr">
        <is>
          <t xml:space="preserve">Segunda Etapa.Mz 41 Lt. 35 -Urb. Torre Blanca </t>
        </is>
      </c>
      <c r="AL423" t="n">
        <v>0</v>
      </c>
      <c r="AM423" t="inlineStr">
        <is>
          <t>980746975</t>
        </is>
      </c>
      <c r="AN423" t="inlineStr">
        <is>
          <t>eale.050791@gmail.com</t>
        </is>
      </c>
      <c r="AO423" t="inlineStr">
        <is>
          <t>LIMA</t>
        </is>
      </c>
      <c r="AP423" t="inlineStr">
        <is>
          <t>CARABAYLLO</t>
        </is>
      </c>
      <c r="AQ423" s="75" t="n">
        <v>46387</v>
      </c>
      <c r="AR423" s="75" t="n"/>
      <c r="AS423" t="inlineStr">
        <is>
          <t>SALDO FINANCIAR</t>
        </is>
      </c>
      <c r="AT423" t="n">
        <v>15</v>
      </c>
      <c r="AU423" t="n">
        <v>1940</v>
      </c>
      <c r="AV423" t="n">
        <v>0</v>
      </c>
      <c r="AW423" t="n">
        <v>0</v>
      </c>
      <c r="AX423" s="39" t="n">
        <v>1940</v>
      </c>
      <c r="AY423" s="39" t="n">
        <v>0</v>
      </c>
      <c r="AZ423" s="39" t="n">
        <v>1940</v>
      </c>
      <c r="BB423" t="inlineStr">
        <is>
          <t>Crédito Directo</t>
        </is>
      </c>
      <c r="BH423" t="inlineStr">
        <is>
          <t>No</t>
        </is>
      </c>
      <c r="BK423" t="inlineStr">
        <is>
          <t>PENDIENTE</t>
        </is>
      </c>
      <c r="BV423" t="inlineStr">
        <is>
          <t>No</t>
        </is>
      </c>
      <c r="BW423" s="76" t="n">
        <v>45932.67638888889</v>
      </c>
      <c r="BX423" t="inlineStr">
        <is>
          <t>Magaly Guevara Perez</t>
        </is>
      </c>
      <c r="BZ423" t="n">
        <v>19</v>
      </c>
      <c r="CB423" t="n">
        <v>0</v>
      </c>
      <c r="CF423" t="inlineStr">
        <is>
          <t>Cobranzas_2026.csv</t>
        </is>
      </c>
      <c r="CG423" t="n">
        <v>2026</v>
      </c>
      <c r="CH423" t="inlineStr">
        <is>
          <t>01/01/2024</t>
        </is>
      </c>
      <c r="CI423" t="inlineStr">
        <is>
          <t>24/08/2031</t>
        </is>
      </c>
    </row>
    <row r="424">
      <c r="A424" t="inlineStr">
        <is>
          <t>RESIDENCIAL BEYOND</t>
        </is>
      </c>
      <c r="B424" t="inlineStr">
        <is>
          <t>Etapa 1</t>
        </is>
      </c>
      <c r="C424" t="inlineStr">
        <is>
          <t>Edificio</t>
        </is>
      </c>
      <c r="D424" t="inlineStr">
        <is>
          <t>A</t>
        </is>
      </c>
      <c r="E424" t="inlineStr">
        <is>
          <t>Departamento</t>
        </is>
      </c>
      <c r="F424" t="inlineStr">
        <is>
          <t>1205</t>
        </is>
      </c>
      <c r="G424" t="n">
        <v>72</v>
      </c>
      <c r="H424" t="n">
        <v>0</v>
      </c>
      <c r="I424" s="39" t="n">
        <v>520100</v>
      </c>
      <c r="J424" s="39" t="n">
        <v>467100</v>
      </c>
      <c r="Q424" s="39" t="n"/>
      <c r="R424" s="39" t="n"/>
      <c r="Y424" s="39" t="n"/>
      <c r="Z424" s="39" t="n"/>
      <c r="AG424" s="39" t="n"/>
      <c r="AH424" s="39" t="n"/>
      <c r="AI424" t="inlineStr">
        <is>
          <t>Fabiola Maria Lecca Vargas</t>
        </is>
      </c>
      <c r="AJ424" t="inlineStr">
        <is>
          <t>08034254</t>
        </is>
      </c>
      <c r="AK424" t="inlineStr">
        <is>
          <t>Jr. Manuel Irribarren 1012 dpto 1</t>
        </is>
      </c>
      <c r="AL424" t="n">
        <v>0</v>
      </c>
      <c r="AM424" t="inlineStr">
        <is>
          <t>988708317</t>
        </is>
      </c>
      <c r="AN424" t="inlineStr">
        <is>
          <t>fabiolaleccavargas@g.mail.com</t>
        </is>
      </c>
      <c r="AO424" t="inlineStr">
        <is>
          <t>LIMA</t>
        </is>
      </c>
      <c r="AP424" t="inlineStr">
        <is>
          <t>RIMAC</t>
        </is>
      </c>
      <c r="AQ424" s="75" t="n">
        <v>46032</v>
      </c>
      <c r="AR424" s="75" t="n">
        <v>46032</v>
      </c>
      <c r="AS424" t="inlineStr">
        <is>
          <t>SEPARACION</t>
        </is>
      </c>
      <c r="AT424" t="n">
        <v>1</v>
      </c>
      <c r="AU424" t="n">
        <v>3000</v>
      </c>
      <c r="AV424" t="n">
        <v>0</v>
      </c>
      <c r="AW424" t="n">
        <v>0</v>
      </c>
      <c r="AX424" s="39" t="n">
        <v>3000</v>
      </c>
      <c r="AY424" s="39" t="n">
        <v>3000</v>
      </c>
      <c r="AZ424" s="39" t="n">
        <v>0</v>
      </c>
      <c r="BA424" t="n">
        <v>0</v>
      </c>
      <c r="BB424" t="inlineStr">
        <is>
          <t>Crédito Directo</t>
        </is>
      </c>
      <c r="BC424" t="inlineStr">
        <is>
          <t>Banco de Credito del Perú</t>
        </is>
      </c>
      <c r="BD424" t="inlineStr">
        <is>
          <t>194-7325779-0-65</t>
        </is>
      </c>
      <c r="BE424" t="inlineStr">
        <is>
          <t>DEPOSITO EN CUENTA</t>
        </is>
      </c>
      <c r="BG424" t="inlineStr">
        <is>
          <t>0107263</t>
        </is>
      </c>
      <c r="BH424" t="inlineStr">
        <is>
          <t>No</t>
        </is>
      </c>
      <c r="BJ424" t="n">
        <v>4</v>
      </c>
      <c r="BK424" t="inlineStr">
        <is>
          <t>CANCELADO</t>
        </is>
      </c>
      <c r="BV424" t="inlineStr">
        <is>
          <t>Si</t>
        </is>
      </c>
      <c r="BW424" s="76" t="n">
        <v>46055.34027777778</v>
      </c>
      <c r="BX424" t="inlineStr">
        <is>
          <t>Magaly Guevara Perez</t>
        </is>
      </c>
      <c r="BZ424" t="n">
        <v>14</v>
      </c>
      <c r="CA424" t="inlineStr">
        <is>
          <t>26/06/2026 11:53</t>
        </is>
      </c>
      <c r="CB424" t="n">
        <v>0</v>
      </c>
      <c r="CF424" t="inlineStr">
        <is>
          <t>Cobranzas_2026.csv</t>
        </is>
      </c>
      <c r="CG424" t="n">
        <v>2026</v>
      </c>
      <c r="CH424" t="inlineStr">
        <is>
          <t>01/01/2024</t>
        </is>
      </c>
      <c r="CI424" t="inlineStr">
        <is>
          <t>24/08/2031</t>
        </is>
      </c>
    </row>
    <row r="425">
      <c r="A425" t="inlineStr">
        <is>
          <t>RESIDENCIAL BEYOND</t>
        </is>
      </c>
      <c r="B425" t="inlineStr">
        <is>
          <t>Etapa 1</t>
        </is>
      </c>
      <c r="C425" t="inlineStr">
        <is>
          <t>Edificio</t>
        </is>
      </c>
      <c r="D425" t="inlineStr">
        <is>
          <t>A</t>
        </is>
      </c>
      <c r="E425" t="inlineStr">
        <is>
          <t>Departamento</t>
        </is>
      </c>
      <c r="F425" t="inlineStr">
        <is>
          <t>1205</t>
        </is>
      </c>
      <c r="G425" t="n">
        <v>72</v>
      </c>
      <c r="H425" t="n">
        <v>0</v>
      </c>
      <c r="I425" s="39" t="n">
        <v>520100</v>
      </c>
      <c r="J425" s="39" t="n">
        <v>467100</v>
      </c>
      <c r="Q425" s="39" t="n"/>
      <c r="R425" s="39" t="n"/>
      <c r="Y425" s="39" t="n"/>
      <c r="Z425" s="39" t="n"/>
      <c r="AG425" s="39" t="n"/>
      <c r="AH425" s="39" t="n"/>
      <c r="AI425" t="inlineStr">
        <is>
          <t>Fabiola Maria Lecca Vargas</t>
        </is>
      </c>
      <c r="AJ425" t="inlineStr">
        <is>
          <t>08034254</t>
        </is>
      </c>
      <c r="AK425" t="inlineStr">
        <is>
          <t>Jr. Manuel Irribarren 1012 dpto 1</t>
        </is>
      </c>
      <c r="AL425" t="n">
        <v>0</v>
      </c>
      <c r="AM425" t="inlineStr">
        <is>
          <t>988708317</t>
        </is>
      </c>
      <c r="AN425" t="inlineStr">
        <is>
          <t>fabiolaleccavargas@g.mail.com</t>
        </is>
      </c>
      <c r="AO425" t="inlineStr">
        <is>
          <t>LIMA</t>
        </is>
      </c>
      <c r="AP425" t="inlineStr">
        <is>
          <t>RIMAC</t>
        </is>
      </c>
      <c r="AQ425" s="75" t="n">
        <v>46055</v>
      </c>
      <c r="AR425" s="75" t="n">
        <v>46055</v>
      </c>
      <c r="AS425" t="inlineStr">
        <is>
          <t>CUOTA INICIAL</t>
        </is>
      </c>
      <c r="AT425" t="n">
        <v>1</v>
      </c>
      <c r="AU425" t="n">
        <v>30000</v>
      </c>
      <c r="AV425" t="n">
        <v>0</v>
      </c>
      <c r="AW425" t="n">
        <v>0</v>
      </c>
      <c r="AX425" s="39" t="n">
        <v>30000</v>
      </c>
      <c r="AY425" s="39" t="n">
        <v>30000</v>
      </c>
      <c r="AZ425" s="39" t="n">
        <v>0</v>
      </c>
      <c r="BA425" t="n">
        <v>0</v>
      </c>
      <c r="BB425" t="inlineStr">
        <is>
          <t>Crédito Directo</t>
        </is>
      </c>
      <c r="BC425" t="inlineStr">
        <is>
          <t>Banco de Credito del Perú</t>
        </is>
      </c>
      <c r="BD425" t="inlineStr">
        <is>
          <t>194-7325779-0-65</t>
        </is>
      </c>
      <c r="BE425" t="inlineStr">
        <is>
          <t>TRANSFERENCIA BANCARIA</t>
        </is>
      </c>
      <c r="BG425" t="inlineStr">
        <is>
          <t>7844654520780</t>
        </is>
      </c>
      <c r="BH425" t="inlineStr">
        <is>
          <t>No</t>
        </is>
      </c>
      <c r="BJ425" t="n">
        <v>4</v>
      </c>
      <c r="BK425" t="inlineStr">
        <is>
          <t>CANCELADO</t>
        </is>
      </c>
      <c r="BV425" t="inlineStr">
        <is>
          <t>Si</t>
        </is>
      </c>
      <c r="BW425" s="76" t="n">
        <v>46055.34027777778</v>
      </c>
      <c r="BX425" t="inlineStr">
        <is>
          <t>Magaly Guevara Perez</t>
        </is>
      </c>
      <c r="BZ425" t="n">
        <v>14</v>
      </c>
      <c r="CA425" t="inlineStr">
        <is>
          <t>26/06/2026 11:54</t>
        </is>
      </c>
      <c r="CB425" t="n">
        <v>0</v>
      </c>
      <c r="CF425" t="inlineStr">
        <is>
          <t>Cobranzas_2026.csv</t>
        </is>
      </c>
      <c r="CG425" t="n">
        <v>2026</v>
      </c>
      <c r="CH425" t="inlineStr">
        <is>
          <t>01/01/2024</t>
        </is>
      </c>
      <c r="CI425" t="inlineStr">
        <is>
          <t>24/08/2031</t>
        </is>
      </c>
    </row>
    <row r="426">
      <c r="A426" t="inlineStr">
        <is>
          <t>RESIDENCIAL BEYOND</t>
        </is>
      </c>
      <c r="B426" t="inlineStr">
        <is>
          <t>Etapa 1</t>
        </is>
      </c>
      <c r="C426" t="inlineStr">
        <is>
          <t>Edificio</t>
        </is>
      </c>
      <c r="D426" t="inlineStr">
        <is>
          <t>A</t>
        </is>
      </c>
      <c r="E426" t="inlineStr">
        <is>
          <t>Departamento</t>
        </is>
      </c>
      <c r="F426" t="inlineStr">
        <is>
          <t>1205</t>
        </is>
      </c>
      <c r="G426" t="n">
        <v>72</v>
      </c>
      <c r="H426" t="n">
        <v>0</v>
      </c>
      <c r="I426" s="39" t="n">
        <v>520100</v>
      </c>
      <c r="J426" s="39" t="n">
        <v>467100</v>
      </c>
      <c r="Q426" s="39" t="n"/>
      <c r="R426" s="39" t="n"/>
      <c r="Y426" s="39" t="n"/>
      <c r="Z426" s="39" t="n"/>
      <c r="AG426" s="39" t="n"/>
      <c r="AH426" s="39" t="n"/>
      <c r="AI426" t="inlineStr">
        <is>
          <t>Fabiola Maria Lecca Vargas</t>
        </is>
      </c>
      <c r="AJ426" t="inlineStr">
        <is>
          <t>08034254</t>
        </is>
      </c>
      <c r="AK426" t="inlineStr">
        <is>
          <t>Jr. Manuel Irribarren 1012 dpto 1</t>
        </is>
      </c>
      <c r="AL426" t="n">
        <v>0</v>
      </c>
      <c r="AM426" t="inlineStr">
        <is>
          <t>988708317</t>
        </is>
      </c>
      <c r="AN426" t="inlineStr">
        <is>
          <t>fabiolaleccavargas@g.mail.com</t>
        </is>
      </c>
      <c r="AO426" t="inlineStr">
        <is>
          <t>LIMA</t>
        </is>
      </c>
      <c r="AP426" t="inlineStr">
        <is>
          <t>RIMAC</t>
        </is>
      </c>
      <c r="AQ426" s="75" t="n">
        <v>46056</v>
      </c>
      <c r="AR426" s="75" t="n">
        <v>46056</v>
      </c>
      <c r="AS426" t="inlineStr">
        <is>
          <t>CUOTA INICIAL</t>
        </is>
      </c>
      <c r="AT426" t="n">
        <v>2</v>
      </c>
      <c r="AU426" t="n">
        <v>16470</v>
      </c>
      <c r="AV426" t="n">
        <v>0</v>
      </c>
      <c r="AW426" t="n">
        <v>0</v>
      </c>
      <c r="AX426" s="39" t="n">
        <v>16470</v>
      </c>
      <c r="AY426" s="39" t="n">
        <v>16470</v>
      </c>
      <c r="AZ426" s="39" t="n">
        <v>0</v>
      </c>
      <c r="BA426" t="n">
        <v>0</v>
      </c>
      <c r="BB426" t="inlineStr">
        <is>
          <t>Crédito Directo</t>
        </is>
      </c>
      <c r="BC426" t="inlineStr">
        <is>
          <t>Banco de Credito del Perú</t>
        </is>
      </c>
      <c r="BD426" t="inlineStr">
        <is>
          <t>194-7325779-0-65</t>
        </is>
      </c>
      <c r="BE426" t="inlineStr">
        <is>
          <t>TRANSFERENCIA BANCARIA</t>
        </is>
      </c>
      <c r="BG426" t="inlineStr">
        <is>
          <t>7844655871084</t>
        </is>
      </c>
      <c r="BH426" t="inlineStr">
        <is>
          <t>No</t>
        </is>
      </c>
      <c r="BJ426" t="n">
        <v>4</v>
      </c>
      <c r="BK426" t="inlineStr">
        <is>
          <t>CANCELADO</t>
        </is>
      </c>
      <c r="BV426" t="inlineStr">
        <is>
          <t>Si</t>
        </is>
      </c>
      <c r="BW426" s="76" t="n">
        <v>46055.34027777778</v>
      </c>
      <c r="BX426" t="inlineStr">
        <is>
          <t>Magaly Guevara Perez</t>
        </is>
      </c>
      <c r="BZ426" t="n">
        <v>14</v>
      </c>
      <c r="CA426" t="inlineStr">
        <is>
          <t>26/06/2026 11:55</t>
        </is>
      </c>
      <c r="CB426" t="n">
        <v>0</v>
      </c>
      <c r="CF426" t="inlineStr">
        <is>
          <t>Cobranzas_2026.csv</t>
        </is>
      </c>
      <c r="CG426" t="n">
        <v>2026</v>
      </c>
      <c r="CH426" t="inlineStr">
        <is>
          <t>01/01/2024</t>
        </is>
      </c>
      <c r="CI426" t="inlineStr">
        <is>
          <t>24/08/2031</t>
        </is>
      </c>
    </row>
    <row r="427">
      <c r="A427" t="inlineStr">
        <is>
          <t>RESIDENCIAL BEYOND</t>
        </is>
      </c>
      <c r="B427" t="inlineStr">
        <is>
          <t>Etapa 1</t>
        </is>
      </c>
      <c r="C427" t="inlineStr">
        <is>
          <t>Edificio</t>
        </is>
      </c>
      <c r="D427" t="inlineStr">
        <is>
          <t>A</t>
        </is>
      </c>
      <c r="E427" t="inlineStr">
        <is>
          <t>Departamento</t>
        </is>
      </c>
      <c r="F427" t="inlineStr">
        <is>
          <t>1205</t>
        </is>
      </c>
      <c r="G427" t="n">
        <v>72</v>
      </c>
      <c r="H427" t="n">
        <v>0</v>
      </c>
      <c r="I427" s="39" t="n">
        <v>520100</v>
      </c>
      <c r="J427" s="39" t="n">
        <v>467100</v>
      </c>
      <c r="Q427" s="39" t="n"/>
      <c r="R427" s="39" t="n"/>
      <c r="Y427" s="39" t="n"/>
      <c r="Z427" s="39" t="n"/>
      <c r="AG427" s="39" t="n"/>
      <c r="AH427" s="39" t="n"/>
      <c r="AI427" t="inlineStr">
        <is>
          <t>Fabiola Maria Lecca Vargas</t>
        </is>
      </c>
      <c r="AJ427" t="inlineStr">
        <is>
          <t>08034254</t>
        </is>
      </c>
      <c r="AK427" t="inlineStr">
        <is>
          <t>Jr. Manuel Irribarren 1012 dpto 1</t>
        </is>
      </c>
      <c r="AL427" t="n">
        <v>0</v>
      </c>
      <c r="AM427" t="inlineStr">
        <is>
          <t>988708317</t>
        </is>
      </c>
      <c r="AN427" t="inlineStr">
        <is>
          <t>fabiolaleccavargas@g.mail.com</t>
        </is>
      </c>
      <c r="AO427" t="inlineStr">
        <is>
          <t>LIMA</t>
        </is>
      </c>
      <c r="AP427" t="inlineStr">
        <is>
          <t>RIMAC</t>
        </is>
      </c>
      <c r="AQ427" s="75" t="n">
        <v>46092</v>
      </c>
      <c r="AR427" s="75" t="n">
        <v>46092</v>
      </c>
      <c r="AS427" t="inlineStr">
        <is>
          <t>CUOTA INICIAL</t>
        </is>
      </c>
      <c r="AT427" t="n">
        <v>3</v>
      </c>
      <c r="AU427" t="n">
        <v>15000</v>
      </c>
      <c r="AV427" t="n">
        <v>0</v>
      </c>
      <c r="AW427" t="n">
        <v>0</v>
      </c>
      <c r="AX427" s="39" t="n">
        <v>15000</v>
      </c>
      <c r="AY427" s="39" t="n">
        <v>15000</v>
      </c>
      <c r="AZ427" s="39" t="n">
        <v>0</v>
      </c>
      <c r="BA427" t="n">
        <v>0</v>
      </c>
      <c r="BB427" t="inlineStr">
        <is>
          <t>Crédito Directo</t>
        </is>
      </c>
      <c r="BC427" t="inlineStr">
        <is>
          <t>Banco de Credito del Perú</t>
        </is>
      </c>
      <c r="BD427" t="inlineStr">
        <is>
          <t>194-7325779-0-65</t>
        </is>
      </c>
      <c r="BE427" t="inlineStr">
        <is>
          <t>TRANSFERENCIA BANCARIA</t>
        </is>
      </c>
      <c r="BG427" t="inlineStr">
        <is>
          <t>7844651936594</t>
        </is>
      </c>
      <c r="BH427" t="inlineStr">
        <is>
          <t>No</t>
        </is>
      </c>
      <c r="BJ427" t="n">
        <v>4</v>
      </c>
      <c r="BK427" t="inlineStr">
        <is>
          <t>CANCELADO</t>
        </is>
      </c>
      <c r="BV427" t="inlineStr">
        <is>
          <t>Si</t>
        </is>
      </c>
      <c r="BW427" s="76" t="n">
        <v>46055.34027777778</v>
      </c>
      <c r="BX427" t="inlineStr">
        <is>
          <t>Magaly Guevara Perez</t>
        </is>
      </c>
      <c r="BZ427" t="n">
        <v>14</v>
      </c>
      <c r="CA427" t="inlineStr">
        <is>
          <t>26/06/2026 11:56</t>
        </is>
      </c>
      <c r="CB427" t="n">
        <v>0</v>
      </c>
      <c r="CF427" t="inlineStr">
        <is>
          <t>Cobranzas_2026.csv</t>
        </is>
      </c>
      <c r="CG427" t="n">
        <v>2026</v>
      </c>
      <c r="CH427" t="inlineStr">
        <is>
          <t>01/01/2024</t>
        </is>
      </c>
      <c r="CI427" t="inlineStr">
        <is>
          <t>24/08/2031</t>
        </is>
      </c>
    </row>
    <row r="428">
      <c r="A428" t="inlineStr">
        <is>
          <t>RESIDENCIAL BEYOND</t>
        </is>
      </c>
      <c r="B428" t="inlineStr">
        <is>
          <t>Etapa 1</t>
        </is>
      </c>
      <c r="C428" t="inlineStr">
        <is>
          <t>Edificio</t>
        </is>
      </c>
      <c r="D428" t="inlineStr">
        <is>
          <t>A</t>
        </is>
      </c>
      <c r="E428" t="inlineStr">
        <is>
          <t>Departamento</t>
        </is>
      </c>
      <c r="F428" t="inlineStr">
        <is>
          <t>1205</t>
        </is>
      </c>
      <c r="G428" t="n">
        <v>72</v>
      </c>
      <c r="H428" t="n">
        <v>0</v>
      </c>
      <c r="I428" s="39" t="n">
        <v>520100</v>
      </c>
      <c r="J428" s="39" t="n">
        <v>467100</v>
      </c>
      <c r="Q428" s="39" t="n"/>
      <c r="R428" s="39" t="n"/>
      <c r="Y428" s="39" t="n"/>
      <c r="Z428" s="39" t="n"/>
      <c r="AG428" s="39" t="n"/>
      <c r="AH428" s="39" t="n"/>
      <c r="AI428" t="inlineStr">
        <is>
          <t>Fabiola Maria Lecca Vargas</t>
        </is>
      </c>
      <c r="AJ428" t="inlineStr">
        <is>
          <t>08034254</t>
        </is>
      </c>
      <c r="AK428" t="inlineStr">
        <is>
          <t>Jr. Manuel Irribarren 1012 dpto 1</t>
        </is>
      </c>
      <c r="AL428" t="n">
        <v>0</v>
      </c>
      <c r="AM428" t="inlineStr">
        <is>
          <t>988708317</t>
        </is>
      </c>
      <c r="AN428" t="inlineStr">
        <is>
          <t>fabiolaleccavargas@g.mail.com</t>
        </is>
      </c>
      <c r="AO428" t="inlineStr">
        <is>
          <t>LIMA</t>
        </is>
      </c>
      <c r="AP428" t="inlineStr">
        <is>
          <t>RIMAC</t>
        </is>
      </c>
      <c r="AQ428" s="75" t="n">
        <v>46095</v>
      </c>
      <c r="AR428" s="75" t="n">
        <v>46095</v>
      </c>
      <c r="AS428" t="inlineStr">
        <is>
          <t>CUOTA INICIAL</t>
        </is>
      </c>
      <c r="AT428" t="n">
        <v>4</v>
      </c>
      <c r="AU428" t="n">
        <v>15000</v>
      </c>
      <c r="AV428" t="n">
        <v>0</v>
      </c>
      <c r="AW428" t="n">
        <v>0</v>
      </c>
      <c r="AX428" s="39" t="n">
        <v>15000</v>
      </c>
      <c r="AY428" s="39" t="n">
        <v>15000</v>
      </c>
      <c r="AZ428" s="39" t="n">
        <v>0</v>
      </c>
      <c r="BA428" t="n">
        <v>0</v>
      </c>
      <c r="BB428" t="inlineStr">
        <is>
          <t>Crédito Directo</t>
        </is>
      </c>
      <c r="BC428" t="inlineStr">
        <is>
          <t>Banco de Credito del Perú</t>
        </is>
      </c>
      <c r="BD428" t="inlineStr">
        <is>
          <t>194-7325779-0-65</t>
        </is>
      </c>
      <c r="BE428" t="inlineStr">
        <is>
          <t>TRANSFERENCIA BANCARIA</t>
        </is>
      </c>
      <c r="BG428" t="inlineStr">
        <is>
          <t>7844655870147</t>
        </is>
      </c>
      <c r="BH428" t="inlineStr">
        <is>
          <t>No</t>
        </is>
      </c>
      <c r="BJ428" t="n">
        <v>4</v>
      </c>
      <c r="BK428" t="inlineStr">
        <is>
          <t>CANCELADO</t>
        </is>
      </c>
      <c r="BV428" t="inlineStr">
        <is>
          <t>Si</t>
        </is>
      </c>
      <c r="BW428" s="76" t="n">
        <v>46055.34027777778</v>
      </c>
      <c r="BX428" t="inlineStr">
        <is>
          <t>Magaly Guevara Perez</t>
        </is>
      </c>
      <c r="BZ428" t="n">
        <v>14</v>
      </c>
      <c r="CA428" t="inlineStr">
        <is>
          <t>26/06/2026 11:57</t>
        </is>
      </c>
      <c r="CB428" t="n">
        <v>0</v>
      </c>
      <c r="CF428" t="inlineStr">
        <is>
          <t>Cobranzas_2026.csv</t>
        </is>
      </c>
      <c r="CG428" t="n">
        <v>2026</v>
      </c>
      <c r="CH428" t="inlineStr">
        <is>
          <t>01/01/2024</t>
        </is>
      </c>
      <c r="CI428" t="inlineStr">
        <is>
          <t>24/08/2031</t>
        </is>
      </c>
    </row>
    <row r="429">
      <c r="A429" t="inlineStr">
        <is>
          <t>RESIDENCIAL BEYOND</t>
        </is>
      </c>
      <c r="B429" t="inlineStr">
        <is>
          <t>Etapa 1</t>
        </is>
      </c>
      <c r="C429" t="inlineStr">
        <is>
          <t>Edificio</t>
        </is>
      </c>
      <c r="D429" t="inlineStr">
        <is>
          <t>A</t>
        </is>
      </c>
      <c r="E429" t="inlineStr">
        <is>
          <t>Departamento</t>
        </is>
      </c>
      <c r="F429" t="inlineStr">
        <is>
          <t>1205</t>
        </is>
      </c>
      <c r="G429" t="n">
        <v>72</v>
      </c>
      <c r="H429" t="n">
        <v>0</v>
      </c>
      <c r="I429" s="39" t="n">
        <v>520100</v>
      </c>
      <c r="J429" s="39" t="n">
        <v>467100</v>
      </c>
      <c r="Q429" s="39" t="n"/>
      <c r="R429" s="39" t="n"/>
      <c r="Y429" s="39" t="n"/>
      <c r="Z429" s="39" t="n"/>
      <c r="AG429" s="39" t="n"/>
      <c r="AH429" s="39" t="n"/>
      <c r="AI429" t="inlineStr">
        <is>
          <t>Fabiola Maria Lecca Vargas</t>
        </is>
      </c>
      <c r="AJ429" t="inlineStr">
        <is>
          <t>08034254</t>
        </is>
      </c>
      <c r="AK429" t="inlineStr">
        <is>
          <t>Jr. Manuel Irribarren 1012 dpto 1</t>
        </is>
      </c>
      <c r="AL429" t="n">
        <v>0</v>
      </c>
      <c r="AM429" t="inlineStr">
        <is>
          <t>988708317</t>
        </is>
      </c>
      <c r="AN429" t="inlineStr">
        <is>
          <t>fabiolaleccavargas@g.mail.com</t>
        </is>
      </c>
      <c r="AO429" t="inlineStr">
        <is>
          <t>LIMA</t>
        </is>
      </c>
      <c r="AP429" t="inlineStr">
        <is>
          <t>RIMAC</t>
        </is>
      </c>
      <c r="AQ429" s="75" t="n">
        <v>46125</v>
      </c>
      <c r="AR429" s="75" t="n">
        <v>46125</v>
      </c>
      <c r="AS429" t="inlineStr">
        <is>
          <t>CUOTA INICIAL</t>
        </is>
      </c>
      <c r="AT429" t="n">
        <v>5</v>
      </c>
      <c r="AU429" t="n">
        <v>9900</v>
      </c>
      <c r="AV429" t="n">
        <v>0</v>
      </c>
      <c r="AW429" t="n">
        <v>0</v>
      </c>
      <c r="AX429" s="39" t="n">
        <v>9900</v>
      </c>
      <c r="AY429" s="39" t="n">
        <v>9900</v>
      </c>
      <c r="AZ429" s="39" t="n">
        <v>0</v>
      </c>
      <c r="BA429" t="n">
        <v>0</v>
      </c>
      <c r="BB429" t="inlineStr">
        <is>
          <t>Crédito Directo</t>
        </is>
      </c>
      <c r="BC429" t="inlineStr">
        <is>
          <t>Banco de Credito del Perú</t>
        </is>
      </c>
      <c r="BD429" t="inlineStr">
        <is>
          <t>194-7325779-0-65</t>
        </is>
      </c>
      <c r="BE429" t="inlineStr">
        <is>
          <t>TRANSFERENCIA BANCARIA</t>
        </is>
      </c>
      <c r="BG429" t="inlineStr">
        <is>
          <t>7844651936636</t>
        </is>
      </c>
      <c r="BH429" t="inlineStr">
        <is>
          <t>No</t>
        </is>
      </c>
      <c r="BJ429" t="n">
        <v>4</v>
      </c>
      <c r="BK429" t="inlineStr">
        <is>
          <t>CANCELADO</t>
        </is>
      </c>
      <c r="BV429" t="inlineStr">
        <is>
          <t>Si</t>
        </is>
      </c>
      <c r="BW429" s="76" t="n">
        <v>46055.34027777778</v>
      </c>
      <c r="BX429" t="inlineStr">
        <is>
          <t>Magaly Guevara Perez</t>
        </is>
      </c>
      <c r="BZ429" t="n">
        <v>14</v>
      </c>
      <c r="CA429" t="inlineStr">
        <is>
          <t>26/06/2026 12:07</t>
        </is>
      </c>
      <c r="CB429" t="n">
        <v>0</v>
      </c>
      <c r="CF429" t="inlineStr">
        <is>
          <t>Cobranzas_2026.csv</t>
        </is>
      </c>
      <c r="CG429" t="n">
        <v>2026</v>
      </c>
      <c r="CH429" t="inlineStr">
        <is>
          <t>01/01/2024</t>
        </is>
      </c>
      <c r="CI429" t="inlineStr">
        <is>
          <t>24/08/2031</t>
        </is>
      </c>
    </row>
    <row r="430">
      <c r="A430" t="inlineStr">
        <is>
          <t>RESIDENCIAL BEYOND</t>
        </is>
      </c>
      <c r="B430" t="inlineStr">
        <is>
          <t>Etapa 1</t>
        </is>
      </c>
      <c r="C430" t="inlineStr">
        <is>
          <t>Edificio</t>
        </is>
      </c>
      <c r="D430" t="inlineStr">
        <is>
          <t>A</t>
        </is>
      </c>
      <c r="E430" t="inlineStr">
        <is>
          <t>Departamento</t>
        </is>
      </c>
      <c r="F430" t="inlineStr">
        <is>
          <t>1205</t>
        </is>
      </c>
      <c r="G430" t="n">
        <v>72</v>
      </c>
      <c r="H430" t="n">
        <v>0</v>
      </c>
      <c r="I430" s="39" t="n">
        <v>520100</v>
      </c>
      <c r="J430" s="39" t="n">
        <v>467100</v>
      </c>
      <c r="Q430" s="39" t="n"/>
      <c r="R430" s="39" t="n"/>
      <c r="Y430" s="39" t="n"/>
      <c r="Z430" s="39" t="n"/>
      <c r="AG430" s="39" t="n"/>
      <c r="AH430" s="39" t="n"/>
      <c r="AI430" t="inlineStr">
        <is>
          <t>Fabiola Maria Lecca Vargas</t>
        </is>
      </c>
      <c r="AJ430" t="inlineStr">
        <is>
          <t>08034254</t>
        </is>
      </c>
      <c r="AK430" t="inlineStr">
        <is>
          <t>Jr. Manuel Irribarren 1012 dpto 1</t>
        </is>
      </c>
      <c r="AL430" t="n">
        <v>0</v>
      </c>
      <c r="AM430" t="inlineStr">
        <is>
          <t>988708317</t>
        </is>
      </c>
      <c r="AN430" t="inlineStr">
        <is>
          <t>fabiolaleccavargas@g.mail.com</t>
        </is>
      </c>
      <c r="AO430" t="inlineStr">
        <is>
          <t>LIMA</t>
        </is>
      </c>
      <c r="AP430" t="inlineStr">
        <is>
          <t>RIMAC</t>
        </is>
      </c>
      <c r="AQ430" s="75" t="n">
        <v>46129</v>
      </c>
      <c r="AR430" s="75" t="n">
        <v>46129</v>
      </c>
      <c r="AS430" t="inlineStr">
        <is>
          <t>CUOTA INICIAL</t>
        </is>
      </c>
      <c r="AT430" t="n">
        <v>6</v>
      </c>
      <c r="AU430" t="n">
        <v>10100</v>
      </c>
      <c r="AV430" t="n">
        <v>0</v>
      </c>
      <c r="AW430" t="n">
        <v>0</v>
      </c>
      <c r="AX430" s="39" t="n">
        <v>10100</v>
      </c>
      <c r="AY430" s="39" t="n">
        <v>10100</v>
      </c>
      <c r="AZ430" s="39" t="n">
        <v>0</v>
      </c>
      <c r="BA430" t="n">
        <v>0</v>
      </c>
      <c r="BB430" t="inlineStr">
        <is>
          <t>Crédito Directo</t>
        </is>
      </c>
      <c r="BC430" t="inlineStr">
        <is>
          <t>Banco de Credito del Perú</t>
        </is>
      </c>
      <c r="BD430" t="inlineStr">
        <is>
          <t>194-7325779-0-65</t>
        </is>
      </c>
      <c r="BE430" t="inlineStr">
        <is>
          <t>TRANSFERENCIA BANCARIA</t>
        </is>
      </c>
      <c r="BG430" t="inlineStr">
        <is>
          <t>7844651974157</t>
        </is>
      </c>
      <c r="BH430" t="inlineStr">
        <is>
          <t>No</t>
        </is>
      </c>
      <c r="BJ430" t="n">
        <v>4</v>
      </c>
      <c r="BK430" t="inlineStr">
        <is>
          <t>CANCELADO</t>
        </is>
      </c>
      <c r="BV430" t="inlineStr">
        <is>
          <t>Si</t>
        </is>
      </c>
      <c r="BW430" s="76" t="n">
        <v>46055.34027777778</v>
      </c>
      <c r="BX430" t="inlineStr">
        <is>
          <t>Magaly Guevara Perez</t>
        </is>
      </c>
      <c r="BZ430" t="n">
        <v>14</v>
      </c>
      <c r="CA430" t="inlineStr">
        <is>
          <t>26/06/2026 12:08</t>
        </is>
      </c>
      <c r="CB430" t="n">
        <v>0</v>
      </c>
      <c r="CF430" t="inlineStr">
        <is>
          <t>Cobranzas_2026.csv</t>
        </is>
      </c>
      <c r="CG430" t="n">
        <v>2026</v>
      </c>
      <c r="CH430" t="inlineStr">
        <is>
          <t>01/01/2024</t>
        </is>
      </c>
      <c r="CI430" t="inlineStr">
        <is>
          <t>24/08/2031</t>
        </is>
      </c>
    </row>
    <row r="431">
      <c r="A431" t="inlineStr">
        <is>
          <t>RESIDENCIAL BEYOND</t>
        </is>
      </c>
      <c r="B431" t="inlineStr">
        <is>
          <t>Etapa 1</t>
        </is>
      </c>
      <c r="C431" t="inlineStr">
        <is>
          <t>Edificio</t>
        </is>
      </c>
      <c r="D431" t="inlineStr">
        <is>
          <t>A</t>
        </is>
      </c>
      <c r="E431" t="inlineStr">
        <is>
          <t>Departamento</t>
        </is>
      </c>
      <c r="F431" t="inlineStr">
        <is>
          <t>1205</t>
        </is>
      </c>
      <c r="G431" t="n">
        <v>72</v>
      </c>
      <c r="H431" t="n">
        <v>0</v>
      </c>
      <c r="I431" s="39" t="n">
        <v>520100</v>
      </c>
      <c r="J431" s="39" t="n">
        <v>467100</v>
      </c>
      <c r="Q431" s="39" t="n"/>
      <c r="R431" s="39" t="n"/>
      <c r="Y431" s="39" t="n"/>
      <c r="Z431" s="39" t="n"/>
      <c r="AG431" s="39" t="n"/>
      <c r="AH431" s="39" t="n"/>
      <c r="AI431" t="inlineStr">
        <is>
          <t>Fabiola Maria Lecca Vargas</t>
        </is>
      </c>
      <c r="AJ431" t="inlineStr">
        <is>
          <t>08034254</t>
        </is>
      </c>
      <c r="AK431" t="inlineStr">
        <is>
          <t>Jr. Manuel Irribarren 1012 dpto 1</t>
        </is>
      </c>
      <c r="AL431" t="n">
        <v>0</v>
      </c>
      <c r="AM431" t="inlineStr">
        <is>
          <t>988708317</t>
        </is>
      </c>
      <c r="AN431" t="inlineStr">
        <is>
          <t>fabiolaleccavargas@g.mail.com</t>
        </is>
      </c>
      <c r="AO431" t="inlineStr">
        <is>
          <t>LIMA</t>
        </is>
      </c>
      <c r="AP431" t="inlineStr">
        <is>
          <t>RIMAC</t>
        </is>
      </c>
      <c r="AQ431" s="75" t="n">
        <v>46136</v>
      </c>
      <c r="AR431" s="75" t="n">
        <v>46136</v>
      </c>
      <c r="AS431" t="inlineStr">
        <is>
          <t>CUOTA INICIAL</t>
        </is>
      </c>
      <c r="AT431" t="n">
        <v>7</v>
      </c>
      <c r="AU431" t="n">
        <v>10000</v>
      </c>
      <c r="AV431" t="n">
        <v>0</v>
      </c>
      <c r="AW431" t="n">
        <v>0</v>
      </c>
      <c r="AX431" s="39" t="n">
        <v>10000</v>
      </c>
      <c r="AY431" s="39" t="n">
        <v>10000</v>
      </c>
      <c r="AZ431" s="39" t="n">
        <v>0</v>
      </c>
      <c r="BA431" t="n">
        <v>0</v>
      </c>
      <c r="BB431" t="inlineStr">
        <is>
          <t>Crédito Directo</t>
        </is>
      </c>
      <c r="BC431" t="inlineStr">
        <is>
          <t>Banco de Credito del Perú</t>
        </is>
      </c>
      <c r="BD431" t="inlineStr">
        <is>
          <t>194-7325779-0-65</t>
        </is>
      </c>
      <c r="BE431" t="inlineStr">
        <is>
          <t>TRANSFERENCIA BANCARIA</t>
        </is>
      </c>
      <c r="BG431" t="inlineStr">
        <is>
          <t>7844651928802</t>
        </is>
      </c>
      <c r="BH431" t="inlineStr">
        <is>
          <t>No</t>
        </is>
      </c>
      <c r="BJ431" t="n">
        <v>4</v>
      </c>
      <c r="BK431" t="inlineStr">
        <is>
          <t>CANCELADO</t>
        </is>
      </c>
      <c r="BV431" t="inlineStr">
        <is>
          <t>Si</t>
        </is>
      </c>
      <c r="BW431" s="76" t="n">
        <v>46055.34027777778</v>
      </c>
      <c r="BX431" t="inlineStr">
        <is>
          <t>Magaly Guevara Perez</t>
        </is>
      </c>
      <c r="BZ431" t="n">
        <v>14</v>
      </c>
      <c r="CA431" t="inlineStr">
        <is>
          <t>26/06/2026 12:09</t>
        </is>
      </c>
      <c r="CB431" t="n">
        <v>0</v>
      </c>
      <c r="CF431" t="inlineStr">
        <is>
          <t>Cobranzas_2026.csv</t>
        </is>
      </c>
      <c r="CG431" t="n">
        <v>2026</v>
      </c>
      <c r="CH431" t="inlineStr">
        <is>
          <t>01/01/2024</t>
        </is>
      </c>
      <c r="CI431" t="inlineStr">
        <is>
          <t>24/08/2031</t>
        </is>
      </c>
    </row>
    <row r="432">
      <c r="A432" t="inlineStr">
        <is>
          <t>RESIDENCIAL BEYOND</t>
        </is>
      </c>
      <c r="B432" t="inlineStr">
        <is>
          <t>Etapa 1</t>
        </is>
      </c>
      <c r="C432" t="inlineStr">
        <is>
          <t>Edificio</t>
        </is>
      </c>
      <c r="D432" t="inlineStr">
        <is>
          <t>A</t>
        </is>
      </c>
      <c r="E432" t="inlineStr">
        <is>
          <t>Departamento</t>
        </is>
      </c>
      <c r="F432" t="inlineStr">
        <is>
          <t>1205</t>
        </is>
      </c>
      <c r="G432" t="n">
        <v>72</v>
      </c>
      <c r="H432" t="n">
        <v>0</v>
      </c>
      <c r="I432" s="39" t="n">
        <v>520100</v>
      </c>
      <c r="J432" s="39" t="n">
        <v>467100</v>
      </c>
      <c r="Q432" s="39" t="n"/>
      <c r="R432" s="39" t="n"/>
      <c r="Y432" s="39" t="n"/>
      <c r="Z432" s="39" t="n"/>
      <c r="AG432" s="39" t="n"/>
      <c r="AH432" s="39" t="n"/>
      <c r="AI432" t="inlineStr">
        <is>
          <t>Fabiola Maria Lecca Vargas</t>
        </is>
      </c>
      <c r="AJ432" t="inlineStr">
        <is>
          <t>08034254</t>
        </is>
      </c>
      <c r="AK432" t="inlineStr">
        <is>
          <t>Jr. Manuel Irribarren 1012 dpto 1</t>
        </is>
      </c>
      <c r="AL432" t="n">
        <v>0</v>
      </c>
      <c r="AM432" t="inlineStr">
        <is>
          <t>988708317</t>
        </is>
      </c>
      <c r="AN432" t="inlineStr">
        <is>
          <t>fabiolaleccavargas@g.mail.com</t>
        </is>
      </c>
      <c r="AO432" t="inlineStr">
        <is>
          <t>LIMA</t>
        </is>
      </c>
      <c r="AP432" t="inlineStr">
        <is>
          <t>RIMAC</t>
        </is>
      </c>
      <c r="AQ432" s="75" t="n">
        <v>46142</v>
      </c>
      <c r="AR432" s="75" t="n">
        <v>46149</v>
      </c>
      <c r="AS432" t="inlineStr">
        <is>
          <t>SALDO FINANCIAR</t>
        </is>
      </c>
      <c r="AT432" t="n">
        <v>1</v>
      </c>
      <c r="AU432" t="n">
        <v>10000</v>
      </c>
      <c r="AV432" t="n">
        <v>0</v>
      </c>
      <c r="AW432" t="n">
        <v>0</v>
      </c>
      <c r="AX432" s="39" t="n">
        <v>10000</v>
      </c>
      <c r="AY432" s="39" t="n">
        <v>10000</v>
      </c>
      <c r="AZ432" s="39" t="n">
        <v>0</v>
      </c>
      <c r="BA432" t="n">
        <v>0</v>
      </c>
      <c r="BB432" t="inlineStr">
        <is>
          <t>Crédito Directo</t>
        </is>
      </c>
      <c r="BC432" t="inlineStr">
        <is>
          <t>Banco de Credito del Perú</t>
        </is>
      </c>
      <c r="BD432" t="inlineStr">
        <is>
          <t>194-7325779-0-65</t>
        </is>
      </c>
      <c r="BE432" t="inlineStr">
        <is>
          <t>TRANSFERENCIA BANCARIA</t>
        </is>
      </c>
      <c r="BG432" t="inlineStr">
        <is>
          <t>7844651931615</t>
        </is>
      </c>
      <c r="BH432" t="inlineStr">
        <is>
          <t>No</t>
        </is>
      </c>
      <c r="BJ432" t="n">
        <v>4</v>
      </c>
      <c r="BK432" t="inlineStr">
        <is>
          <t>CANCELADO</t>
        </is>
      </c>
      <c r="BV432" t="inlineStr">
        <is>
          <t>Si</t>
        </is>
      </c>
      <c r="BW432" s="76" t="n">
        <v>46055.34027777778</v>
      </c>
      <c r="BX432" t="inlineStr">
        <is>
          <t>Magaly Guevara Perez</t>
        </is>
      </c>
      <c r="BZ432" t="n">
        <v>14</v>
      </c>
      <c r="CA432" t="inlineStr">
        <is>
          <t>26/06/2026 12:09</t>
        </is>
      </c>
      <c r="CB432" t="n">
        <v>0</v>
      </c>
      <c r="CF432" t="inlineStr">
        <is>
          <t>Cobranzas_2026.csv</t>
        </is>
      </c>
      <c r="CG432" t="n">
        <v>2026</v>
      </c>
      <c r="CH432" t="inlineStr">
        <is>
          <t>01/01/2024</t>
        </is>
      </c>
      <c r="CI432" t="inlineStr">
        <is>
          <t>24/08/2031</t>
        </is>
      </c>
    </row>
    <row r="433">
      <c r="A433" t="inlineStr">
        <is>
          <t>RESIDENCIAL BEYOND</t>
        </is>
      </c>
      <c r="B433" t="inlineStr">
        <is>
          <t>Etapa 1</t>
        </is>
      </c>
      <c r="C433" t="inlineStr">
        <is>
          <t>Edificio</t>
        </is>
      </c>
      <c r="D433" t="inlineStr">
        <is>
          <t>A</t>
        </is>
      </c>
      <c r="E433" t="inlineStr">
        <is>
          <t>Departamento</t>
        </is>
      </c>
      <c r="F433" t="inlineStr">
        <is>
          <t>1205</t>
        </is>
      </c>
      <c r="G433" t="n">
        <v>72</v>
      </c>
      <c r="H433" t="n">
        <v>0</v>
      </c>
      <c r="I433" s="39" t="n">
        <v>520100</v>
      </c>
      <c r="J433" s="39" t="n">
        <v>467100</v>
      </c>
      <c r="Q433" s="39" t="n"/>
      <c r="R433" s="39" t="n"/>
      <c r="Y433" s="39" t="n"/>
      <c r="Z433" s="39" t="n"/>
      <c r="AG433" s="39" t="n"/>
      <c r="AH433" s="39" t="n"/>
      <c r="AI433" t="inlineStr">
        <is>
          <t>Fabiola Maria Lecca Vargas</t>
        </is>
      </c>
      <c r="AJ433" t="inlineStr">
        <is>
          <t>08034254</t>
        </is>
      </c>
      <c r="AK433" t="inlineStr">
        <is>
          <t>Jr. Manuel Irribarren 1012 dpto 1</t>
        </is>
      </c>
      <c r="AL433" t="n">
        <v>0</v>
      </c>
      <c r="AM433" t="inlineStr">
        <is>
          <t>988708317</t>
        </is>
      </c>
      <c r="AN433" t="inlineStr">
        <is>
          <t>fabiolaleccavargas@g.mail.com</t>
        </is>
      </c>
      <c r="AO433" t="inlineStr">
        <is>
          <t>LIMA</t>
        </is>
      </c>
      <c r="AP433" t="inlineStr">
        <is>
          <t>RIMAC</t>
        </is>
      </c>
      <c r="AQ433" s="75" t="n">
        <v>46172</v>
      </c>
      <c r="AR433" s="75" t="n">
        <v>46182</v>
      </c>
      <c r="AS433" t="inlineStr">
        <is>
          <t>SALDO FINANCIAR</t>
        </is>
      </c>
      <c r="AT433" t="n">
        <v>2</v>
      </c>
      <c r="AU433" t="n">
        <v>10000</v>
      </c>
      <c r="AV433" t="n">
        <v>0</v>
      </c>
      <c r="AW433" t="n">
        <v>0</v>
      </c>
      <c r="AX433" s="39" t="n">
        <v>10000</v>
      </c>
      <c r="AY433" s="39" t="n">
        <v>10000</v>
      </c>
      <c r="AZ433" s="39" t="n">
        <v>0</v>
      </c>
      <c r="BA433" t="n">
        <v>0</v>
      </c>
      <c r="BB433" t="inlineStr">
        <is>
          <t>Crédito Directo</t>
        </is>
      </c>
      <c r="BC433" t="inlineStr">
        <is>
          <t>Banco de Credito del Perú</t>
        </is>
      </c>
      <c r="BD433" t="inlineStr">
        <is>
          <t>194-7325779-0-65</t>
        </is>
      </c>
      <c r="BE433" t="inlineStr">
        <is>
          <t>TRANSFERENCIA BANCARIA</t>
        </is>
      </c>
      <c r="BG433" t="inlineStr">
        <is>
          <t>7844651932376</t>
        </is>
      </c>
      <c r="BH433" t="inlineStr">
        <is>
          <t>No</t>
        </is>
      </c>
      <c r="BJ433" t="n">
        <v>4</v>
      </c>
      <c r="BK433" t="inlineStr">
        <is>
          <t>CANCELADO</t>
        </is>
      </c>
      <c r="BV433" t="inlineStr">
        <is>
          <t>Si</t>
        </is>
      </c>
      <c r="BW433" s="76" t="n">
        <v>46055.34027777778</v>
      </c>
      <c r="BX433" t="inlineStr">
        <is>
          <t>Magaly Guevara Perez</t>
        </is>
      </c>
      <c r="BZ433" t="n">
        <v>14</v>
      </c>
      <c r="CA433" t="inlineStr">
        <is>
          <t>26/06/2026 12:10</t>
        </is>
      </c>
      <c r="CB433" t="n">
        <v>0</v>
      </c>
      <c r="CF433" t="inlineStr">
        <is>
          <t>Cobranzas_2026.csv</t>
        </is>
      </c>
      <c r="CG433" t="n">
        <v>2026</v>
      </c>
      <c r="CH433" t="inlineStr">
        <is>
          <t>01/01/2024</t>
        </is>
      </c>
      <c r="CI433" t="inlineStr">
        <is>
          <t>24/08/2031</t>
        </is>
      </c>
    </row>
    <row r="434">
      <c r="A434" t="inlineStr">
        <is>
          <t>RESIDENCIAL BEYOND</t>
        </is>
      </c>
      <c r="B434" t="inlineStr">
        <is>
          <t>Etapa 1</t>
        </is>
      </c>
      <c r="C434" t="inlineStr">
        <is>
          <t>Edificio</t>
        </is>
      </c>
      <c r="D434" t="inlineStr">
        <is>
          <t>A</t>
        </is>
      </c>
      <c r="E434" t="inlineStr">
        <is>
          <t>Departamento</t>
        </is>
      </c>
      <c r="F434" t="inlineStr">
        <is>
          <t>1205</t>
        </is>
      </c>
      <c r="G434" t="n">
        <v>72</v>
      </c>
      <c r="H434" t="n">
        <v>0</v>
      </c>
      <c r="I434" s="39" t="n">
        <v>520100</v>
      </c>
      <c r="J434" s="39" t="n">
        <v>467100</v>
      </c>
      <c r="Q434" s="39" t="n"/>
      <c r="R434" s="39" t="n"/>
      <c r="Y434" s="39" t="n"/>
      <c r="Z434" s="39" t="n"/>
      <c r="AG434" s="39" t="n"/>
      <c r="AH434" s="39" t="n"/>
      <c r="AI434" t="inlineStr">
        <is>
          <t>Fabiola Maria Lecca Vargas</t>
        </is>
      </c>
      <c r="AJ434" t="inlineStr">
        <is>
          <t>08034254</t>
        </is>
      </c>
      <c r="AK434" t="inlineStr">
        <is>
          <t>Jr. Manuel Irribarren 1012 dpto 1</t>
        </is>
      </c>
      <c r="AL434" t="n">
        <v>0</v>
      </c>
      <c r="AM434" t="inlineStr">
        <is>
          <t>988708317</t>
        </is>
      </c>
      <c r="AN434" t="inlineStr">
        <is>
          <t>fabiolaleccavargas@g.mail.com</t>
        </is>
      </c>
      <c r="AO434" t="inlineStr">
        <is>
          <t>LIMA</t>
        </is>
      </c>
      <c r="AP434" t="inlineStr">
        <is>
          <t>RIMAC</t>
        </is>
      </c>
      <c r="AQ434" s="75" t="n">
        <v>46203</v>
      </c>
      <c r="AR434" s="75" t="n">
        <v>46223</v>
      </c>
      <c r="AS434" t="inlineStr">
        <is>
          <t>SALDO FINANCIAR</t>
        </is>
      </c>
      <c r="AT434" t="n">
        <v>3</v>
      </c>
      <c r="AU434" t="n">
        <v>10000</v>
      </c>
      <c r="AV434" t="n">
        <v>0</v>
      </c>
      <c r="AW434" t="n">
        <v>0</v>
      </c>
      <c r="AX434" s="39" t="n">
        <v>10000</v>
      </c>
      <c r="AY434" s="39" t="n">
        <v>10000</v>
      </c>
      <c r="AZ434" s="39" t="n">
        <v>0</v>
      </c>
      <c r="BA434" t="n">
        <v>0</v>
      </c>
      <c r="BB434" t="inlineStr">
        <is>
          <t>Crédito Directo</t>
        </is>
      </c>
      <c r="BC434" t="inlineStr">
        <is>
          <t>Banco de Credito del Perú</t>
        </is>
      </c>
      <c r="BD434" t="inlineStr">
        <is>
          <t>194-7325779-0-65</t>
        </is>
      </c>
      <c r="BE434" t="inlineStr">
        <is>
          <t>TRANSFERENCIA BANCARIA</t>
        </is>
      </c>
      <c r="BG434" t="inlineStr">
        <is>
          <t>7844654501651</t>
        </is>
      </c>
      <c r="BH434" t="inlineStr">
        <is>
          <t>No</t>
        </is>
      </c>
      <c r="BJ434" t="n">
        <v>4</v>
      </c>
      <c r="BK434" t="inlineStr">
        <is>
          <t>CANCELADO</t>
        </is>
      </c>
      <c r="BV434" t="inlineStr">
        <is>
          <t>Si</t>
        </is>
      </c>
      <c r="BW434" s="76" t="n">
        <v>46055.34027777778</v>
      </c>
      <c r="BX434" t="inlineStr">
        <is>
          <t>Magaly Guevara Perez</t>
        </is>
      </c>
      <c r="BZ434" t="n">
        <v>14</v>
      </c>
      <c r="CA434" t="inlineStr">
        <is>
          <t>21/07/2026 08:08</t>
        </is>
      </c>
      <c r="CB434" t="n">
        <v>0</v>
      </c>
      <c r="CF434" t="inlineStr">
        <is>
          <t>Cobranzas_2026.csv</t>
        </is>
      </c>
      <c r="CG434" t="n">
        <v>2026</v>
      </c>
      <c r="CH434" t="inlineStr">
        <is>
          <t>01/01/2024</t>
        </is>
      </c>
      <c r="CI434" t="inlineStr">
        <is>
          <t>24/08/2031</t>
        </is>
      </c>
    </row>
    <row r="435">
      <c r="A435" t="inlineStr">
        <is>
          <t>RESIDENCIAL BEYOND</t>
        </is>
      </c>
      <c r="B435" t="inlineStr">
        <is>
          <t>Etapa 1</t>
        </is>
      </c>
      <c r="C435" t="inlineStr">
        <is>
          <t>Edificio</t>
        </is>
      </c>
      <c r="D435" t="inlineStr">
        <is>
          <t>A</t>
        </is>
      </c>
      <c r="E435" t="inlineStr">
        <is>
          <t>Departamento</t>
        </is>
      </c>
      <c r="F435" t="inlineStr">
        <is>
          <t>1205</t>
        </is>
      </c>
      <c r="G435" t="n">
        <v>72</v>
      </c>
      <c r="H435" t="n">
        <v>0</v>
      </c>
      <c r="I435" s="39" t="n">
        <v>520100</v>
      </c>
      <c r="J435" s="39" t="n">
        <v>467100</v>
      </c>
      <c r="Q435" s="39" t="n"/>
      <c r="R435" s="39" t="n"/>
      <c r="Y435" s="39" t="n"/>
      <c r="Z435" s="39" t="n"/>
      <c r="AG435" s="39" t="n"/>
      <c r="AH435" s="39" t="n"/>
      <c r="AI435" t="inlineStr">
        <is>
          <t>Fabiola Maria Lecca Vargas</t>
        </is>
      </c>
      <c r="AJ435" t="inlineStr">
        <is>
          <t>08034254</t>
        </is>
      </c>
      <c r="AK435" t="inlineStr">
        <is>
          <t>Jr. Manuel Irribarren 1012 dpto 1</t>
        </is>
      </c>
      <c r="AL435" t="n">
        <v>0</v>
      </c>
      <c r="AM435" t="inlineStr">
        <is>
          <t>988708317</t>
        </is>
      </c>
      <c r="AN435" t="inlineStr">
        <is>
          <t>fabiolaleccavargas@g.mail.com</t>
        </is>
      </c>
      <c r="AO435" t="inlineStr">
        <is>
          <t>LIMA</t>
        </is>
      </c>
      <c r="AP435" t="inlineStr">
        <is>
          <t>RIMAC</t>
        </is>
      </c>
      <c r="AQ435" s="75" t="n">
        <v>46233</v>
      </c>
      <c r="AR435" s="75" t="n">
        <v>46252</v>
      </c>
      <c r="AS435" t="inlineStr">
        <is>
          <t>SALDO FINANCIAR</t>
        </is>
      </c>
      <c r="AT435" t="n">
        <v>4</v>
      </c>
      <c r="AU435" t="n">
        <v>10000</v>
      </c>
      <c r="AV435" t="n">
        <v>0</v>
      </c>
      <c r="AW435" t="n">
        <v>0</v>
      </c>
      <c r="AX435" s="39" t="n">
        <v>10000</v>
      </c>
      <c r="AY435" s="39" t="n">
        <v>10000</v>
      </c>
      <c r="AZ435" s="39" t="n">
        <v>0</v>
      </c>
      <c r="BA435" t="n">
        <v>0</v>
      </c>
      <c r="BB435" t="inlineStr">
        <is>
          <t>Crédito Directo</t>
        </is>
      </c>
      <c r="BC435" t="inlineStr">
        <is>
          <t>Banco de Credito del Perú</t>
        </is>
      </c>
      <c r="BD435" t="inlineStr">
        <is>
          <t>194-7325779-0-65</t>
        </is>
      </c>
      <c r="BE435" t="inlineStr">
        <is>
          <t>TRANSFERENCIA BANCARIA</t>
        </is>
      </c>
      <c r="BG435" t="inlineStr">
        <is>
          <t>1939721</t>
        </is>
      </c>
      <c r="BH435" t="inlineStr">
        <is>
          <t>No</t>
        </is>
      </c>
      <c r="BJ435" t="n">
        <v>4</v>
      </c>
      <c r="BK435" t="inlineStr">
        <is>
          <t>CANCELADO</t>
        </is>
      </c>
      <c r="BV435" t="inlineStr">
        <is>
          <t>Si</t>
        </is>
      </c>
      <c r="BW435" s="76" t="n">
        <v>46055.34027777778</v>
      </c>
      <c r="BX435" t="inlineStr">
        <is>
          <t>Magaly Guevara Perez</t>
        </is>
      </c>
      <c r="BZ435" t="n">
        <v>14</v>
      </c>
      <c r="CA435" t="inlineStr">
        <is>
          <t>21/08/2026 10:23</t>
        </is>
      </c>
      <c r="CB435" t="n">
        <v>0</v>
      </c>
      <c r="CF435" t="inlineStr">
        <is>
          <t>Cobranzas_2026.csv</t>
        </is>
      </c>
      <c r="CG435" t="n">
        <v>2026</v>
      </c>
      <c r="CH435" t="inlineStr">
        <is>
          <t>01/01/2024</t>
        </is>
      </c>
      <c r="CI435" t="inlineStr">
        <is>
          <t>24/08/2031</t>
        </is>
      </c>
    </row>
    <row r="436">
      <c r="A436" t="inlineStr">
        <is>
          <t>RESIDENCIAL BEYOND</t>
        </is>
      </c>
      <c r="B436" t="inlineStr">
        <is>
          <t>Etapa 1</t>
        </is>
      </c>
      <c r="C436" t="inlineStr">
        <is>
          <t>Edificio</t>
        </is>
      </c>
      <c r="D436" t="inlineStr">
        <is>
          <t>A</t>
        </is>
      </c>
      <c r="E436" t="inlineStr">
        <is>
          <t>Departamento</t>
        </is>
      </c>
      <c r="F436" t="inlineStr">
        <is>
          <t>1205</t>
        </is>
      </c>
      <c r="G436" t="n">
        <v>72</v>
      </c>
      <c r="H436" t="n">
        <v>0</v>
      </c>
      <c r="I436" s="39" t="n">
        <v>520100</v>
      </c>
      <c r="J436" s="39" t="n">
        <v>467100</v>
      </c>
      <c r="Q436" s="39" t="n"/>
      <c r="R436" s="39" t="n"/>
      <c r="Y436" s="39" t="n"/>
      <c r="Z436" s="39" t="n"/>
      <c r="AG436" s="39" t="n"/>
      <c r="AH436" s="39" t="n"/>
      <c r="AI436" t="inlineStr">
        <is>
          <t>Fabiola Maria Lecca Vargas</t>
        </is>
      </c>
      <c r="AJ436" t="inlineStr">
        <is>
          <t>08034254</t>
        </is>
      </c>
      <c r="AK436" t="inlineStr">
        <is>
          <t>Jr. Manuel Irribarren 1012 dpto 1</t>
        </is>
      </c>
      <c r="AL436" t="n">
        <v>0</v>
      </c>
      <c r="AM436" t="inlineStr">
        <is>
          <t>988708317</t>
        </is>
      </c>
      <c r="AN436" t="inlineStr">
        <is>
          <t>fabiolaleccavargas@g.mail.com</t>
        </is>
      </c>
      <c r="AO436" t="inlineStr">
        <is>
          <t>LIMA</t>
        </is>
      </c>
      <c r="AP436" t="inlineStr">
        <is>
          <t>RIMAC</t>
        </is>
      </c>
      <c r="AQ436" s="75" t="n">
        <v>46264</v>
      </c>
      <c r="AR436" s="75" t="n"/>
      <c r="AS436" t="inlineStr">
        <is>
          <t>SALDO FINANCIAR</t>
        </is>
      </c>
      <c r="AT436" t="n">
        <v>5</v>
      </c>
      <c r="AU436" t="n">
        <v>10000</v>
      </c>
      <c r="AV436" t="n">
        <v>0</v>
      </c>
      <c r="AW436" t="n">
        <v>0</v>
      </c>
      <c r="AX436" s="39" t="n">
        <v>10000</v>
      </c>
      <c r="AY436" s="39" t="n">
        <v>0</v>
      </c>
      <c r="AZ436" s="39" t="n">
        <v>10000</v>
      </c>
      <c r="BB436" t="inlineStr">
        <is>
          <t>Crédito Directo</t>
        </is>
      </c>
      <c r="BH436" t="inlineStr">
        <is>
          <t>No</t>
        </is>
      </c>
      <c r="BK436" t="inlineStr">
        <is>
          <t>PENDIENTE</t>
        </is>
      </c>
      <c r="BV436" t="inlineStr">
        <is>
          <t>No</t>
        </is>
      </c>
      <c r="BW436" s="76" t="n">
        <v>46055.34027777778</v>
      </c>
      <c r="BX436" t="inlineStr">
        <is>
          <t>Magaly Guevara Perez</t>
        </is>
      </c>
      <c r="BZ436" t="n">
        <v>14</v>
      </c>
      <c r="CB436" t="n">
        <v>0</v>
      </c>
      <c r="CF436" t="inlineStr">
        <is>
          <t>Cobranzas_2026.csv</t>
        </is>
      </c>
      <c r="CG436" t="n">
        <v>2026</v>
      </c>
      <c r="CH436" t="inlineStr">
        <is>
          <t>01/01/2024</t>
        </is>
      </c>
      <c r="CI436" t="inlineStr">
        <is>
          <t>24/08/2031</t>
        </is>
      </c>
    </row>
    <row r="437">
      <c r="A437" t="inlineStr">
        <is>
          <t>RESIDENCIAL BEYOND</t>
        </is>
      </c>
      <c r="B437" t="inlineStr">
        <is>
          <t>Etapa 1</t>
        </is>
      </c>
      <c r="C437" t="inlineStr">
        <is>
          <t>Edificio</t>
        </is>
      </c>
      <c r="D437" t="inlineStr">
        <is>
          <t>A</t>
        </is>
      </c>
      <c r="E437" t="inlineStr">
        <is>
          <t>Departamento</t>
        </is>
      </c>
      <c r="F437" t="inlineStr">
        <is>
          <t>1205</t>
        </is>
      </c>
      <c r="G437" t="n">
        <v>72</v>
      </c>
      <c r="H437" t="n">
        <v>0</v>
      </c>
      <c r="I437" s="39" t="n">
        <v>520100</v>
      </c>
      <c r="J437" s="39" t="n">
        <v>467100</v>
      </c>
      <c r="Q437" s="39" t="n"/>
      <c r="R437" s="39" t="n"/>
      <c r="Y437" s="39" t="n"/>
      <c r="Z437" s="39" t="n"/>
      <c r="AG437" s="39" t="n"/>
      <c r="AH437" s="39" t="n"/>
      <c r="AI437" t="inlineStr">
        <is>
          <t>Fabiola Maria Lecca Vargas</t>
        </is>
      </c>
      <c r="AJ437" t="inlineStr">
        <is>
          <t>08034254</t>
        </is>
      </c>
      <c r="AK437" t="inlineStr">
        <is>
          <t>Jr. Manuel Irribarren 1012 dpto 1</t>
        </is>
      </c>
      <c r="AL437" t="n">
        <v>0</v>
      </c>
      <c r="AM437" t="inlineStr">
        <is>
          <t>988708317</t>
        </is>
      </c>
      <c r="AN437" t="inlineStr">
        <is>
          <t>fabiolaleccavargas@g.mail.com</t>
        </is>
      </c>
      <c r="AO437" t="inlineStr">
        <is>
          <t>LIMA</t>
        </is>
      </c>
      <c r="AP437" t="inlineStr">
        <is>
          <t>RIMAC</t>
        </is>
      </c>
      <c r="AQ437" s="75" t="n">
        <v>46295</v>
      </c>
      <c r="AR437" s="75" t="n"/>
      <c r="AS437" t="inlineStr">
        <is>
          <t>SALDO FINANCIAR</t>
        </is>
      </c>
      <c r="AT437" t="n">
        <v>6</v>
      </c>
      <c r="AU437" t="n">
        <v>10000</v>
      </c>
      <c r="AV437" t="n">
        <v>0</v>
      </c>
      <c r="AW437" t="n">
        <v>0</v>
      </c>
      <c r="AX437" s="39" t="n">
        <v>10000</v>
      </c>
      <c r="AY437" s="39" t="n">
        <v>0</v>
      </c>
      <c r="AZ437" s="39" t="n">
        <v>10000</v>
      </c>
      <c r="BB437" t="inlineStr">
        <is>
          <t>Crédito Directo</t>
        </is>
      </c>
      <c r="BH437" t="inlineStr">
        <is>
          <t>No</t>
        </is>
      </c>
      <c r="BK437" t="inlineStr">
        <is>
          <t>PENDIENTE</t>
        </is>
      </c>
      <c r="BV437" t="inlineStr">
        <is>
          <t>No</t>
        </is>
      </c>
      <c r="BW437" s="76" t="n">
        <v>46055.34027777778</v>
      </c>
      <c r="BX437" t="inlineStr">
        <is>
          <t>Magaly Guevara Perez</t>
        </is>
      </c>
      <c r="BZ437" t="n">
        <v>14</v>
      </c>
      <c r="CB437" t="n">
        <v>0</v>
      </c>
      <c r="CF437" t="inlineStr">
        <is>
          <t>Cobranzas_2026.csv</t>
        </is>
      </c>
      <c r="CG437" t="n">
        <v>2026</v>
      </c>
      <c r="CH437" t="inlineStr">
        <is>
          <t>01/01/2024</t>
        </is>
      </c>
      <c r="CI437" t="inlineStr">
        <is>
          <t>24/08/2031</t>
        </is>
      </c>
    </row>
    <row r="438">
      <c r="A438" t="inlineStr">
        <is>
          <t>RESIDENCIAL BEYOND</t>
        </is>
      </c>
      <c r="B438" t="inlineStr">
        <is>
          <t>Etapa 1</t>
        </is>
      </c>
      <c r="C438" t="inlineStr">
        <is>
          <t>Edificio</t>
        </is>
      </c>
      <c r="D438" t="inlineStr">
        <is>
          <t>A</t>
        </is>
      </c>
      <c r="E438" t="inlineStr">
        <is>
          <t>Departamento</t>
        </is>
      </c>
      <c r="F438" t="inlineStr">
        <is>
          <t>1205</t>
        </is>
      </c>
      <c r="G438" t="n">
        <v>72</v>
      </c>
      <c r="H438" t="n">
        <v>0</v>
      </c>
      <c r="I438" s="39" t="n">
        <v>520100</v>
      </c>
      <c r="J438" s="39" t="n">
        <v>467100</v>
      </c>
      <c r="Q438" s="39" t="n"/>
      <c r="R438" s="39" t="n"/>
      <c r="Y438" s="39" t="n"/>
      <c r="Z438" s="39" t="n"/>
      <c r="AG438" s="39" t="n"/>
      <c r="AH438" s="39" t="n"/>
      <c r="AI438" t="inlineStr">
        <is>
          <t>Fabiola Maria Lecca Vargas</t>
        </is>
      </c>
      <c r="AJ438" t="inlineStr">
        <is>
          <t>08034254</t>
        </is>
      </c>
      <c r="AK438" t="inlineStr">
        <is>
          <t>Jr. Manuel Irribarren 1012 dpto 1</t>
        </is>
      </c>
      <c r="AL438" t="n">
        <v>0</v>
      </c>
      <c r="AM438" t="inlineStr">
        <is>
          <t>988708317</t>
        </is>
      </c>
      <c r="AN438" t="inlineStr">
        <is>
          <t>fabiolaleccavargas@g.mail.com</t>
        </is>
      </c>
      <c r="AO438" t="inlineStr">
        <is>
          <t>LIMA</t>
        </is>
      </c>
      <c r="AP438" t="inlineStr">
        <is>
          <t>RIMAC</t>
        </is>
      </c>
      <c r="AQ438" s="75" t="n">
        <v>46325</v>
      </c>
      <c r="AR438" s="75" t="n"/>
      <c r="AS438" t="inlineStr">
        <is>
          <t>SALDO FINANCIAR</t>
        </is>
      </c>
      <c r="AT438" t="n">
        <v>7</v>
      </c>
      <c r="AU438" t="n">
        <v>10000</v>
      </c>
      <c r="AV438" t="n">
        <v>0</v>
      </c>
      <c r="AW438" t="n">
        <v>0</v>
      </c>
      <c r="AX438" s="39" t="n">
        <v>10000</v>
      </c>
      <c r="AY438" s="39" t="n">
        <v>0</v>
      </c>
      <c r="AZ438" s="39" t="n">
        <v>10000</v>
      </c>
      <c r="BB438" t="inlineStr">
        <is>
          <t>Crédito Directo</t>
        </is>
      </c>
      <c r="BH438" t="inlineStr">
        <is>
          <t>No</t>
        </is>
      </c>
      <c r="BK438" t="inlineStr">
        <is>
          <t>PENDIENTE</t>
        </is>
      </c>
      <c r="BV438" t="inlineStr">
        <is>
          <t>No</t>
        </is>
      </c>
      <c r="BW438" s="76" t="n">
        <v>46055.34027777778</v>
      </c>
      <c r="BX438" t="inlineStr">
        <is>
          <t>Magaly Guevara Perez</t>
        </is>
      </c>
      <c r="BZ438" t="n">
        <v>14</v>
      </c>
      <c r="CB438" t="n">
        <v>0</v>
      </c>
      <c r="CF438" t="inlineStr">
        <is>
          <t>Cobranzas_2026.csv</t>
        </is>
      </c>
      <c r="CG438" t="n">
        <v>2026</v>
      </c>
      <c r="CH438" t="inlineStr">
        <is>
          <t>01/01/2024</t>
        </is>
      </c>
      <c r="CI438" t="inlineStr">
        <is>
          <t>24/08/2031</t>
        </is>
      </c>
    </row>
    <row r="439">
      <c r="A439" t="inlineStr">
        <is>
          <t>RESIDENCIAL BEYOND</t>
        </is>
      </c>
      <c r="B439" t="inlineStr">
        <is>
          <t>Etapa 1</t>
        </is>
      </c>
      <c r="C439" t="inlineStr">
        <is>
          <t>Edificio</t>
        </is>
      </c>
      <c r="D439" t="inlineStr">
        <is>
          <t>A</t>
        </is>
      </c>
      <c r="E439" t="inlineStr">
        <is>
          <t>Departamento</t>
        </is>
      </c>
      <c r="F439" t="inlineStr">
        <is>
          <t>1205</t>
        </is>
      </c>
      <c r="G439" t="n">
        <v>72</v>
      </c>
      <c r="H439" t="n">
        <v>0</v>
      </c>
      <c r="I439" s="39" t="n">
        <v>520100</v>
      </c>
      <c r="J439" s="39" t="n">
        <v>467100</v>
      </c>
      <c r="Q439" s="39" t="n"/>
      <c r="R439" s="39" t="n"/>
      <c r="Y439" s="39" t="n"/>
      <c r="Z439" s="39" t="n"/>
      <c r="AG439" s="39" t="n"/>
      <c r="AH439" s="39" t="n"/>
      <c r="AI439" t="inlineStr">
        <is>
          <t>Fabiola Maria Lecca Vargas</t>
        </is>
      </c>
      <c r="AJ439" t="inlineStr">
        <is>
          <t>08034254</t>
        </is>
      </c>
      <c r="AK439" t="inlineStr">
        <is>
          <t>Jr. Manuel Irribarren 1012 dpto 1</t>
        </is>
      </c>
      <c r="AL439" t="n">
        <v>0</v>
      </c>
      <c r="AM439" t="inlineStr">
        <is>
          <t>988708317</t>
        </is>
      </c>
      <c r="AN439" t="inlineStr">
        <is>
          <t>fabiolaleccavargas@g.mail.com</t>
        </is>
      </c>
      <c r="AO439" t="inlineStr">
        <is>
          <t>LIMA</t>
        </is>
      </c>
      <c r="AP439" t="inlineStr">
        <is>
          <t>RIMAC</t>
        </is>
      </c>
      <c r="AQ439" s="75" t="n">
        <v>46356</v>
      </c>
      <c r="AR439" s="75" t="n"/>
      <c r="AS439" t="inlineStr">
        <is>
          <t>SALDO FINANCIAR</t>
        </is>
      </c>
      <c r="AT439" t="n">
        <v>8</v>
      </c>
      <c r="AU439" t="n">
        <v>10000</v>
      </c>
      <c r="AV439" t="n">
        <v>0</v>
      </c>
      <c r="AW439" t="n">
        <v>0</v>
      </c>
      <c r="AX439" s="39" t="n">
        <v>10000</v>
      </c>
      <c r="AY439" s="39" t="n">
        <v>0</v>
      </c>
      <c r="AZ439" s="39" t="n">
        <v>10000</v>
      </c>
      <c r="BB439" t="inlineStr">
        <is>
          <t>Crédito Directo</t>
        </is>
      </c>
      <c r="BH439" t="inlineStr">
        <is>
          <t>No</t>
        </is>
      </c>
      <c r="BK439" t="inlineStr">
        <is>
          <t>PENDIENTE</t>
        </is>
      </c>
      <c r="BV439" t="inlineStr">
        <is>
          <t>No</t>
        </is>
      </c>
      <c r="BW439" s="76" t="n">
        <v>46055.34027777778</v>
      </c>
      <c r="BX439" t="inlineStr">
        <is>
          <t>Magaly Guevara Perez</t>
        </is>
      </c>
      <c r="BZ439" t="n">
        <v>14</v>
      </c>
      <c r="CB439" t="n">
        <v>0</v>
      </c>
      <c r="CF439" t="inlineStr">
        <is>
          <t>Cobranzas_2026.csv</t>
        </is>
      </c>
      <c r="CG439" t="n">
        <v>2026</v>
      </c>
      <c r="CH439" t="inlineStr">
        <is>
          <t>01/01/2024</t>
        </is>
      </c>
      <c r="CI439" t="inlineStr">
        <is>
          <t>24/08/2031</t>
        </is>
      </c>
    </row>
    <row r="440">
      <c r="A440" t="inlineStr">
        <is>
          <t>RESIDENCIAL BEYOND</t>
        </is>
      </c>
      <c r="B440" t="inlineStr">
        <is>
          <t>Etapa 1</t>
        </is>
      </c>
      <c r="C440" t="inlineStr">
        <is>
          <t>Edificio</t>
        </is>
      </c>
      <c r="D440" t="inlineStr">
        <is>
          <t>A</t>
        </is>
      </c>
      <c r="E440" t="inlineStr">
        <is>
          <t>Departamento</t>
        </is>
      </c>
      <c r="F440" t="inlineStr">
        <is>
          <t>1205</t>
        </is>
      </c>
      <c r="G440" t="n">
        <v>72</v>
      </c>
      <c r="H440" t="n">
        <v>0</v>
      </c>
      <c r="I440" s="39" t="n">
        <v>520100</v>
      </c>
      <c r="J440" s="39" t="n">
        <v>467100</v>
      </c>
      <c r="Q440" s="39" t="n"/>
      <c r="R440" s="39" t="n"/>
      <c r="Y440" s="39" t="n"/>
      <c r="Z440" s="39" t="n"/>
      <c r="AG440" s="39" t="n"/>
      <c r="AH440" s="39" t="n"/>
      <c r="AI440" t="inlineStr">
        <is>
          <t>Fabiola Maria Lecca Vargas</t>
        </is>
      </c>
      <c r="AJ440" t="inlineStr">
        <is>
          <t>08034254</t>
        </is>
      </c>
      <c r="AK440" t="inlineStr">
        <is>
          <t>Jr. Manuel Irribarren 1012 dpto 1</t>
        </is>
      </c>
      <c r="AL440" t="n">
        <v>0</v>
      </c>
      <c r="AM440" t="inlineStr">
        <is>
          <t>988708317</t>
        </is>
      </c>
      <c r="AN440" t="inlineStr">
        <is>
          <t>fabiolaleccavargas@g.mail.com</t>
        </is>
      </c>
      <c r="AO440" t="inlineStr">
        <is>
          <t>LIMA</t>
        </is>
      </c>
      <c r="AP440" t="inlineStr">
        <is>
          <t>RIMAC</t>
        </is>
      </c>
      <c r="AQ440" s="75" t="n">
        <v>46386</v>
      </c>
      <c r="AR440" s="75" t="n"/>
      <c r="AS440" t="inlineStr">
        <is>
          <t>SALDO FINANCIAR</t>
        </is>
      </c>
      <c r="AT440" t="n">
        <v>9</v>
      </c>
      <c r="AU440" t="n">
        <v>10000</v>
      </c>
      <c r="AV440" t="n">
        <v>0</v>
      </c>
      <c r="AW440" t="n">
        <v>0</v>
      </c>
      <c r="AX440" s="39" t="n">
        <v>10000</v>
      </c>
      <c r="AY440" s="39" t="n">
        <v>0</v>
      </c>
      <c r="AZ440" s="39" t="n">
        <v>10000</v>
      </c>
      <c r="BB440" t="inlineStr">
        <is>
          <t>Crédito Directo</t>
        </is>
      </c>
      <c r="BH440" t="inlineStr">
        <is>
          <t>No</t>
        </is>
      </c>
      <c r="BK440" t="inlineStr">
        <is>
          <t>PENDIENTE</t>
        </is>
      </c>
      <c r="BV440" t="inlineStr">
        <is>
          <t>No</t>
        </is>
      </c>
      <c r="BW440" s="76" t="n">
        <v>46055.34027777778</v>
      </c>
      <c r="BX440" t="inlineStr">
        <is>
          <t>Magaly Guevara Perez</t>
        </is>
      </c>
      <c r="BZ440" t="n">
        <v>14</v>
      </c>
      <c r="CB440" t="n">
        <v>0</v>
      </c>
      <c r="CF440" t="inlineStr">
        <is>
          <t>Cobranzas_2026.csv</t>
        </is>
      </c>
      <c r="CG440" t="n">
        <v>2026</v>
      </c>
      <c r="CH440" t="inlineStr">
        <is>
          <t>01/01/2024</t>
        </is>
      </c>
      <c r="CI440" t="inlineStr">
        <is>
          <t>24/08/2031</t>
        </is>
      </c>
    </row>
    <row r="441">
      <c r="A441" t="inlineStr">
        <is>
          <t>RESIDENCIAL BEYOND</t>
        </is>
      </c>
      <c r="B441" t="inlineStr">
        <is>
          <t>Etapa 1</t>
        </is>
      </c>
      <c r="C441" t="inlineStr">
        <is>
          <t>Edificio</t>
        </is>
      </c>
      <c r="D441" t="inlineStr">
        <is>
          <t>A</t>
        </is>
      </c>
      <c r="E441" t="inlineStr">
        <is>
          <t>Departamento</t>
        </is>
      </c>
      <c r="F441" t="inlineStr">
        <is>
          <t>501</t>
        </is>
      </c>
      <c r="G441" t="n">
        <v>70</v>
      </c>
      <c r="H441" t="n">
        <v>0</v>
      </c>
      <c r="I441" s="39" t="n">
        <v>518500</v>
      </c>
      <c r="J441" s="39" t="n">
        <v>469500</v>
      </c>
      <c r="K441" t="inlineStr">
        <is>
          <t>Edificio</t>
        </is>
      </c>
      <c r="L441" t="inlineStr">
        <is>
          <t>A</t>
        </is>
      </c>
      <c r="M441" t="inlineStr">
        <is>
          <t>Estacionamiento</t>
        </is>
      </c>
      <c r="N441" t="inlineStr">
        <is>
          <t>E 14 - D 12</t>
        </is>
      </c>
      <c r="O441" t="n">
        <v>12.5</v>
      </c>
      <c r="P441" t="n">
        <v>2.75</v>
      </c>
      <c r="Q441" s="39" t="n">
        <v>55000</v>
      </c>
      <c r="R441" s="39" t="n">
        <v>55000</v>
      </c>
      <c r="Y441" s="39" t="n"/>
      <c r="Z441" s="39" t="n"/>
      <c r="AG441" s="39" t="n"/>
      <c r="AH441" s="39" t="n"/>
      <c r="AI441" t="inlineStr">
        <is>
          <t>Francesca Giuliana Ramos Ortiz</t>
        </is>
      </c>
      <c r="AJ441" t="inlineStr">
        <is>
          <t>29412010</t>
        </is>
      </c>
      <c r="AK441" t="inlineStr">
        <is>
          <t>Jr. Cotabambas 306</t>
        </is>
      </c>
      <c r="AL441" t="n">
        <v>0</v>
      </c>
      <c r="AM441" t="inlineStr">
        <is>
          <t>996655477</t>
        </is>
      </c>
      <c r="AN441" t="inlineStr">
        <is>
          <t>cheskagro@gmail.com</t>
        </is>
      </c>
      <c r="AO441" t="inlineStr">
        <is>
          <t>LIMA</t>
        </is>
      </c>
      <c r="AP441" t="inlineStr">
        <is>
          <t>CERCADO DE LIMA</t>
        </is>
      </c>
      <c r="AQ441" s="75" t="n">
        <v>46157</v>
      </c>
      <c r="AR441" s="75" t="n">
        <v>46223</v>
      </c>
      <c r="AS441" t="inlineStr">
        <is>
          <t>CUOTA INICIAL</t>
        </is>
      </c>
      <c r="AT441" t="n">
        <v>2</v>
      </c>
      <c r="AU441" t="n">
        <v>50950</v>
      </c>
      <c r="AV441" t="n">
        <v>0</v>
      </c>
      <c r="AW441" t="n">
        <v>0</v>
      </c>
      <c r="AX441" s="39" t="n">
        <v>50950</v>
      </c>
      <c r="AY441" s="39" t="n">
        <v>50950</v>
      </c>
      <c r="AZ441" s="39" t="n">
        <v>0</v>
      </c>
      <c r="BA441" t="n">
        <v>0</v>
      </c>
      <c r="BB441" t="inlineStr">
        <is>
          <t>Ahorro</t>
        </is>
      </c>
      <c r="BC441" t="inlineStr">
        <is>
          <t>Banco de Credito del Perú</t>
        </is>
      </c>
      <c r="BD441" t="inlineStr">
        <is>
          <t>194-7325779-0-65</t>
        </is>
      </c>
      <c r="BE441" t="inlineStr">
        <is>
          <t>TRANSFERENCIA BANCARIA</t>
        </is>
      </c>
      <c r="BG441" t="inlineStr">
        <is>
          <t>0730895</t>
        </is>
      </c>
      <c r="BH441" t="inlineStr">
        <is>
          <t>No</t>
        </is>
      </c>
      <c r="BJ441" t="n">
        <v>4</v>
      </c>
      <c r="BK441" t="inlineStr">
        <is>
          <t>CANCELADO</t>
        </is>
      </c>
      <c r="BV441" t="inlineStr">
        <is>
          <t>Si</t>
        </is>
      </c>
      <c r="BW441" s="76" t="n">
        <v>45911.39305555556</v>
      </c>
      <c r="BX441" t="inlineStr">
        <is>
          <t>Magaly Guevara Perez</t>
        </is>
      </c>
      <c r="BZ441" t="n">
        <v>30</v>
      </c>
      <c r="CA441" t="inlineStr">
        <is>
          <t>13/08/2026 14:52</t>
        </is>
      </c>
      <c r="CB441" t="n">
        <v>0</v>
      </c>
      <c r="CF441" t="inlineStr">
        <is>
          <t>Cobranzas_2026.csv</t>
        </is>
      </c>
      <c r="CG441" t="n">
        <v>2026</v>
      </c>
      <c r="CH441" t="inlineStr">
        <is>
          <t>01/01/2024</t>
        </is>
      </c>
      <c r="CI441" t="inlineStr">
        <is>
          <t>24/08/2031</t>
        </is>
      </c>
    </row>
    <row r="442">
      <c r="A442" t="inlineStr">
        <is>
          <t>RESIDENCIAL BEYOND</t>
        </is>
      </c>
      <c r="B442" t="inlineStr">
        <is>
          <t>Etapa 1</t>
        </is>
      </c>
      <c r="C442" t="inlineStr">
        <is>
          <t>Edificio</t>
        </is>
      </c>
      <c r="D442" t="inlineStr">
        <is>
          <t>A</t>
        </is>
      </c>
      <c r="E442" t="inlineStr">
        <is>
          <t>Departamento</t>
        </is>
      </c>
      <c r="F442" t="inlineStr">
        <is>
          <t>501</t>
        </is>
      </c>
      <c r="G442" t="n">
        <v>70</v>
      </c>
      <c r="H442" t="n">
        <v>0</v>
      </c>
      <c r="I442" s="39" t="n">
        <v>518500</v>
      </c>
      <c r="J442" s="39" t="n">
        <v>469500</v>
      </c>
      <c r="K442" t="inlineStr">
        <is>
          <t>Edificio</t>
        </is>
      </c>
      <c r="L442" t="inlineStr">
        <is>
          <t>A</t>
        </is>
      </c>
      <c r="M442" t="inlineStr">
        <is>
          <t>Estacionamiento</t>
        </is>
      </c>
      <c r="N442" t="inlineStr">
        <is>
          <t>E 14 - D 12</t>
        </is>
      </c>
      <c r="O442" t="n">
        <v>12.5</v>
      </c>
      <c r="P442" t="n">
        <v>2.75</v>
      </c>
      <c r="Q442" s="39" t="n">
        <v>55000</v>
      </c>
      <c r="R442" s="39" t="n">
        <v>55000</v>
      </c>
      <c r="Y442" s="39" t="n"/>
      <c r="Z442" s="39" t="n"/>
      <c r="AG442" s="39" t="n"/>
      <c r="AH442" s="39" t="n"/>
      <c r="AI442" t="inlineStr">
        <is>
          <t>Francesca Giuliana Ramos Ortiz</t>
        </is>
      </c>
      <c r="AJ442" t="inlineStr">
        <is>
          <t>29412010</t>
        </is>
      </c>
      <c r="AK442" t="inlineStr">
        <is>
          <t>Jr. Cotabambas 306</t>
        </is>
      </c>
      <c r="AL442" t="n">
        <v>0</v>
      </c>
      <c r="AM442" t="inlineStr">
        <is>
          <t>996655477</t>
        </is>
      </c>
      <c r="AN442" t="inlineStr">
        <is>
          <t>cheskagro@gmail.com</t>
        </is>
      </c>
      <c r="AO442" t="inlineStr">
        <is>
          <t>LIMA</t>
        </is>
      </c>
      <c r="AP442" t="inlineStr">
        <is>
          <t>CERCADO DE LIMA</t>
        </is>
      </c>
      <c r="AQ442" s="75" t="n">
        <v>46234</v>
      </c>
      <c r="AR442" s="75" t="n"/>
      <c r="AS442" t="inlineStr">
        <is>
          <t>SALDO FINANCIAR</t>
        </is>
      </c>
      <c r="AT442" t="n">
        <v>1</v>
      </c>
      <c r="AU442" t="n">
        <v>419600</v>
      </c>
      <c r="AV442" t="n">
        <v>0</v>
      </c>
      <c r="AW442" t="n">
        <v>0</v>
      </c>
      <c r="AX442" s="39" t="n">
        <v>419600</v>
      </c>
      <c r="AY442" s="39" t="n">
        <v>0</v>
      </c>
      <c r="AZ442" s="39" t="n">
        <v>419600</v>
      </c>
      <c r="BB442" t="inlineStr">
        <is>
          <t>Ahorro</t>
        </is>
      </c>
      <c r="BH442" t="inlineStr">
        <is>
          <t>No</t>
        </is>
      </c>
      <c r="BK442" t="inlineStr">
        <is>
          <t>VENCIDO</t>
        </is>
      </c>
      <c r="BV442" t="inlineStr">
        <is>
          <t>No</t>
        </is>
      </c>
      <c r="BW442" s="76" t="n">
        <v>45911.39305555556</v>
      </c>
      <c r="BX442" t="inlineStr">
        <is>
          <t>Magaly Guevara Perez</t>
        </is>
      </c>
      <c r="BZ442" t="n">
        <v>30</v>
      </c>
      <c r="CB442" t="n">
        <v>0</v>
      </c>
      <c r="CF442" t="inlineStr">
        <is>
          <t>Cobranzas_2026.csv</t>
        </is>
      </c>
      <c r="CG442" t="n">
        <v>2026</v>
      </c>
      <c r="CH442" t="inlineStr">
        <is>
          <t>01/01/2024</t>
        </is>
      </c>
      <c r="CI442" t="inlineStr">
        <is>
          <t>24/08/2031</t>
        </is>
      </c>
    </row>
    <row r="443">
      <c r="A443" t="inlineStr">
        <is>
          <t>RESIDENCIAL PRADA</t>
        </is>
      </c>
      <c r="B443" t="inlineStr">
        <is>
          <t>Etapa 1</t>
        </is>
      </c>
      <c r="C443" t="inlineStr">
        <is>
          <t>Edificio</t>
        </is>
      </c>
      <c r="D443" t="inlineStr">
        <is>
          <t>A</t>
        </is>
      </c>
      <c r="E443" t="inlineStr">
        <is>
          <t>Departamento</t>
        </is>
      </c>
      <c r="F443" t="inlineStr">
        <is>
          <t>802</t>
        </is>
      </c>
      <c r="G443" t="n">
        <v>56</v>
      </c>
      <c r="H443" t="n">
        <v>0</v>
      </c>
      <c r="I443" s="39" t="n">
        <v>420000</v>
      </c>
      <c r="J443" s="39" t="n">
        <v>420000</v>
      </c>
      <c r="Q443" s="39" t="n"/>
      <c r="R443" s="39" t="n"/>
      <c r="Y443" s="39" t="n"/>
      <c r="Z443" s="39" t="n"/>
      <c r="AG443" s="39" t="n"/>
      <c r="AH443" s="39" t="n"/>
      <c r="AI443" t="inlineStr">
        <is>
          <t xml:space="preserve">Gersom Juver Gonzalez Alfaro </t>
        </is>
      </c>
      <c r="AJ443" t="inlineStr">
        <is>
          <t>42539680</t>
        </is>
      </c>
      <c r="AK443" t="inlineStr">
        <is>
          <t>Jr. Grl. Zegarra 854 Dpto. 21 P. 4</t>
        </is>
      </c>
      <c r="AL443" t="n">
        <v>958600003</v>
      </c>
      <c r="AM443" t="inlineStr">
        <is>
          <t>958600003</t>
        </is>
      </c>
      <c r="AN443" t="inlineStr">
        <is>
          <t>gersonalfaro@gmail.com</t>
        </is>
      </c>
      <c r="AO443" t="inlineStr">
        <is>
          <t>LIMA</t>
        </is>
      </c>
      <c r="AP443" t="inlineStr">
        <is>
          <t>JESUS MARIA</t>
        </is>
      </c>
      <c r="AQ443" s="75" t="n">
        <v>46053</v>
      </c>
      <c r="AR443" s="75" t="n">
        <v>46112</v>
      </c>
      <c r="AS443" t="inlineStr">
        <is>
          <t>SALDO FINANCIAR</t>
        </is>
      </c>
      <c r="AT443" t="n">
        <v>1</v>
      </c>
      <c r="AU443" t="n">
        <v>372000</v>
      </c>
      <c r="AV443" t="n">
        <v>0</v>
      </c>
      <c r="AW443" t="n">
        <v>0</v>
      </c>
      <c r="AX443" s="39" t="n">
        <v>372000</v>
      </c>
      <c r="AY443" s="39" t="n">
        <v>372000</v>
      </c>
      <c r="AZ443" s="39" t="n">
        <v>0</v>
      </c>
      <c r="BA443" t="n">
        <v>0</v>
      </c>
      <c r="BB443" t="inlineStr">
        <is>
          <t>Crédito Hipotecario</t>
        </is>
      </c>
      <c r="BC443" t="inlineStr">
        <is>
          <t>Scotiabank Perú</t>
        </is>
      </c>
      <c r="BD443" t="inlineStr">
        <is>
          <t>000-2768484</t>
        </is>
      </c>
      <c r="BE443" t="inlineStr">
        <is>
          <t>TRANSFERENCIA BANCARIA</t>
        </is>
      </c>
      <c r="BG443" t="inlineStr">
        <is>
          <t>31032025</t>
        </is>
      </c>
      <c r="BH443" t="inlineStr">
        <is>
          <t>No</t>
        </is>
      </c>
      <c r="BJ443" t="n">
        <v>4</v>
      </c>
      <c r="BK443" t="inlineStr">
        <is>
          <t>CANCELADO</t>
        </is>
      </c>
      <c r="BV443" t="inlineStr">
        <is>
          <t>Si</t>
        </is>
      </c>
      <c r="BW443" s="76" t="n">
        <v>45832.51944444444</v>
      </c>
      <c r="BX443" t="inlineStr">
        <is>
          <t>Carla Michue M</t>
        </is>
      </c>
      <c r="BZ443" t="n">
        <v>45</v>
      </c>
      <c r="CA443" t="inlineStr">
        <is>
          <t>07/07/2026 12:27</t>
        </is>
      </c>
      <c r="CB443" t="n">
        <v>0</v>
      </c>
      <c r="CF443" t="inlineStr">
        <is>
          <t>Cobranzas_2026.csv</t>
        </is>
      </c>
      <c r="CG443" t="n">
        <v>2026</v>
      </c>
      <c r="CH443" t="inlineStr">
        <is>
          <t>01/01/2024</t>
        </is>
      </c>
      <c r="CI443" t="inlineStr">
        <is>
          <t>24/08/2031</t>
        </is>
      </c>
    </row>
    <row r="444">
      <c r="A444" t="inlineStr">
        <is>
          <t>RESIDENCIAL PRADA</t>
        </is>
      </c>
      <c r="B444" t="inlineStr">
        <is>
          <t>Etapa 1</t>
        </is>
      </c>
      <c r="C444" t="inlineStr">
        <is>
          <t>Edificio</t>
        </is>
      </c>
      <c r="D444" t="inlineStr">
        <is>
          <t>A</t>
        </is>
      </c>
      <c r="E444" t="inlineStr">
        <is>
          <t>Estacionamiento</t>
        </is>
      </c>
      <c r="F444" t="inlineStr">
        <is>
          <t>E 25 - D 19</t>
        </is>
      </c>
      <c r="G444" t="n">
        <v>12.5</v>
      </c>
      <c r="H444" t="n">
        <v>3.8</v>
      </c>
      <c r="I444" s="39" t="n">
        <v>60400</v>
      </c>
      <c r="J444" s="39" t="n">
        <v>60400</v>
      </c>
      <c r="Q444" s="39" t="n"/>
      <c r="R444" s="39" t="n"/>
      <c r="Y444" s="39" t="n"/>
      <c r="Z444" s="39" t="n"/>
      <c r="AG444" s="39" t="n"/>
      <c r="AH444" s="39" t="n"/>
      <c r="AI444" t="inlineStr">
        <is>
          <t>Gersom Juver Gonzalez Alfaro</t>
        </is>
      </c>
      <c r="AJ444" t="inlineStr">
        <is>
          <t>42539680</t>
        </is>
      </c>
      <c r="AK444" t="inlineStr">
        <is>
          <t>Jr. Grl. Zegarra 854 Dpto. 21 P. 4</t>
        </is>
      </c>
      <c r="AL444" t="n">
        <v>0</v>
      </c>
      <c r="AM444" t="inlineStr">
        <is>
          <t>958600003</t>
        </is>
      </c>
      <c r="AN444" t="inlineStr">
        <is>
          <t>gersomalfaro@gmail.com</t>
        </is>
      </c>
      <c r="AO444" t="inlineStr">
        <is>
          <t>LIMA</t>
        </is>
      </c>
      <c r="AP444" t="inlineStr">
        <is>
          <t>JESUS MARIA</t>
        </is>
      </c>
      <c r="AQ444" s="75" t="n">
        <v>46031</v>
      </c>
      <c r="AR444" s="75" t="n">
        <v>46031</v>
      </c>
      <c r="AS444" t="inlineStr">
        <is>
          <t>CUOTA INICIAL</t>
        </is>
      </c>
      <c r="AT444" t="n">
        <v>1</v>
      </c>
      <c r="AU444" t="n">
        <v>4000</v>
      </c>
      <c r="AV444" t="n">
        <v>0</v>
      </c>
      <c r="AW444" t="n">
        <v>0</v>
      </c>
      <c r="AX444" s="39" t="n">
        <v>4000</v>
      </c>
      <c r="AY444" s="39" t="n">
        <v>4000</v>
      </c>
      <c r="AZ444" s="39" t="n">
        <v>0</v>
      </c>
      <c r="BA444" t="n">
        <v>0</v>
      </c>
      <c r="BB444" t="inlineStr">
        <is>
          <t>Crédito Directo</t>
        </is>
      </c>
      <c r="BC444" t="inlineStr">
        <is>
          <t>Scotiabank Perú</t>
        </is>
      </c>
      <c r="BD444" t="inlineStr">
        <is>
          <t>00917000000276848424</t>
        </is>
      </c>
      <c r="BE444" t="inlineStr">
        <is>
          <t>TRANSFERENCIA BANCARIA</t>
        </is>
      </c>
      <c r="BG444" t="inlineStr">
        <is>
          <t>00002865000000000</t>
        </is>
      </c>
      <c r="BH444" t="inlineStr">
        <is>
          <t>No</t>
        </is>
      </c>
      <c r="BI444" t="inlineStr">
        <is>
          <t>AHORROS PERSONALES</t>
        </is>
      </c>
      <c r="BJ444" t="n">
        <v>4</v>
      </c>
      <c r="BK444" t="inlineStr">
        <is>
          <t>CANCELADO</t>
        </is>
      </c>
      <c r="BV444" t="inlineStr">
        <is>
          <t>Si</t>
        </is>
      </c>
      <c r="BW444" s="76" t="n">
        <v>46031.56527777778</v>
      </c>
      <c r="BX444" t="inlineStr">
        <is>
          <t>Carla Michue M</t>
        </is>
      </c>
      <c r="BZ444" t="n">
        <v>63</v>
      </c>
      <c r="CA444" t="inlineStr">
        <is>
          <t>23/08/2026 13:30</t>
        </is>
      </c>
      <c r="CB444" t="n">
        <v>0</v>
      </c>
      <c r="CF444" t="inlineStr">
        <is>
          <t>Cobranzas_2026.csv</t>
        </is>
      </c>
      <c r="CG444" t="n">
        <v>2026</v>
      </c>
      <c r="CH444" t="inlineStr">
        <is>
          <t>01/01/2024</t>
        </is>
      </c>
      <c r="CI444" t="inlineStr">
        <is>
          <t>24/08/2031</t>
        </is>
      </c>
    </row>
    <row r="445">
      <c r="A445" t="inlineStr">
        <is>
          <t>RESIDENCIAL PRADA</t>
        </is>
      </c>
      <c r="B445" t="inlineStr">
        <is>
          <t>Etapa 1</t>
        </is>
      </c>
      <c r="C445" t="inlineStr">
        <is>
          <t>Edificio</t>
        </is>
      </c>
      <c r="D445" t="inlineStr">
        <is>
          <t>A</t>
        </is>
      </c>
      <c r="E445" t="inlineStr">
        <is>
          <t>Estacionamiento</t>
        </is>
      </c>
      <c r="F445" t="inlineStr">
        <is>
          <t>E 25 - D 19</t>
        </is>
      </c>
      <c r="G445" t="n">
        <v>12.5</v>
      </c>
      <c r="H445" t="n">
        <v>3.8</v>
      </c>
      <c r="I445" s="39" t="n">
        <v>60400</v>
      </c>
      <c r="J445" s="39" t="n">
        <v>60400</v>
      </c>
      <c r="Q445" s="39" t="n"/>
      <c r="R445" s="39" t="n"/>
      <c r="Y445" s="39" t="n"/>
      <c r="Z445" s="39" t="n"/>
      <c r="AG445" s="39" t="n"/>
      <c r="AH445" s="39" t="n"/>
      <c r="AI445" t="inlineStr">
        <is>
          <t>Gersom Juver Gonzalez Alfaro</t>
        </is>
      </c>
      <c r="AJ445" t="inlineStr">
        <is>
          <t>42539680</t>
        </is>
      </c>
      <c r="AK445" t="inlineStr">
        <is>
          <t>Jr. Grl. Zegarra 854 Dpto. 21 P. 4</t>
        </is>
      </c>
      <c r="AL445" t="n">
        <v>0</v>
      </c>
      <c r="AM445" t="inlineStr">
        <is>
          <t>958600003</t>
        </is>
      </c>
      <c r="AN445" t="inlineStr">
        <is>
          <t>gersomalfaro@gmail.com</t>
        </is>
      </c>
      <c r="AO445" t="inlineStr">
        <is>
          <t>LIMA</t>
        </is>
      </c>
      <c r="AP445" t="inlineStr">
        <is>
          <t>JESUS MARIA</t>
        </is>
      </c>
      <c r="AQ445" s="75" t="n">
        <v>46233</v>
      </c>
      <c r="AR445" s="75" t="n">
        <v>46258</v>
      </c>
      <c r="AS445" t="inlineStr">
        <is>
          <t>SALDO FINANCIAR</t>
        </is>
      </c>
      <c r="AT445" t="n">
        <v>1</v>
      </c>
      <c r="AU445" t="n">
        <v>11400</v>
      </c>
      <c r="AV445" t="n">
        <v>0</v>
      </c>
      <c r="AW445" t="n">
        <v>0</v>
      </c>
      <c r="AX445" s="39" t="n">
        <v>11400</v>
      </c>
      <c r="AY445" s="39" t="n">
        <v>11400</v>
      </c>
      <c r="AZ445" s="39" t="n">
        <v>0</v>
      </c>
      <c r="BA445" t="n">
        <v>0</v>
      </c>
      <c r="BB445" t="inlineStr">
        <is>
          <t>Crédito Directo</t>
        </is>
      </c>
      <c r="BC445" t="inlineStr">
        <is>
          <t>Scotiabank Perú</t>
        </is>
      </c>
      <c r="BD445" t="inlineStr">
        <is>
          <t>000-2768484</t>
        </is>
      </c>
      <c r="BE445" t="inlineStr">
        <is>
          <t>TRANSFERENCIA BANCARIA</t>
        </is>
      </c>
      <c r="BG445" t="inlineStr">
        <is>
          <t>339900000</t>
        </is>
      </c>
      <c r="BH445" t="inlineStr">
        <is>
          <t>No</t>
        </is>
      </c>
      <c r="BJ445" t="n">
        <v>4</v>
      </c>
      <c r="BK445" t="inlineStr">
        <is>
          <t>CANCELADO</t>
        </is>
      </c>
      <c r="BV445" t="inlineStr">
        <is>
          <t>Si</t>
        </is>
      </c>
      <c r="BW445" s="76" t="n">
        <v>46031.56527777778</v>
      </c>
      <c r="BX445" t="inlineStr">
        <is>
          <t>Carla Michue M</t>
        </is>
      </c>
      <c r="BZ445" t="n">
        <v>63</v>
      </c>
      <c r="CA445" t="inlineStr">
        <is>
          <t>24/08/2026 14:08</t>
        </is>
      </c>
      <c r="CB445" t="n">
        <v>0</v>
      </c>
      <c r="CF445" t="inlineStr">
        <is>
          <t>Cobranzas_2026.csv</t>
        </is>
      </c>
      <c r="CG445" t="n">
        <v>2026</v>
      </c>
      <c r="CH445" t="inlineStr">
        <is>
          <t>01/01/2024</t>
        </is>
      </c>
      <c r="CI445" t="inlineStr">
        <is>
          <t>24/08/2031</t>
        </is>
      </c>
    </row>
    <row r="446">
      <c r="A446" t="inlineStr">
        <is>
          <t>RESIDENCIAL PRADA</t>
        </is>
      </c>
      <c r="B446" t="inlineStr">
        <is>
          <t>Etapa 1</t>
        </is>
      </c>
      <c r="C446" t="inlineStr">
        <is>
          <t>Edificio</t>
        </is>
      </c>
      <c r="D446" t="inlineStr">
        <is>
          <t>A</t>
        </is>
      </c>
      <c r="E446" t="inlineStr">
        <is>
          <t>Estacionamiento</t>
        </is>
      </c>
      <c r="F446" t="inlineStr">
        <is>
          <t>E 25 - D 19</t>
        </is>
      </c>
      <c r="G446" t="n">
        <v>12.5</v>
      </c>
      <c r="H446" t="n">
        <v>3.8</v>
      </c>
      <c r="I446" s="39" t="n">
        <v>60400</v>
      </c>
      <c r="J446" s="39" t="n">
        <v>60400</v>
      </c>
      <c r="Q446" s="39" t="n"/>
      <c r="R446" s="39" t="n"/>
      <c r="Y446" s="39" t="n"/>
      <c r="Z446" s="39" t="n"/>
      <c r="AG446" s="39" t="n"/>
      <c r="AH446" s="39" t="n"/>
      <c r="AI446" t="inlineStr">
        <is>
          <t>Gersom Juver Gonzalez Alfaro</t>
        </is>
      </c>
      <c r="AJ446" t="inlineStr">
        <is>
          <t>42539680</t>
        </is>
      </c>
      <c r="AK446" t="inlineStr">
        <is>
          <t>Jr. Grl. Zegarra 854 Dpto. 21 P. 4</t>
        </is>
      </c>
      <c r="AL446" t="n">
        <v>0</v>
      </c>
      <c r="AM446" t="inlineStr">
        <is>
          <t>958600003</t>
        </is>
      </c>
      <c r="AN446" t="inlineStr">
        <is>
          <t>gersomalfaro@gmail.com</t>
        </is>
      </c>
      <c r="AO446" t="inlineStr">
        <is>
          <t>LIMA</t>
        </is>
      </c>
      <c r="AP446" t="inlineStr">
        <is>
          <t>JESUS MARIA</t>
        </is>
      </c>
      <c r="AQ446" s="75" t="n">
        <v>46295</v>
      </c>
      <c r="AR446" s="75" t="n"/>
      <c r="AS446" t="inlineStr">
        <is>
          <t>SALDO FINANCIAR</t>
        </is>
      </c>
      <c r="AT446" t="n">
        <v>2</v>
      </c>
      <c r="AU446" t="n">
        <v>20000</v>
      </c>
      <c r="AV446" t="n">
        <v>0</v>
      </c>
      <c r="AW446" t="n">
        <v>0</v>
      </c>
      <c r="AX446" s="39" t="n">
        <v>20000</v>
      </c>
      <c r="AY446" s="39" t="n">
        <v>0</v>
      </c>
      <c r="AZ446" s="39" t="n">
        <v>20000</v>
      </c>
      <c r="BB446" t="inlineStr">
        <is>
          <t>Crédito Directo</t>
        </is>
      </c>
      <c r="BH446" t="inlineStr">
        <is>
          <t>No</t>
        </is>
      </c>
      <c r="BK446" t="inlineStr">
        <is>
          <t>PENDIENTE</t>
        </is>
      </c>
      <c r="BV446" t="inlineStr">
        <is>
          <t>No</t>
        </is>
      </c>
      <c r="BW446" s="76" t="n">
        <v>46031.56527777778</v>
      </c>
      <c r="BX446" t="inlineStr">
        <is>
          <t>Carla Michue M</t>
        </is>
      </c>
      <c r="BZ446" t="n">
        <v>63</v>
      </c>
      <c r="CB446" t="n">
        <v>0</v>
      </c>
      <c r="CF446" t="inlineStr">
        <is>
          <t>Cobranzas_2026.csv</t>
        </is>
      </c>
      <c r="CG446" t="n">
        <v>2026</v>
      </c>
      <c r="CH446" t="inlineStr">
        <is>
          <t>01/01/2024</t>
        </is>
      </c>
      <c r="CI446" t="inlineStr">
        <is>
          <t>24/08/2031</t>
        </is>
      </c>
    </row>
    <row r="447">
      <c r="A447" t="inlineStr">
        <is>
          <t>RESIDENCIAL PRADA</t>
        </is>
      </c>
      <c r="B447" t="inlineStr">
        <is>
          <t>Etapa 1</t>
        </is>
      </c>
      <c r="C447" t="inlineStr">
        <is>
          <t>Edificio</t>
        </is>
      </c>
      <c r="D447" t="inlineStr">
        <is>
          <t>A</t>
        </is>
      </c>
      <c r="E447" t="inlineStr">
        <is>
          <t>Estacionamiento</t>
        </is>
      </c>
      <c r="F447" t="inlineStr">
        <is>
          <t>E 25 - D 19</t>
        </is>
      </c>
      <c r="G447" t="n">
        <v>12.5</v>
      </c>
      <c r="H447" t="n">
        <v>3.8</v>
      </c>
      <c r="I447" s="39" t="n">
        <v>60400</v>
      </c>
      <c r="J447" s="39" t="n">
        <v>60400</v>
      </c>
      <c r="Q447" s="39" t="n"/>
      <c r="R447" s="39" t="n"/>
      <c r="Y447" s="39" t="n"/>
      <c r="Z447" s="39" t="n"/>
      <c r="AG447" s="39" t="n"/>
      <c r="AH447" s="39" t="n"/>
      <c r="AI447" t="inlineStr">
        <is>
          <t>Gersom Juver Gonzalez Alfaro</t>
        </is>
      </c>
      <c r="AJ447" t="inlineStr">
        <is>
          <t>42539680</t>
        </is>
      </c>
      <c r="AK447" t="inlineStr">
        <is>
          <t>Jr. Grl. Zegarra 854 Dpto. 21 P. 4</t>
        </is>
      </c>
      <c r="AL447" t="n">
        <v>0</v>
      </c>
      <c r="AM447" t="inlineStr">
        <is>
          <t>958600003</t>
        </is>
      </c>
      <c r="AN447" t="inlineStr">
        <is>
          <t>gersomalfaro@gmail.com</t>
        </is>
      </c>
      <c r="AO447" t="inlineStr">
        <is>
          <t>LIMA</t>
        </is>
      </c>
      <c r="AP447" t="inlineStr">
        <is>
          <t>JESUS MARIA</t>
        </is>
      </c>
      <c r="AQ447" s="75" t="n">
        <v>46325</v>
      </c>
      <c r="AR447" s="75" t="n"/>
      <c r="AS447" t="inlineStr">
        <is>
          <t>SALDO FINANCIAR</t>
        </is>
      </c>
      <c r="AT447" t="n">
        <v>3</v>
      </c>
      <c r="AU447" t="n">
        <v>20000</v>
      </c>
      <c r="AV447" t="n">
        <v>0</v>
      </c>
      <c r="AW447" t="n">
        <v>0</v>
      </c>
      <c r="AX447" s="39" t="n">
        <v>20000</v>
      </c>
      <c r="AY447" s="39" t="n">
        <v>0</v>
      </c>
      <c r="AZ447" s="39" t="n">
        <v>20000</v>
      </c>
      <c r="BB447" t="inlineStr">
        <is>
          <t>Crédito Directo</t>
        </is>
      </c>
      <c r="BH447" t="inlineStr">
        <is>
          <t>No</t>
        </is>
      </c>
      <c r="BK447" t="inlineStr">
        <is>
          <t>PENDIENTE</t>
        </is>
      </c>
      <c r="BV447" t="inlineStr">
        <is>
          <t>No</t>
        </is>
      </c>
      <c r="BW447" s="76" t="n">
        <v>46031.56527777778</v>
      </c>
      <c r="BX447" t="inlineStr">
        <is>
          <t>Carla Michue M</t>
        </is>
      </c>
      <c r="BZ447" t="n">
        <v>63</v>
      </c>
      <c r="CB447" t="n">
        <v>0</v>
      </c>
      <c r="CF447" t="inlineStr">
        <is>
          <t>Cobranzas_2026.csv</t>
        </is>
      </c>
      <c r="CG447" t="n">
        <v>2026</v>
      </c>
      <c r="CH447" t="inlineStr">
        <is>
          <t>01/01/2024</t>
        </is>
      </c>
      <c r="CI447" t="inlineStr">
        <is>
          <t>24/08/2031</t>
        </is>
      </c>
    </row>
    <row r="448">
      <c r="A448" t="inlineStr">
        <is>
          <t>RESIDENCIAL PRADA</t>
        </is>
      </c>
      <c r="B448" t="inlineStr">
        <is>
          <t>Etapa 1</t>
        </is>
      </c>
      <c r="C448" t="inlineStr">
        <is>
          <t>Edificio</t>
        </is>
      </c>
      <c r="D448" t="inlineStr">
        <is>
          <t>A</t>
        </is>
      </c>
      <c r="E448" t="inlineStr">
        <is>
          <t>Departamento</t>
        </is>
      </c>
      <c r="F448" t="inlineStr">
        <is>
          <t>203</t>
        </is>
      </c>
      <c r="G448" t="n">
        <v>88.27</v>
      </c>
      <c r="H448" t="n">
        <v>0</v>
      </c>
      <c r="I448" s="39" t="n">
        <v>654000</v>
      </c>
      <c r="J448" s="39" t="n">
        <v>654000</v>
      </c>
      <c r="K448" t="inlineStr">
        <is>
          <t>Edificio</t>
        </is>
      </c>
      <c r="L448" t="inlineStr">
        <is>
          <t>A</t>
        </is>
      </c>
      <c r="M448" t="inlineStr">
        <is>
          <t>Estacionamiento</t>
        </is>
      </c>
      <c r="N448" t="inlineStr">
        <is>
          <t>E 12 - D 09</t>
        </is>
      </c>
      <c r="O448" t="n">
        <v>13</v>
      </c>
      <c r="P448" t="n">
        <v>3.89</v>
      </c>
      <c r="Q448" s="39" t="n">
        <v>56300</v>
      </c>
      <c r="R448" s="39" t="n">
        <v>56300</v>
      </c>
      <c r="Y448" s="39" t="n"/>
      <c r="Z448" s="39" t="n"/>
      <c r="AG448" s="39" t="n"/>
      <c r="AH448" s="39" t="n"/>
      <c r="AI448" t="inlineStr">
        <is>
          <t>Gilberto Videla Flores</t>
        </is>
      </c>
      <c r="AJ448" t="inlineStr">
        <is>
          <t>06571347</t>
        </is>
      </c>
      <c r="AK448" t="inlineStr">
        <is>
          <t>Mz D Lt 7 Urb. La Estrella</t>
        </is>
      </c>
      <c r="AM448" t="inlineStr">
        <is>
          <t>969742622</t>
        </is>
      </c>
      <c r="AN448" t="inlineStr">
        <is>
          <t>gvidelaf@gmail.com</t>
        </is>
      </c>
      <c r="AO448" t="inlineStr">
        <is>
          <t>LIMA</t>
        </is>
      </c>
      <c r="AP448" t="inlineStr">
        <is>
          <t>LOS OLIVOS</t>
        </is>
      </c>
      <c r="AQ448" s="75" t="n">
        <v>46264.75694444445</v>
      </c>
      <c r="AR448" s="75" t="n">
        <v>45831</v>
      </c>
      <c r="AS448" t="inlineStr">
        <is>
          <t>SALDO FINANCIAR</t>
        </is>
      </c>
      <c r="AT448" t="n">
        <v>5</v>
      </c>
      <c r="AU448" t="n">
        <v>106545</v>
      </c>
      <c r="AV448" t="n">
        <v>0</v>
      </c>
      <c r="AW448" t="n">
        <v>0</v>
      </c>
      <c r="AX448" s="39" t="n">
        <v>106545</v>
      </c>
      <c r="AY448" s="39" t="n">
        <v>35515</v>
      </c>
      <c r="AZ448" s="39" t="n">
        <v>0</v>
      </c>
      <c r="BA448" t="n">
        <v>0</v>
      </c>
      <c r="BB448" t="inlineStr">
        <is>
          <t>Crédito Directo</t>
        </is>
      </c>
      <c r="BC448" t="inlineStr">
        <is>
          <t>Scotiabank Perú</t>
        </is>
      </c>
      <c r="BD448" t="inlineStr">
        <is>
          <t>000-2768484</t>
        </is>
      </c>
      <c r="BE448" t="inlineStr">
        <is>
          <t>TRANSFERENCIA BANCARIA</t>
        </is>
      </c>
      <c r="BG448" t="inlineStr">
        <is>
          <t>02249650</t>
        </is>
      </c>
      <c r="BH448" t="inlineStr">
        <is>
          <t>No</t>
        </is>
      </c>
      <c r="BJ448" t="n">
        <v>4</v>
      </c>
      <c r="BK448" t="inlineStr">
        <is>
          <t>CANCELADO</t>
        </is>
      </c>
      <c r="BV448" t="inlineStr">
        <is>
          <t>Si</t>
        </is>
      </c>
      <c r="BW448" s="76" t="n">
        <v>45539.38055555556</v>
      </c>
      <c r="BX448" t="inlineStr">
        <is>
          <t>Carla Michue M</t>
        </is>
      </c>
      <c r="BZ448" t="n">
        <v>24</v>
      </c>
      <c r="CA448" t="inlineStr">
        <is>
          <t>30/06/2026 18:17</t>
        </is>
      </c>
      <c r="CB448" t="n">
        <v>0</v>
      </c>
      <c r="CF448" t="inlineStr">
        <is>
          <t>Cobranzas_2026.csv</t>
        </is>
      </c>
      <c r="CG448" t="n">
        <v>2026</v>
      </c>
      <c r="CH448" t="inlineStr">
        <is>
          <t>01/01/2024</t>
        </is>
      </c>
      <c r="CI448" t="inlineStr">
        <is>
          <t>24/08/2031</t>
        </is>
      </c>
    </row>
    <row r="449">
      <c r="A449" t="inlineStr">
        <is>
          <t>RESIDENCIAL PRADA</t>
        </is>
      </c>
      <c r="B449" t="inlineStr">
        <is>
          <t>Etapa 1</t>
        </is>
      </c>
      <c r="C449" t="inlineStr">
        <is>
          <t>Edificio</t>
        </is>
      </c>
      <c r="D449" t="inlineStr">
        <is>
          <t>A</t>
        </is>
      </c>
      <c r="E449" t="inlineStr">
        <is>
          <t>Departamento</t>
        </is>
      </c>
      <c r="F449" t="inlineStr">
        <is>
          <t>203</t>
        </is>
      </c>
      <c r="G449" t="n">
        <v>88.27</v>
      </c>
      <c r="H449" t="n">
        <v>0</v>
      </c>
      <c r="I449" s="39" t="n">
        <v>654000</v>
      </c>
      <c r="J449" s="39" t="n">
        <v>654000</v>
      </c>
      <c r="K449" t="inlineStr">
        <is>
          <t>Edificio</t>
        </is>
      </c>
      <c r="L449" t="inlineStr">
        <is>
          <t>A</t>
        </is>
      </c>
      <c r="M449" t="inlineStr">
        <is>
          <t>Estacionamiento</t>
        </is>
      </c>
      <c r="N449" t="inlineStr">
        <is>
          <t>E 12 - D 09</t>
        </is>
      </c>
      <c r="O449" t="n">
        <v>13</v>
      </c>
      <c r="P449" t="n">
        <v>3.89</v>
      </c>
      <c r="Q449" s="39" t="n">
        <v>56300</v>
      </c>
      <c r="R449" s="39" t="n">
        <v>56300</v>
      </c>
      <c r="Y449" s="39" t="n"/>
      <c r="Z449" s="39" t="n"/>
      <c r="AG449" s="39" t="n"/>
      <c r="AH449" s="39" t="n"/>
      <c r="AI449" t="inlineStr">
        <is>
          <t>Gilberto Videla Flores</t>
        </is>
      </c>
      <c r="AJ449" t="inlineStr">
        <is>
          <t>06571347</t>
        </is>
      </c>
      <c r="AK449" t="inlineStr">
        <is>
          <t>Mz D Lt 7 Urb. La Estrella</t>
        </is>
      </c>
      <c r="AM449" t="inlineStr">
        <is>
          <t>969742622</t>
        </is>
      </c>
      <c r="AN449" t="inlineStr">
        <is>
          <t>gvidelaf@gmail.com</t>
        </is>
      </c>
      <c r="AO449" t="inlineStr">
        <is>
          <t>LIMA</t>
        </is>
      </c>
      <c r="AP449" t="inlineStr">
        <is>
          <t>LOS OLIVOS</t>
        </is>
      </c>
      <c r="AQ449" s="75" t="n">
        <v>46264.75694444445</v>
      </c>
      <c r="AR449" s="75" t="n">
        <v>45858</v>
      </c>
      <c r="AS449" t="inlineStr">
        <is>
          <t>SALDO FINANCIAR</t>
        </is>
      </c>
      <c r="AT449" t="n">
        <v>5</v>
      </c>
      <c r="AU449" t="n">
        <v>0</v>
      </c>
      <c r="AV449" t="n">
        <v>0</v>
      </c>
      <c r="AW449" t="n">
        <v>0</v>
      </c>
      <c r="AX449" s="39" t="n">
        <v>0</v>
      </c>
      <c r="AY449" s="39" t="n">
        <v>35515</v>
      </c>
      <c r="AZ449" s="39" t="n">
        <v>0</v>
      </c>
      <c r="BA449" t="n">
        <v>0</v>
      </c>
      <c r="BB449" t="inlineStr">
        <is>
          <t>Crédito Directo</t>
        </is>
      </c>
      <c r="BC449" t="inlineStr">
        <is>
          <t>Scotiabank Perú</t>
        </is>
      </c>
      <c r="BD449" t="inlineStr">
        <is>
          <t>000-2768484</t>
        </is>
      </c>
      <c r="BE449" t="inlineStr">
        <is>
          <t>TRANSFERENCIA BANCARIA</t>
        </is>
      </c>
      <c r="BG449" t="inlineStr">
        <is>
          <t>02734027</t>
        </is>
      </c>
      <c r="BH449" t="inlineStr">
        <is>
          <t>No</t>
        </is>
      </c>
      <c r="BJ449" t="n">
        <v>4</v>
      </c>
      <c r="BK449" t="inlineStr">
        <is>
          <t>CANCELADO</t>
        </is>
      </c>
      <c r="BV449" t="inlineStr">
        <is>
          <t>Si</t>
        </is>
      </c>
      <c r="BW449" s="76" t="n">
        <v>45539.38055555556</v>
      </c>
      <c r="BX449" t="inlineStr">
        <is>
          <t>Carla Michue M</t>
        </is>
      </c>
      <c r="BZ449" t="n">
        <v>24</v>
      </c>
      <c r="CA449" t="inlineStr">
        <is>
          <t>30/06/2026 18:19</t>
        </is>
      </c>
      <c r="CB449" t="n">
        <v>0</v>
      </c>
      <c r="CF449" t="inlineStr">
        <is>
          <t>Cobranzas_2026.csv</t>
        </is>
      </c>
      <c r="CG449" t="n">
        <v>2026</v>
      </c>
      <c r="CH449" t="inlineStr">
        <is>
          <t>01/01/2024</t>
        </is>
      </c>
      <c r="CI449" t="inlineStr">
        <is>
          <t>24/08/2031</t>
        </is>
      </c>
    </row>
    <row r="450">
      <c r="A450" t="inlineStr">
        <is>
          <t>RESIDENCIAL PRADA</t>
        </is>
      </c>
      <c r="B450" t="inlineStr">
        <is>
          <t>Etapa 1</t>
        </is>
      </c>
      <c r="C450" t="inlineStr">
        <is>
          <t>Edificio</t>
        </is>
      </c>
      <c r="D450" t="inlineStr">
        <is>
          <t>A</t>
        </is>
      </c>
      <c r="E450" t="inlineStr">
        <is>
          <t>Departamento</t>
        </is>
      </c>
      <c r="F450" t="inlineStr">
        <is>
          <t>203</t>
        </is>
      </c>
      <c r="G450" t="n">
        <v>88.27</v>
      </c>
      <c r="H450" t="n">
        <v>0</v>
      </c>
      <c r="I450" s="39" t="n">
        <v>654000</v>
      </c>
      <c r="J450" s="39" t="n">
        <v>654000</v>
      </c>
      <c r="K450" t="inlineStr">
        <is>
          <t>Edificio</t>
        </is>
      </c>
      <c r="L450" t="inlineStr">
        <is>
          <t>A</t>
        </is>
      </c>
      <c r="M450" t="inlineStr">
        <is>
          <t>Estacionamiento</t>
        </is>
      </c>
      <c r="N450" t="inlineStr">
        <is>
          <t>E 12 - D 09</t>
        </is>
      </c>
      <c r="O450" t="n">
        <v>13</v>
      </c>
      <c r="P450" t="n">
        <v>3.89</v>
      </c>
      <c r="Q450" s="39" t="n">
        <v>56300</v>
      </c>
      <c r="R450" s="39" t="n">
        <v>56300</v>
      </c>
      <c r="Y450" s="39" t="n"/>
      <c r="Z450" s="39" t="n"/>
      <c r="AG450" s="39" t="n"/>
      <c r="AH450" s="39" t="n"/>
      <c r="AI450" t="inlineStr">
        <is>
          <t>Gilberto Videla Flores</t>
        </is>
      </c>
      <c r="AJ450" t="inlineStr">
        <is>
          <t>06571347</t>
        </is>
      </c>
      <c r="AK450" t="inlineStr">
        <is>
          <t>Mz D Lt 7 Urb. La Estrella</t>
        </is>
      </c>
      <c r="AM450" t="inlineStr">
        <is>
          <t>969742622</t>
        </is>
      </c>
      <c r="AN450" t="inlineStr">
        <is>
          <t>gvidelaf@gmail.com</t>
        </is>
      </c>
      <c r="AO450" t="inlineStr">
        <is>
          <t>LIMA</t>
        </is>
      </c>
      <c r="AP450" t="inlineStr">
        <is>
          <t>LOS OLIVOS</t>
        </is>
      </c>
      <c r="AQ450" s="75" t="n">
        <v>46264.75694444445</v>
      </c>
      <c r="AR450" s="75" t="n">
        <v>45894</v>
      </c>
      <c r="AS450" t="inlineStr">
        <is>
          <t>SALDO FINANCIAR</t>
        </is>
      </c>
      <c r="AT450" t="n">
        <v>5</v>
      </c>
      <c r="AU450" t="n">
        <v>0</v>
      </c>
      <c r="AV450" t="n">
        <v>0</v>
      </c>
      <c r="AW450" t="n">
        <v>0</v>
      </c>
      <c r="AX450" s="39" t="n">
        <v>0</v>
      </c>
      <c r="AY450" s="39" t="n">
        <v>35515</v>
      </c>
      <c r="AZ450" s="39" t="n">
        <v>0</v>
      </c>
      <c r="BA450" t="n">
        <v>0</v>
      </c>
      <c r="BB450" t="inlineStr">
        <is>
          <t>Crédito Directo</t>
        </is>
      </c>
      <c r="BC450" t="inlineStr">
        <is>
          <t>Scotiabank Perú</t>
        </is>
      </c>
      <c r="BD450" t="inlineStr">
        <is>
          <t>000-2768484</t>
        </is>
      </c>
      <c r="BE450" t="inlineStr">
        <is>
          <t>TRANSFERENCIA BANCARIA</t>
        </is>
      </c>
      <c r="BG450" t="inlineStr">
        <is>
          <t>04494431</t>
        </is>
      </c>
      <c r="BH450" t="inlineStr">
        <is>
          <t>No</t>
        </is>
      </c>
      <c r="BJ450" t="n">
        <v>4</v>
      </c>
      <c r="BK450" t="inlineStr">
        <is>
          <t>CANCELADO</t>
        </is>
      </c>
      <c r="BV450" t="inlineStr">
        <is>
          <t>Si</t>
        </is>
      </c>
      <c r="BW450" s="76" t="n">
        <v>45539.38055555556</v>
      </c>
      <c r="BX450" t="inlineStr">
        <is>
          <t>Carla Michue M</t>
        </is>
      </c>
      <c r="BZ450" t="n">
        <v>24</v>
      </c>
      <c r="CA450" t="inlineStr">
        <is>
          <t>30/06/2026 18:20</t>
        </is>
      </c>
      <c r="CB450" t="n">
        <v>0</v>
      </c>
      <c r="CF450" t="inlineStr">
        <is>
          <t>Cobranzas_2026.csv</t>
        </is>
      </c>
      <c r="CG450" t="n">
        <v>2026</v>
      </c>
      <c r="CH450" t="inlineStr">
        <is>
          <t>01/01/2024</t>
        </is>
      </c>
      <c r="CI450" t="inlineStr">
        <is>
          <t>24/08/2031</t>
        </is>
      </c>
    </row>
    <row r="451">
      <c r="A451" t="inlineStr">
        <is>
          <t>RESIDENCIAL PRADA</t>
        </is>
      </c>
      <c r="B451" t="inlineStr">
        <is>
          <t>Etapa 1</t>
        </is>
      </c>
      <c r="C451" t="inlineStr">
        <is>
          <t>Edificio</t>
        </is>
      </c>
      <c r="D451" t="inlineStr">
        <is>
          <t>A</t>
        </is>
      </c>
      <c r="E451" t="inlineStr">
        <is>
          <t>Estacionamiento</t>
        </is>
      </c>
      <c r="F451" t="inlineStr">
        <is>
          <t>E 21 - D 16</t>
        </is>
      </c>
      <c r="G451" t="n">
        <v>15.4</v>
      </c>
      <c r="H451" t="n">
        <v>2.26</v>
      </c>
      <c r="I451" s="39" t="n">
        <v>57300</v>
      </c>
      <c r="J451" s="39" t="n">
        <v>57300</v>
      </c>
      <c r="Q451" s="39" t="n"/>
      <c r="R451" s="39" t="n"/>
      <c r="Y451" s="39" t="n"/>
      <c r="Z451" s="39" t="n"/>
      <c r="AG451" s="39" t="n"/>
      <c r="AH451" s="39" t="n"/>
      <c r="AI451" t="inlineStr">
        <is>
          <t>Gilda Victoria Sampi González</t>
        </is>
      </c>
      <c r="AJ451" t="inlineStr">
        <is>
          <t>43636501</t>
        </is>
      </c>
      <c r="AK451" t="inlineStr">
        <is>
          <t>Av. Brasil 863 departamento 702-A</t>
        </is>
      </c>
      <c r="AL451" t="n">
        <v>966422784</v>
      </c>
      <c r="AM451" t="inlineStr">
        <is>
          <t xml:space="preserve">966422784		</t>
        </is>
      </c>
      <c r="AN451" t="inlineStr">
        <is>
          <t>victoria.sampi@gmail.com</t>
        </is>
      </c>
      <c r="AO451" t="inlineStr">
        <is>
          <t>LIMA</t>
        </is>
      </c>
      <c r="AP451" t="inlineStr">
        <is>
          <t>JESUS MARIA</t>
        </is>
      </c>
      <c r="AQ451" s="75" t="n">
        <v>46041</v>
      </c>
      <c r="AR451" s="75" t="n">
        <v>46041</v>
      </c>
      <c r="AS451" t="inlineStr">
        <is>
          <t>SEPARACION</t>
        </is>
      </c>
      <c r="AT451" t="n">
        <v>1</v>
      </c>
      <c r="AU451" t="n">
        <v>3000</v>
      </c>
      <c r="AV451" t="n">
        <v>0</v>
      </c>
      <c r="AW451" t="n">
        <v>0</v>
      </c>
      <c r="AX451" s="39" t="n">
        <v>3000</v>
      </c>
      <c r="AY451" s="39" t="n">
        <v>3000</v>
      </c>
      <c r="AZ451" s="39" t="n">
        <v>0</v>
      </c>
      <c r="BA451" t="n">
        <v>0</v>
      </c>
      <c r="BB451" t="inlineStr">
        <is>
          <t>Crédito Directo</t>
        </is>
      </c>
      <c r="BC451" t="inlineStr">
        <is>
          <t>Scotiabank Perú</t>
        </is>
      </c>
      <c r="BD451" t="inlineStr">
        <is>
          <t>000-2768484</t>
        </is>
      </c>
      <c r="BE451" t="inlineStr">
        <is>
          <t>TRANSFERENCIA BANCARIA</t>
        </is>
      </c>
      <c r="BG451" t="inlineStr">
        <is>
          <t>0000010930000001095</t>
        </is>
      </c>
      <c r="BH451" t="inlineStr">
        <is>
          <t>No</t>
        </is>
      </c>
      <c r="BJ451" t="n">
        <v>4</v>
      </c>
      <c r="BK451" t="inlineStr">
        <is>
          <t>CANCELADO</t>
        </is>
      </c>
      <c r="BV451" t="inlineStr">
        <is>
          <t>Si</t>
        </is>
      </c>
      <c r="BW451" s="76" t="n">
        <v>46041.44722222222</v>
      </c>
      <c r="BX451" t="inlineStr">
        <is>
          <t>Magaly Guevara Perez</t>
        </is>
      </c>
      <c r="BZ451" t="n">
        <v>64</v>
      </c>
      <c r="CA451" t="inlineStr">
        <is>
          <t>29/06/2026 00:47</t>
        </is>
      </c>
      <c r="CB451" t="n">
        <v>0</v>
      </c>
      <c r="CF451" t="inlineStr">
        <is>
          <t>Cobranzas_2026.csv</t>
        </is>
      </c>
      <c r="CG451" t="n">
        <v>2026</v>
      </c>
      <c r="CH451" t="inlineStr">
        <is>
          <t>01/01/2024</t>
        </is>
      </c>
      <c r="CI451" t="inlineStr">
        <is>
          <t>24/08/2031</t>
        </is>
      </c>
    </row>
    <row r="452">
      <c r="A452" t="inlineStr">
        <is>
          <t>RESIDENCIAL PRADA</t>
        </is>
      </c>
      <c r="B452" t="inlineStr">
        <is>
          <t>Etapa 1</t>
        </is>
      </c>
      <c r="C452" t="inlineStr">
        <is>
          <t>Edificio</t>
        </is>
      </c>
      <c r="D452" t="inlineStr">
        <is>
          <t>A</t>
        </is>
      </c>
      <c r="E452" t="inlineStr">
        <is>
          <t>Estacionamiento</t>
        </is>
      </c>
      <c r="F452" t="inlineStr">
        <is>
          <t>E 21 - D 16</t>
        </is>
      </c>
      <c r="G452" t="n">
        <v>15.4</v>
      </c>
      <c r="H452" t="n">
        <v>2.26</v>
      </c>
      <c r="I452" s="39" t="n">
        <v>57300</v>
      </c>
      <c r="J452" s="39" t="n">
        <v>57300</v>
      </c>
      <c r="Q452" s="39" t="n"/>
      <c r="R452" s="39" t="n"/>
      <c r="Y452" s="39" t="n"/>
      <c r="Z452" s="39" t="n"/>
      <c r="AG452" s="39" t="n"/>
      <c r="AH452" s="39" t="n"/>
      <c r="AI452" t="inlineStr">
        <is>
          <t>Gilda Victoria Sampi González</t>
        </is>
      </c>
      <c r="AJ452" t="inlineStr">
        <is>
          <t>43636501</t>
        </is>
      </c>
      <c r="AK452" t="inlineStr">
        <is>
          <t>Av. Brasil 863 departamento 702-A</t>
        </is>
      </c>
      <c r="AL452" t="n">
        <v>966422784</v>
      </c>
      <c r="AM452" t="inlineStr">
        <is>
          <t xml:space="preserve">966422784		</t>
        </is>
      </c>
      <c r="AN452" t="inlineStr">
        <is>
          <t>victoria.sampi@gmail.com</t>
        </is>
      </c>
      <c r="AO452" t="inlineStr">
        <is>
          <t>LIMA</t>
        </is>
      </c>
      <c r="AP452" t="inlineStr">
        <is>
          <t>JESUS MARIA</t>
        </is>
      </c>
      <c r="AQ452" s="75" t="n">
        <v>46041</v>
      </c>
      <c r="AR452" s="75" t="n">
        <v>46041</v>
      </c>
      <c r="AS452" t="inlineStr">
        <is>
          <t>CUOTA INICIAL</t>
        </is>
      </c>
      <c r="AT452" t="n">
        <v>1</v>
      </c>
      <c r="AU452" t="n">
        <v>7000</v>
      </c>
      <c r="AV452" t="n">
        <v>0</v>
      </c>
      <c r="AW452" t="n">
        <v>0</v>
      </c>
      <c r="AX452" s="39" t="n">
        <v>7000</v>
      </c>
      <c r="AY452" s="39" t="n">
        <v>7000</v>
      </c>
      <c r="AZ452" s="39" t="n">
        <v>0</v>
      </c>
      <c r="BA452" t="n">
        <v>0</v>
      </c>
      <c r="BB452" t="inlineStr">
        <is>
          <t>Crédito Directo</t>
        </is>
      </c>
      <c r="BC452" t="inlineStr">
        <is>
          <t>Scotiabank Perú</t>
        </is>
      </c>
      <c r="BD452" t="inlineStr">
        <is>
          <t>000-2768484</t>
        </is>
      </c>
      <c r="BE452" t="inlineStr">
        <is>
          <t>TRANSFERENCIA BANCARIA</t>
        </is>
      </c>
      <c r="BG452" t="inlineStr">
        <is>
          <t>0000109300000001095</t>
        </is>
      </c>
      <c r="BH452" t="inlineStr">
        <is>
          <t>No</t>
        </is>
      </c>
      <c r="BJ452" t="n">
        <v>4</v>
      </c>
      <c r="BK452" t="inlineStr">
        <is>
          <t>CANCELADO</t>
        </is>
      </c>
      <c r="BV452" t="inlineStr">
        <is>
          <t>Si</t>
        </is>
      </c>
      <c r="BW452" s="76" t="n">
        <v>46041.44722222222</v>
      </c>
      <c r="BX452" t="inlineStr">
        <is>
          <t>Magaly Guevara Perez</t>
        </is>
      </c>
      <c r="BZ452" t="n">
        <v>64</v>
      </c>
      <c r="CA452" t="inlineStr">
        <is>
          <t>29/06/2026 00:50</t>
        </is>
      </c>
      <c r="CB452" t="n">
        <v>0</v>
      </c>
      <c r="CF452" t="inlineStr">
        <is>
          <t>Cobranzas_2026.csv</t>
        </is>
      </c>
      <c r="CG452" t="n">
        <v>2026</v>
      </c>
      <c r="CH452" t="inlineStr">
        <is>
          <t>01/01/2024</t>
        </is>
      </c>
      <c r="CI452" t="inlineStr">
        <is>
          <t>24/08/2031</t>
        </is>
      </c>
    </row>
    <row r="453">
      <c r="A453" t="inlineStr">
        <is>
          <t>RESIDENCIAL PRADA</t>
        </is>
      </c>
      <c r="B453" t="inlineStr">
        <is>
          <t>Etapa 1</t>
        </is>
      </c>
      <c r="C453" t="inlineStr">
        <is>
          <t>Edificio</t>
        </is>
      </c>
      <c r="D453" t="inlineStr">
        <is>
          <t>A</t>
        </is>
      </c>
      <c r="E453" t="inlineStr">
        <is>
          <t>Estacionamiento</t>
        </is>
      </c>
      <c r="F453" t="inlineStr">
        <is>
          <t>E 21 - D 16</t>
        </is>
      </c>
      <c r="G453" t="n">
        <v>15.4</v>
      </c>
      <c r="H453" t="n">
        <v>2.26</v>
      </c>
      <c r="I453" s="39" t="n">
        <v>57300</v>
      </c>
      <c r="J453" s="39" t="n">
        <v>57300</v>
      </c>
      <c r="Q453" s="39" t="n"/>
      <c r="R453" s="39" t="n"/>
      <c r="Y453" s="39" t="n"/>
      <c r="Z453" s="39" t="n"/>
      <c r="AG453" s="39" t="n"/>
      <c r="AH453" s="39" t="n"/>
      <c r="AI453" t="inlineStr">
        <is>
          <t>Gilda Victoria Sampi González</t>
        </is>
      </c>
      <c r="AJ453" t="inlineStr">
        <is>
          <t>43636501</t>
        </is>
      </c>
      <c r="AK453" t="inlineStr">
        <is>
          <t>Av. Brasil 863 departamento 702-A</t>
        </is>
      </c>
      <c r="AL453" t="n">
        <v>966422784</v>
      </c>
      <c r="AM453" t="inlineStr">
        <is>
          <t xml:space="preserve">966422784		</t>
        </is>
      </c>
      <c r="AN453" t="inlineStr">
        <is>
          <t>victoria.sampi@gmail.com</t>
        </is>
      </c>
      <c r="AO453" t="inlineStr">
        <is>
          <t>LIMA</t>
        </is>
      </c>
      <c r="AP453" t="inlineStr">
        <is>
          <t>JESUS MARIA</t>
        </is>
      </c>
      <c r="AQ453" s="75" t="n">
        <v>46079</v>
      </c>
      <c r="AR453" s="75" t="n">
        <v>46079</v>
      </c>
      <c r="AS453" t="inlineStr">
        <is>
          <t>SALDO FINANCIAR</t>
        </is>
      </c>
      <c r="AT453" t="n">
        <v>1</v>
      </c>
      <c r="AU453" t="n">
        <v>25000</v>
      </c>
      <c r="AV453" t="n">
        <v>0</v>
      </c>
      <c r="AW453" t="n">
        <v>0</v>
      </c>
      <c r="AX453" s="39" t="n">
        <v>25000</v>
      </c>
      <c r="AY453" s="39" t="n">
        <v>25000</v>
      </c>
      <c r="AZ453" s="39" t="n">
        <v>0</v>
      </c>
      <c r="BA453" t="n">
        <v>0</v>
      </c>
      <c r="BB453" t="inlineStr">
        <is>
          <t>Crédito Directo</t>
        </is>
      </c>
      <c r="BC453" t="inlineStr">
        <is>
          <t>Scotiabank Perú</t>
        </is>
      </c>
      <c r="BD453" t="inlineStr">
        <is>
          <t>000-2768484</t>
        </is>
      </c>
      <c r="BE453" t="inlineStr">
        <is>
          <t>TRANSFERENCIA BANCARIA</t>
        </is>
      </c>
      <c r="BG453" t="inlineStr">
        <is>
          <t>000016840000001686</t>
        </is>
      </c>
      <c r="BH453" t="inlineStr">
        <is>
          <t>No</t>
        </is>
      </c>
      <c r="BJ453" t="n">
        <v>4</v>
      </c>
      <c r="BK453" t="inlineStr">
        <is>
          <t>CANCELADO</t>
        </is>
      </c>
      <c r="BV453" t="inlineStr">
        <is>
          <t>Si</t>
        </is>
      </c>
      <c r="BW453" s="76" t="n">
        <v>46041.44722222222</v>
      </c>
      <c r="BX453" t="inlineStr">
        <is>
          <t>Magaly Guevara Perez</t>
        </is>
      </c>
      <c r="BZ453" t="n">
        <v>64</v>
      </c>
      <c r="CA453" t="inlineStr">
        <is>
          <t>29/06/2026 00:51</t>
        </is>
      </c>
      <c r="CB453" t="n">
        <v>0</v>
      </c>
      <c r="CF453" t="inlineStr">
        <is>
          <t>Cobranzas_2026.csv</t>
        </is>
      </c>
      <c r="CG453" t="n">
        <v>2026</v>
      </c>
      <c r="CH453" t="inlineStr">
        <is>
          <t>01/01/2024</t>
        </is>
      </c>
      <c r="CI453" t="inlineStr">
        <is>
          <t>24/08/2031</t>
        </is>
      </c>
    </row>
    <row r="454">
      <c r="A454" t="inlineStr">
        <is>
          <t>RESIDENCIAL PRADA</t>
        </is>
      </c>
      <c r="B454" t="inlineStr">
        <is>
          <t>Etapa 1</t>
        </is>
      </c>
      <c r="C454" t="inlineStr">
        <is>
          <t>Edificio</t>
        </is>
      </c>
      <c r="D454" t="inlineStr">
        <is>
          <t>A</t>
        </is>
      </c>
      <c r="E454" t="inlineStr">
        <is>
          <t>Estacionamiento</t>
        </is>
      </c>
      <c r="F454" t="inlineStr">
        <is>
          <t>E 21 - D 16</t>
        </is>
      </c>
      <c r="G454" t="n">
        <v>15.4</v>
      </c>
      <c r="H454" t="n">
        <v>2.26</v>
      </c>
      <c r="I454" s="39" t="n">
        <v>57300</v>
      </c>
      <c r="J454" s="39" t="n">
        <v>57300</v>
      </c>
      <c r="Q454" s="39" t="n"/>
      <c r="R454" s="39" t="n"/>
      <c r="Y454" s="39" t="n"/>
      <c r="Z454" s="39" t="n"/>
      <c r="AG454" s="39" t="n"/>
      <c r="AH454" s="39" t="n"/>
      <c r="AI454" t="inlineStr">
        <is>
          <t>Gilda Victoria Sampi González</t>
        </is>
      </c>
      <c r="AJ454" t="inlineStr">
        <is>
          <t>43636501</t>
        </is>
      </c>
      <c r="AK454" t="inlineStr">
        <is>
          <t>Av. Brasil 863 departamento 702-A</t>
        </is>
      </c>
      <c r="AL454" t="n">
        <v>966422784</v>
      </c>
      <c r="AM454" t="inlineStr">
        <is>
          <t xml:space="preserve">966422784		</t>
        </is>
      </c>
      <c r="AN454" t="inlineStr">
        <is>
          <t>victoria.sampi@gmail.com</t>
        </is>
      </c>
      <c r="AO454" t="inlineStr">
        <is>
          <t>LIMA</t>
        </is>
      </c>
      <c r="AP454" t="inlineStr">
        <is>
          <t>JESUS MARIA</t>
        </is>
      </c>
      <c r="AQ454" s="75" t="n">
        <v>46080</v>
      </c>
      <c r="AR454" s="75" t="n">
        <v>46202</v>
      </c>
      <c r="AS454" t="inlineStr">
        <is>
          <t>SALDO FINANCIAR</t>
        </is>
      </c>
      <c r="AT454" t="n">
        <v>2</v>
      </c>
      <c r="AU454" t="n">
        <v>22300</v>
      </c>
      <c r="AV454" t="n">
        <v>0</v>
      </c>
      <c r="AW454" t="n">
        <v>0</v>
      </c>
      <c r="AX454" s="39" t="n">
        <v>22300</v>
      </c>
      <c r="AY454" s="39" t="n">
        <v>22300</v>
      </c>
      <c r="AZ454" s="39" t="n">
        <v>0</v>
      </c>
      <c r="BA454" t="n">
        <v>0</v>
      </c>
      <c r="BB454" t="inlineStr">
        <is>
          <t>Crédito Directo</t>
        </is>
      </c>
      <c r="BC454" t="inlineStr">
        <is>
          <t>Scotiabank Perú</t>
        </is>
      </c>
      <c r="BD454" t="inlineStr">
        <is>
          <t>000-2768484</t>
        </is>
      </c>
      <c r="BE454" t="inlineStr">
        <is>
          <t>TRANSFERENCIA BANCARIA</t>
        </is>
      </c>
      <c r="BG454" t="inlineStr">
        <is>
          <t>27022026</t>
        </is>
      </c>
      <c r="BH454" t="inlineStr">
        <is>
          <t>No</t>
        </is>
      </c>
      <c r="BJ454" t="n">
        <v>4</v>
      </c>
      <c r="BK454" t="inlineStr">
        <is>
          <t>CANCELADO</t>
        </is>
      </c>
      <c r="BV454" t="inlineStr">
        <is>
          <t>Si</t>
        </is>
      </c>
      <c r="BW454" s="76" t="n">
        <v>46041.44722222222</v>
      </c>
      <c r="BX454" t="inlineStr">
        <is>
          <t>Magaly Guevara Perez</t>
        </is>
      </c>
      <c r="BZ454" t="n">
        <v>64</v>
      </c>
      <c r="CA454" t="inlineStr">
        <is>
          <t>29/06/2026 00:51</t>
        </is>
      </c>
      <c r="CB454" t="n">
        <v>0</v>
      </c>
      <c r="CF454" t="inlineStr">
        <is>
          <t>Cobranzas_2026.csv</t>
        </is>
      </c>
      <c r="CG454" t="n">
        <v>2026</v>
      </c>
      <c r="CH454" t="inlineStr">
        <is>
          <t>01/01/2024</t>
        </is>
      </c>
      <c r="CI454" t="inlineStr">
        <is>
          <t>24/08/2031</t>
        </is>
      </c>
    </row>
    <row r="455">
      <c r="A455" t="inlineStr">
        <is>
          <t>RESIDENCIAL BEYOND</t>
        </is>
      </c>
      <c r="B455" t="inlineStr">
        <is>
          <t>Etapa 1</t>
        </is>
      </c>
      <c r="C455" t="inlineStr">
        <is>
          <t>Edificio</t>
        </is>
      </c>
      <c r="D455" t="inlineStr">
        <is>
          <t>A</t>
        </is>
      </c>
      <c r="E455" t="inlineStr">
        <is>
          <t>Departamento</t>
        </is>
      </c>
      <c r="F455" t="inlineStr">
        <is>
          <t>402</t>
        </is>
      </c>
      <c r="G455" t="n">
        <v>57</v>
      </c>
      <c r="H455" t="n">
        <v>0</v>
      </c>
      <c r="I455" s="39" t="n">
        <v>430000</v>
      </c>
      <c r="J455" s="39" t="n">
        <v>400000</v>
      </c>
      <c r="K455" t="inlineStr">
        <is>
          <t>Edificio</t>
        </is>
      </c>
      <c r="L455" t="inlineStr">
        <is>
          <t>A</t>
        </is>
      </c>
      <c r="M455" t="inlineStr">
        <is>
          <t>Estacionamiento</t>
        </is>
      </c>
      <c r="N455" t="inlineStr">
        <is>
          <t>E 44 - D 26</t>
        </is>
      </c>
      <c r="O455" t="n">
        <v>12.5</v>
      </c>
      <c r="P455" t="n">
        <v>2.45</v>
      </c>
      <c r="Q455" s="39" t="n">
        <v>48500</v>
      </c>
      <c r="R455" s="39" t="n">
        <v>48500</v>
      </c>
      <c r="Y455" s="39" t="n"/>
      <c r="Z455" s="39" t="n"/>
      <c r="AG455" s="39" t="n"/>
      <c r="AH455" s="39" t="n"/>
      <c r="AI455" t="inlineStr">
        <is>
          <t>Gina Victoria Saenz Pasco</t>
        </is>
      </c>
      <c r="AJ455" t="inlineStr">
        <is>
          <t>70436237</t>
        </is>
      </c>
      <c r="AK455" t="inlineStr">
        <is>
          <t>Av. Cordialidad 8079 Urb. La Floresta</t>
        </is>
      </c>
      <c r="AL455" t="n">
        <v>0</v>
      </c>
      <c r="AM455" t="inlineStr">
        <is>
          <t>992686657</t>
        </is>
      </c>
      <c r="AN455" t="inlineStr">
        <is>
          <t>g.saenz22@gmail.com</t>
        </is>
      </c>
      <c r="AO455" t="inlineStr">
        <is>
          <t>LIMA</t>
        </is>
      </c>
      <c r="AP455" t="inlineStr">
        <is>
          <t>LOS OLIVOS</t>
        </is>
      </c>
      <c r="AQ455" s="75" t="n">
        <v>46096</v>
      </c>
      <c r="AR455" s="75" t="n">
        <v>46096</v>
      </c>
      <c r="AS455" t="inlineStr">
        <is>
          <t>SEPARACION</t>
        </is>
      </c>
      <c r="AT455" t="n">
        <v>1</v>
      </c>
      <c r="AU455" t="n">
        <v>3000</v>
      </c>
      <c r="AV455" t="n">
        <v>0</v>
      </c>
      <c r="AW455" t="n">
        <v>0</v>
      </c>
      <c r="AX455" s="39" t="n">
        <v>3000</v>
      </c>
      <c r="AY455" s="39" t="n">
        <v>3000</v>
      </c>
      <c r="AZ455" s="39" t="n">
        <v>0</v>
      </c>
      <c r="BA455" t="n">
        <v>0</v>
      </c>
      <c r="BB455" t="inlineStr">
        <is>
          <t>Ahorro</t>
        </is>
      </c>
      <c r="BC455" t="inlineStr">
        <is>
          <t>Banco de Credito del Perú</t>
        </is>
      </c>
      <c r="BD455" t="inlineStr">
        <is>
          <t>194-7325779-0-65</t>
        </is>
      </c>
      <c r="BE455" t="inlineStr">
        <is>
          <t>TRANSFERENCIA BANCARIA</t>
        </is>
      </c>
      <c r="BG455" t="inlineStr">
        <is>
          <t>00060044</t>
        </is>
      </c>
      <c r="BH455" t="inlineStr">
        <is>
          <t>No</t>
        </is>
      </c>
      <c r="BJ455" t="n">
        <v>4</v>
      </c>
      <c r="BK455" t="inlineStr">
        <is>
          <t>CANCELADO</t>
        </is>
      </c>
      <c r="BV455" t="inlineStr">
        <is>
          <t>No</t>
        </is>
      </c>
      <c r="BW455" s="76" t="n">
        <v>46111.42430555556</v>
      </c>
      <c r="BX455" t="inlineStr">
        <is>
          <t>Magaly Guevara Perez</t>
        </is>
      </c>
      <c r="BZ455" t="n">
        <v>27</v>
      </c>
      <c r="CA455" t="inlineStr">
        <is>
          <t>01/05/2026 17:30</t>
        </is>
      </c>
      <c r="CB455" t="n">
        <v>0</v>
      </c>
      <c r="CF455" t="inlineStr">
        <is>
          <t>Cobranzas_2026.csv</t>
        </is>
      </c>
      <c r="CG455" t="n">
        <v>2026</v>
      </c>
      <c r="CH455" t="inlineStr">
        <is>
          <t>01/01/2024</t>
        </is>
      </c>
      <c r="CI455" t="inlineStr">
        <is>
          <t>24/08/2031</t>
        </is>
      </c>
    </row>
    <row r="456">
      <c r="A456" t="inlineStr">
        <is>
          <t>RESIDENCIAL BEYOND</t>
        </is>
      </c>
      <c r="B456" t="inlineStr">
        <is>
          <t>Etapa 1</t>
        </is>
      </c>
      <c r="C456" t="inlineStr">
        <is>
          <t>Edificio</t>
        </is>
      </c>
      <c r="D456" t="inlineStr">
        <is>
          <t>A</t>
        </is>
      </c>
      <c r="E456" t="inlineStr">
        <is>
          <t>Departamento</t>
        </is>
      </c>
      <c r="F456" t="inlineStr">
        <is>
          <t>402</t>
        </is>
      </c>
      <c r="G456" t="n">
        <v>57</v>
      </c>
      <c r="H456" t="n">
        <v>0</v>
      </c>
      <c r="I456" s="39" t="n">
        <v>430000</v>
      </c>
      <c r="J456" s="39" t="n">
        <v>400000</v>
      </c>
      <c r="K456" t="inlineStr">
        <is>
          <t>Edificio</t>
        </is>
      </c>
      <c r="L456" t="inlineStr">
        <is>
          <t>A</t>
        </is>
      </c>
      <c r="M456" t="inlineStr">
        <is>
          <t>Estacionamiento</t>
        </is>
      </c>
      <c r="N456" t="inlineStr">
        <is>
          <t>E 44 - D 26</t>
        </is>
      </c>
      <c r="O456" t="n">
        <v>12.5</v>
      </c>
      <c r="P456" t="n">
        <v>2.45</v>
      </c>
      <c r="Q456" s="39" t="n">
        <v>48500</v>
      </c>
      <c r="R456" s="39" t="n">
        <v>48500</v>
      </c>
      <c r="Y456" s="39" t="n"/>
      <c r="Z456" s="39" t="n"/>
      <c r="AG456" s="39" t="n"/>
      <c r="AH456" s="39" t="n"/>
      <c r="AI456" t="inlineStr">
        <is>
          <t>Gina Victoria Saenz Pasco</t>
        </is>
      </c>
      <c r="AJ456" t="inlineStr">
        <is>
          <t>70436237</t>
        </is>
      </c>
      <c r="AK456" t="inlineStr">
        <is>
          <t>Av. Cordialidad 8079 Urb. La Floresta</t>
        </is>
      </c>
      <c r="AL456" t="n">
        <v>0</v>
      </c>
      <c r="AM456" t="inlineStr">
        <is>
          <t>992686657</t>
        </is>
      </c>
      <c r="AN456" t="inlineStr">
        <is>
          <t>g.saenz22@gmail.com</t>
        </is>
      </c>
      <c r="AO456" t="inlineStr">
        <is>
          <t>LIMA</t>
        </is>
      </c>
      <c r="AP456" t="inlineStr">
        <is>
          <t>LOS OLIVOS</t>
        </is>
      </c>
      <c r="AQ456" s="75" t="n">
        <v>46112</v>
      </c>
      <c r="AR456" s="75" t="n">
        <v>46111</v>
      </c>
      <c r="AS456" t="inlineStr">
        <is>
          <t>CUOTA INICIAL</t>
        </is>
      </c>
      <c r="AT456" t="n">
        <v>1</v>
      </c>
      <c r="AU456" t="n">
        <v>20000</v>
      </c>
      <c r="AV456" t="n">
        <v>0</v>
      </c>
      <c r="AW456" t="n">
        <v>0</v>
      </c>
      <c r="AX456" s="39" t="n">
        <v>20000</v>
      </c>
      <c r="AY456" s="39" t="n">
        <v>20000</v>
      </c>
      <c r="AZ456" s="39" t="n">
        <v>0</v>
      </c>
      <c r="BA456" t="n">
        <v>0</v>
      </c>
      <c r="BB456" t="inlineStr">
        <is>
          <t>Ahorro</t>
        </is>
      </c>
      <c r="BC456" t="inlineStr">
        <is>
          <t>Banco de Credito del Perú</t>
        </is>
      </c>
      <c r="BD456" t="inlineStr">
        <is>
          <t>194-7325779-0-65</t>
        </is>
      </c>
      <c r="BE456" t="inlineStr">
        <is>
          <t>TRANSFERENCIA BANCARIA</t>
        </is>
      </c>
      <c r="BG456" t="inlineStr">
        <is>
          <t>06683896</t>
        </is>
      </c>
      <c r="BH456" t="inlineStr">
        <is>
          <t>No</t>
        </is>
      </c>
      <c r="BJ456" t="n">
        <v>4</v>
      </c>
      <c r="BK456" t="inlineStr">
        <is>
          <t>CANCELADO</t>
        </is>
      </c>
      <c r="BV456" t="inlineStr">
        <is>
          <t>Si</t>
        </is>
      </c>
      <c r="BW456" s="76" t="n">
        <v>46111.42430555556</v>
      </c>
      <c r="BX456" t="inlineStr">
        <is>
          <t>Magaly Guevara Perez</t>
        </is>
      </c>
      <c r="BZ456" t="n">
        <v>27</v>
      </c>
      <c r="CA456" t="inlineStr">
        <is>
          <t>13/08/2026 10:46</t>
        </is>
      </c>
      <c r="CB456" t="n">
        <v>0</v>
      </c>
      <c r="CF456" t="inlineStr">
        <is>
          <t>Cobranzas_2026.csv</t>
        </is>
      </c>
      <c r="CG456" t="n">
        <v>2026</v>
      </c>
      <c r="CH456" t="inlineStr">
        <is>
          <t>01/01/2024</t>
        </is>
      </c>
      <c r="CI456" t="inlineStr">
        <is>
          <t>24/08/2031</t>
        </is>
      </c>
    </row>
    <row r="457">
      <c r="A457" t="inlineStr">
        <is>
          <t>RESIDENCIAL BEYOND</t>
        </is>
      </c>
      <c r="B457" t="inlineStr">
        <is>
          <t>Etapa 1</t>
        </is>
      </c>
      <c r="C457" t="inlineStr">
        <is>
          <t>Edificio</t>
        </is>
      </c>
      <c r="D457" t="inlineStr">
        <is>
          <t>A</t>
        </is>
      </c>
      <c r="E457" t="inlineStr">
        <is>
          <t>Departamento</t>
        </is>
      </c>
      <c r="F457" t="inlineStr">
        <is>
          <t>402</t>
        </is>
      </c>
      <c r="G457" t="n">
        <v>57</v>
      </c>
      <c r="H457" t="n">
        <v>0</v>
      </c>
      <c r="I457" s="39" t="n">
        <v>430000</v>
      </c>
      <c r="J457" s="39" t="n">
        <v>400000</v>
      </c>
      <c r="K457" t="inlineStr">
        <is>
          <t>Edificio</t>
        </is>
      </c>
      <c r="L457" t="inlineStr">
        <is>
          <t>A</t>
        </is>
      </c>
      <c r="M457" t="inlineStr">
        <is>
          <t>Estacionamiento</t>
        </is>
      </c>
      <c r="N457" t="inlineStr">
        <is>
          <t>E 44 - D 26</t>
        </is>
      </c>
      <c r="O457" t="n">
        <v>12.5</v>
      </c>
      <c r="P457" t="n">
        <v>2.45</v>
      </c>
      <c r="Q457" s="39" t="n">
        <v>48500</v>
      </c>
      <c r="R457" s="39" t="n">
        <v>48500</v>
      </c>
      <c r="Y457" s="39" t="n"/>
      <c r="Z457" s="39" t="n"/>
      <c r="AG457" s="39" t="n"/>
      <c r="AH457" s="39" t="n"/>
      <c r="AI457" t="inlineStr">
        <is>
          <t>Gina Victoria Saenz Pasco</t>
        </is>
      </c>
      <c r="AJ457" t="inlineStr">
        <is>
          <t>70436237</t>
        </is>
      </c>
      <c r="AK457" t="inlineStr">
        <is>
          <t>Av. Cordialidad 8079 Urb. La Floresta</t>
        </is>
      </c>
      <c r="AL457" t="n">
        <v>0</v>
      </c>
      <c r="AM457" t="inlineStr">
        <is>
          <t>992686657</t>
        </is>
      </c>
      <c r="AN457" t="inlineStr">
        <is>
          <t>g.saenz22@gmail.com</t>
        </is>
      </c>
      <c r="AO457" t="inlineStr">
        <is>
          <t>LIMA</t>
        </is>
      </c>
      <c r="AP457" t="inlineStr">
        <is>
          <t>LOS OLIVOS</t>
        </is>
      </c>
      <c r="AQ457" s="75" t="n">
        <v>46142</v>
      </c>
      <c r="AR457" s="75" t="n">
        <v>46142</v>
      </c>
      <c r="AS457" t="inlineStr">
        <is>
          <t>CUOTA INICIAL</t>
        </is>
      </c>
      <c r="AT457" t="n">
        <v>2</v>
      </c>
      <c r="AU457" t="n">
        <v>10000</v>
      </c>
      <c r="AV457" t="n">
        <v>0</v>
      </c>
      <c r="AW457" t="n">
        <v>0</v>
      </c>
      <c r="AX457" s="39" t="n">
        <v>10000</v>
      </c>
      <c r="AY457" s="39" t="n">
        <v>10000</v>
      </c>
      <c r="AZ457" s="39" t="n">
        <v>0</v>
      </c>
      <c r="BA457" t="n">
        <v>0</v>
      </c>
      <c r="BB457" t="inlineStr">
        <is>
          <t>Ahorro</t>
        </is>
      </c>
      <c r="BC457" t="inlineStr">
        <is>
          <t>Banco de Credito del Perú</t>
        </is>
      </c>
      <c r="BD457" t="inlineStr">
        <is>
          <t>194-7325779-0-65</t>
        </is>
      </c>
      <c r="BE457" t="inlineStr">
        <is>
          <t>TRANSFERENCIA BANCARIA</t>
        </is>
      </c>
      <c r="BG457" t="inlineStr">
        <is>
          <t>02662119</t>
        </is>
      </c>
      <c r="BH457" t="inlineStr">
        <is>
          <t>No</t>
        </is>
      </c>
      <c r="BJ457" t="n">
        <v>4</v>
      </c>
      <c r="BK457" t="inlineStr">
        <is>
          <t>CANCELADO</t>
        </is>
      </c>
      <c r="BV457" t="inlineStr">
        <is>
          <t>Si</t>
        </is>
      </c>
      <c r="BW457" s="76" t="n">
        <v>46111.42430555556</v>
      </c>
      <c r="BX457" t="inlineStr">
        <is>
          <t>Magaly Guevara Perez</t>
        </is>
      </c>
      <c r="BZ457" t="n">
        <v>27</v>
      </c>
      <c r="CA457" t="inlineStr">
        <is>
          <t>13/08/2026 10:48</t>
        </is>
      </c>
      <c r="CB457" t="n">
        <v>0</v>
      </c>
      <c r="CF457" t="inlineStr">
        <is>
          <t>Cobranzas_2026.csv</t>
        </is>
      </c>
      <c r="CG457" t="n">
        <v>2026</v>
      </c>
      <c r="CH457" t="inlineStr">
        <is>
          <t>01/01/2024</t>
        </is>
      </c>
      <c r="CI457" t="inlineStr">
        <is>
          <t>24/08/2031</t>
        </is>
      </c>
    </row>
    <row r="458">
      <c r="A458" t="inlineStr">
        <is>
          <t>RESIDENCIAL BEYOND</t>
        </is>
      </c>
      <c r="B458" t="inlineStr">
        <is>
          <t>Etapa 1</t>
        </is>
      </c>
      <c r="C458" t="inlineStr">
        <is>
          <t>Edificio</t>
        </is>
      </c>
      <c r="D458" t="inlineStr">
        <is>
          <t>A</t>
        </is>
      </c>
      <c r="E458" t="inlineStr">
        <is>
          <t>Departamento</t>
        </is>
      </c>
      <c r="F458" t="inlineStr">
        <is>
          <t>402</t>
        </is>
      </c>
      <c r="G458" t="n">
        <v>57</v>
      </c>
      <c r="H458" t="n">
        <v>0</v>
      </c>
      <c r="I458" s="39" t="n">
        <v>430000</v>
      </c>
      <c r="J458" s="39" t="n">
        <v>400000</v>
      </c>
      <c r="K458" t="inlineStr">
        <is>
          <t>Edificio</t>
        </is>
      </c>
      <c r="L458" t="inlineStr">
        <is>
          <t>A</t>
        </is>
      </c>
      <c r="M458" t="inlineStr">
        <is>
          <t>Estacionamiento</t>
        </is>
      </c>
      <c r="N458" t="inlineStr">
        <is>
          <t>E 44 - D 26</t>
        </is>
      </c>
      <c r="O458" t="n">
        <v>12.5</v>
      </c>
      <c r="P458" t="n">
        <v>2.45</v>
      </c>
      <c r="Q458" s="39" t="n">
        <v>48500</v>
      </c>
      <c r="R458" s="39" t="n">
        <v>48500</v>
      </c>
      <c r="Y458" s="39" t="n"/>
      <c r="Z458" s="39" t="n"/>
      <c r="AG458" s="39" t="n"/>
      <c r="AH458" s="39" t="n"/>
      <c r="AI458" t="inlineStr">
        <is>
          <t>Gina Victoria Saenz Pasco</t>
        </is>
      </c>
      <c r="AJ458" t="inlineStr">
        <is>
          <t>70436237</t>
        </is>
      </c>
      <c r="AK458" t="inlineStr">
        <is>
          <t>Av. Cordialidad 8079 Urb. La Floresta</t>
        </is>
      </c>
      <c r="AL458" t="n">
        <v>0</v>
      </c>
      <c r="AM458" t="inlineStr">
        <is>
          <t>992686657</t>
        </is>
      </c>
      <c r="AN458" t="inlineStr">
        <is>
          <t>g.saenz22@gmail.com</t>
        </is>
      </c>
      <c r="AO458" t="inlineStr">
        <is>
          <t>LIMA</t>
        </is>
      </c>
      <c r="AP458" t="inlineStr">
        <is>
          <t>LOS OLIVOS</t>
        </is>
      </c>
      <c r="AQ458" s="75" t="n">
        <v>46265</v>
      </c>
      <c r="AR458" s="75" t="n"/>
      <c r="AS458" t="inlineStr">
        <is>
          <t>CUOTA INICIAL</t>
        </is>
      </c>
      <c r="AT458" t="n">
        <v>3</v>
      </c>
      <c r="AU458" t="n">
        <v>17000</v>
      </c>
      <c r="AV458" t="n">
        <v>0</v>
      </c>
      <c r="AW458" t="n">
        <v>0</v>
      </c>
      <c r="AX458" s="39" t="n">
        <v>17000</v>
      </c>
      <c r="AY458" s="39" t="n">
        <v>0</v>
      </c>
      <c r="AZ458" s="39" t="n">
        <v>17000</v>
      </c>
      <c r="BB458" t="inlineStr">
        <is>
          <t>Ahorro</t>
        </is>
      </c>
      <c r="BH458" t="inlineStr">
        <is>
          <t>No</t>
        </is>
      </c>
      <c r="BK458" t="inlineStr">
        <is>
          <t>PENDIENTE</t>
        </is>
      </c>
      <c r="BV458" t="inlineStr">
        <is>
          <t>No</t>
        </is>
      </c>
      <c r="BW458" s="76" t="n">
        <v>46111.42430555556</v>
      </c>
      <c r="BX458" t="inlineStr">
        <is>
          <t>Magaly Guevara Perez</t>
        </is>
      </c>
      <c r="BZ458" t="n">
        <v>27</v>
      </c>
      <c r="CB458" t="n">
        <v>0</v>
      </c>
      <c r="CF458" t="inlineStr">
        <is>
          <t>Cobranzas_2026.csv</t>
        </is>
      </c>
      <c r="CG458" t="n">
        <v>2026</v>
      </c>
      <c r="CH458" t="inlineStr">
        <is>
          <t>01/01/2024</t>
        </is>
      </c>
      <c r="CI458" t="inlineStr">
        <is>
          <t>24/08/2031</t>
        </is>
      </c>
    </row>
    <row r="459">
      <c r="A459" t="inlineStr">
        <is>
          <t>RESIDENCIAL BEYOND</t>
        </is>
      </c>
      <c r="B459" t="inlineStr">
        <is>
          <t>Etapa 1</t>
        </is>
      </c>
      <c r="C459" t="inlineStr">
        <is>
          <t>Edificio</t>
        </is>
      </c>
      <c r="D459" t="inlineStr">
        <is>
          <t>A</t>
        </is>
      </c>
      <c r="E459" t="inlineStr">
        <is>
          <t>Departamento</t>
        </is>
      </c>
      <c r="F459" t="inlineStr">
        <is>
          <t>402</t>
        </is>
      </c>
      <c r="G459" t="n">
        <v>57</v>
      </c>
      <c r="H459" t="n">
        <v>0</v>
      </c>
      <c r="I459" s="39" t="n">
        <v>430000</v>
      </c>
      <c r="J459" s="39" t="n">
        <v>400000</v>
      </c>
      <c r="K459" t="inlineStr">
        <is>
          <t>Edificio</t>
        </is>
      </c>
      <c r="L459" t="inlineStr">
        <is>
          <t>A</t>
        </is>
      </c>
      <c r="M459" t="inlineStr">
        <is>
          <t>Estacionamiento</t>
        </is>
      </c>
      <c r="N459" t="inlineStr">
        <is>
          <t>E 44 - D 26</t>
        </is>
      </c>
      <c r="O459" t="n">
        <v>12.5</v>
      </c>
      <c r="P459" t="n">
        <v>2.45</v>
      </c>
      <c r="Q459" s="39" t="n">
        <v>48500</v>
      </c>
      <c r="R459" s="39" t="n">
        <v>48500</v>
      </c>
      <c r="Y459" s="39" t="n"/>
      <c r="Z459" s="39" t="n"/>
      <c r="AG459" s="39" t="n"/>
      <c r="AH459" s="39" t="n"/>
      <c r="AI459" t="inlineStr">
        <is>
          <t>Gina Victoria Saenz Pasco</t>
        </is>
      </c>
      <c r="AJ459" t="inlineStr">
        <is>
          <t>70436237</t>
        </is>
      </c>
      <c r="AK459" t="inlineStr">
        <is>
          <t>Av. Cordialidad 8079 Urb. La Floresta</t>
        </is>
      </c>
      <c r="AL459" t="n">
        <v>0</v>
      </c>
      <c r="AM459" t="inlineStr">
        <is>
          <t>992686657</t>
        </is>
      </c>
      <c r="AN459" t="inlineStr">
        <is>
          <t>g.saenz22@gmail.com</t>
        </is>
      </c>
      <c r="AO459" t="inlineStr">
        <is>
          <t>LIMA</t>
        </is>
      </c>
      <c r="AP459" t="inlineStr">
        <is>
          <t>LOS OLIVOS</t>
        </is>
      </c>
      <c r="AQ459" s="75" t="n">
        <v>46386</v>
      </c>
      <c r="AR459" s="75" t="n"/>
      <c r="AS459" t="inlineStr">
        <is>
          <t>CUOTA INICIAL</t>
        </is>
      </c>
      <c r="AT459" t="n">
        <v>4</v>
      </c>
      <c r="AU459" t="n">
        <v>5000</v>
      </c>
      <c r="AV459" t="n">
        <v>0</v>
      </c>
      <c r="AW459" t="n">
        <v>0</v>
      </c>
      <c r="AX459" s="39" t="n">
        <v>5000</v>
      </c>
      <c r="AY459" s="39" t="n">
        <v>0</v>
      </c>
      <c r="AZ459" s="39" t="n">
        <v>5000</v>
      </c>
      <c r="BB459" t="inlineStr">
        <is>
          <t>Ahorro</t>
        </is>
      </c>
      <c r="BH459" t="inlineStr">
        <is>
          <t>No</t>
        </is>
      </c>
      <c r="BK459" t="inlineStr">
        <is>
          <t>PENDIENTE</t>
        </is>
      </c>
      <c r="BV459" t="inlineStr">
        <is>
          <t>No</t>
        </is>
      </c>
      <c r="BW459" s="76" t="n">
        <v>46111.42430555556</v>
      </c>
      <c r="BX459" t="inlineStr">
        <is>
          <t>Magaly Guevara Perez</t>
        </is>
      </c>
      <c r="BZ459" t="n">
        <v>27</v>
      </c>
      <c r="CB459" t="n">
        <v>0</v>
      </c>
      <c r="CF459" t="inlineStr">
        <is>
          <t>Cobranzas_2026.csv</t>
        </is>
      </c>
      <c r="CG459" t="n">
        <v>2026</v>
      </c>
      <c r="CH459" t="inlineStr">
        <is>
          <t>01/01/2024</t>
        </is>
      </c>
      <c r="CI459" t="inlineStr">
        <is>
          <t>24/08/2031</t>
        </is>
      </c>
    </row>
    <row r="460">
      <c r="A460" t="inlineStr">
        <is>
          <t>RESIDENCIAL BEYOND</t>
        </is>
      </c>
      <c r="B460" t="inlineStr">
        <is>
          <t>Etapa 1</t>
        </is>
      </c>
      <c r="C460" t="inlineStr">
        <is>
          <t>Edificio</t>
        </is>
      </c>
      <c r="D460" t="inlineStr">
        <is>
          <t>A</t>
        </is>
      </c>
      <c r="E460" t="inlineStr">
        <is>
          <t>Departamento</t>
        </is>
      </c>
      <c r="F460" t="inlineStr">
        <is>
          <t>402</t>
        </is>
      </c>
      <c r="G460" t="n">
        <v>57</v>
      </c>
      <c r="H460" t="n">
        <v>0</v>
      </c>
      <c r="I460" s="39" t="n">
        <v>430000</v>
      </c>
      <c r="J460" s="39" t="n">
        <v>400000</v>
      </c>
      <c r="K460" t="inlineStr">
        <is>
          <t>Edificio</t>
        </is>
      </c>
      <c r="L460" t="inlineStr">
        <is>
          <t>A</t>
        </is>
      </c>
      <c r="M460" t="inlineStr">
        <is>
          <t>Estacionamiento</t>
        </is>
      </c>
      <c r="N460" t="inlineStr">
        <is>
          <t>E 44 - D 26</t>
        </is>
      </c>
      <c r="O460" t="n">
        <v>12.5</v>
      </c>
      <c r="P460" t="n">
        <v>2.45</v>
      </c>
      <c r="Q460" s="39" t="n">
        <v>48500</v>
      </c>
      <c r="R460" s="39" t="n">
        <v>48500</v>
      </c>
      <c r="Y460" s="39" t="n"/>
      <c r="Z460" s="39" t="n"/>
      <c r="AG460" s="39" t="n"/>
      <c r="AH460" s="39" t="n"/>
      <c r="AI460" t="inlineStr">
        <is>
          <t>Gina Victoria Saenz Pasco</t>
        </is>
      </c>
      <c r="AJ460" t="inlineStr">
        <is>
          <t>70436237</t>
        </is>
      </c>
      <c r="AK460" t="inlineStr">
        <is>
          <t>Av. Cordialidad 8079 Urb. La Floresta</t>
        </is>
      </c>
      <c r="AL460" t="n">
        <v>0</v>
      </c>
      <c r="AM460" t="inlineStr">
        <is>
          <t>992686657</t>
        </is>
      </c>
      <c r="AN460" t="inlineStr">
        <is>
          <t>g.saenz22@gmail.com</t>
        </is>
      </c>
      <c r="AO460" t="inlineStr">
        <is>
          <t>LIMA</t>
        </is>
      </c>
      <c r="AP460" t="inlineStr">
        <is>
          <t>LOS OLIVOS</t>
        </is>
      </c>
      <c r="AQ460" s="75" t="n">
        <v>46280</v>
      </c>
      <c r="AR460" s="75" t="n"/>
      <c r="AS460" t="inlineStr">
        <is>
          <t>SALDO FINANCIAR</t>
        </is>
      </c>
      <c r="AT460" t="n">
        <v>1</v>
      </c>
      <c r="AU460" t="n">
        <v>98375</v>
      </c>
      <c r="AV460" t="n">
        <v>0</v>
      </c>
      <c r="AW460" t="n">
        <v>0</v>
      </c>
      <c r="AX460" s="39" t="n">
        <v>98375</v>
      </c>
      <c r="AY460" s="39" t="n">
        <v>0</v>
      </c>
      <c r="AZ460" s="39" t="n">
        <v>98375</v>
      </c>
      <c r="BB460" t="inlineStr">
        <is>
          <t>Ahorro</t>
        </is>
      </c>
      <c r="BH460" t="inlineStr">
        <is>
          <t>No</t>
        </is>
      </c>
      <c r="BK460" t="inlineStr">
        <is>
          <t>PENDIENTE</t>
        </is>
      </c>
      <c r="BV460" t="inlineStr">
        <is>
          <t>No</t>
        </is>
      </c>
      <c r="BW460" s="76" t="n">
        <v>46111.42430555556</v>
      </c>
      <c r="BX460" t="inlineStr">
        <is>
          <t>Magaly Guevara Perez</t>
        </is>
      </c>
      <c r="BZ460" t="n">
        <v>27</v>
      </c>
      <c r="CB460" t="n">
        <v>0</v>
      </c>
      <c r="CF460" t="inlineStr">
        <is>
          <t>Cobranzas_2026.csv</t>
        </is>
      </c>
      <c r="CG460" t="n">
        <v>2026</v>
      </c>
      <c r="CH460" t="inlineStr">
        <is>
          <t>01/01/2024</t>
        </is>
      </c>
      <c r="CI460" t="inlineStr">
        <is>
          <t>24/08/2031</t>
        </is>
      </c>
    </row>
    <row r="461">
      <c r="A461" t="inlineStr">
        <is>
          <t>RESIDENCIAL VENECIA</t>
        </is>
      </c>
      <c r="B461" t="inlineStr">
        <is>
          <t>Etapa 1</t>
        </is>
      </c>
      <c r="C461" t="inlineStr">
        <is>
          <t>Edificio</t>
        </is>
      </c>
      <c r="D461" t="inlineStr">
        <is>
          <t>A</t>
        </is>
      </c>
      <c r="E461" t="inlineStr">
        <is>
          <t>Departamento</t>
        </is>
      </c>
      <c r="F461" t="inlineStr">
        <is>
          <t>304</t>
        </is>
      </c>
      <c r="G461" t="n">
        <v>67</v>
      </c>
      <c r="H461" t="n">
        <v>0</v>
      </c>
      <c r="I461" s="39" t="n">
        <v>438000</v>
      </c>
      <c r="J461" s="39" t="n">
        <v>438000</v>
      </c>
      <c r="K461" t="inlineStr">
        <is>
          <t>Edificio</t>
        </is>
      </c>
      <c r="L461" t="inlineStr">
        <is>
          <t>A</t>
        </is>
      </c>
      <c r="M461" t="inlineStr">
        <is>
          <t>Estacionamiento</t>
        </is>
      </c>
      <c r="N461" t="inlineStr">
        <is>
          <t>E 28 - D 15</t>
        </is>
      </c>
      <c r="O461" t="n">
        <v>14.5</v>
      </c>
      <c r="P461" t="n">
        <v>0</v>
      </c>
      <c r="Q461" s="39" t="n">
        <v>43000</v>
      </c>
      <c r="R461" s="39" t="n">
        <v>43000</v>
      </c>
      <c r="Y461" s="39" t="n"/>
      <c r="Z461" s="39" t="n"/>
      <c r="AG461" s="39" t="n"/>
      <c r="AH461" s="39" t="n"/>
      <c r="AI461" t="inlineStr">
        <is>
          <t>Giovani Chumioque Garcia</t>
        </is>
      </c>
      <c r="AJ461" t="inlineStr">
        <is>
          <t>46074285</t>
        </is>
      </c>
      <c r="AK461" t="inlineStr">
        <is>
          <t xml:space="preserve">JR.CANGALLO Nº185 </t>
        </is>
      </c>
      <c r="AL461" t="n">
        <v>0</v>
      </c>
      <c r="AM461" t="inlineStr">
        <is>
          <t>970793151</t>
        </is>
      </c>
      <c r="AN461" t="inlineStr">
        <is>
          <t>giojoy@hotmail.com</t>
        </is>
      </c>
      <c r="AO461" t="inlineStr">
        <is>
          <t>LIMA</t>
        </is>
      </c>
      <c r="AP461" t="inlineStr">
        <is>
          <t>CERCADO DE LIMA</t>
        </is>
      </c>
      <c r="AQ461" s="75" t="n">
        <v>46203</v>
      </c>
      <c r="AR461" s="75" t="n">
        <v>46230</v>
      </c>
      <c r="AS461" t="inlineStr">
        <is>
          <t>SALDO FINANCIAR</t>
        </is>
      </c>
      <c r="AT461" t="n">
        <v>1</v>
      </c>
      <c r="AU461" t="n">
        <v>331000</v>
      </c>
      <c r="AV461" t="n">
        <v>0</v>
      </c>
      <c r="AW461" t="n">
        <v>0</v>
      </c>
      <c r="AX461" s="39" t="n">
        <v>331000</v>
      </c>
      <c r="AY461" s="39" t="n">
        <v>331000</v>
      </c>
      <c r="AZ461" s="39" t="n">
        <v>0</v>
      </c>
      <c r="BA461" t="n">
        <v>0</v>
      </c>
      <c r="BB461" t="inlineStr">
        <is>
          <t>Crédito Hipotecario</t>
        </is>
      </c>
      <c r="BC461" t="inlineStr">
        <is>
          <t>Scotiabank Perú</t>
        </is>
      </c>
      <c r="BD461" t="inlineStr">
        <is>
          <t>0004071419</t>
        </is>
      </c>
      <c r="BE461" t="inlineStr">
        <is>
          <t>TRANSFERENCIA BANCARIA</t>
        </is>
      </c>
      <c r="BH461" t="inlineStr">
        <is>
          <t>No</t>
        </is>
      </c>
      <c r="BJ461" t="n">
        <v>4</v>
      </c>
      <c r="BK461" t="inlineStr">
        <is>
          <t>CANCELADO</t>
        </is>
      </c>
      <c r="BV461" t="inlineStr">
        <is>
          <t>Si</t>
        </is>
      </c>
      <c r="BW461" s="76" t="n">
        <v>46178.33888888889</v>
      </c>
      <c r="BX461" t="inlineStr">
        <is>
          <t>Magaly Guevara Perez</t>
        </is>
      </c>
      <c r="BZ461" t="n">
        <v>6</v>
      </c>
      <c r="CA461" t="inlineStr">
        <is>
          <t>18/08/2026 15:10</t>
        </is>
      </c>
      <c r="CB461" t="n">
        <v>0</v>
      </c>
      <c r="CF461" t="inlineStr">
        <is>
          <t>Cobranzas_2026.csv</t>
        </is>
      </c>
      <c r="CG461" t="n">
        <v>2026</v>
      </c>
      <c r="CH461" t="inlineStr">
        <is>
          <t>01/01/2024</t>
        </is>
      </c>
      <c r="CI461" t="inlineStr">
        <is>
          <t>24/08/2031</t>
        </is>
      </c>
    </row>
    <row r="462">
      <c r="A462" t="inlineStr">
        <is>
          <t>RESIDENCIAL PRADA</t>
        </is>
      </c>
      <c r="B462" t="inlineStr">
        <is>
          <t>Etapa 1</t>
        </is>
      </c>
      <c r="C462" t="inlineStr">
        <is>
          <t>Edificio</t>
        </is>
      </c>
      <c r="D462" t="inlineStr">
        <is>
          <t>A</t>
        </is>
      </c>
      <c r="E462" t="inlineStr">
        <is>
          <t>Departamento</t>
        </is>
      </c>
      <c r="F462" t="inlineStr">
        <is>
          <t>304</t>
        </is>
      </c>
      <c r="G462" t="n">
        <v>60.93</v>
      </c>
      <c r="H462" t="n">
        <v>0</v>
      </c>
      <c r="I462" s="39" t="n">
        <v>480000</v>
      </c>
      <c r="J462" s="39" t="n">
        <v>428700</v>
      </c>
      <c r="K462" t="inlineStr">
        <is>
          <t>Edificio</t>
        </is>
      </c>
      <c r="L462" t="inlineStr">
        <is>
          <t>A</t>
        </is>
      </c>
      <c r="M462" t="inlineStr">
        <is>
          <t>Estacionamiento</t>
        </is>
      </c>
      <c r="N462" t="inlineStr">
        <is>
          <t>E 27 - D 21</t>
        </is>
      </c>
      <c r="O462" t="n">
        <v>12.86</v>
      </c>
      <c r="P462" t="n">
        <v>3</v>
      </c>
      <c r="Q462" s="39" t="n">
        <v>57800</v>
      </c>
      <c r="R462" s="39" t="n">
        <v>57800</v>
      </c>
      <c r="Y462" s="39" t="n"/>
      <c r="Z462" s="39" t="n"/>
      <c r="AG462" s="39" t="n"/>
      <c r="AH462" s="39" t="n"/>
      <c r="AI462" t="inlineStr">
        <is>
          <t>Gisella Isabel Martinez Andrade</t>
        </is>
      </c>
      <c r="AJ462" t="inlineStr">
        <is>
          <t>41633863</t>
        </is>
      </c>
      <c r="AK462" t="inlineStr">
        <is>
          <t xml:space="preserve"> Pasaje Manuel Gonzales Prada 1286</t>
        </is>
      </c>
      <c r="AL462" t="n">
        <v>993079451</v>
      </c>
      <c r="AM462" t="inlineStr">
        <is>
          <t>993079451</t>
        </is>
      </c>
      <c r="AN462" t="inlineStr">
        <is>
          <t>gisella.martinez01@gmail.com</t>
        </is>
      </c>
      <c r="AO462" t="inlineStr">
        <is>
          <t>LIMA</t>
        </is>
      </c>
      <c r="AP462" t="inlineStr">
        <is>
          <t>EL AGUSTINO</t>
        </is>
      </c>
      <c r="AQ462" s="75" t="n">
        <v>46171</v>
      </c>
      <c r="AR462" s="75" t="n">
        <v>46171</v>
      </c>
      <c r="AS462" t="inlineStr">
        <is>
          <t>SEPARACION</t>
        </is>
      </c>
      <c r="AT462" t="n">
        <v>1</v>
      </c>
      <c r="AU462" t="n">
        <v>3000</v>
      </c>
      <c r="AV462" t="n">
        <v>0</v>
      </c>
      <c r="AW462" t="n">
        <v>0</v>
      </c>
      <c r="AX462" s="39" t="n">
        <v>3000</v>
      </c>
      <c r="AY462" s="39" t="n">
        <v>3000</v>
      </c>
      <c r="AZ462" s="39" t="n">
        <v>0</v>
      </c>
      <c r="BA462" t="n">
        <v>0</v>
      </c>
      <c r="BB462" t="inlineStr">
        <is>
          <t>Crédito Hipotecario</t>
        </is>
      </c>
      <c r="BC462" t="inlineStr">
        <is>
          <t>Scotiabank Perú</t>
        </is>
      </c>
      <c r="BD462" t="inlineStr">
        <is>
          <t>000-2768484</t>
        </is>
      </c>
      <c r="BE462" t="inlineStr">
        <is>
          <t>TRANSFERENCIA BANCARIA</t>
        </is>
      </c>
      <c r="BG462" t="inlineStr">
        <is>
          <t>03360743</t>
        </is>
      </c>
      <c r="BH462" t="inlineStr">
        <is>
          <t>No</t>
        </is>
      </c>
      <c r="BJ462" t="n">
        <v>4</v>
      </c>
      <c r="BK462" t="inlineStr">
        <is>
          <t>CANCELADO</t>
        </is>
      </c>
      <c r="BV462" t="inlineStr">
        <is>
          <t>Si</t>
        </is>
      </c>
      <c r="BW462" s="76" t="n">
        <v>46191.65902777778</v>
      </c>
      <c r="BX462" t="inlineStr">
        <is>
          <t>Magaly Guevara Perez</t>
        </is>
      </c>
      <c r="BZ462" t="n">
        <v>52</v>
      </c>
      <c r="CA462" t="inlineStr">
        <is>
          <t>14/07/2026 12:19</t>
        </is>
      </c>
      <c r="CB462" t="n">
        <v>0</v>
      </c>
      <c r="CF462" t="inlineStr">
        <is>
          <t>Cobranzas_2026.csv</t>
        </is>
      </c>
      <c r="CG462" t="n">
        <v>2026</v>
      </c>
      <c r="CH462" t="inlineStr">
        <is>
          <t>01/01/2024</t>
        </is>
      </c>
      <c r="CI462" t="inlineStr">
        <is>
          <t>24/08/2031</t>
        </is>
      </c>
    </row>
    <row r="463">
      <c r="A463" t="inlineStr">
        <is>
          <t>RESIDENCIAL PRADA</t>
        </is>
      </c>
      <c r="B463" t="inlineStr">
        <is>
          <t>Etapa 1</t>
        </is>
      </c>
      <c r="C463" t="inlineStr">
        <is>
          <t>Edificio</t>
        </is>
      </c>
      <c r="D463" t="inlineStr">
        <is>
          <t>A</t>
        </is>
      </c>
      <c r="E463" t="inlineStr">
        <is>
          <t>Departamento</t>
        </is>
      </c>
      <c r="F463" t="inlineStr">
        <is>
          <t>304</t>
        </is>
      </c>
      <c r="G463" t="n">
        <v>60.93</v>
      </c>
      <c r="H463" t="n">
        <v>0</v>
      </c>
      <c r="I463" s="39" t="n">
        <v>480000</v>
      </c>
      <c r="J463" s="39" t="n">
        <v>428700</v>
      </c>
      <c r="K463" t="inlineStr">
        <is>
          <t>Edificio</t>
        </is>
      </c>
      <c r="L463" t="inlineStr">
        <is>
          <t>A</t>
        </is>
      </c>
      <c r="M463" t="inlineStr">
        <is>
          <t>Estacionamiento</t>
        </is>
      </c>
      <c r="N463" t="inlineStr">
        <is>
          <t>E 27 - D 21</t>
        </is>
      </c>
      <c r="O463" t="n">
        <v>12.86</v>
      </c>
      <c r="P463" t="n">
        <v>3</v>
      </c>
      <c r="Q463" s="39" t="n">
        <v>57800</v>
      </c>
      <c r="R463" s="39" t="n">
        <v>57800</v>
      </c>
      <c r="Y463" s="39" t="n"/>
      <c r="Z463" s="39" t="n"/>
      <c r="AG463" s="39" t="n"/>
      <c r="AH463" s="39" t="n"/>
      <c r="AI463" t="inlineStr">
        <is>
          <t>Gisella Isabel Martinez Andrade</t>
        </is>
      </c>
      <c r="AJ463" t="inlineStr">
        <is>
          <t>41633863</t>
        </is>
      </c>
      <c r="AK463" t="inlineStr">
        <is>
          <t xml:space="preserve"> Pasaje Manuel Gonzales Prada 1286</t>
        </is>
      </c>
      <c r="AL463" t="n">
        <v>993079451</v>
      </c>
      <c r="AM463" t="inlineStr">
        <is>
          <t>993079451</t>
        </is>
      </c>
      <c r="AN463" t="inlineStr">
        <is>
          <t>gisella.martinez01@gmail.com</t>
        </is>
      </c>
      <c r="AO463" t="inlineStr">
        <is>
          <t>LIMA</t>
        </is>
      </c>
      <c r="AP463" t="inlineStr">
        <is>
          <t>EL AGUSTINO</t>
        </is>
      </c>
      <c r="AQ463" s="75" t="n">
        <v>46191</v>
      </c>
      <c r="AR463" s="75" t="n">
        <v>46191</v>
      </c>
      <c r="AS463" t="inlineStr">
        <is>
          <t>CUOTA INICIAL</t>
        </is>
      </c>
      <c r="AT463" t="n">
        <v>1</v>
      </c>
      <c r="AU463" t="n">
        <v>30000</v>
      </c>
      <c r="AV463" t="n">
        <v>0</v>
      </c>
      <c r="AW463" t="n">
        <v>0</v>
      </c>
      <c r="AX463" s="39" t="n">
        <v>30000</v>
      </c>
      <c r="AY463" s="39" t="n">
        <v>30000</v>
      </c>
      <c r="AZ463" s="39" t="n">
        <v>0</v>
      </c>
      <c r="BA463" t="n">
        <v>0</v>
      </c>
      <c r="BB463" t="inlineStr">
        <is>
          <t>Crédito Hipotecario</t>
        </is>
      </c>
      <c r="BC463" t="inlineStr">
        <is>
          <t>Scotiabank Perú</t>
        </is>
      </c>
      <c r="BD463" t="inlineStr">
        <is>
          <t>000-2768484</t>
        </is>
      </c>
      <c r="BE463" t="inlineStr">
        <is>
          <t>TRANSFERENCIA BANCARIA</t>
        </is>
      </c>
      <c r="BF463" t="inlineStr">
        <is>
          <t>41633863</t>
        </is>
      </c>
      <c r="BG463" t="inlineStr">
        <is>
          <t>000078289</t>
        </is>
      </c>
      <c r="BH463" t="inlineStr">
        <is>
          <t>No</t>
        </is>
      </c>
      <c r="BI463" t="inlineStr">
        <is>
          <t>NO PRECISA</t>
        </is>
      </c>
      <c r="BJ463" t="n">
        <v>4</v>
      </c>
      <c r="BK463" t="inlineStr">
        <is>
          <t>CANCELADO</t>
        </is>
      </c>
      <c r="BV463" t="inlineStr">
        <is>
          <t>Si</t>
        </is>
      </c>
      <c r="BW463" s="76" t="n">
        <v>46191.65902777778</v>
      </c>
      <c r="BX463" t="inlineStr">
        <is>
          <t>Magaly Guevara Perez</t>
        </is>
      </c>
      <c r="BZ463" t="n">
        <v>52</v>
      </c>
      <c r="CA463" t="inlineStr">
        <is>
          <t>14/07/2026 12:33</t>
        </is>
      </c>
      <c r="CB463" t="n">
        <v>0</v>
      </c>
      <c r="CF463" t="inlineStr">
        <is>
          <t>Cobranzas_2026.csv</t>
        </is>
      </c>
      <c r="CG463" t="n">
        <v>2026</v>
      </c>
      <c r="CH463" t="inlineStr">
        <is>
          <t>01/01/2024</t>
        </is>
      </c>
      <c r="CI463" t="inlineStr">
        <is>
          <t>24/08/2031</t>
        </is>
      </c>
    </row>
    <row r="464">
      <c r="A464" t="inlineStr">
        <is>
          <t>RESIDENCIAL PRADA</t>
        </is>
      </c>
      <c r="B464" t="inlineStr">
        <is>
          <t>Etapa 1</t>
        </is>
      </c>
      <c r="C464" t="inlineStr">
        <is>
          <t>Edificio</t>
        </is>
      </c>
      <c r="D464" t="inlineStr">
        <is>
          <t>A</t>
        </is>
      </c>
      <c r="E464" t="inlineStr">
        <is>
          <t>Departamento</t>
        </is>
      </c>
      <c r="F464" t="inlineStr">
        <is>
          <t>304</t>
        </is>
      </c>
      <c r="G464" t="n">
        <v>60.93</v>
      </c>
      <c r="H464" t="n">
        <v>0</v>
      </c>
      <c r="I464" s="39" t="n">
        <v>480000</v>
      </c>
      <c r="J464" s="39" t="n">
        <v>428700</v>
      </c>
      <c r="K464" t="inlineStr">
        <is>
          <t>Edificio</t>
        </is>
      </c>
      <c r="L464" t="inlineStr">
        <is>
          <t>A</t>
        </is>
      </c>
      <c r="M464" t="inlineStr">
        <is>
          <t>Estacionamiento</t>
        </is>
      </c>
      <c r="N464" t="inlineStr">
        <is>
          <t>E 27 - D 21</t>
        </is>
      </c>
      <c r="O464" t="n">
        <v>12.86</v>
      </c>
      <c r="P464" t="n">
        <v>3</v>
      </c>
      <c r="Q464" s="39" t="n">
        <v>57800</v>
      </c>
      <c r="R464" s="39" t="n">
        <v>57800</v>
      </c>
      <c r="Y464" s="39" t="n"/>
      <c r="Z464" s="39" t="n"/>
      <c r="AG464" s="39" t="n"/>
      <c r="AH464" s="39" t="n"/>
      <c r="AI464" t="inlineStr">
        <is>
          <t>Gisella Isabel Martinez Andrade</t>
        </is>
      </c>
      <c r="AJ464" t="inlineStr">
        <is>
          <t>41633863</t>
        </is>
      </c>
      <c r="AK464" t="inlineStr">
        <is>
          <t xml:space="preserve"> Pasaje Manuel Gonzales Prada 1286</t>
        </is>
      </c>
      <c r="AL464" t="n">
        <v>993079451</v>
      </c>
      <c r="AM464" t="inlineStr">
        <is>
          <t>993079451</t>
        </is>
      </c>
      <c r="AN464" t="inlineStr">
        <is>
          <t>gisella.martinez01@gmail.com</t>
        </is>
      </c>
      <c r="AO464" t="inlineStr">
        <is>
          <t>LIMA</t>
        </is>
      </c>
      <c r="AP464" t="inlineStr">
        <is>
          <t>EL AGUSTINO</t>
        </is>
      </c>
      <c r="AQ464" s="75" t="n">
        <v>46191</v>
      </c>
      <c r="AR464" s="75" t="n">
        <v>46191</v>
      </c>
      <c r="AS464" t="inlineStr">
        <is>
          <t>CUOTA INICIAL</t>
        </is>
      </c>
      <c r="AT464" t="n">
        <v>2</v>
      </c>
      <c r="AU464" t="n">
        <v>15650</v>
      </c>
      <c r="AV464" t="n">
        <v>0</v>
      </c>
      <c r="AW464" t="n">
        <v>0</v>
      </c>
      <c r="AX464" s="39" t="n">
        <v>15650</v>
      </c>
      <c r="AY464" s="39" t="n">
        <v>15650</v>
      </c>
      <c r="AZ464" s="39" t="n">
        <v>0</v>
      </c>
      <c r="BA464" t="n">
        <v>0</v>
      </c>
      <c r="BB464" t="inlineStr">
        <is>
          <t>Crédito Hipotecario</t>
        </is>
      </c>
      <c r="BC464" t="inlineStr">
        <is>
          <t>Scotiabank Perú</t>
        </is>
      </c>
      <c r="BD464" t="inlineStr">
        <is>
          <t>000-2768484</t>
        </is>
      </c>
      <c r="BE464" t="inlineStr">
        <is>
          <t>TRANSFERENCIA BANCARIA</t>
        </is>
      </c>
      <c r="BF464" t="inlineStr">
        <is>
          <t>41633863</t>
        </is>
      </c>
      <c r="BG464" t="inlineStr">
        <is>
          <t>06099409</t>
        </is>
      </c>
      <c r="BH464" t="inlineStr">
        <is>
          <t>No</t>
        </is>
      </c>
      <c r="BI464" t="inlineStr">
        <is>
          <t>NO PRECISA</t>
        </is>
      </c>
      <c r="BJ464" t="n">
        <v>4</v>
      </c>
      <c r="BK464" t="inlineStr">
        <is>
          <t>CANCELADO</t>
        </is>
      </c>
      <c r="BV464" t="inlineStr">
        <is>
          <t>Si</t>
        </is>
      </c>
      <c r="BW464" s="76" t="n">
        <v>46191.65902777778</v>
      </c>
      <c r="BX464" t="inlineStr">
        <is>
          <t>Magaly Guevara Perez</t>
        </is>
      </c>
      <c r="BZ464" t="n">
        <v>52</v>
      </c>
      <c r="CA464" t="inlineStr">
        <is>
          <t>14/07/2026 12:36</t>
        </is>
      </c>
      <c r="CB464" t="n">
        <v>0</v>
      </c>
      <c r="CF464" t="inlineStr">
        <is>
          <t>Cobranzas_2026.csv</t>
        </is>
      </c>
      <c r="CG464" t="n">
        <v>2026</v>
      </c>
      <c r="CH464" t="inlineStr">
        <is>
          <t>01/01/2024</t>
        </is>
      </c>
      <c r="CI464" t="inlineStr">
        <is>
          <t>24/08/2031</t>
        </is>
      </c>
    </row>
    <row r="465">
      <c r="A465" t="inlineStr">
        <is>
          <t>RESIDENCIAL PRADA</t>
        </is>
      </c>
      <c r="B465" t="inlineStr">
        <is>
          <t>Etapa 1</t>
        </is>
      </c>
      <c r="C465" t="inlineStr">
        <is>
          <t>Edificio</t>
        </is>
      </c>
      <c r="D465" t="inlineStr">
        <is>
          <t>A</t>
        </is>
      </c>
      <c r="E465" t="inlineStr">
        <is>
          <t>Departamento</t>
        </is>
      </c>
      <c r="F465" t="inlineStr">
        <is>
          <t>304</t>
        </is>
      </c>
      <c r="G465" t="n">
        <v>60.93</v>
      </c>
      <c r="H465" t="n">
        <v>0</v>
      </c>
      <c r="I465" s="39" t="n">
        <v>480000</v>
      </c>
      <c r="J465" s="39" t="n">
        <v>428700</v>
      </c>
      <c r="K465" t="inlineStr">
        <is>
          <t>Edificio</t>
        </is>
      </c>
      <c r="L465" t="inlineStr">
        <is>
          <t>A</t>
        </is>
      </c>
      <c r="M465" t="inlineStr">
        <is>
          <t>Estacionamiento</t>
        </is>
      </c>
      <c r="N465" t="inlineStr">
        <is>
          <t>E 27 - D 21</t>
        </is>
      </c>
      <c r="O465" t="n">
        <v>12.86</v>
      </c>
      <c r="P465" t="n">
        <v>3</v>
      </c>
      <c r="Q465" s="39" t="n">
        <v>57800</v>
      </c>
      <c r="R465" s="39" t="n">
        <v>57800</v>
      </c>
      <c r="Y465" s="39" t="n"/>
      <c r="Z465" s="39" t="n"/>
      <c r="AG465" s="39" t="n"/>
      <c r="AH465" s="39" t="n"/>
      <c r="AI465" t="inlineStr">
        <is>
          <t>Gisella Isabel Martinez Andrade</t>
        </is>
      </c>
      <c r="AJ465" t="inlineStr">
        <is>
          <t>41633863</t>
        </is>
      </c>
      <c r="AK465" t="inlineStr">
        <is>
          <t xml:space="preserve"> Pasaje Manuel Gonzales Prada 1286</t>
        </is>
      </c>
      <c r="AL465" t="n">
        <v>993079451</v>
      </c>
      <c r="AM465" t="inlineStr">
        <is>
          <t>993079451</t>
        </is>
      </c>
      <c r="AN465" t="inlineStr">
        <is>
          <t>gisella.martinez01@gmail.com</t>
        </is>
      </c>
      <c r="AO465" t="inlineStr">
        <is>
          <t>LIMA</t>
        </is>
      </c>
      <c r="AP465" t="inlineStr">
        <is>
          <t>EL AGUSTINO</t>
        </is>
      </c>
      <c r="AQ465" s="75" t="n">
        <v>46218</v>
      </c>
      <c r="AR465" s="75" t="n"/>
      <c r="AS465" t="inlineStr">
        <is>
          <t>CUOTA INICIAL</t>
        </is>
      </c>
      <c r="AT465" t="n">
        <v>3</v>
      </c>
      <c r="AU465" t="n">
        <v>99850</v>
      </c>
      <c r="AV465" t="n">
        <v>0</v>
      </c>
      <c r="AW465" t="n">
        <v>0</v>
      </c>
      <c r="AX465" s="39" t="n">
        <v>99850</v>
      </c>
      <c r="AY465" s="39" t="n">
        <v>0</v>
      </c>
      <c r="AZ465" s="39" t="n">
        <v>99850</v>
      </c>
      <c r="BB465" t="inlineStr">
        <is>
          <t>Crédito Hipotecario</t>
        </is>
      </c>
      <c r="BH465" t="inlineStr">
        <is>
          <t>No</t>
        </is>
      </c>
      <c r="BK465" t="inlineStr">
        <is>
          <t>VENCIDO</t>
        </is>
      </c>
      <c r="BV465" t="inlineStr">
        <is>
          <t>No</t>
        </is>
      </c>
      <c r="BW465" s="76" t="n">
        <v>46191.65902777778</v>
      </c>
      <c r="BX465" t="inlineStr">
        <is>
          <t>Magaly Guevara Perez</t>
        </is>
      </c>
      <c r="BZ465" t="n">
        <v>52</v>
      </c>
      <c r="CB465" t="n">
        <v>0</v>
      </c>
      <c r="CF465" t="inlineStr">
        <is>
          <t>Cobranzas_2026.csv</t>
        </is>
      </c>
      <c r="CG465" t="n">
        <v>2026</v>
      </c>
      <c r="CH465" t="inlineStr">
        <is>
          <t>01/01/2024</t>
        </is>
      </c>
      <c r="CI465" t="inlineStr">
        <is>
          <t>24/08/2031</t>
        </is>
      </c>
    </row>
    <row r="466">
      <c r="A466" t="inlineStr">
        <is>
          <t>RESIDENCIAL PRADA</t>
        </is>
      </c>
      <c r="B466" t="inlineStr">
        <is>
          <t>Etapa 1</t>
        </is>
      </c>
      <c r="C466" t="inlineStr">
        <is>
          <t>Edificio</t>
        </is>
      </c>
      <c r="D466" t="inlineStr">
        <is>
          <t>A</t>
        </is>
      </c>
      <c r="E466" t="inlineStr">
        <is>
          <t>Departamento</t>
        </is>
      </c>
      <c r="F466" t="inlineStr">
        <is>
          <t>304</t>
        </is>
      </c>
      <c r="G466" t="n">
        <v>60.93</v>
      </c>
      <c r="H466" t="n">
        <v>0</v>
      </c>
      <c r="I466" s="39" t="n">
        <v>480000</v>
      </c>
      <c r="J466" s="39" t="n">
        <v>428700</v>
      </c>
      <c r="K466" t="inlineStr">
        <is>
          <t>Edificio</t>
        </is>
      </c>
      <c r="L466" t="inlineStr">
        <is>
          <t>A</t>
        </is>
      </c>
      <c r="M466" t="inlineStr">
        <is>
          <t>Estacionamiento</t>
        </is>
      </c>
      <c r="N466" t="inlineStr">
        <is>
          <t>E 27 - D 21</t>
        </is>
      </c>
      <c r="O466" t="n">
        <v>12.86</v>
      </c>
      <c r="P466" t="n">
        <v>3</v>
      </c>
      <c r="Q466" s="39" t="n">
        <v>57800</v>
      </c>
      <c r="R466" s="39" t="n">
        <v>57800</v>
      </c>
      <c r="Y466" s="39" t="n"/>
      <c r="Z466" s="39" t="n"/>
      <c r="AG466" s="39" t="n"/>
      <c r="AH466" s="39" t="n"/>
      <c r="AI466" t="inlineStr">
        <is>
          <t>Gisella Isabel Martinez Andrade</t>
        </is>
      </c>
      <c r="AJ466" t="inlineStr">
        <is>
          <t>41633863</t>
        </is>
      </c>
      <c r="AK466" t="inlineStr">
        <is>
          <t xml:space="preserve"> Pasaje Manuel Gonzales Prada 1286</t>
        </is>
      </c>
      <c r="AL466" t="n">
        <v>993079451</v>
      </c>
      <c r="AM466" t="inlineStr">
        <is>
          <t>993079451</t>
        </is>
      </c>
      <c r="AN466" t="inlineStr">
        <is>
          <t>gisella.martinez01@gmail.com</t>
        </is>
      </c>
      <c r="AO466" t="inlineStr">
        <is>
          <t>LIMA</t>
        </is>
      </c>
      <c r="AP466" t="inlineStr">
        <is>
          <t>EL AGUSTINO</t>
        </is>
      </c>
      <c r="AQ466" s="75" t="n">
        <v>46254.44652777778</v>
      </c>
      <c r="AR466" s="75" t="n"/>
      <c r="AS466" t="inlineStr">
        <is>
          <t>SALDO FINANCIAR</t>
        </is>
      </c>
      <c r="AT466" t="n">
        <v>1</v>
      </c>
      <c r="AU466" t="n">
        <v>338000</v>
      </c>
      <c r="AV466" t="n">
        <v>0</v>
      </c>
      <c r="AW466" t="n">
        <v>0</v>
      </c>
      <c r="AX466" s="39" t="n">
        <v>338000</v>
      </c>
      <c r="AY466" s="39" t="n">
        <v>0</v>
      </c>
      <c r="AZ466" s="39" t="n">
        <v>338000</v>
      </c>
      <c r="BB466" t="inlineStr">
        <is>
          <t>Crédito Hipotecario</t>
        </is>
      </c>
      <c r="BH466" t="inlineStr">
        <is>
          <t>No</t>
        </is>
      </c>
      <c r="BK466" t="inlineStr">
        <is>
          <t>VENCIDO</t>
        </is>
      </c>
      <c r="BV466" t="inlineStr">
        <is>
          <t>No</t>
        </is>
      </c>
      <c r="BW466" s="76" t="n">
        <v>46191.65902777778</v>
      </c>
      <c r="BX466" t="inlineStr">
        <is>
          <t>Magaly Guevara Perez</t>
        </is>
      </c>
      <c r="BZ466" t="n">
        <v>52</v>
      </c>
      <c r="CB466" t="n">
        <v>0</v>
      </c>
      <c r="CF466" t="inlineStr">
        <is>
          <t>Cobranzas_2026.csv</t>
        </is>
      </c>
      <c r="CG466" t="n">
        <v>2026</v>
      </c>
      <c r="CH466" t="inlineStr">
        <is>
          <t>01/01/2024</t>
        </is>
      </c>
      <c r="CI466" t="inlineStr">
        <is>
          <t>24/08/2031</t>
        </is>
      </c>
    </row>
    <row r="467">
      <c r="A467" t="inlineStr">
        <is>
          <t>RESIDENCIAL PRADA</t>
        </is>
      </c>
      <c r="B467" t="inlineStr">
        <is>
          <t>Etapa 1</t>
        </is>
      </c>
      <c r="C467" t="inlineStr">
        <is>
          <t>Edificio</t>
        </is>
      </c>
      <c r="D467" t="inlineStr">
        <is>
          <t>A</t>
        </is>
      </c>
      <c r="E467" t="inlineStr">
        <is>
          <t>Departamento</t>
        </is>
      </c>
      <c r="F467" t="inlineStr">
        <is>
          <t>401</t>
        </is>
      </c>
      <c r="G467" t="n">
        <v>84</v>
      </c>
      <c r="H467" t="n">
        <v>0</v>
      </c>
      <c r="I467" s="39" t="n">
        <v>630000</v>
      </c>
      <c r="J467" s="39" t="n">
        <v>630000</v>
      </c>
      <c r="Q467" s="39" t="n"/>
      <c r="R467" s="39" t="n"/>
      <c r="Y467" s="39" t="n"/>
      <c r="Z467" s="39" t="n"/>
      <c r="AG467" s="39" t="n"/>
      <c r="AH467" s="39" t="n"/>
      <c r="AI467" t="inlineStr">
        <is>
          <t>Gladys Marta Moreano Bellido</t>
        </is>
      </c>
      <c r="AJ467" t="inlineStr">
        <is>
          <t>23951642</t>
        </is>
      </c>
      <c r="AK467" t="inlineStr">
        <is>
          <t>General Sta. Cruz 416 interior 311</t>
        </is>
      </c>
      <c r="AL467" t="n">
        <v>0</v>
      </c>
      <c r="AM467" t="inlineStr">
        <is>
          <t>944421327</t>
        </is>
      </c>
      <c r="AN467" t="inlineStr">
        <is>
          <t>cuscoya@gmail.com</t>
        </is>
      </c>
      <c r="AO467" t="inlineStr">
        <is>
          <t>LIMA</t>
        </is>
      </c>
      <c r="AP467" t="inlineStr">
        <is>
          <t>JESUS MARIA</t>
        </is>
      </c>
      <c r="AQ467" s="75" t="n">
        <v>46185</v>
      </c>
      <c r="AR467" s="75" t="n">
        <v>46017</v>
      </c>
      <c r="AS467" t="inlineStr">
        <is>
          <t>SALDO FINANCIAR</t>
        </is>
      </c>
      <c r="AT467" t="n">
        <v>5</v>
      </c>
      <c r="AU467" t="n">
        <v>0</v>
      </c>
      <c r="AV467" t="n">
        <v>0</v>
      </c>
      <c r="AW467" t="n">
        <v>0</v>
      </c>
      <c r="AX467" s="39" t="n">
        <v>73333.33</v>
      </c>
      <c r="AY467" s="39" t="n">
        <v>11666.68</v>
      </c>
      <c r="AZ467" s="39" t="n">
        <v>0</v>
      </c>
      <c r="BA467" t="n">
        <v>0</v>
      </c>
      <c r="BB467" t="inlineStr">
        <is>
          <t>Crédito Directo</t>
        </is>
      </c>
      <c r="BC467" t="inlineStr">
        <is>
          <t>Scotiabank Perú</t>
        </is>
      </c>
      <c r="BD467" t="inlineStr">
        <is>
          <t>000-2768484</t>
        </is>
      </c>
      <c r="BE467" t="inlineStr">
        <is>
          <t>TRANSFERENCIA BANCARIA</t>
        </is>
      </c>
      <c r="BG467" t="inlineStr">
        <is>
          <t>01346005</t>
        </is>
      </c>
      <c r="BH467" t="inlineStr">
        <is>
          <t>No</t>
        </is>
      </c>
      <c r="BJ467" t="n">
        <v>4</v>
      </c>
      <c r="BK467" t="inlineStr">
        <is>
          <t>CANCELADO</t>
        </is>
      </c>
      <c r="BV467" t="inlineStr">
        <is>
          <t>Si</t>
        </is>
      </c>
      <c r="BW467" s="76" t="n">
        <v>45773.61388888889</v>
      </c>
      <c r="BX467" t="inlineStr">
        <is>
          <t>Kenny Salazar S</t>
        </is>
      </c>
      <c r="BZ467" t="n">
        <v>35</v>
      </c>
      <c r="CA467" t="inlineStr">
        <is>
          <t>03/07/2026 11:57</t>
        </is>
      </c>
      <c r="CB467" t="n">
        <v>0</v>
      </c>
      <c r="CF467" t="inlineStr">
        <is>
          <t>Cobranzas_2026.csv</t>
        </is>
      </c>
      <c r="CG467" t="n">
        <v>2026</v>
      </c>
      <c r="CH467" t="inlineStr">
        <is>
          <t>01/01/2024</t>
        </is>
      </c>
      <c r="CI467" t="inlineStr">
        <is>
          <t>24/08/2031</t>
        </is>
      </c>
    </row>
    <row r="468">
      <c r="A468" t="inlineStr">
        <is>
          <t>RESIDENCIAL PRADA</t>
        </is>
      </c>
      <c r="B468" t="inlineStr">
        <is>
          <t>Etapa 1</t>
        </is>
      </c>
      <c r="C468" t="inlineStr">
        <is>
          <t>Edificio</t>
        </is>
      </c>
      <c r="D468" t="inlineStr">
        <is>
          <t>A</t>
        </is>
      </c>
      <c r="E468" t="inlineStr">
        <is>
          <t>Departamento</t>
        </is>
      </c>
      <c r="F468" t="inlineStr">
        <is>
          <t>401</t>
        </is>
      </c>
      <c r="G468" t="n">
        <v>84</v>
      </c>
      <c r="H468" t="n">
        <v>0</v>
      </c>
      <c r="I468" s="39" t="n">
        <v>630000</v>
      </c>
      <c r="J468" s="39" t="n">
        <v>630000</v>
      </c>
      <c r="Q468" s="39" t="n"/>
      <c r="R468" s="39" t="n"/>
      <c r="Y468" s="39" t="n"/>
      <c r="Z468" s="39" t="n"/>
      <c r="AG468" s="39" t="n"/>
      <c r="AH468" s="39" t="n"/>
      <c r="AI468" t="inlineStr">
        <is>
          <t>Gladys Marta Moreano Bellido</t>
        </is>
      </c>
      <c r="AJ468" t="inlineStr">
        <is>
          <t>23951642</t>
        </is>
      </c>
      <c r="AK468" t="inlineStr">
        <is>
          <t>General Sta. Cruz 416 interior 311</t>
        </is>
      </c>
      <c r="AL468" t="n">
        <v>0</v>
      </c>
      <c r="AM468" t="inlineStr">
        <is>
          <t>944421327</t>
        </is>
      </c>
      <c r="AN468" t="inlineStr">
        <is>
          <t>cuscoya@gmail.com</t>
        </is>
      </c>
      <c r="AO468" t="inlineStr">
        <is>
          <t>LIMA</t>
        </is>
      </c>
      <c r="AP468" t="inlineStr">
        <is>
          <t>JESUS MARIA</t>
        </is>
      </c>
      <c r="AQ468" s="75" t="n">
        <v>46185</v>
      </c>
      <c r="AR468" s="75" t="n">
        <v>46185</v>
      </c>
      <c r="AS468" t="inlineStr">
        <is>
          <t>SALDO FINANCIAR</t>
        </is>
      </c>
      <c r="AT468" t="n">
        <v>5</v>
      </c>
      <c r="AU468" t="n">
        <v>0</v>
      </c>
      <c r="AV468" t="n">
        <v>0</v>
      </c>
      <c r="AW468" t="n">
        <v>0</v>
      </c>
      <c r="AX468" s="39" t="n">
        <v>0</v>
      </c>
      <c r="AY468" s="39" t="n">
        <v>50000</v>
      </c>
      <c r="AZ468" s="39" t="n">
        <v>0</v>
      </c>
      <c r="BA468" t="n">
        <v>0</v>
      </c>
      <c r="BB468" t="inlineStr">
        <is>
          <t>Crédito Directo</t>
        </is>
      </c>
      <c r="BC468" t="inlineStr">
        <is>
          <t>Scotiabank Perú</t>
        </is>
      </c>
      <c r="BD468" t="inlineStr">
        <is>
          <t>000-2768484</t>
        </is>
      </c>
      <c r="BE468" t="inlineStr">
        <is>
          <t>TRANSFERENCIA BANCARIA</t>
        </is>
      </c>
      <c r="BG468" t="inlineStr">
        <is>
          <t>005509418</t>
        </is>
      </c>
      <c r="BH468" t="inlineStr">
        <is>
          <t>No</t>
        </is>
      </c>
      <c r="BJ468" t="n">
        <v>4</v>
      </c>
      <c r="BK468" t="inlineStr">
        <is>
          <t>CANCELADO</t>
        </is>
      </c>
      <c r="BV468" t="inlineStr">
        <is>
          <t>Si</t>
        </is>
      </c>
      <c r="BW468" s="76" t="n">
        <v>45773.61388888889</v>
      </c>
      <c r="BX468" t="inlineStr">
        <is>
          <t>Kenny Salazar S</t>
        </is>
      </c>
      <c r="BZ468" t="n">
        <v>35</v>
      </c>
      <c r="CA468" t="inlineStr">
        <is>
          <t>03/07/2026 11:57</t>
        </is>
      </c>
      <c r="CB468" t="n">
        <v>0</v>
      </c>
      <c r="CF468" t="inlineStr">
        <is>
          <t>Cobranzas_2026.csv</t>
        </is>
      </c>
      <c r="CG468" t="n">
        <v>2026</v>
      </c>
      <c r="CH468" t="inlineStr">
        <is>
          <t>01/01/2024</t>
        </is>
      </c>
      <c r="CI468" t="inlineStr">
        <is>
          <t>24/08/2031</t>
        </is>
      </c>
    </row>
    <row r="469">
      <c r="A469" t="inlineStr">
        <is>
          <t>RESIDENCIAL PRADA</t>
        </is>
      </c>
      <c r="B469" t="inlineStr">
        <is>
          <t>Etapa 1</t>
        </is>
      </c>
      <c r="C469" t="inlineStr">
        <is>
          <t>Edificio</t>
        </is>
      </c>
      <c r="D469" t="inlineStr">
        <is>
          <t>A</t>
        </is>
      </c>
      <c r="E469" t="inlineStr">
        <is>
          <t>Departamento</t>
        </is>
      </c>
      <c r="F469" t="inlineStr">
        <is>
          <t>401</t>
        </is>
      </c>
      <c r="G469" t="n">
        <v>84</v>
      </c>
      <c r="H469" t="n">
        <v>0</v>
      </c>
      <c r="I469" s="39" t="n">
        <v>630000</v>
      </c>
      <c r="J469" s="39" t="n">
        <v>630000</v>
      </c>
      <c r="Q469" s="39" t="n"/>
      <c r="R469" s="39" t="n"/>
      <c r="Y469" s="39" t="n"/>
      <c r="Z469" s="39" t="n"/>
      <c r="AG469" s="39" t="n"/>
      <c r="AH469" s="39" t="n"/>
      <c r="AI469" t="inlineStr">
        <is>
          <t>Gladys Marta Moreano Bellido</t>
        </is>
      </c>
      <c r="AJ469" t="inlineStr">
        <is>
          <t>23951642</t>
        </is>
      </c>
      <c r="AK469" t="inlineStr">
        <is>
          <t>General Sta. Cruz 416 interior 311</t>
        </is>
      </c>
      <c r="AL469" t="n">
        <v>0</v>
      </c>
      <c r="AM469" t="inlineStr">
        <is>
          <t>944421327</t>
        </is>
      </c>
      <c r="AN469" t="inlineStr">
        <is>
          <t>cuscoya@gmail.com</t>
        </is>
      </c>
      <c r="AO469" t="inlineStr">
        <is>
          <t>LIMA</t>
        </is>
      </c>
      <c r="AP469" t="inlineStr">
        <is>
          <t>JESUS MARIA</t>
        </is>
      </c>
      <c r="AQ469" s="75" t="n">
        <v>46185</v>
      </c>
      <c r="AR469" s="75" t="n">
        <v>46197</v>
      </c>
      <c r="AS469" t="inlineStr">
        <is>
          <t>SALDO FINANCIAR</t>
        </is>
      </c>
      <c r="AT469" t="n">
        <v>5</v>
      </c>
      <c r="AU469" t="n">
        <v>73333.33</v>
      </c>
      <c r="AV469" t="n">
        <v>0</v>
      </c>
      <c r="AW469" t="n">
        <v>0</v>
      </c>
      <c r="AX469" s="39" t="n">
        <v>0</v>
      </c>
      <c r="AY469" s="39" t="n">
        <v>11666.65</v>
      </c>
      <c r="AZ469" s="39" t="n">
        <v>0</v>
      </c>
      <c r="BA469" t="n">
        <v>0</v>
      </c>
      <c r="BB469" t="inlineStr">
        <is>
          <t>Crédito Directo</t>
        </is>
      </c>
      <c r="BC469" t="inlineStr">
        <is>
          <t>Scotiabank Perú</t>
        </is>
      </c>
      <c r="BD469" t="inlineStr">
        <is>
          <t>000-2768484</t>
        </is>
      </c>
      <c r="BE469" t="inlineStr">
        <is>
          <t>TRANSFERENCIA BANCARIA</t>
        </is>
      </c>
      <c r="BG469" t="inlineStr">
        <is>
          <t>0142288</t>
        </is>
      </c>
      <c r="BH469" t="inlineStr">
        <is>
          <t>No</t>
        </is>
      </c>
      <c r="BJ469" t="n">
        <v>4</v>
      </c>
      <c r="BK469" t="inlineStr">
        <is>
          <t>CANCELADO</t>
        </is>
      </c>
      <c r="BV469" t="inlineStr">
        <is>
          <t>Si</t>
        </is>
      </c>
      <c r="BW469" s="76" t="n">
        <v>45773.61388888889</v>
      </c>
      <c r="BX469" t="inlineStr">
        <is>
          <t>Kenny Salazar S</t>
        </is>
      </c>
      <c r="BZ469" t="n">
        <v>35</v>
      </c>
      <c r="CA469" t="inlineStr">
        <is>
          <t>03/07/2026 11:59</t>
        </is>
      </c>
      <c r="CB469" t="n">
        <v>0</v>
      </c>
      <c r="CF469" t="inlineStr">
        <is>
          <t>Cobranzas_2026.csv</t>
        </is>
      </c>
      <c r="CG469" t="n">
        <v>2026</v>
      </c>
      <c r="CH469" t="inlineStr">
        <is>
          <t>01/01/2024</t>
        </is>
      </c>
      <c r="CI469" t="inlineStr">
        <is>
          <t>24/08/2031</t>
        </is>
      </c>
    </row>
    <row r="470">
      <c r="A470" t="inlineStr">
        <is>
          <t>RESIDENCIAL PRADA</t>
        </is>
      </c>
      <c r="B470" t="inlineStr">
        <is>
          <t>Etapa 1</t>
        </is>
      </c>
      <c r="C470" t="inlineStr">
        <is>
          <t>Edificio</t>
        </is>
      </c>
      <c r="D470" t="inlineStr">
        <is>
          <t>A</t>
        </is>
      </c>
      <c r="E470" t="inlineStr">
        <is>
          <t>Departamento</t>
        </is>
      </c>
      <c r="F470" t="inlineStr">
        <is>
          <t>401</t>
        </is>
      </c>
      <c r="G470" t="n">
        <v>84</v>
      </c>
      <c r="H470" t="n">
        <v>0</v>
      </c>
      <c r="I470" s="39" t="n">
        <v>630000</v>
      </c>
      <c r="J470" s="39" t="n">
        <v>630000</v>
      </c>
      <c r="Q470" s="39" t="n"/>
      <c r="R470" s="39" t="n"/>
      <c r="Y470" s="39" t="n"/>
      <c r="Z470" s="39" t="n"/>
      <c r="AG470" s="39" t="n"/>
      <c r="AH470" s="39" t="n"/>
      <c r="AI470" t="inlineStr">
        <is>
          <t>Gladys Marta Moreano Bellido</t>
        </is>
      </c>
      <c r="AJ470" t="inlineStr">
        <is>
          <t>23951642</t>
        </is>
      </c>
      <c r="AK470" t="inlineStr">
        <is>
          <t>General Sta. Cruz 416 interior 311</t>
        </is>
      </c>
      <c r="AL470" t="n">
        <v>0</v>
      </c>
      <c r="AM470" t="inlineStr">
        <is>
          <t>944421327</t>
        </is>
      </c>
      <c r="AN470" t="inlineStr">
        <is>
          <t>cuscoya@gmail.com</t>
        </is>
      </c>
      <c r="AO470" t="inlineStr">
        <is>
          <t>LIMA</t>
        </is>
      </c>
      <c r="AP470" t="inlineStr">
        <is>
          <t>JESUS MARIA</t>
        </is>
      </c>
      <c r="AQ470" s="75" t="n">
        <v>46197</v>
      </c>
      <c r="AR470" s="75" t="n">
        <v>46197</v>
      </c>
      <c r="AS470" t="inlineStr">
        <is>
          <t>SALDO FINANCIAR</t>
        </is>
      </c>
      <c r="AT470" t="n">
        <v>6</v>
      </c>
      <c r="AU470" t="n">
        <v>73333.35000000001</v>
      </c>
      <c r="AV470" t="n">
        <v>0</v>
      </c>
      <c r="AW470" t="n">
        <v>0</v>
      </c>
      <c r="AX470" s="39" t="n">
        <v>73333.35000000001</v>
      </c>
      <c r="AY470" s="39" t="n">
        <v>73333.35000000001</v>
      </c>
      <c r="AZ470" s="39" t="n">
        <v>0</v>
      </c>
      <c r="BA470" t="n">
        <v>0</v>
      </c>
      <c r="BB470" t="inlineStr">
        <is>
          <t>Crédito Directo</t>
        </is>
      </c>
      <c r="BC470" t="inlineStr">
        <is>
          <t>Scotiabank Perú</t>
        </is>
      </c>
      <c r="BD470" t="inlineStr">
        <is>
          <t>000-2768484</t>
        </is>
      </c>
      <c r="BE470" t="inlineStr">
        <is>
          <t>TRANSFERENCIA BANCARIA</t>
        </is>
      </c>
      <c r="BG470" t="inlineStr">
        <is>
          <t>0142288</t>
        </is>
      </c>
      <c r="BH470" t="inlineStr">
        <is>
          <t>No</t>
        </is>
      </c>
      <c r="BJ470" t="n">
        <v>4</v>
      </c>
      <c r="BK470" t="inlineStr">
        <is>
          <t>CANCELADO</t>
        </is>
      </c>
      <c r="BV470" t="inlineStr">
        <is>
          <t>Si</t>
        </is>
      </c>
      <c r="BW470" s="76" t="n">
        <v>45773.61388888889</v>
      </c>
      <c r="BX470" t="inlineStr">
        <is>
          <t>Kenny Salazar S</t>
        </is>
      </c>
      <c r="BZ470" t="n">
        <v>35</v>
      </c>
      <c r="CA470" t="inlineStr">
        <is>
          <t>03/07/2026 11:59</t>
        </is>
      </c>
      <c r="CB470" t="n">
        <v>0</v>
      </c>
      <c r="CF470" t="inlineStr">
        <is>
          <t>Cobranzas_2026.csv</t>
        </is>
      </c>
      <c r="CG470" t="n">
        <v>2026</v>
      </c>
      <c r="CH470" t="inlineStr">
        <is>
          <t>01/01/2024</t>
        </is>
      </c>
      <c r="CI470" t="inlineStr">
        <is>
          <t>24/08/2031</t>
        </is>
      </c>
    </row>
    <row r="471">
      <c r="A471" t="inlineStr">
        <is>
          <t>RESIDENCIAL PRADA</t>
        </is>
      </c>
      <c r="B471" t="inlineStr">
        <is>
          <t>Etapa 1</t>
        </is>
      </c>
      <c r="C471" t="inlineStr">
        <is>
          <t>Edificio</t>
        </is>
      </c>
      <c r="D471" t="inlineStr">
        <is>
          <t>A</t>
        </is>
      </c>
      <c r="E471" t="inlineStr">
        <is>
          <t>Estacionamiento</t>
        </is>
      </c>
      <c r="F471" t="inlineStr">
        <is>
          <t>E 16</t>
        </is>
      </c>
      <c r="G471" t="n">
        <v>13.27</v>
      </c>
      <c r="H471" t="n">
        <v>0</v>
      </c>
      <c r="I471" s="39" t="n">
        <v>50500</v>
      </c>
      <c r="J471" s="39" t="n">
        <v>50500</v>
      </c>
      <c r="Q471" s="39" t="n"/>
      <c r="R471" s="39" t="n"/>
      <c r="Y471" s="39" t="n"/>
      <c r="Z471" s="39" t="n"/>
      <c r="AG471" s="39" t="n"/>
      <c r="AH471" s="39" t="n"/>
      <c r="AI471" t="inlineStr">
        <is>
          <t>Gladys Marta Moreano Bellido</t>
        </is>
      </c>
      <c r="AJ471" t="inlineStr">
        <is>
          <t>23951642</t>
        </is>
      </c>
      <c r="AK471" t="inlineStr">
        <is>
          <t>General Sta. Cruz 416 interior 311</t>
        </is>
      </c>
      <c r="AL471" t="n">
        <v>0</v>
      </c>
      <c r="AM471" t="inlineStr">
        <is>
          <t>944421327</t>
        </is>
      </c>
      <c r="AN471" t="inlineStr">
        <is>
          <t>cuscoya@gmail.com</t>
        </is>
      </c>
      <c r="AO471" t="inlineStr">
        <is>
          <t>LIMA</t>
        </is>
      </c>
      <c r="AP471" t="inlineStr">
        <is>
          <t>JESUS MARIA</t>
        </is>
      </c>
      <c r="AQ471" s="75" t="n">
        <v>46262</v>
      </c>
      <c r="AR471" s="75" t="n"/>
      <c r="AS471" t="inlineStr">
        <is>
          <t>SALDO FINANCIAR</t>
        </is>
      </c>
      <c r="AT471" t="n">
        <v>1</v>
      </c>
      <c r="AU471" t="n">
        <v>42500</v>
      </c>
      <c r="AV471" t="n">
        <v>0</v>
      </c>
      <c r="AW471" t="n">
        <v>0</v>
      </c>
      <c r="AX471" s="39" t="n">
        <v>42500</v>
      </c>
      <c r="AY471" s="39" t="n">
        <v>0</v>
      </c>
      <c r="AZ471" s="39" t="n">
        <v>42500</v>
      </c>
      <c r="BB471" t="inlineStr">
        <is>
          <t>Crédito Directo</t>
        </is>
      </c>
      <c r="BH471" t="inlineStr">
        <is>
          <t>No</t>
        </is>
      </c>
      <c r="BK471" t="inlineStr">
        <is>
          <t>PENDIENTE</t>
        </is>
      </c>
      <c r="BV471" t="inlineStr">
        <is>
          <t>No</t>
        </is>
      </c>
      <c r="BW471" s="76" t="n">
        <v>46218.65555555555</v>
      </c>
      <c r="BX471" t="inlineStr">
        <is>
          <t>Magaly Guevara Perez</t>
        </is>
      </c>
      <c r="BZ471" t="n">
        <v>58</v>
      </c>
      <c r="CB471" t="n">
        <v>0</v>
      </c>
      <c r="CF471" t="inlineStr">
        <is>
          <t>Cobranzas_2026.csv</t>
        </is>
      </c>
      <c r="CG471" t="n">
        <v>2026</v>
      </c>
      <c r="CH471" t="inlineStr">
        <is>
          <t>01/01/2024</t>
        </is>
      </c>
      <c r="CI471" t="inlineStr">
        <is>
          <t>24/08/2031</t>
        </is>
      </c>
    </row>
    <row r="472">
      <c r="A472" t="inlineStr">
        <is>
          <t>RESIDENCIAL BEYOND</t>
        </is>
      </c>
      <c r="B472" t="inlineStr">
        <is>
          <t>Etapa 1</t>
        </is>
      </c>
      <c r="C472" t="inlineStr">
        <is>
          <t>Edificio</t>
        </is>
      </c>
      <c r="D472" t="inlineStr">
        <is>
          <t>A</t>
        </is>
      </c>
      <c r="E472" t="inlineStr">
        <is>
          <t>Departamento</t>
        </is>
      </c>
      <c r="F472" t="inlineStr">
        <is>
          <t>805</t>
        </is>
      </c>
      <c r="G472" t="n">
        <v>72</v>
      </c>
      <c r="H472" t="n">
        <v>0</v>
      </c>
      <c r="I472" s="39" t="n">
        <v>532100</v>
      </c>
      <c r="J472" s="39" t="n">
        <v>532100</v>
      </c>
      <c r="Q472" s="39" t="n"/>
      <c r="R472" s="39" t="n"/>
      <c r="Y472" s="39" t="n"/>
      <c r="Z472" s="39" t="n"/>
      <c r="AG472" s="39" t="n"/>
      <c r="AH472" s="39" t="n"/>
      <c r="AI472" t="inlineStr">
        <is>
          <t>Harry Anderson Yance Ruiz</t>
        </is>
      </c>
      <c r="AJ472" t="inlineStr">
        <is>
          <t>10582963</t>
        </is>
      </c>
      <c r="AK472" t="inlineStr">
        <is>
          <t xml:space="preserve">Calle Las Pajillas 2329 - Urb. Mangomarca </t>
        </is>
      </c>
      <c r="AL472" t="n">
        <v>0</v>
      </c>
      <c r="AM472" t="inlineStr">
        <is>
          <t>948519070</t>
        </is>
      </c>
      <c r="AN472" t="inlineStr">
        <is>
          <t>harry_yance@hotmail.com</t>
        </is>
      </c>
      <c r="AO472" t="inlineStr">
        <is>
          <t>LIMA</t>
        </is>
      </c>
      <c r="AP472" t="inlineStr">
        <is>
          <t>SAN JUAN DE LURIGANCHO</t>
        </is>
      </c>
      <c r="AQ472" s="75" t="n">
        <v>46039</v>
      </c>
      <c r="AR472" s="75" t="n">
        <v>46039</v>
      </c>
      <c r="AS472" t="inlineStr">
        <is>
          <t>CUOTA INICIAL</t>
        </is>
      </c>
      <c r="AT472" t="n">
        <v>1</v>
      </c>
      <c r="AU472" t="n">
        <v>30000</v>
      </c>
      <c r="AV472" t="n">
        <v>0</v>
      </c>
      <c r="AW472" t="n">
        <v>0</v>
      </c>
      <c r="AX472" s="39" t="n">
        <v>30000</v>
      </c>
      <c r="AY472" s="39" t="n">
        <v>30000</v>
      </c>
      <c r="AZ472" s="39" t="n">
        <v>0</v>
      </c>
      <c r="BA472" t="n">
        <v>0</v>
      </c>
      <c r="BB472" t="inlineStr">
        <is>
          <t>Crédito Hipotecario</t>
        </is>
      </c>
      <c r="BC472" t="inlineStr">
        <is>
          <t>Banco de Credito del Perú</t>
        </is>
      </c>
      <c r="BD472" t="inlineStr">
        <is>
          <t>194-7325779-0-65</t>
        </is>
      </c>
      <c r="BE472" t="inlineStr">
        <is>
          <t>TRANSFERENCIA BANCARIA</t>
        </is>
      </c>
      <c r="BG472" t="inlineStr">
        <is>
          <t>06062341</t>
        </is>
      </c>
      <c r="BH472" t="inlineStr">
        <is>
          <t>No</t>
        </is>
      </c>
      <c r="BJ472" t="n">
        <v>4</v>
      </c>
      <c r="BK472" t="inlineStr">
        <is>
          <t>CANCELADO</t>
        </is>
      </c>
      <c r="BV472" t="inlineStr">
        <is>
          <t>Si</t>
        </is>
      </c>
      <c r="BW472" s="76" t="n">
        <v>46039.41944444444</v>
      </c>
      <c r="BX472" t="inlineStr">
        <is>
          <t>Carla Michue M</t>
        </is>
      </c>
      <c r="BZ472" t="n">
        <v>17</v>
      </c>
      <c r="CA472" t="inlineStr">
        <is>
          <t>17/08/2026 12:27</t>
        </is>
      </c>
      <c r="CB472" t="n">
        <v>0</v>
      </c>
      <c r="CF472" t="inlineStr">
        <is>
          <t>Cobranzas_2026.csv</t>
        </is>
      </c>
      <c r="CG472" t="n">
        <v>2026</v>
      </c>
      <c r="CH472" t="inlineStr">
        <is>
          <t>01/01/2024</t>
        </is>
      </c>
      <c r="CI472" t="inlineStr">
        <is>
          <t>24/08/2031</t>
        </is>
      </c>
    </row>
    <row r="473">
      <c r="A473" t="inlineStr">
        <is>
          <t>RESIDENCIAL BEYOND</t>
        </is>
      </c>
      <c r="B473" t="inlineStr">
        <is>
          <t>Etapa 1</t>
        </is>
      </c>
      <c r="C473" t="inlineStr">
        <is>
          <t>Edificio</t>
        </is>
      </c>
      <c r="D473" t="inlineStr">
        <is>
          <t>A</t>
        </is>
      </c>
      <c r="E473" t="inlineStr">
        <is>
          <t>Departamento</t>
        </is>
      </c>
      <c r="F473" t="inlineStr">
        <is>
          <t>805</t>
        </is>
      </c>
      <c r="G473" t="n">
        <v>72</v>
      </c>
      <c r="H473" t="n">
        <v>0</v>
      </c>
      <c r="I473" s="39" t="n">
        <v>532100</v>
      </c>
      <c r="J473" s="39" t="n">
        <v>532100</v>
      </c>
      <c r="Q473" s="39" t="n"/>
      <c r="R473" s="39" t="n"/>
      <c r="Y473" s="39" t="n"/>
      <c r="Z473" s="39" t="n"/>
      <c r="AG473" s="39" t="n"/>
      <c r="AH473" s="39" t="n"/>
      <c r="AI473" t="inlineStr">
        <is>
          <t>Harry Anderson Yance Ruiz</t>
        </is>
      </c>
      <c r="AJ473" t="inlineStr">
        <is>
          <t>10582963</t>
        </is>
      </c>
      <c r="AK473" t="inlineStr">
        <is>
          <t xml:space="preserve">Calle Las Pajillas 2329 - Urb. Mangomarca </t>
        </is>
      </c>
      <c r="AL473" t="n">
        <v>0</v>
      </c>
      <c r="AM473" t="inlineStr">
        <is>
          <t>948519070</t>
        </is>
      </c>
      <c r="AN473" t="inlineStr">
        <is>
          <t>harry_yance@hotmail.com</t>
        </is>
      </c>
      <c r="AO473" t="inlineStr">
        <is>
          <t>LIMA</t>
        </is>
      </c>
      <c r="AP473" t="inlineStr">
        <is>
          <t>SAN JUAN DE LURIGANCHO</t>
        </is>
      </c>
      <c r="AQ473" s="75" t="n">
        <v>46039</v>
      </c>
      <c r="AR473" s="75" t="n">
        <v>46039</v>
      </c>
      <c r="AS473" t="inlineStr">
        <is>
          <t>CUOTA INICIAL</t>
        </is>
      </c>
      <c r="AT473" t="n">
        <v>2</v>
      </c>
      <c r="AU473" t="n">
        <v>20210</v>
      </c>
      <c r="AV473" t="n">
        <v>0</v>
      </c>
      <c r="AW473" t="n">
        <v>0</v>
      </c>
      <c r="AX473" s="39" t="n">
        <v>20210</v>
      </c>
      <c r="AY473" s="39" t="n">
        <v>20210</v>
      </c>
      <c r="AZ473" s="39" t="n">
        <v>0</v>
      </c>
      <c r="BA473" t="n">
        <v>0</v>
      </c>
      <c r="BB473" t="inlineStr">
        <is>
          <t>Crédito Hipotecario</t>
        </is>
      </c>
      <c r="BC473" t="inlineStr">
        <is>
          <t>Banco de Credito del Perú</t>
        </is>
      </c>
      <c r="BD473" t="inlineStr">
        <is>
          <t>194-7325779-0-65</t>
        </is>
      </c>
      <c r="BE473" t="inlineStr">
        <is>
          <t>TRANSFERENCIA BANCARIA</t>
        </is>
      </c>
      <c r="BG473" t="inlineStr">
        <is>
          <t>06063406</t>
        </is>
      </c>
      <c r="BH473" t="inlineStr">
        <is>
          <t>No</t>
        </is>
      </c>
      <c r="BJ473" t="n">
        <v>4</v>
      </c>
      <c r="BK473" t="inlineStr">
        <is>
          <t>CANCELADO</t>
        </is>
      </c>
      <c r="BV473" t="inlineStr">
        <is>
          <t>Si</t>
        </is>
      </c>
      <c r="BW473" s="76" t="n">
        <v>46039.41944444444</v>
      </c>
      <c r="BX473" t="inlineStr">
        <is>
          <t>Carla Michue M</t>
        </is>
      </c>
      <c r="BZ473" t="n">
        <v>17</v>
      </c>
      <c r="CA473" t="inlineStr">
        <is>
          <t>17/08/2026 12:28</t>
        </is>
      </c>
      <c r="CB473" t="n">
        <v>0</v>
      </c>
      <c r="CF473" t="inlineStr">
        <is>
          <t>Cobranzas_2026.csv</t>
        </is>
      </c>
      <c r="CG473" t="n">
        <v>2026</v>
      </c>
      <c r="CH473" t="inlineStr">
        <is>
          <t>01/01/2024</t>
        </is>
      </c>
      <c r="CI473" t="inlineStr">
        <is>
          <t>24/08/2031</t>
        </is>
      </c>
    </row>
    <row r="474">
      <c r="A474" t="inlineStr">
        <is>
          <t>RESIDENCIAL BEYOND</t>
        </is>
      </c>
      <c r="B474" t="inlineStr">
        <is>
          <t>Etapa 1</t>
        </is>
      </c>
      <c r="C474" t="inlineStr">
        <is>
          <t>Edificio</t>
        </is>
      </c>
      <c r="D474" t="inlineStr">
        <is>
          <t>A</t>
        </is>
      </c>
      <c r="E474" t="inlineStr">
        <is>
          <t>Departamento</t>
        </is>
      </c>
      <c r="F474" t="inlineStr">
        <is>
          <t>805</t>
        </is>
      </c>
      <c r="G474" t="n">
        <v>72</v>
      </c>
      <c r="H474" t="n">
        <v>0</v>
      </c>
      <c r="I474" s="39" t="n">
        <v>532100</v>
      </c>
      <c r="J474" s="39" t="n">
        <v>532100</v>
      </c>
      <c r="Q474" s="39" t="n"/>
      <c r="R474" s="39" t="n"/>
      <c r="Y474" s="39" t="n"/>
      <c r="Z474" s="39" t="n"/>
      <c r="AG474" s="39" t="n"/>
      <c r="AH474" s="39" t="n"/>
      <c r="AI474" t="inlineStr">
        <is>
          <t>Harry Anderson Yance Ruiz</t>
        </is>
      </c>
      <c r="AJ474" t="inlineStr">
        <is>
          <t>10582963</t>
        </is>
      </c>
      <c r="AK474" t="inlineStr">
        <is>
          <t xml:space="preserve">Calle Las Pajillas 2329 - Urb. Mangomarca </t>
        </is>
      </c>
      <c r="AL474" t="n">
        <v>0</v>
      </c>
      <c r="AM474" t="inlineStr">
        <is>
          <t>948519070</t>
        </is>
      </c>
      <c r="AN474" t="inlineStr">
        <is>
          <t>harry_yance@hotmail.com</t>
        </is>
      </c>
      <c r="AO474" t="inlineStr">
        <is>
          <t>LIMA</t>
        </is>
      </c>
      <c r="AP474" t="inlineStr">
        <is>
          <t>SAN JUAN DE LURIGANCHO</t>
        </is>
      </c>
      <c r="AQ474" s="75" t="n">
        <v>46046</v>
      </c>
      <c r="AR474" s="75" t="n">
        <v>46046</v>
      </c>
      <c r="AS474" t="inlineStr">
        <is>
          <t>CUOTA INICIAL</t>
        </is>
      </c>
      <c r="AT474" t="n">
        <v>3</v>
      </c>
      <c r="AU474" t="n">
        <v>90</v>
      </c>
      <c r="AV474" t="n">
        <v>0</v>
      </c>
      <c r="AW474" t="n">
        <v>0</v>
      </c>
      <c r="AX474" s="39" t="n">
        <v>90</v>
      </c>
      <c r="AY474" s="39" t="n">
        <v>90</v>
      </c>
      <c r="AZ474" s="39" t="n">
        <v>0</v>
      </c>
      <c r="BA474" t="n">
        <v>0</v>
      </c>
      <c r="BB474" t="inlineStr">
        <is>
          <t>Crédito Hipotecario</t>
        </is>
      </c>
      <c r="BC474" t="inlineStr">
        <is>
          <t>Banco de Credito del Perú</t>
        </is>
      </c>
      <c r="BD474" t="inlineStr">
        <is>
          <t>194-7325779-0-65</t>
        </is>
      </c>
      <c r="BE474" t="inlineStr">
        <is>
          <t>TRANSFERENCIA BANCARIA</t>
        </is>
      </c>
      <c r="BG474" t="inlineStr">
        <is>
          <t>02259551</t>
        </is>
      </c>
      <c r="BH474" t="inlineStr">
        <is>
          <t>No</t>
        </is>
      </c>
      <c r="BJ474" t="n">
        <v>4</v>
      </c>
      <c r="BK474" t="inlineStr">
        <is>
          <t>CANCELADO</t>
        </is>
      </c>
      <c r="BV474" t="inlineStr">
        <is>
          <t>Si</t>
        </is>
      </c>
      <c r="BW474" s="76" t="n">
        <v>46039.41944444444</v>
      </c>
      <c r="BX474" t="inlineStr">
        <is>
          <t>Carla Michue M</t>
        </is>
      </c>
      <c r="BZ474" t="n">
        <v>17</v>
      </c>
      <c r="CA474" t="inlineStr">
        <is>
          <t>17/08/2026 12:29</t>
        </is>
      </c>
      <c r="CB474" t="n">
        <v>0</v>
      </c>
      <c r="CF474" t="inlineStr">
        <is>
          <t>Cobranzas_2026.csv</t>
        </is>
      </c>
      <c r="CG474" t="n">
        <v>2026</v>
      </c>
      <c r="CH474" t="inlineStr">
        <is>
          <t>01/01/2024</t>
        </is>
      </c>
      <c r="CI474" t="inlineStr">
        <is>
          <t>24/08/2031</t>
        </is>
      </c>
    </row>
    <row r="475">
      <c r="A475" t="inlineStr">
        <is>
          <t>RESIDENCIAL BEYOND</t>
        </is>
      </c>
      <c r="B475" t="inlineStr">
        <is>
          <t>Etapa 1</t>
        </is>
      </c>
      <c r="C475" t="inlineStr">
        <is>
          <t>Edificio</t>
        </is>
      </c>
      <c r="D475" t="inlineStr">
        <is>
          <t>A</t>
        </is>
      </c>
      <c r="E475" t="inlineStr">
        <is>
          <t>Departamento</t>
        </is>
      </c>
      <c r="F475" t="inlineStr">
        <is>
          <t>805</t>
        </is>
      </c>
      <c r="G475" t="n">
        <v>72</v>
      </c>
      <c r="H475" t="n">
        <v>0</v>
      </c>
      <c r="I475" s="39" t="n">
        <v>532100</v>
      </c>
      <c r="J475" s="39" t="n">
        <v>532100</v>
      </c>
      <c r="Q475" s="39" t="n"/>
      <c r="R475" s="39" t="n"/>
      <c r="Y475" s="39" t="n"/>
      <c r="Z475" s="39" t="n"/>
      <c r="AG475" s="39" t="n"/>
      <c r="AH475" s="39" t="n"/>
      <c r="AI475" t="inlineStr">
        <is>
          <t>Harry Anderson Yance Ruiz</t>
        </is>
      </c>
      <c r="AJ475" t="inlineStr">
        <is>
          <t>10582963</t>
        </is>
      </c>
      <c r="AK475" t="inlineStr">
        <is>
          <t xml:space="preserve">Calle Las Pajillas 2329 - Urb. Mangomarca </t>
        </is>
      </c>
      <c r="AL475" t="n">
        <v>0</v>
      </c>
      <c r="AM475" t="inlineStr">
        <is>
          <t>948519070</t>
        </is>
      </c>
      <c r="AN475" t="inlineStr">
        <is>
          <t>harry_yance@hotmail.com</t>
        </is>
      </c>
      <c r="AO475" t="inlineStr">
        <is>
          <t>LIMA</t>
        </is>
      </c>
      <c r="AP475" t="inlineStr">
        <is>
          <t>SAN JUAN DE LURIGANCHO</t>
        </is>
      </c>
      <c r="AQ475" s="75" t="n">
        <v>46111</v>
      </c>
      <c r="AR475" s="75" t="n"/>
      <c r="AS475" t="inlineStr">
        <is>
          <t>SALDO FINANCIAR</t>
        </is>
      </c>
      <c r="AT475" t="n">
        <v>1</v>
      </c>
      <c r="AU475" t="n">
        <v>478800</v>
      </c>
      <c r="AV475" t="n">
        <v>0</v>
      </c>
      <c r="AW475" t="n">
        <v>0</v>
      </c>
      <c r="AX475" s="39" t="n">
        <v>478800</v>
      </c>
      <c r="AY475" s="39" t="n">
        <v>0</v>
      </c>
      <c r="AZ475" s="39" t="n">
        <v>478800</v>
      </c>
      <c r="BB475" t="inlineStr">
        <is>
          <t>Crédito Hipotecario</t>
        </is>
      </c>
      <c r="BH475" t="inlineStr">
        <is>
          <t>No</t>
        </is>
      </c>
      <c r="BK475" t="inlineStr">
        <is>
          <t>VENCIDO</t>
        </is>
      </c>
      <c r="BV475" t="inlineStr">
        <is>
          <t>No</t>
        </is>
      </c>
      <c r="BW475" s="76" t="n">
        <v>46039.41944444444</v>
      </c>
      <c r="BX475" t="inlineStr">
        <is>
          <t>Carla Michue M</t>
        </is>
      </c>
      <c r="BZ475" t="n">
        <v>17</v>
      </c>
      <c r="CB475" t="n">
        <v>0</v>
      </c>
      <c r="CF475" t="inlineStr">
        <is>
          <t>Cobranzas_2026.csv</t>
        </is>
      </c>
      <c r="CG475" t="n">
        <v>2026</v>
      </c>
      <c r="CH475" t="inlineStr">
        <is>
          <t>01/01/2024</t>
        </is>
      </c>
      <c r="CI475" t="inlineStr">
        <is>
          <t>24/08/2031</t>
        </is>
      </c>
    </row>
    <row r="476">
      <c r="A476" t="inlineStr">
        <is>
          <t>RESIDENCIAL PRADA</t>
        </is>
      </c>
      <c r="B476" t="inlineStr">
        <is>
          <t>Etapa 1</t>
        </is>
      </c>
      <c r="C476" t="inlineStr">
        <is>
          <t>Edificio</t>
        </is>
      </c>
      <c r="D476" t="inlineStr">
        <is>
          <t>A</t>
        </is>
      </c>
      <c r="E476" t="inlineStr">
        <is>
          <t>Departamento</t>
        </is>
      </c>
      <c r="F476" t="inlineStr">
        <is>
          <t>502</t>
        </is>
      </c>
      <c r="G476" t="n">
        <v>56</v>
      </c>
      <c r="H476" t="n">
        <v>0</v>
      </c>
      <c r="I476" s="39" t="n">
        <v>457000</v>
      </c>
      <c r="J476" s="39" t="n">
        <v>457000</v>
      </c>
      <c r="Q476" s="39" t="n"/>
      <c r="R476" s="39" t="n"/>
      <c r="Y476" s="39" t="n"/>
      <c r="Z476" s="39" t="n"/>
      <c r="AG476" s="39" t="n"/>
      <c r="AH476" s="39" t="n"/>
      <c r="AI476" t="inlineStr">
        <is>
          <t>HONOFRE JUAN GONZALES ATAHUALPA</t>
        </is>
      </c>
      <c r="AJ476" t="inlineStr">
        <is>
          <t>09518829</t>
        </is>
      </c>
      <c r="AK476" t="inlineStr">
        <is>
          <t xml:space="preserve">Av. 17 de noviembre 229 - 231 </t>
        </is>
      </c>
      <c r="AL476" t="n">
        <v>990889063</v>
      </c>
      <c r="AM476" t="inlineStr">
        <is>
          <t>990889063</t>
        </is>
      </c>
      <c r="AN476" t="inlineStr">
        <is>
          <t>juanga0420@hotmail.com</t>
        </is>
      </c>
      <c r="AO476" t="inlineStr">
        <is>
          <t>LIMA</t>
        </is>
      </c>
      <c r="AP476" t="inlineStr">
        <is>
          <t>INDEPENDENCIA</t>
        </is>
      </c>
      <c r="AQ476" s="75" t="n">
        <v>46085</v>
      </c>
      <c r="AR476" s="75" t="n">
        <v>46085</v>
      </c>
      <c r="AS476" t="inlineStr">
        <is>
          <t>SEPARACION</t>
        </is>
      </c>
      <c r="AT476" t="n">
        <v>1</v>
      </c>
      <c r="AU476" t="n">
        <v>3000</v>
      </c>
      <c r="AV476" t="n">
        <v>0</v>
      </c>
      <c r="AW476" t="n">
        <v>0</v>
      </c>
      <c r="AX476" s="39" t="n">
        <v>3000</v>
      </c>
      <c r="AY476" s="39" t="n">
        <v>3000</v>
      </c>
      <c r="AZ476" s="39" t="n">
        <v>0</v>
      </c>
      <c r="BA476" t="n">
        <v>0</v>
      </c>
      <c r="BB476" t="inlineStr">
        <is>
          <t>Crédito Hipotecario</t>
        </is>
      </c>
      <c r="BC476" t="inlineStr">
        <is>
          <t>Scotiabank Perú</t>
        </is>
      </c>
      <c r="BD476" t="inlineStr">
        <is>
          <t>000-2768484</t>
        </is>
      </c>
      <c r="BE476" t="inlineStr">
        <is>
          <t>POS VISA</t>
        </is>
      </c>
      <c r="BF476" t="inlineStr">
        <is>
          <t>09518829</t>
        </is>
      </c>
      <c r="BG476" t="inlineStr">
        <is>
          <t>0000606321425788</t>
        </is>
      </c>
      <c r="BH476" t="inlineStr">
        <is>
          <t>No</t>
        </is>
      </c>
      <c r="BI476" t="inlineStr">
        <is>
          <t>NO PRECISA</t>
        </is>
      </c>
      <c r="BJ476" t="n">
        <v>4</v>
      </c>
      <c r="BK476" t="inlineStr">
        <is>
          <t>CANCELADO</t>
        </is>
      </c>
      <c r="BV476" t="inlineStr">
        <is>
          <t>Si</t>
        </is>
      </c>
      <c r="BW476" s="76" t="n">
        <v>46134.40069444444</v>
      </c>
      <c r="BX476" t="inlineStr">
        <is>
          <t>Kenny Salazar S</t>
        </is>
      </c>
      <c r="BZ476" t="n">
        <v>43</v>
      </c>
      <c r="CA476" t="inlineStr">
        <is>
          <t>03/06/2026 08:37</t>
        </is>
      </c>
      <c r="CB476" t="n">
        <v>0</v>
      </c>
      <c r="CF476" t="inlineStr">
        <is>
          <t>Cobranzas_2026.csv</t>
        </is>
      </c>
      <c r="CG476" t="n">
        <v>2026</v>
      </c>
      <c r="CH476" t="inlineStr">
        <is>
          <t>01/01/2024</t>
        </is>
      </c>
      <c r="CI476" t="inlineStr">
        <is>
          <t>24/08/2031</t>
        </is>
      </c>
    </row>
    <row r="477">
      <c r="A477" t="inlineStr">
        <is>
          <t>RESIDENCIAL PRADA</t>
        </is>
      </c>
      <c r="B477" t="inlineStr">
        <is>
          <t>Etapa 1</t>
        </is>
      </c>
      <c r="C477" t="inlineStr">
        <is>
          <t>Edificio</t>
        </is>
      </c>
      <c r="D477" t="inlineStr">
        <is>
          <t>A</t>
        </is>
      </c>
      <c r="E477" t="inlineStr">
        <is>
          <t>Departamento</t>
        </is>
      </c>
      <c r="F477" t="inlineStr">
        <is>
          <t>502</t>
        </is>
      </c>
      <c r="G477" t="n">
        <v>56</v>
      </c>
      <c r="H477" t="n">
        <v>0</v>
      </c>
      <c r="I477" s="39" t="n">
        <v>457000</v>
      </c>
      <c r="J477" s="39" t="n">
        <v>457000</v>
      </c>
      <c r="Q477" s="39" t="n"/>
      <c r="R477" s="39" t="n"/>
      <c r="Y477" s="39" t="n"/>
      <c r="Z477" s="39" t="n"/>
      <c r="AG477" s="39" t="n"/>
      <c r="AH477" s="39" t="n"/>
      <c r="AI477" t="inlineStr">
        <is>
          <t>HONOFRE JUAN GONZALES ATAHUALPA</t>
        </is>
      </c>
      <c r="AJ477" t="inlineStr">
        <is>
          <t>09518829</t>
        </is>
      </c>
      <c r="AK477" t="inlineStr">
        <is>
          <t xml:space="preserve">Av. 17 de noviembre 229 - 231 </t>
        </is>
      </c>
      <c r="AL477" t="n">
        <v>990889063</v>
      </c>
      <c r="AM477" t="inlineStr">
        <is>
          <t>990889063</t>
        </is>
      </c>
      <c r="AN477" t="inlineStr">
        <is>
          <t>juanga0420@hotmail.com</t>
        </is>
      </c>
      <c r="AO477" t="inlineStr">
        <is>
          <t>LIMA</t>
        </is>
      </c>
      <c r="AP477" t="inlineStr">
        <is>
          <t>INDEPENDENCIA</t>
        </is>
      </c>
      <c r="AQ477" s="75" t="n">
        <v>46134</v>
      </c>
      <c r="AR477" s="75" t="n">
        <v>46134</v>
      </c>
      <c r="AS477" t="inlineStr">
        <is>
          <t>CUOTA INICIAL</t>
        </is>
      </c>
      <c r="AT477" t="n">
        <v>1</v>
      </c>
      <c r="AU477" t="n">
        <v>21350</v>
      </c>
      <c r="AV477" t="n">
        <v>0</v>
      </c>
      <c r="AW477" t="n">
        <v>0</v>
      </c>
      <c r="AX477" s="39" t="n">
        <v>21350</v>
      </c>
      <c r="AY477" s="39" t="n">
        <v>21350</v>
      </c>
      <c r="AZ477" s="39" t="n">
        <v>0</v>
      </c>
      <c r="BA477" t="n">
        <v>0</v>
      </c>
      <c r="BB477" t="inlineStr">
        <is>
          <t>Crédito Hipotecario</t>
        </is>
      </c>
      <c r="BC477" t="inlineStr">
        <is>
          <t>Scotiabank Perú</t>
        </is>
      </c>
      <c r="BD477" t="inlineStr">
        <is>
          <t>000-2768484</t>
        </is>
      </c>
      <c r="BE477" t="inlineStr">
        <is>
          <t>TRANSFERENCIA BANCARIA</t>
        </is>
      </c>
      <c r="BF477" t="inlineStr">
        <is>
          <t>09518829</t>
        </is>
      </c>
      <c r="BG477" t="inlineStr">
        <is>
          <t>0500010095</t>
        </is>
      </c>
      <c r="BH477" t="inlineStr">
        <is>
          <t>No</t>
        </is>
      </c>
      <c r="BI477" t="inlineStr">
        <is>
          <t>NO PRECISA</t>
        </is>
      </c>
      <c r="BJ477" t="n">
        <v>4</v>
      </c>
      <c r="BK477" t="inlineStr">
        <is>
          <t>CANCELADO</t>
        </is>
      </c>
      <c r="BV477" t="inlineStr">
        <is>
          <t>Si</t>
        </is>
      </c>
      <c r="BW477" s="76" t="n">
        <v>46134.40069444444</v>
      </c>
      <c r="BX477" t="inlineStr">
        <is>
          <t>Kenny Salazar S</t>
        </is>
      </c>
      <c r="BZ477" t="n">
        <v>43</v>
      </c>
      <c r="CA477" t="inlineStr">
        <is>
          <t>05/06/2026 08:47</t>
        </is>
      </c>
      <c r="CB477" t="n">
        <v>0</v>
      </c>
      <c r="CF477" t="inlineStr">
        <is>
          <t>Cobranzas_2026.csv</t>
        </is>
      </c>
      <c r="CG477" t="n">
        <v>2026</v>
      </c>
      <c r="CH477" t="inlineStr">
        <is>
          <t>01/01/2024</t>
        </is>
      </c>
      <c r="CI477" t="inlineStr">
        <is>
          <t>24/08/2031</t>
        </is>
      </c>
    </row>
    <row r="478">
      <c r="A478" t="inlineStr">
        <is>
          <t>RESIDENCIAL PRADA</t>
        </is>
      </c>
      <c r="B478" t="inlineStr">
        <is>
          <t>Etapa 1</t>
        </is>
      </c>
      <c r="C478" t="inlineStr">
        <is>
          <t>Edificio</t>
        </is>
      </c>
      <c r="D478" t="inlineStr">
        <is>
          <t>A</t>
        </is>
      </c>
      <c r="E478" t="inlineStr">
        <is>
          <t>Departamento</t>
        </is>
      </c>
      <c r="F478" t="inlineStr">
        <is>
          <t>502</t>
        </is>
      </c>
      <c r="G478" t="n">
        <v>56</v>
      </c>
      <c r="H478" t="n">
        <v>0</v>
      </c>
      <c r="I478" s="39" t="n">
        <v>457000</v>
      </c>
      <c r="J478" s="39" t="n">
        <v>457000</v>
      </c>
      <c r="Q478" s="39" t="n"/>
      <c r="R478" s="39" t="n"/>
      <c r="Y478" s="39" t="n"/>
      <c r="Z478" s="39" t="n"/>
      <c r="AG478" s="39" t="n"/>
      <c r="AH478" s="39" t="n"/>
      <c r="AI478" t="inlineStr">
        <is>
          <t>HONOFRE JUAN GONZALES ATAHUALPA</t>
        </is>
      </c>
      <c r="AJ478" t="inlineStr">
        <is>
          <t>09518829</t>
        </is>
      </c>
      <c r="AK478" t="inlineStr">
        <is>
          <t xml:space="preserve">Av. 17 de noviembre 229 - 231 </t>
        </is>
      </c>
      <c r="AL478" t="n">
        <v>990889063</v>
      </c>
      <c r="AM478" t="inlineStr">
        <is>
          <t>990889063</t>
        </is>
      </c>
      <c r="AN478" t="inlineStr">
        <is>
          <t>juanga0420@hotmail.com</t>
        </is>
      </c>
      <c r="AO478" t="inlineStr">
        <is>
          <t>LIMA</t>
        </is>
      </c>
      <c r="AP478" t="inlineStr">
        <is>
          <t>INDEPENDENCIA</t>
        </is>
      </c>
      <c r="AQ478" s="75" t="n">
        <v>46137</v>
      </c>
      <c r="AR478" s="75" t="n">
        <v>46137</v>
      </c>
      <c r="AS478" t="inlineStr">
        <is>
          <t>CUOTA INICIAL</t>
        </is>
      </c>
      <c r="AT478" t="n">
        <v>2</v>
      </c>
      <c r="AU478" t="n">
        <v>21350</v>
      </c>
      <c r="AV478" t="n">
        <v>0</v>
      </c>
      <c r="AW478" t="n">
        <v>0</v>
      </c>
      <c r="AX478" s="39" t="n">
        <v>21350</v>
      </c>
      <c r="AY478" s="39" t="n">
        <v>21350</v>
      </c>
      <c r="AZ478" s="39" t="n">
        <v>0</v>
      </c>
      <c r="BA478" t="n">
        <v>0</v>
      </c>
      <c r="BB478" t="inlineStr">
        <is>
          <t>Crédito Hipotecario</t>
        </is>
      </c>
      <c r="BC478" t="inlineStr">
        <is>
          <t>Scotiabank Perú</t>
        </is>
      </c>
      <c r="BD478" t="inlineStr">
        <is>
          <t>000-2768484</t>
        </is>
      </c>
      <c r="BE478" t="inlineStr">
        <is>
          <t>TRANSFERENCIA BANCARIA</t>
        </is>
      </c>
      <c r="BF478" t="inlineStr">
        <is>
          <t>09518829</t>
        </is>
      </c>
      <c r="BG478" t="inlineStr">
        <is>
          <t>0500010046</t>
        </is>
      </c>
      <c r="BH478" t="inlineStr">
        <is>
          <t>No</t>
        </is>
      </c>
      <c r="BI478" t="inlineStr">
        <is>
          <t>NO PRECISA</t>
        </is>
      </c>
      <c r="BJ478" t="n">
        <v>4</v>
      </c>
      <c r="BK478" t="inlineStr">
        <is>
          <t>CANCELADO</t>
        </is>
      </c>
      <c r="BV478" t="inlineStr">
        <is>
          <t>Si</t>
        </is>
      </c>
      <c r="BW478" s="76" t="n">
        <v>46134.40069444444</v>
      </c>
      <c r="BX478" t="inlineStr">
        <is>
          <t>Kenny Salazar S</t>
        </is>
      </c>
      <c r="BZ478" t="n">
        <v>43</v>
      </c>
      <c r="CA478" t="inlineStr">
        <is>
          <t>05/06/2026 08:48</t>
        </is>
      </c>
      <c r="CB478" t="n">
        <v>0</v>
      </c>
      <c r="CF478" t="inlineStr">
        <is>
          <t>Cobranzas_2026.csv</t>
        </is>
      </c>
      <c r="CG478" t="n">
        <v>2026</v>
      </c>
      <c r="CH478" t="inlineStr">
        <is>
          <t>01/01/2024</t>
        </is>
      </c>
      <c r="CI478" t="inlineStr">
        <is>
          <t>24/08/2031</t>
        </is>
      </c>
    </row>
    <row r="479">
      <c r="A479" t="inlineStr">
        <is>
          <t>RESIDENCIAL PRADA</t>
        </is>
      </c>
      <c r="B479" t="inlineStr">
        <is>
          <t>Etapa 1</t>
        </is>
      </c>
      <c r="C479" t="inlineStr">
        <is>
          <t>Edificio</t>
        </is>
      </c>
      <c r="D479" t="inlineStr">
        <is>
          <t>A</t>
        </is>
      </c>
      <c r="E479" t="inlineStr">
        <is>
          <t>Departamento</t>
        </is>
      </c>
      <c r="F479" t="inlineStr">
        <is>
          <t>502</t>
        </is>
      </c>
      <c r="G479" t="n">
        <v>56</v>
      </c>
      <c r="H479" t="n">
        <v>0</v>
      </c>
      <c r="I479" s="39" t="n">
        <v>457000</v>
      </c>
      <c r="J479" s="39" t="n">
        <v>457000</v>
      </c>
      <c r="Q479" s="39" t="n"/>
      <c r="R479" s="39" t="n"/>
      <c r="Y479" s="39" t="n"/>
      <c r="Z479" s="39" t="n"/>
      <c r="AG479" s="39" t="n"/>
      <c r="AH479" s="39" t="n"/>
      <c r="AI479" t="inlineStr">
        <is>
          <t>HONOFRE JUAN GONZALES ATAHUALPA</t>
        </is>
      </c>
      <c r="AJ479" t="inlineStr">
        <is>
          <t>09518829</t>
        </is>
      </c>
      <c r="AK479" t="inlineStr">
        <is>
          <t xml:space="preserve">Av. 17 de noviembre 229 - 231 </t>
        </is>
      </c>
      <c r="AL479" t="n">
        <v>990889063</v>
      </c>
      <c r="AM479" t="inlineStr">
        <is>
          <t>990889063</t>
        </is>
      </c>
      <c r="AN479" t="inlineStr">
        <is>
          <t>juanga0420@hotmail.com</t>
        </is>
      </c>
      <c r="AO479" t="inlineStr">
        <is>
          <t>LIMA</t>
        </is>
      </c>
      <c r="AP479" t="inlineStr">
        <is>
          <t>INDEPENDENCIA</t>
        </is>
      </c>
      <c r="AQ479" s="75" t="n">
        <v>46203</v>
      </c>
      <c r="AR479" s="75" t="n">
        <v>46171</v>
      </c>
      <c r="AS479" t="inlineStr">
        <is>
          <t>SALDO FINANCIAR</t>
        </is>
      </c>
      <c r="AT479" t="n">
        <v>1</v>
      </c>
      <c r="AU479" t="n">
        <v>411300</v>
      </c>
      <c r="AV479" t="n">
        <v>0</v>
      </c>
      <c r="AW479" t="n">
        <v>0</v>
      </c>
      <c r="AX479" s="39" t="n">
        <v>411300</v>
      </c>
      <c r="AY479" s="39" t="n">
        <v>411300</v>
      </c>
      <c r="AZ479" s="39" t="n">
        <v>0</v>
      </c>
      <c r="BA479" t="n">
        <v>0</v>
      </c>
      <c r="BB479" t="inlineStr">
        <is>
          <t>Crédito Hipotecario</t>
        </is>
      </c>
      <c r="BC479" t="inlineStr">
        <is>
          <t>Scotiabank Perú</t>
        </is>
      </c>
      <c r="BD479" t="inlineStr">
        <is>
          <t>000-2768484</t>
        </is>
      </c>
      <c r="BE479" t="inlineStr">
        <is>
          <t>TRANSFERENCIA BANCARIA</t>
        </is>
      </c>
      <c r="BG479" t="inlineStr">
        <is>
          <t>0270800024</t>
        </is>
      </c>
      <c r="BH479" t="inlineStr">
        <is>
          <t>No</t>
        </is>
      </c>
      <c r="BJ479" t="n">
        <v>4</v>
      </c>
      <c r="BK479" t="inlineStr">
        <is>
          <t>CANCELADO</t>
        </is>
      </c>
      <c r="BV479" t="inlineStr">
        <is>
          <t>Si</t>
        </is>
      </c>
      <c r="BW479" s="76" t="n">
        <v>46134.40069444444</v>
      </c>
      <c r="BX479" t="inlineStr">
        <is>
          <t>Kenny Salazar S</t>
        </is>
      </c>
      <c r="BZ479" t="n">
        <v>43</v>
      </c>
      <c r="CA479" t="inlineStr">
        <is>
          <t>07/07/2026 09:38</t>
        </is>
      </c>
      <c r="CB479" t="n">
        <v>0</v>
      </c>
      <c r="CF479" t="inlineStr">
        <is>
          <t>Cobranzas_2026.csv</t>
        </is>
      </c>
      <c r="CG479" t="n">
        <v>2026</v>
      </c>
      <c r="CH479" t="inlineStr">
        <is>
          <t>01/01/2024</t>
        </is>
      </c>
      <c r="CI479" t="inlineStr">
        <is>
          <t>24/08/2031</t>
        </is>
      </c>
    </row>
    <row r="480">
      <c r="A480" t="inlineStr">
        <is>
          <t>RESIDENCIAL VENECIA</t>
        </is>
      </c>
      <c r="B480" t="inlineStr">
        <is>
          <t>Etapa 1</t>
        </is>
      </c>
      <c r="C480" t="inlineStr">
        <is>
          <t>Edificio</t>
        </is>
      </c>
      <c r="D480" t="inlineStr">
        <is>
          <t>A</t>
        </is>
      </c>
      <c r="E480" t="inlineStr">
        <is>
          <t>Departamento</t>
        </is>
      </c>
      <c r="F480" t="inlineStr">
        <is>
          <t>701</t>
        </is>
      </c>
      <c r="G480" t="n">
        <v>78</v>
      </c>
      <c r="H480" t="n">
        <v>0</v>
      </c>
      <c r="I480" s="39" t="n">
        <v>561000</v>
      </c>
      <c r="J480" s="39" t="n">
        <v>561000</v>
      </c>
      <c r="Q480" s="39" t="n"/>
      <c r="R480" s="39" t="n"/>
      <c r="Y480" s="39" t="n"/>
      <c r="Z480" s="39" t="n"/>
      <c r="AG480" s="39" t="n"/>
      <c r="AH480" s="39" t="n"/>
      <c r="AI480" t="inlineStr">
        <is>
          <t>Irma Paulina Palomino Huaman</t>
        </is>
      </c>
      <c r="AJ480" t="inlineStr">
        <is>
          <t>76840101</t>
        </is>
      </c>
      <c r="AK480" t="inlineStr">
        <is>
          <t>Jr. Manco Segundo 2202 Dpto. 102</t>
        </is>
      </c>
      <c r="AL480" t="n">
        <v>0</v>
      </c>
      <c r="AM480" t="inlineStr">
        <is>
          <t>939315617</t>
        </is>
      </c>
      <c r="AN480" t="inlineStr">
        <is>
          <t>paulinapalomino8@gmail.com</t>
        </is>
      </c>
      <c r="AO480" t="inlineStr">
        <is>
          <t>LIMA</t>
        </is>
      </c>
      <c r="AP480" t="inlineStr">
        <is>
          <t>LINCE</t>
        </is>
      </c>
      <c r="AQ480" s="75" t="n">
        <v>46039</v>
      </c>
      <c r="AR480" s="75" t="n">
        <v>46039</v>
      </c>
      <c r="AS480" t="inlineStr">
        <is>
          <t>SEPARACION</t>
        </is>
      </c>
      <c r="AT480" t="n">
        <v>1</v>
      </c>
      <c r="AU480" t="n">
        <v>3000</v>
      </c>
      <c r="AV480" t="n">
        <v>0</v>
      </c>
      <c r="AW480" t="n">
        <v>0</v>
      </c>
      <c r="AX480" s="39" t="n">
        <v>3000</v>
      </c>
      <c r="AY480" s="39" t="n">
        <v>3000</v>
      </c>
      <c r="AZ480" s="39" t="n">
        <v>0</v>
      </c>
      <c r="BA480" t="n">
        <v>0</v>
      </c>
      <c r="BB480" t="inlineStr">
        <is>
          <t>Ahorro</t>
        </is>
      </c>
      <c r="BC480" t="inlineStr">
        <is>
          <t>Scotiabank Perú</t>
        </is>
      </c>
      <c r="BD480" t="inlineStr">
        <is>
          <t>0004071419</t>
        </is>
      </c>
      <c r="BE480" t="inlineStr">
        <is>
          <t>TRANSFERENCIA BANCARIA</t>
        </is>
      </c>
      <c r="BG480" t="inlineStr">
        <is>
          <t>04546375</t>
        </is>
      </c>
      <c r="BH480" t="inlineStr">
        <is>
          <t>No</t>
        </is>
      </c>
      <c r="BJ480" t="n">
        <v>4</v>
      </c>
      <c r="BK480" t="inlineStr">
        <is>
          <t>CANCELADO</t>
        </is>
      </c>
      <c r="BV480" t="inlineStr">
        <is>
          <t>Si</t>
        </is>
      </c>
      <c r="BW480" s="76" t="n">
        <v>46178.34861111111</v>
      </c>
      <c r="BX480" t="inlineStr">
        <is>
          <t>Magaly Guevara Perez</t>
        </is>
      </c>
      <c r="BZ480" t="n">
        <v>13</v>
      </c>
      <c r="CA480" t="inlineStr">
        <is>
          <t>24/05/2026 20:56</t>
        </is>
      </c>
      <c r="CB480" t="n">
        <v>0</v>
      </c>
      <c r="CF480" t="inlineStr">
        <is>
          <t>Cobranzas_2026.csv</t>
        </is>
      </c>
      <c r="CG480" t="n">
        <v>2026</v>
      </c>
      <c r="CH480" t="inlineStr">
        <is>
          <t>01/01/2024</t>
        </is>
      </c>
      <c r="CI480" t="inlineStr">
        <is>
          <t>24/08/2031</t>
        </is>
      </c>
    </row>
    <row r="481">
      <c r="A481" t="inlineStr">
        <is>
          <t>RESIDENCIAL VENECIA</t>
        </is>
      </c>
      <c r="B481" t="inlineStr">
        <is>
          <t>Etapa 1</t>
        </is>
      </c>
      <c r="C481" t="inlineStr">
        <is>
          <t>Edificio</t>
        </is>
      </c>
      <c r="D481" t="inlineStr">
        <is>
          <t>A</t>
        </is>
      </c>
      <c r="E481" t="inlineStr">
        <is>
          <t>Departamento</t>
        </is>
      </c>
      <c r="F481" t="inlineStr">
        <is>
          <t>701</t>
        </is>
      </c>
      <c r="G481" t="n">
        <v>78</v>
      </c>
      <c r="H481" t="n">
        <v>0</v>
      </c>
      <c r="I481" s="39" t="n">
        <v>561000</v>
      </c>
      <c r="J481" s="39" t="n">
        <v>561000</v>
      </c>
      <c r="Q481" s="39" t="n"/>
      <c r="R481" s="39" t="n"/>
      <c r="Y481" s="39" t="n"/>
      <c r="Z481" s="39" t="n"/>
      <c r="AG481" s="39" t="n"/>
      <c r="AH481" s="39" t="n"/>
      <c r="AI481" t="inlineStr">
        <is>
          <t>Irma Paulina Palomino Huaman</t>
        </is>
      </c>
      <c r="AJ481" t="inlineStr">
        <is>
          <t>76840101</t>
        </is>
      </c>
      <c r="AK481" t="inlineStr">
        <is>
          <t>Jr. Manco Segundo 2202 Dpto. 102</t>
        </is>
      </c>
      <c r="AL481" t="n">
        <v>0</v>
      </c>
      <c r="AM481" t="inlineStr">
        <is>
          <t>939315617</t>
        </is>
      </c>
      <c r="AN481" t="inlineStr">
        <is>
          <t>paulinapalomino8@gmail.com</t>
        </is>
      </c>
      <c r="AO481" t="inlineStr">
        <is>
          <t>LIMA</t>
        </is>
      </c>
      <c r="AP481" t="inlineStr">
        <is>
          <t>LINCE</t>
        </is>
      </c>
      <c r="AQ481" s="75" t="n">
        <v>46051</v>
      </c>
      <c r="AR481" s="75" t="n">
        <v>46051</v>
      </c>
      <c r="AS481" t="inlineStr">
        <is>
          <t>CUOTA INICIAL</t>
        </is>
      </c>
      <c r="AT481" t="n">
        <v>1</v>
      </c>
      <c r="AU481" t="n">
        <v>18900</v>
      </c>
      <c r="AV481" t="n">
        <v>0</v>
      </c>
      <c r="AW481" t="n">
        <v>0</v>
      </c>
      <c r="AX481" s="39" t="n">
        <v>18900</v>
      </c>
      <c r="AY481" s="39" t="n">
        <v>18900</v>
      </c>
      <c r="AZ481" s="39" t="n">
        <v>0</v>
      </c>
      <c r="BA481" t="n">
        <v>0</v>
      </c>
      <c r="BB481" t="inlineStr">
        <is>
          <t>Ahorro</t>
        </is>
      </c>
      <c r="BC481" t="inlineStr">
        <is>
          <t>Scotiabank Perú</t>
        </is>
      </c>
      <c r="BD481" t="inlineStr">
        <is>
          <t>0004071419</t>
        </is>
      </c>
      <c r="BE481" t="inlineStr">
        <is>
          <t>TRANSFERENCIA BANCARIA</t>
        </is>
      </c>
      <c r="BG481" t="inlineStr">
        <is>
          <t>04640462</t>
        </is>
      </c>
      <c r="BH481" t="inlineStr">
        <is>
          <t>No</t>
        </is>
      </c>
      <c r="BJ481" t="n">
        <v>4</v>
      </c>
      <c r="BK481" t="inlineStr">
        <is>
          <t>CANCELADO</t>
        </is>
      </c>
      <c r="BV481" t="inlineStr">
        <is>
          <t>Si</t>
        </is>
      </c>
      <c r="BW481" s="76" t="n">
        <v>46178.34861111111</v>
      </c>
      <c r="BX481" t="inlineStr">
        <is>
          <t>Magaly Guevara Perez</t>
        </is>
      </c>
      <c r="BZ481" t="n">
        <v>13</v>
      </c>
      <c r="CA481" t="inlineStr">
        <is>
          <t>24/05/2026 20:58</t>
        </is>
      </c>
      <c r="CB481" t="n">
        <v>0</v>
      </c>
      <c r="CF481" t="inlineStr">
        <is>
          <t>Cobranzas_2026.csv</t>
        </is>
      </c>
      <c r="CG481" t="n">
        <v>2026</v>
      </c>
      <c r="CH481" t="inlineStr">
        <is>
          <t>01/01/2024</t>
        </is>
      </c>
      <c r="CI481" t="inlineStr">
        <is>
          <t>24/08/2031</t>
        </is>
      </c>
    </row>
    <row r="482">
      <c r="A482" t="inlineStr">
        <is>
          <t>RESIDENCIAL VENECIA</t>
        </is>
      </c>
      <c r="B482" t="inlineStr">
        <is>
          <t>Etapa 1</t>
        </is>
      </c>
      <c r="C482" t="inlineStr">
        <is>
          <t>Edificio</t>
        </is>
      </c>
      <c r="D482" t="inlineStr">
        <is>
          <t>A</t>
        </is>
      </c>
      <c r="E482" t="inlineStr">
        <is>
          <t>Departamento</t>
        </is>
      </c>
      <c r="F482" t="inlineStr">
        <is>
          <t>701</t>
        </is>
      </c>
      <c r="G482" t="n">
        <v>78</v>
      </c>
      <c r="H482" t="n">
        <v>0</v>
      </c>
      <c r="I482" s="39" t="n">
        <v>561000</v>
      </c>
      <c r="J482" s="39" t="n">
        <v>561000</v>
      </c>
      <c r="Q482" s="39" t="n"/>
      <c r="R482" s="39" t="n"/>
      <c r="Y482" s="39" t="n"/>
      <c r="Z482" s="39" t="n"/>
      <c r="AG482" s="39" t="n"/>
      <c r="AH482" s="39" t="n"/>
      <c r="AI482" t="inlineStr">
        <is>
          <t>Irma Paulina Palomino Huaman</t>
        </is>
      </c>
      <c r="AJ482" t="inlineStr">
        <is>
          <t>76840101</t>
        </is>
      </c>
      <c r="AK482" t="inlineStr">
        <is>
          <t>Jr. Manco Segundo 2202 Dpto. 102</t>
        </is>
      </c>
      <c r="AL482" t="n">
        <v>0</v>
      </c>
      <c r="AM482" t="inlineStr">
        <is>
          <t>939315617</t>
        </is>
      </c>
      <c r="AN482" t="inlineStr">
        <is>
          <t>paulinapalomino8@gmail.com</t>
        </is>
      </c>
      <c r="AO482" t="inlineStr">
        <is>
          <t>LIMA</t>
        </is>
      </c>
      <c r="AP482" t="inlineStr">
        <is>
          <t>LINCE</t>
        </is>
      </c>
      <c r="AQ482" s="75" t="n">
        <v>46234</v>
      </c>
      <c r="AR482" s="75" t="n"/>
      <c r="AS482" t="inlineStr">
        <is>
          <t>AHORRO CASA</t>
        </is>
      </c>
      <c r="AT482" t="n">
        <v>2</v>
      </c>
      <c r="AU482" t="n">
        <v>34200</v>
      </c>
      <c r="AV482" t="n">
        <v>0</v>
      </c>
      <c r="AW482" t="n">
        <v>0</v>
      </c>
      <c r="AX482" s="39" t="n">
        <v>34200</v>
      </c>
      <c r="AY482" s="39" t="n">
        <v>0</v>
      </c>
      <c r="AZ482" s="39" t="n">
        <v>34200</v>
      </c>
      <c r="BB482" t="inlineStr">
        <is>
          <t>Ahorro</t>
        </is>
      </c>
      <c r="BH482" t="inlineStr">
        <is>
          <t>No</t>
        </is>
      </c>
      <c r="BK482" t="inlineStr">
        <is>
          <t>VENCIDO</t>
        </is>
      </c>
      <c r="BV482" t="inlineStr">
        <is>
          <t>No</t>
        </is>
      </c>
      <c r="BW482" s="76" t="n">
        <v>46178.34861111111</v>
      </c>
      <c r="BX482" t="inlineStr">
        <is>
          <t>Magaly Guevara Perez</t>
        </is>
      </c>
      <c r="BZ482" t="n">
        <v>13</v>
      </c>
      <c r="CB482" t="n">
        <v>0</v>
      </c>
      <c r="CF482" t="inlineStr">
        <is>
          <t>Cobranzas_2026.csv</t>
        </is>
      </c>
      <c r="CG482" t="n">
        <v>2026</v>
      </c>
      <c r="CH482" t="inlineStr">
        <is>
          <t>01/01/2024</t>
        </is>
      </c>
      <c r="CI482" t="inlineStr">
        <is>
          <t>24/08/2031</t>
        </is>
      </c>
    </row>
    <row r="483">
      <c r="A483" t="inlineStr">
        <is>
          <t>RESIDENCIAL VENECIA</t>
        </is>
      </c>
      <c r="B483" t="inlineStr">
        <is>
          <t>Etapa 1</t>
        </is>
      </c>
      <c r="C483" t="inlineStr">
        <is>
          <t>Edificio</t>
        </is>
      </c>
      <c r="D483" t="inlineStr">
        <is>
          <t>A</t>
        </is>
      </c>
      <c r="E483" t="inlineStr">
        <is>
          <t>Departamento</t>
        </is>
      </c>
      <c r="F483" t="inlineStr">
        <is>
          <t>701</t>
        </is>
      </c>
      <c r="G483" t="n">
        <v>78</v>
      </c>
      <c r="H483" t="n">
        <v>0</v>
      </c>
      <c r="I483" s="39" t="n">
        <v>561000</v>
      </c>
      <c r="J483" s="39" t="n">
        <v>561000</v>
      </c>
      <c r="Q483" s="39" t="n"/>
      <c r="R483" s="39" t="n"/>
      <c r="Y483" s="39" t="n"/>
      <c r="Z483" s="39" t="n"/>
      <c r="AG483" s="39" t="n"/>
      <c r="AH483" s="39" t="n"/>
      <c r="AI483" t="inlineStr">
        <is>
          <t>Irma Paulina Palomino Huaman</t>
        </is>
      </c>
      <c r="AJ483" t="inlineStr">
        <is>
          <t>76840101</t>
        </is>
      </c>
      <c r="AK483" t="inlineStr">
        <is>
          <t>Jr. Manco Segundo 2202 Dpto. 102</t>
        </is>
      </c>
      <c r="AL483" t="n">
        <v>0</v>
      </c>
      <c r="AM483" t="inlineStr">
        <is>
          <t>939315617</t>
        </is>
      </c>
      <c r="AN483" t="inlineStr">
        <is>
          <t>paulinapalomino8@gmail.com</t>
        </is>
      </c>
      <c r="AO483" t="inlineStr">
        <is>
          <t>LIMA</t>
        </is>
      </c>
      <c r="AP483" t="inlineStr">
        <is>
          <t>LINCE</t>
        </is>
      </c>
      <c r="AQ483" s="75" t="n">
        <v>46295</v>
      </c>
      <c r="AR483" s="75" t="n"/>
      <c r="AS483" t="inlineStr">
        <is>
          <t>SALDO FINANCIAR</t>
        </is>
      </c>
      <c r="AT483" t="n">
        <v>1</v>
      </c>
      <c r="AU483" t="n">
        <v>504900</v>
      </c>
      <c r="AV483" t="n">
        <v>0</v>
      </c>
      <c r="AW483" t="n">
        <v>0</v>
      </c>
      <c r="AX483" s="39" t="n">
        <v>504900</v>
      </c>
      <c r="AY483" s="39" t="n">
        <v>0</v>
      </c>
      <c r="AZ483" s="39" t="n">
        <v>504900</v>
      </c>
      <c r="BB483" t="inlineStr">
        <is>
          <t>Ahorro</t>
        </is>
      </c>
      <c r="BH483" t="inlineStr">
        <is>
          <t>No</t>
        </is>
      </c>
      <c r="BK483" t="inlineStr">
        <is>
          <t>PENDIENTE</t>
        </is>
      </c>
      <c r="BV483" t="inlineStr">
        <is>
          <t>No</t>
        </is>
      </c>
      <c r="BW483" s="76" t="n">
        <v>46178.34861111111</v>
      </c>
      <c r="BX483" t="inlineStr">
        <is>
          <t>Magaly Guevara Perez</t>
        </is>
      </c>
      <c r="BZ483" t="n">
        <v>13</v>
      </c>
      <c r="CB483" t="n">
        <v>0</v>
      </c>
      <c r="CF483" t="inlineStr">
        <is>
          <t>Cobranzas_2026.csv</t>
        </is>
      </c>
      <c r="CG483" t="n">
        <v>2026</v>
      </c>
      <c r="CH483" t="inlineStr">
        <is>
          <t>01/01/2024</t>
        </is>
      </c>
      <c r="CI483" t="inlineStr">
        <is>
          <t>24/08/2031</t>
        </is>
      </c>
    </row>
    <row r="484">
      <c r="A484" t="inlineStr">
        <is>
          <t>RESIDENCIAL VENECIA</t>
        </is>
      </c>
      <c r="B484" t="inlineStr">
        <is>
          <t>Etapa 1</t>
        </is>
      </c>
      <c r="C484" t="inlineStr">
        <is>
          <t>Edificio</t>
        </is>
      </c>
      <c r="D484" t="inlineStr">
        <is>
          <t>A</t>
        </is>
      </c>
      <c r="E484" t="inlineStr">
        <is>
          <t>Departamento</t>
        </is>
      </c>
      <c r="F484" t="inlineStr">
        <is>
          <t>805</t>
        </is>
      </c>
      <c r="G484" t="n">
        <v>61</v>
      </c>
      <c r="H484" t="n">
        <v>0</v>
      </c>
      <c r="I484" s="39" t="n">
        <v>442000</v>
      </c>
      <c r="J484" s="39" t="n">
        <v>415000</v>
      </c>
      <c r="Q484" s="39" t="n"/>
      <c r="R484" s="39" t="n"/>
      <c r="Y484" s="39" t="n"/>
      <c r="Z484" s="39" t="n"/>
      <c r="AG484" s="39" t="n"/>
      <c r="AH484" s="39" t="n"/>
      <c r="AI484" t="inlineStr">
        <is>
          <t>Isabel Cristina Franco Zegarra</t>
        </is>
      </c>
      <c r="AJ484" t="inlineStr">
        <is>
          <t>09884970</t>
        </is>
      </c>
      <c r="AK484" t="inlineStr">
        <is>
          <t>Coop Union Mz D Lt 5</t>
        </is>
      </c>
      <c r="AL484" t="n">
        <v>959158450</v>
      </c>
      <c r="AM484" t="inlineStr">
        <is>
          <t>959158450</t>
        </is>
      </c>
      <c r="AN484" t="inlineStr">
        <is>
          <t>959158450@gmail.com</t>
        </is>
      </c>
      <c r="AO484" t="inlineStr">
        <is>
          <t>LIMA</t>
        </is>
      </c>
      <c r="AP484" t="inlineStr">
        <is>
          <t>SAN MARTIN DE PORRES</t>
        </is>
      </c>
      <c r="AQ484" s="75" t="n">
        <v>46159</v>
      </c>
      <c r="AR484" s="75" t="n">
        <v>46159</v>
      </c>
      <c r="AS484" t="inlineStr">
        <is>
          <t>SEPARACION</t>
        </is>
      </c>
      <c r="AT484" t="n">
        <v>1</v>
      </c>
      <c r="AU484" t="n">
        <v>3000</v>
      </c>
      <c r="AV484" t="n">
        <v>0</v>
      </c>
      <c r="AW484" t="n">
        <v>0</v>
      </c>
      <c r="AX484" s="39" t="n">
        <v>3000</v>
      </c>
      <c r="AY484" s="39" t="n">
        <v>3000</v>
      </c>
      <c r="AZ484" s="39" t="n">
        <v>0</v>
      </c>
      <c r="BA484" t="n">
        <v>0</v>
      </c>
      <c r="BB484" t="inlineStr">
        <is>
          <t>Crédito Hipotecario</t>
        </is>
      </c>
      <c r="BC484" t="inlineStr">
        <is>
          <t>Scotiabank Perú</t>
        </is>
      </c>
      <c r="BD484" t="inlineStr">
        <is>
          <t>0004071419</t>
        </is>
      </c>
      <c r="BE484" t="inlineStr">
        <is>
          <t>POS VISA</t>
        </is>
      </c>
      <c r="BG484" t="inlineStr">
        <is>
          <t>0038</t>
        </is>
      </c>
      <c r="BH484" t="inlineStr">
        <is>
          <t>Si</t>
        </is>
      </c>
      <c r="BJ484" t="n">
        <v>4</v>
      </c>
      <c r="BK484" t="inlineStr">
        <is>
          <t>CANCELADO</t>
        </is>
      </c>
      <c r="BV484" t="inlineStr">
        <is>
          <t>Si</t>
        </is>
      </c>
      <c r="BW484" s="76" t="n">
        <v>46168.40138888889</v>
      </c>
      <c r="BX484" t="inlineStr">
        <is>
          <t>Josue andres Perez Chamorro</t>
        </is>
      </c>
      <c r="BZ484" t="n">
        <v>16</v>
      </c>
      <c r="CA484" t="inlineStr">
        <is>
          <t>17/05/2026 17:56</t>
        </is>
      </c>
      <c r="CB484" t="n">
        <v>0</v>
      </c>
      <c r="CF484" t="inlineStr">
        <is>
          <t>Cobranzas_2026.csv</t>
        </is>
      </c>
      <c r="CG484" t="n">
        <v>2026</v>
      </c>
      <c r="CH484" t="inlineStr">
        <is>
          <t>01/01/2024</t>
        </is>
      </c>
      <c r="CI484" t="inlineStr">
        <is>
          <t>24/08/2031</t>
        </is>
      </c>
    </row>
    <row r="485">
      <c r="A485" t="inlineStr">
        <is>
          <t>RESIDENCIAL VENECIA</t>
        </is>
      </c>
      <c r="B485" t="inlineStr">
        <is>
          <t>Etapa 1</t>
        </is>
      </c>
      <c r="C485" t="inlineStr">
        <is>
          <t>Edificio</t>
        </is>
      </c>
      <c r="D485" t="inlineStr">
        <is>
          <t>A</t>
        </is>
      </c>
      <c r="E485" t="inlineStr">
        <is>
          <t>Departamento</t>
        </is>
      </c>
      <c r="F485" t="inlineStr">
        <is>
          <t>805</t>
        </is>
      </c>
      <c r="G485" t="n">
        <v>61</v>
      </c>
      <c r="H485" t="n">
        <v>0</v>
      </c>
      <c r="I485" s="39" t="n">
        <v>442000</v>
      </c>
      <c r="J485" s="39" t="n">
        <v>415000</v>
      </c>
      <c r="Q485" s="39" t="n"/>
      <c r="R485" s="39" t="n"/>
      <c r="Y485" s="39" t="n"/>
      <c r="Z485" s="39" t="n"/>
      <c r="AG485" s="39" t="n"/>
      <c r="AH485" s="39" t="n"/>
      <c r="AI485" t="inlineStr">
        <is>
          <t>Isabel Cristina Franco Zegarra</t>
        </is>
      </c>
      <c r="AJ485" t="inlineStr">
        <is>
          <t>09884970</t>
        </is>
      </c>
      <c r="AK485" t="inlineStr">
        <is>
          <t>Coop Union Mz D Lt 5</t>
        </is>
      </c>
      <c r="AL485" t="n">
        <v>959158450</v>
      </c>
      <c r="AM485" t="inlineStr">
        <is>
          <t>959158450</t>
        </is>
      </c>
      <c r="AN485" t="inlineStr">
        <is>
          <t>959158450@gmail.com</t>
        </is>
      </c>
      <c r="AO485" t="inlineStr">
        <is>
          <t>LIMA</t>
        </is>
      </c>
      <c r="AP485" t="inlineStr">
        <is>
          <t>SAN MARTIN DE PORRES</t>
        </is>
      </c>
      <c r="AQ485" s="75" t="n">
        <v>46171</v>
      </c>
      <c r="AR485" s="75" t="n">
        <v>46168</v>
      </c>
      <c r="AS485" t="inlineStr">
        <is>
          <t>CUOTA INICIAL</t>
        </is>
      </c>
      <c r="AT485" t="n">
        <v>1</v>
      </c>
      <c r="AU485" t="n">
        <v>30000</v>
      </c>
      <c r="AV485" t="n">
        <v>0</v>
      </c>
      <c r="AW485" t="n">
        <v>0</v>
      </c>
      <c r="AX485" s="39" t="n">
        <v>30000</v>
      </c>
      <c r="AY485" s="39" t="n">
        <v>30000</v>
      </c>
      <c r="AZ485" s="39" t="n">
        <v>0</v>
      </c>
      <c r="BA485" t="n">
        <v>0</v>
      </c>
      <c r="BB485" t="inlineStr">
        <is>
          <t>Crédito Hipotecario</t>
        </is>
      </c>
      <c r="BC485" t="inlineStr">
        <is>
          <t>Scotiabank Perú</t>
        </is>
      </c>
      <c r="BD485" t="inlineStr">
        <is>
          <t>0004071419</t>
        </is>
      </c>
      <c r="BE485" t="inlineStr">
        <is>
          <t>TRANSFERENCIA BANCARIA</t>
        </is>
      </c>
      <c r="BG485" t="inlineStr">
        <is>
          <t>109884970</t>
        </is>
      </c>
      <c r="BH485" t="inlineStr">
        <is>
          <t>Si</t>
        </is>
      </c>
      <c r="BJ485" t="n">
        <v>4</v>
      </c>
      <c r="BK485" t="inlineStr">
        <is>
          <t>CANCELADO</t>
        </is>
      </c>
      <c r="BV485" t="inlineStr">
        <is>
          <t>Si</t>
        </is>
      </c>
      <c r="BW485" s="76" t="n">
        <v>46168.40138888889</v>
      </c>
      <c r="BX485" t="inlineStr">
        <is>
          <t>Josue andres Perez Chamorro</t>
        </is>
      </c>
      <c r="BZ485" t="n">
        <v>16</v>
      </c>
      <c r="CA485" t="inlineStr">
        <is>
          <t>23/06/2026 10:59</t>
        </is>
      </c>
      <c r="CB485" t="n">
        <v>0</v>
      </c>
      <c r="CF485" t="inlineStr">
        <is>
          <t>Cobranzas_2026.csv</t>
        </is>
      </c>
      <c r="CG485" t="n">
        <v>2026</v>
      </c>
      <c r="CH485" t="inlineStr">
        <is>
          <t>01/01/2024</t>
        </is>
      </c>
      <c r="CI485" t="inlineStr">
        <is>
          <t>24/08/2031</t>
        </is>
      </c>
    </row>
    <row r="486">
      <c r="A486" t="inlineStr">
        <is>
          <t>RESIDENCIAL VENECIA</t>
        </is>
      </c>
      <c r="B486" t="inlineStr">
        <is>
          <t>Etapa 1</t>
        </is>
      </c>
      <c r="C486" t="inlineStr">
        <is>
          <t>Edificio</t>
        </is>
      </c>
      <c r="D486" t="inlineStr">
        <is>
          <t>A</t>
        </is>
      </c>
      <c r="E486" t="inlineStr">
        <is>
          <t>Departamento</t>
        </is>
      </c>
      <c r="F486" t="inlineStr">
        <is>
          <t>805</t>
        </is>
      </c>
      <c r="G486" t="n">
        <v>61</v>
      </c>
      <c r="H486" t="n">
        <v>0</v>
      </c>
      <c r="I486" s="39" t="n">
        <v>442000</v>
      </c>
      <c r="J486" s="39" t="n">
        <v>415000</v>
      </c>
      <c r="Q486" s="39" t="n"/>
      <c r="R486" s="39" t="n"/>
      <c r="Y486" s="39" t="n"/>
      <c r="Z486" s="39" t="n"/>
      <c r="AG486" s="39" t="n"/>
      <c r="AH486" s="39" t="n"/>
      <c r="AI486" t="inlineStr">
        <is>
          <t>Isabel Cristina Franco Zegarra</t>
        </is>
      </c>
      <c r="AJ486" t="inlineStr">
        <is>
          <t>09884970</t>
        </is>
      </c>
      <c r="AK486" t="inlineStr">
        <is>
          <t>Coop Union Mz D Lt 5</t>
        </is>
      </c>
      <c r="AL486" t="n">
        <v>959158450</v>
      </c>
      <c r="AM486" t="inlineStr">
        <is>
          <t>959158450</t>
        </is>
      </c>
      <c r="AN486" t="inlineStr">
        <is>
          <t>959158450@gmail.com</t>
        </is>
      </c>
      <c r="AO486" t="inlineStr">
        <is>
          <t>LIMA</t>
        </is>
      </c>
      <c r="AP486" t="inlineStr">
        <is>
          <t>SAN MARTIN DE PORRES</t>
        </is>
      </c>
      <c r="AQ486" s="75" t="n">
        <v>46171</v>
      </c>
      <c r="AR486" s="75" t="n">
        <v>46168</v>
      </c>
      <c r="AS486" t="inlineStr">
        <is>
          <t>CUOTA INICIAL</t>
        </is>
      </c>
      <c r="AT486" t="n">
        <v>2</v>
      </c>
      <c r="AU486" t="n">
        <v>30000</v>
      </c>
      <c r="AV486" t="n">
        <v>0</v>
      </c>
      <c r="AW486" t="n">
        <v>0</v>
      </c>
      <c r="AX486" s="39" t="n">
        <v>30000</v>
      </c>
      <c r="AY486" s="39" t="n">
        <v>30000</v>
      </c>
      <c r="AZ486" s="39" t="n">
        <v>0</v>
      </c>
      <c r="BA486" t="n">
        <v>0</v>
      </c>
      <c r="BB486" t="inlineStr">
        <is>
          <t>Crédito Hipotecario</t>
        </is>
      </c>
      <c r="BC486" t="inlineStr">
        <is>
          <t>Scotiabank Perú</t>
        </is>
      </c>
      <c r="BD486" t="inlineStr">
        <is>
          <t>0004071419</t>
        </is>
      </c>
      <c r="BE486" t="inlineStr">
        <is>
          <t>TRANSFERENCIA BANCARIA</t>
        </is>
      </c>
      <c r="BG486" t="inlineStr">
        <is>
          <t>109884870</t>
        </is>
      </c>
      <c r="BH486" t="inlineStr">
        <is>
          <t>Si</t>
        </is>
      </c>
      <c r="BI486" t="inlineStr">
        <is>
          <t>AHORROS PERSONALES</t>
        </is>
      </c>
      <c r="BJ486" t="n">
        <v>4</v>
      </c>
      <c r="BK486" t="inlineStr">
        <is>
          <t>CANCELADO</t>
        </is>
      </c>
      <c r="BV486" t="inlineStr">
        <is>
          <t>Si</t>
        </is>
      </c>
      <c r="BW486" s="76" t="n">
        <v>46168.40138888889</v>
      </c>
      <c r="BX486" t="inlineStr">
        <is>
          <t>Josue andres Perez Chamorro</t>
        </is>
      </c>
      <c r="BZ486" t="n">
        <v>16</v>
      </c>
      <c r="CA486" t="inlineStr">
        <is>
          <t>23/06/2026 11:00</t>
        </is>
      </c>
      <c r="CB486" t="n">
        <v>0</v>
      </c>
      <c r="CF486" t="inlineStr">
        <is>
          <t>Cobranzas_2026.csv</t>
        </is>
      </c>
      <c r="CG486" t="n">
        <v>2026</v>
      </c>
      <c r="CH486" t="inlineStr">
        <is>
          <t>01/01/2024</t>
        </is>
      </c>
      <c r="CI486" t="inlineStr">
        <is>
          <t>24/08/2031</t>
        </is>
      </c>
    </row>
    <row r="487">
      <c r="A487" t="inlineStr">
        <is>
          <t>RESIDENCIAL VENECIA</t>
        </is>
      </c>
      <c r="B487" t="inlineStr">
        <is>
          <t>Etapa 1</t>
        </is>
      </c>
      <c r="C487" t="inlineStr">
        <is>
          <t>Edificio</t>
        </is>
      </c>
      <c r="D487" t="inlineStr">
        <is>
          <t>A</t>
        </is>
      </c>
      <c r="E487" t="inlineStr">
        <is>
          <t>Departamento</t>
        </is>
      </c>
      <c r="F487" t="inlineStr">
        <is>
          <t>805</t>
        </is>
      </c>
      <c r="G487" t="n">
        <v>61</v>
      </c>
      <c r="H487" t="n">
        <v>0</v>
      </c>
      <c r="I487" s="39" t="n">
        <v>442000</v>
      </c>
      <c r="J487" s="39" t="n">
        <v>415000</v>
      </c>
      <c r="Q487" s="39" t="n"/>
      <c r="R487" s="39" t="n"/>
      <c r="Y487" s="39" t="n"/>
      <c r="Z487" s="39" t="n"/>
      <c r="AG487" s="39" t="n"/>
      <c r="AH487" s="39" t="n"/>
      <c r="AI487" t="inlineStr">
        <is>
          <t>Isabel Cristina Franco Zegarra</t>
        </is>
      </c>
      <c r="AJ487" t="inlineStr">
        <is>
          <t>09884970</t>
        </is>
      </c>
      <c r="AK487" t="inlineStr">
        <is>
          <t>Coop Union Mz D Lt 5</t>
        </is>
      </c>
      <c r="AL487" t="n">
        <v>959158450</v>
      </c>
      <c r="AM487" t="inlineStr">
        <is>
          <t>959158450</t>
        </is>
      </c>
      <c r="AN487" t="inlineStr">
        <is>
          <t>959158450@gmail.com</t>
        </is>
      </c>
      <c r="AO487" t="inlineStr">
        <is>
          <t>LIMA</t>
        </is>
      </c>
      <c r="AP487" t="inlineStr">
        <is>
          <t>SAN MARTIN DE PORRES</t>
        </is>
      </c>
      <c r="AQ487" s="75" t="n">
        <v>46171</v>
      </c>
      <c r="AR487" s="75" t="n">
        <v>46168</v>
      </c>
      <c r="AS487" t="inlineStr">
        <is>
          <t>CUOTA INICIAL</t>
        </is>
      </c>
      <c r="AT487" t="n">
        <v>3</v>
      </c>
      <c r="AU487" t="n">
        <v>20000</v>
      </c>
      <c r="AV487" t="n">
        <v>0</v>
      </c>
      <c r="AW487" t="n">
        <v>0</v>
      </c>
      <c r="AX487" s="39" t="n">
        <v>20000</v>
      </c>
      <c r="AY487" s="39" t="n">
        <v>20000</v>
      </c>
      <c r="AZ487" s="39" t="n">
        <v>0</v>
      </c>
      <c r="BA487" t="n">
        <v>0</v>
      </c>
      <c r="BB487" t="inlineStr">
        <is>
          <t>Crédito Hipotecario</t>
        </is>
      </c>
      <c r="BC487" t="inlineStr">
        <is>
          <t>Scotiabank Perú</t>
        </is>
      </c>
      <c r="BD487" t="inlineStr">
        <is>
          <t>0004071419</t>
        </is>
      </c>
      <c r="BE487" t="inlineStr">
        <is>
          <t>TRANSFERENCIA BANCARIA</t>
        </is>
      </c>
      <c r="BG487" t="inlineStr">
        <is>
          <t>109884970</t>
        </is>
      </c>
      <c r="BH487" t="inlineStr">
        <is>
          <t>Si</t>
        </is>
      </c>
      <c r="BJ487" t="n">
        <v>4</v>
      </c>
      <c r="BK487" t="inlineStr">
        <is>
          <t>CANCELADO</t>
        </is>
      </c>
      <c r="BV487" t="inlineStr">
        <is>
          <t>Si</t>
        </is>
      </c>
      <c r="BW487" s="76" t="n">
        <v>46168.40138888889</v>
      </c>
      <c r="BX487" t="inlineStr">
        <is>
          <t>Josue andres Perez Chamorro</t>
        </is>
      </c>
      <c r="BZ487" t="n">
        <v>16</v>
      </c>
      <c r="CA487" t="inlineStr">
        <is>
          <t>23/06/2026 11:01</t>
        </is>
      </c>
      <c r="CB487" t="n">
        <v>0</v>
      </c>
      <c r="CF487" t="inlineStr">
        <is>
          <t>Cobranzas_2026.csv</t>
        </is>
      </c>
      <c r="CG487" t="n">
        <v>2026</v>
      </c>
      <c r="CH487" t="inlineStr">
        <is>
          <t>01/01/2024</t>
        </is>
      </c>
      <c r="CI487" t="inlineStr">
        <is>
          <t>24/08/2031</t>
        </is>
      </c>
    </row>
    <row r="488">
      <c r="A488" t="inlineStr">
        <is>
          <t>RESIDENCIAL VENECIA</t>
        </is>
      </c>
      <c r="B488" t="inlineStr">
        <is>
          <t>Etapa 1</t>
        </is>
      </c>
      <c r="C488" t="inlineStr">
        <is>
          <t>Edificio</t>
        </is>
      </c>
      <c r="D488" t="inlineStr">
        <is>
          <t>A</t>
        </is>
      </c>
      <c r="E488" t="inlineStr">
        <is>
          <t>Departamento</t>
        </is>
      </c>
      <c r="F488" t="inlineStr">
        <is>
          <t>805</t>
        </is>
      </c>
      <c r="G488" t="n">
        <v>61</v>
      </c>
      <c r="H488" t="n">
        <v>0</v>
      </c>
      <c r="I488" s="39" t="n">
        <v>442000</v>
      </c>
      <c r="J488" s="39" t="n">
        <v>415000</v>
      </c>
      <c r="Q488" s="39" t="n"/>
      <c r="R488" s="39" t="n"/>
      <c r="Y488" s="39" t="n"/>
      <c r="Z488" s="39" t="n"/>
      <c r="AG488" s="39" t="n"/>
      <c r="AH488" s="39" t="n"/>
      <c r="AI488" t="inlineStr">
        <is>
          <t>Isabel Cristina Franco Zegarra</t>
        </is>
      </c>
      <c r="AJ488" t="inlineStr">
        <is>
          <t>09884970</t>
        </is>
      </c>
      <c r="AK488" t="inlineStr">
        <is>
          <t>Coop Union Mz D Lt 5</t>
        </is>
      </c>
      <c r="AL488" t="n">
        <v>959158450</v>
      </c>
      <c r="AM488" t="inlineStr">
        <is>
          <t>959158450</t>
        </is>
      </c>
      <c r="AN488" t="inlineStr">
        <is>
          <t>959158450@gmail.com</t>
        </is>
      </c>
      <c r="AO488" t="inlineStr">
        <is>
          <t>LIMA</t>
        </is>
      </c>
      <c r="AP488" t="inlineStr">
        <is>
          <t>SAN MARTIN DE PORRES</t>
        </is>
      </c>
      <c r="AQ488" s="75" t="n">
        <v>46199</v>
      </c>
      <c r="AR488" s="75" t="n">
        <v>46195</v>
      </c>
      <c r="AS488" t="inlineStr">
        <is>
          <t>CUOTA INICIAL</t>
        </is>
      </c>
      <c r="AT488" t="n">
        <v>4</v>
      </c>
      <c r="AU488" t="n">
        <v>24000</v>
      </c>
      <c r="AV488" t="n">
        <v>0</v>
      </c>
      <c r="AW488" t="n">
        <v>0</v>
      </c>
      <c r="AX488" s="39" t="n">
        <v>24000</v>
      </c>
      <c r="AY488" s="39" t="n">
        <v>24000</v>
      </c>
      <c r="AZ488" s="39" t="n">
        <v>0</v>
      </c>
      <c r="BA488" t="n">
        <v>0</v>
      </c>
      <c r="BB488" t="inlineStr">
        <is>
          <t>Crédito Hipotecario</t>
        </is>
      </c>
      <c r="BC488" t="inlineStr">
        <is>
          <t>Scotiabank Perú</t>
        </is>
      </c>
      <c r="BD488" t="inlineStr">
        <is>
          <t>0004071419</t>
        </is>
      </c>
      <c r="BE488" t="inlineStr">
        <is>
          <t>TRANSFERENCIA BANCARIA</t>
        </is>
      </c>
      <c r="BG488" t="inlineStr">
        <is>
          <t>U100717</t>
        </is>
      </c>
      <c r="BH488" t="inlineStr">
        <is>
          <t>Si</t>
        </is>
      </c>
      <c r="BJ488" t="n">
        <v>4</v>
      </c>
      <c r="BK488" t="inlineStr">
        <is>
          <t>CANCELADO</t>
        </is>
      </c>
      <c r="BV488" t="inlineStr">
        <is>
          <t>Si</t>
        </is>
      </c>
      <c r="BW488" s="76" t="n">
        <v>46168.40138888889</v>
      </c>
      <c r="BX488" t="inlineStr">
        <is>
          <t>Josue andres Perez Chamorro</t>
        </is>
      </c>
      <c r="BZ488" t="n">
        <v>16</v>
      </c>
      <c r="CA488" t="inlineStr">
        <is>
          <t>23/06/2026 11:02</t>
        </is>
      </c>
      <c r="CB488" t="n">
        <v>0</v>
      </c>
      <c r="CF488" t="inlineStr">
        <is>
          <t>Cobranzas_2026.csv</t>
        </is>
      </c>
      <c r="CG488" t="n">
        <v>2026</v>
      </c>
      <c r="CH488" t="inlineStr">
        <is>
          <t>01/01/2024</t>
        </is>
      </c>
      <c r="CI488" t="inlineStr">
        <is>
          <t>24/08/2031</t>
        </is>
      </c>
    </row>
    <row r="489">
      <c r="A489" t="inlineStr">
        <is>
          <t>RESIDENCIAL VENECIA</t>
        </is>
      </c>
      <c r="B489" t="inlineStr">
        <is>
          <t>Etapa 1</t>
        </is>
      </c>
      <c r="C489" t="inlineStr">
        <is>
          <t>Edificio</t>
        </is>
      </c>
      <c r="D489" t="inlineStr">
        <is>
          <t>A</t>
        </is>
      </c>
      <c r="E489" t="inlineStr">
        <is>
          <t>Departamento</t>
        </is>
      </c>
      <c r="F489" t="inlineStr">
        <is>
          <t>805</t>
        </is>
      </c>
      <c r="G489" t="n">
        <v>61</v>
      </c>
      <c r="H489" t="n">
        <v>0</v>
      </c>
      <c r="I489" s="39" t="n">
        <v>442000</v>
      </c>
      <c r="J489" s="39" t="n">
        <v>415000</v>
      </c>
      <c r="Q489" s="39" t="n"/>
      <c r="R489" s="39" t="n"/>
      <c r="Y489" s="39" t="n"/>
      <c r="Z489" s="39" t="n"/>
      <c r="AG489" s="39" t="n"/>
      <c r="AH489" s="39" t="n"/>
      <c r="AI489" t="inlineStr">
        <is>
          <t>Isabel Cristina Franco Zegarra</t>
        </is>
      </c>
      <c r="AJ489" t="inlineStr">
        <is>
          <t>09884970</t>
        </is>
      </c>
      <c r="AK489" t="inlineStr">
        <is>
          <t>Coop Union Mz D Lt 5</t>
        </is>
      </c>
      <c r="AL489" t="n">
        <v>959158450</v>
      </c>
      <c r="AM489" t="inlineStr">
        <is>
          <t>959158450</t>
        </is>
      </c>
      <c r="AN489" t="inlineStr">
        <is>
          <t>959158450@gmail.com</t>
        </is>
      </c>
      <c r="AO489" t="inlineStr">
        <is>
          <t>LIMA</t>
        </is>
      </c>
      <c r="AP489" t="inlineStr">
        <is>
          <t>SAN MARTIN DE PORRES</t>
        </is>
      </c>
      <c r="AQ489" s="75" t="n">
        <v>46199</v>
      </c>
      <c r="AR489" s="75" t="n">
        <v>46195</v>
      </c>
      <c r="AS489" t="inlineStr">
        <is>
          <t>CUOTA INICIAL</t>
        </is>
      </c>
      <c r="AT489" t="n">
        <v>5</v>
      </c>
      <c r="AU489" t="n">
        <v>17500</v>
      </c>
      <c r="AV489" t="n">
        <v>0</v>
      </c>
      <c r="AW489" t="n">
        <v>0</v>
      </c>
      <c r="AX489" s="39" t="n">
        <v>17500</v>
      </c>
      <c r="AY489" s="39" t="n">
        <v>17500</v>
      </c>
      <c r="AZ489" s="39" t="n">
        <v>0</v>
      </c>
      <c r="BA489" t="n">
        <v>0</v>
      </c>
      <c r="BB489" t="inlineStr">
        <is>
          <t>Crédito Hipotecario</t>
        </is>
      </c>
      <c r="BC489" t="inlineStr">
        <is>
          <t>Scotiabank Perú</t>
        </is>
      </c>
      <c r="BD489" t="inlineStr">
        <is>
          <t>0004071419</t>
        </is>
      </c>
      <c r="BE489" t="inlineStr">
        <is>
          <t>TRANSFERENCIA BANCARIA</t>
        </is>
      </c>
      <c r="BG489" t="inlineStr">
        <is>
          <t>0635520</t>
        </is>
      </c>
      <c r="BH489" t="inlineStr">
        <is>
          <t>Si</t>
        </is>
      </c>
      <c r="BJ489" t="n">
        <v>4</v>
      </c>
      <c r="BK489" t="inlineStr">
        <is>
          <t>CANCELADO</t>
        </is>
      </c>
      <c r="BV489" t="inlineStr">
        <is>
          <t>Si</t>
        </is>
      </c>
      <c r="BW489" s="76" t="n">
        <v>46168.40138888889</v>
      </c>
      <c r="BX489" t="inlineStr">
        <is>
          <t>Josue andres Perez Chamorro</t>
        </is>
      </c>
      <c r="BZ489" t="n">
        <v>16</v>
      </c>
      <c r="CA489" t="inlineStr">
        <is>
          <t>23/06/2026 11:03</t>
        </is>
      </c>
      <c r="CB489" t="n">
        <v>0</v>
      </c>
      <c r="CF489" t="inlineStr">
        <is>
          <t>Cobranzas_2026.csv</t>
        </is>
      </c>
      <c r="CG489" t="n">
        <v>2026</v>
      </c>
      <c r="CH489" t="inlineStr">
        <is>
          <t>01/01/2024</t>
        </is>
      </c>
      <c r="CI489" t="inlineStr">
        <is>
          <t>24/08/2031</t>
        </is>
      </c>
    </row>
    <row r="490">
      <c r="A490" t="inlineStr">
        <is>
          <t>RESIDENCIAL VENECIA</t>
        </is>
      </c>
      <c r="B490" t="inlineStr">
        <is>
          <t>Etapa 1</t>
        </is>
      </c>
      <c r="C490" t="inlineStr">
        <is>
          <t>Edificio</t>
        </is>
      </c>
      <c r="D490" t="inlineStr">
        <is>
          <t>A</t>
        </is>
      </c>
      <c r="E490" t="inlineStr">
        <is>
          <t>Departamento</t>
        </is>
      </c>
      <c r="F490" t="inlineStr">
        <is>
          <t>805</t>
        </is>
      </c>
      <c r="G490" t="n">
        <v>61</v>
      </c>
      <c r="H490" t="n">
        <v>0</v>
      </c>
      <c r="I490" s="39" t="n">
        <v>442000</v>
      </c>
      <c r="J490" s="39" t="n">
        <v>415000</v>
      </c>
      <c r="Q490" s="39" t="n"/>
      <c r="R490" s="39" t="n"/>
      <c r="Y490" s="39" t="n"/>
      <c r="Z490" s="39" t="n"/>
      <c r="AG490" s="39" t="n"/>
      <c r="AH490" s="39" t="n"/>
      <c r="AI490" t="inlineStr">
        <is>
          <t>Isabel Cristina Franco Zegarra</t>
        </is>
      </c>
      <c r="AJ490" t="inlineStr">
        <is>
          <t>09884970</t>
        </is>
      </c>
      <c r="AK490" t="inlineStr">
        <is>
          <t>Coop Union Mz D Lt 5</t>
        </is>
      </c>
      <c r="AL490" t="n">
        <v>959158450</v>
      </c>
      <c r="AM490" t="inlineStr">
        <is>
          <t>959158450</t>
        </is>
      </c>
      <c r="AN490" t="inlineStr">
        <is>
          <t>959158450@gmail.com</t>
        </is>
      </c>
      <c r="AO490" t="inlineStr">
        <is>
          <t>LIMA</t>
        </is>
      </c>
      <c r="AP490" t="inlineStr">
        <is>
          <t>SAN MARTIN DE PORRES</t>
        </is>
      </c>
      <c r="AQ490" s="75" t="n">
        <v>46203</v>
      </c>
      <c r="AR490" s="75" t="n">
        <v>46227</v>
      </c>
      <c r="AS490" t="inlineStr">
        <is>
          <t>SALDO FINANCIAR</t>
        </is>
      </c>
      <c r="AT490" t="n">
        <v>1</v>
      </c>
      <c r="AU490" t="n">
        <v>290500</v>
      </c>
      <c r="AV490" t="n">
        <v>0</v>
      </c>
      <c r="AW490" t="n">
        <v>0</v>
      </c>
      <c r="AX490" s="39" t="n">
        <v>290500</v>
      </c>
      <c r="AY490" s="39" t="n">
        <v>290500</v>
      </c>
      <c r="AZ490" s="39" t="n">
        <v>0</v>
      </c>
      <c r="BA490" t="n">
        <v>0</v>
      </c>
      <c r="BB490" t="inlineStr">
        <is>
          <t>Crédito Hipotecario</t>
        </is>
      </c>
      <c r="BC490" t="inlineStr">
        <is>
          <t>Scotiabank Perú</t>
        </is>
      </c>
      <c r="BD490" t="inlineStr">
        <is>
          <t>0004071419</t>
        </is>
      </c>
      <c r="BE490" t="inlineStr">
        <is>
          <t>TRANSFERENCIA BANCARIA</t>
        </is>
      </c>
      <c r="BH490" t="inlineStr">
        <is>
          <t>No</t>
        </is>
      </c>
      <c r="BJ490" t="n">
        <v>4</v>
      </c>
      <c r="BK490" t="inlineStr">
        <is>
          <t>CANCELADO</t>
        </is>
      </c>
      <c r="BV490" t="inlineStr">
        <is>
          <t>Si</t>
        </is>
      </c>
      <c r="BW490" s="76" t="n">
        <v>46168.40138888889</v>
      </c>
      <c r="BX490" t="inlineStr">
        <is>
          <t>Josue andres Perez Chamorro</t>
        </is>
      </c>
      <c r="BZ490" t="n">
        <v>16</v>
      </c>
      <c r="CA490" t="inlineStr">
        <is>
          <t>19/08/2026 12:19</t>
        </is>
      </c>
      <c r="CB490" t="n">
        <v>0</v>
      </c>
      <c r="CF490" t="inlineStr">
        <is>
          <t>Cobranzas_2026.csv</t>
        </is>
      </c>
      <c r="CG490" t="n">
        <v>2026</v>
      </c>
      <c r="CH490" t="inlineStr">
        <is>
          <t>01/01/2024</t>
        </is>
      </c>
      <c r="CI490" t="inlineStr">
        <is>
          <t>24/08/2031</t>
        </is>
      </c>
    </row>
    <row r="491">
      <c r="A491" t="inlineStr">
        <is>
          <t>RESIDENCIAL BEYOND</t>
        </is>
      </c>
      <c r="B491" t="inlineStr">
        <is>
          <t>Etapa 1</t>
        </is>
      </c>
      <c r="C491" t="inlineStr">
        <is>
          <t>Edificio</t>
        </is>
      </c>
      <c r="D491" t="inlineStr">
        <is>
          <t>A</t>
        </is>
      </c>
      <c r="E491" t="inlineStr">
        <is>
          <t>Departamento</t>
        </is>
      </c>
      <c r="F491" t="inlineStr">
        <is>
          <t>1401</t>
        </is>
      </c>
      <c r="G491" t="n">
        <v>70</v>
      </c>
      <c r="H491" t="n">
        <v>0</v>
      </c>
      <c r="I491" s="39" t="n">
        <v>531100</v>
      </c>
      <c r="J491" s="39" t="n">
        <v>483000</v>
      </c>
      <c r="Q491" s="39" t="n"/>
      <c r="R491" s="39" t="n"/>
      <c r="Y491" s="39" t="n"/>
      <c r="Z491" s="39" t="n"/>
      <c r="AG491" s="39" t="n"/>
      <c r="AH491" s="39" t="n"/>
      <c r="AI491" t="inlineStr">
        <is>
          <t>Jacqueline Elsa Moreno Huaman</t>
        </is>
      </c>
      <c r="AJ491" t="inlineStr">
        <is>
          <t>28276212</t>
        </is>
      </c>
      <c r="AK491" t="inlineStr">
        <is>
          <t>Calle Padr Urraca 111 Edifc. 6 - Dpto. 603</t>
        </is>
      </c>
      <c r="AL491" t="n">
        <v>0</v>
      </c>
      <c r="AM491" t="inlineStr">
        <is>
          <t>966689822</t>
        </is>
      </c>
      <c r="AN491" t="inlineStr">
        <is>
          <t>jmoreno.incorp@gmail.com</t>
        </is>
      </c>
      <c r="AO491" t="inlineStr">
        <is>
          <t>LIMA</t>
        </is>
      </c>
      <c r="AP491" t="inlineStr">
        <is>
          <t>SAN MIGUEL</t>
        </is>
      </c>
      <c r="AQ491" s="75" t="n">
        <v>46165</v>
      </c>
      <c r="AR491" s="75" t="n">
        <v>46165</v>
      </c>
      <c r="AS491" t="inlineStr">
        <is>
          <t>SEPARACION</t>
        </is>
      </c>
      <c r="AT491" t="n">
        <v>1</v>
      </c>
      <c r="AU491" t="n">
        <v>3000</v>
      </c>
      <c r="AV491" t="n">
        <v>0</v>
      </c>
      <c r="AW491" t="n">
        <v>0</v>
      </c>
      <c r="AX491" s="39" t="n">
        <v>3000</v>
      </c>
      <c r="AY491" s="39" t="n">
        <v>3000</v>
      </c>
      <c r="AZ491" s="39" t="n">
        <v>0</v>
      </c>
      <c r="BA491" t="n">
        <v>0</v>
      </c>
      <c r="BB491" t="inlineStr">
        <is>
          <t>Ahorro</t>
        </is>
      </c>
      <c r="BC491" t="inlineStr">
        <is>
          <t>Banco de Credito del Perú</t>
        </is>
      </c>
      <c r="BD491" t="inlineStr">
        <is>
          <t>194-7325779-0-65</t>
        </is>
      </c>
      <c r="BE491" t="inlineStr">
        <is>
          <t>TRANSFERENCIA BANCARIA</t>
        </is>
      </c>
      <c r="BG491" t="inlineStr">
        <is>
          <t>00833460</t>
        </is>
      </c>
      <c r="BH491" t="inlineStr">
        <is>
          <t>No</t>
        </is>
      </c>
      <c r="BJ491" t="n">
        <v>4</v>
      </c>
      <c r="BK491" t="inlineStr">
        <is>
          <t>CANCELADO</t>
        </is>
      </c>
      <c r="BV491" t="inlineStr">
        <is>
          <t>Si</t>
        </is>
      </c>
      <c r="BW491" s="76" t="n">
        <v>46172.40138888889</v>
      </c>
      <c r="BX491" t="inlineStr">
        <is>
          <t>Carla Michue M</t>
        </is>
      </c>
      <c r="BZ491" t="n">
        <v>46</v>
      </c>
      <c r="CA491" t="inlineStr">
        <is>
          <t>11/07/2026 09:36</t>
        </is>
      </c>
      <c r="CB491" t="n">
        <v>0</v>
      </c>
      <c r="CF491" t="inlineStr">
        <is>
          <t>Cobranzas_2026.csv</t>
        </is>
      </c>
      <c r="CG491" t="n">
        <v>2026</v>
      </c>
      <c r="CH491" t="inlineStr">
        <is>
          <t>01/01/2024</t>
        </is>
      </c>
      <c r="CI491" t="inlineStr">
        <is>
          <t>24/08/2031</t>
        </is>
      </c>
    </row>
    <row r="492">
      <c r="A492" t="inlineStr">
        <is>
          <t>RESIDENCIAL BEYOND</t>
        </is>
      </c>
      <c r="B492" t="inlineStr">
        <is>
          <t>Etapa 1</t>
        </is>
      </c>
      <c r="C492" t="inlineStr">
        <is>
          <t>Edificio</t>
        </is>
      </c>
      <c r="D492" t="inlineStr">
        <is>
          <t>A</t>
        </is>
      </c>
      <c r="E492" t="inlineStr">
        <is>
          <t>Departamento</t>
        </is>
      </c>
      <c r="F492" t="inlineStr">
        <is>
          <t>1401</t>
        </is>
      </c>
      <c r="G492" t="n">
        <v>70</v>
      </c>
      <c r="H492" t="n">
        <v>0</v>
      </c>
      <c r="I492" s="39" t="n">
        <v>531100</v>
      </c>
      <c r="J492" s="39" t="n">
        <v>483000</v>
      </c>
      <c r="Q492" s="39" t="n"/>
      <c r="R492" s="39" t="n"/>
      <c r="Y492" s="39" t="n"/>
      <c r="Z492" s="39" t="n"/>
      <c r="AG492" s="39" t="n"/>
      <c r="AH492" s="39" t="n"/>
      <c r="AI492" t="inlineStr">
        <is>
          <t>Jacqueline Elsa Moreno Huaman</t>
        </is>
      </c>
      <c r="AJ492" t="inlineStr">
        <is>
          <t>28276212</t>
        </is>
      </c>
      <c r="AK492" t="inlineStr">
        <is>
          <t>Calle Padr Urraca 111 Edifc. 6 - Dpto. 603</t>
        </is>
      </c>
      <c r="AL492" t="n">
        <v>0</v>
      </c>
      <c r="AM492" t="inlineStr">
        <is>
          <t>966689822</t>
        </is>
      </c>
      <c r="AN492" t="inlineStr">
        <is>
          <t>jmoreno.incorp@gmail.com</t>
        </is>
      </c>
      <c r="AO492" t="inlineStr">
        <is>
          <t>LIMA</t>
        </is>
      </c>
      <c r="AP492" t="inlineStr">
        <is>
          <t>SAN MIGUEL</t>
        </is>
      </c>
      <c r="AQ492" s="75" t="n">
        <v>46172</v>
      </c>
      <c r="AR492" s="75" t="n">
        <v>46172</v>
      </c>
      <c r="AS492" t="inlineStr">
        <is>
          <t>CUOTA INICIAL</t>
        </is>
      </c>
      <c r="AT492" t="n">
        <v>1</v>
      </c>
      <c r="AU492" t="n">
        <v>7000</v>
      </c>
      <c r="AV492" t="n">
        <v>0</v>
      </c>
      <c r="AW492" t="n">
        <v>0</v>
      </c>
      <c r="AX492" s="39" t="n">
        <v>7000</v>
      </c>
      <c r="AY492" s="39" t="n">
        <v>7000</v>
      </c>
      <c r="AZ492" s="39" t="n">
        <v>0</v>
      </c>
      <c r="BA492" t="n">
        <v>0</v>
      </c>
      <c r="BB492" t="inlineStr">
        <is>
          <t>Ahorro</t>
        </is>
      </c>
      <c r="BC492" t="inlineStr">
        <is>
          <t>Banco de Credito del Perú</t>
        </is>
      </c>
      <c r="BD492" t="inlineStr">
        <is>
          <t>194-7325779-0-65</t>
        </is>
      </c>
      <c r="BE492" t="inlineStr">
        <is>
          <t>TRANSFERENCIA BANCARIA</t>
        </is>
      </c>
      <c r="BG492" t="inlineStr">
        <is>
          <t>06218150</t>
        </is>
      </c>
      <c r="BH492" t="inlineStr">
        <is>
          <t>No</t>
        </is>
      </c>
      <c r="BJ492" t="n">
        <v>4</v>
      </c>
      <c r="BK492" t="inlineStr">
        <is>
          <t>CANCELADO</t>
        </is>
      </c>
      <c r="BV492" t="inlineStr">
        <is>
          <t>Si</t>
        </is>
      </c>
      <c r="BW492" s="76" t="n">
        <v>46172.40138888889</v>
      </c>
      <c r="BX492" t="inlineStr">
        <is>
          <t>Carla Michue M</t>
        </is>
      </c>
      <c r="BZ492" t="n">
        <v>46</v>
      </c>
      <c r="CA492" t="inlineStr">
        <is>
          <t>11/07/2026 09:37</t>
        </is>
      </c>
      <c r="CB492" t="n">
        <v>0</v>
      </c>
      <c r="CF492" t="inlineStr">
        <is>
          <t>Cobranzas_2026.csv</t>
        </is>
      </c>
      <c r="CG492" t="n">
        <v>2026</v>
      </c>
      <c r="CH492" t="inlineStr">
        <is>
          <t>01/01/2024</t>
        </is>
      </c>
      <c r="CI492" t="inlineStr">
        <is>
          <t>24/08/2031</t>
        </is>
      </c>
    </row>
    <row r="493">
      <c r="A493" t="inlineStr">
        <is>
          <t>RESIDENCIAL BEYOND</t>
        </is>
      </c>
      <c r="B493" t="inlineStr">
        <is>
          <t>Etapa 1</t>
        </is>
      </c>
      <c r="C493" t="inlineStr">
        <is>
          <t>Edificio</t>
        </is>
      </c>
      <c r="D493" t="inlineStr">
        <is>
          <t>A</t>
        </is>
      </c>
      <c r="E493" t="inlineStr">
        <is>
          <t>Departamento</t>
        </is>
      </c>
      <c r="F493" t="inlineStr">
        <is>
          <t>1401</t>
        </is>
      </c>
      <c r="G493" t="n">
        <v>70</v>
      </c>
      <c r="H493" t="n">
        <v>0</v>
      </c>
      <c r="I493" s="39" t="n">
        <v>531100</v>
      </c>
      <c r="J493" s="39" t="n">
        <v>483000</v>
      </c>
      <c r="Q493" s="39" t="n"/>
      <c r="R493" s="39" t="n"/>
      <c r="Y493" s="39" t="n"/>
      <c r="Z493" s="39" t="n"/>
      <c r="AG493" s="39" t="n"/>
      <c r="AH493" s="39" t="n"/>
      <c r="AI493" t="inlineStr">
        <is>
          <t>Jacqueline Elsa Moreno Huaman</t>
        </is>
      </c>
      <c r="AJ493" t="inlineStr">
        <is>
          <t>28276212</t>
        </is>
      </c>
      <c r="AK493" t="inlineStr">
        <is>
          <t>Calle Padr Urraca 111 Edifc. 6 - Dpto. 603</t>
        </is>
      </c>
      <c r="AL493" t="n">
        <v>0</v>
      </c>
      <c r="AM493" t="inlineStr">
        <is>
          <t>966689822</t>
        </is>
      </c>
      <c r="AN493" t="inlineStr">
        <is>
          <t>jmoreno.incorp@gmail.com</t>
        </is>
      </c>
      <c r="AO493" t="inlineStr">
        <is>
          <t>LIMA</t>
        </is>
      </c>
      <c r="AP493" t="inlineStr">
        <is>
          <t>SAN MIGUEL</t>
        </is>
      </c>
      <c r="AQ493" s="75" t="n">
        <v>46265</v>
      </c>
      <c r="AR493" s="75" t="n"/>
      <c r="AS493" t="inlineStr">
        <is>
          <t>CUOTA INICIAL</t>
        </is>
      </c>
      <c r="AT493" t="n">
        <v>2</v>
      </c>
      <c r="AU493" t="n">
        <v>55000</v>
      </c>
      <c r="AV493" t="n">
        <v>0</v>
      </c>
      <c r="AW493" t="n">
        <v>0</v>
      </c>
      <c r="AX493" s="39" t="n">
        <v>55000</v>
      </c>
      <c r="AY493" s="39" t="n">
        <v>0</v>
      </c>
      <c r="AZ493" s="39" t="n">
        <v>55000</v>
      </c>
      <c r="BB493" t="inlineStr">
        <is>
          <t>Ahorro</t>
        </is>
      </c>
      <c r="BH493" t="inlineStr">
        <is>
          <t>No</t>
        </is>
      </c>
      <c r="BK493" t="inlineStr">
        <is>
          <t>PENDIENTE</t>
        </is>
      </c>
      <c r="BV493" t="inlineStr">
        <is>
          <t>No</t>
        </is>
      </c>
      <c r="BW493" s="76" t="n">
        <v>46172.40138888889</v>
      </c>
      <c r="BX493" t="inlineStr">
        <is>
          <t>Carla Michue M</t>
        </is>
      </c>
      <c r="BZ493" t="n">
        <v>46</v>
      </c>
      <c r="CB493" t="n">
        <v>0</v>
      </c>
      <c r="CF493" t="inlineStr">
        <is>
          <t>Cobranzas_2026.csv</t>
        </is>
      </c>
      <c r="CG493" t="n">
        <v>2026</v>
      </c>
      <c r="CH493" t="inlineStr">
        <is>
          <t>01/01/2024</t>
        </is>
      </c>
      <c r="CI493" t="inlineStr">
        <is>
          <t>24/08/2031</t>
        </is>
      </c>
    </row>
    <row r="494">
      <c r="A494" t="inlineStr">
        <is>
          <t>RESIDENCIAL BEYOND</t>
        </is>
      </c>
      <c r="B494" t="inlineStr">
        <is>
          <t>Etapa 1</t>
        </is>
      </c>
      <c r="C494" t="inlineStr">
        <is>
          <t>Edificio</t>
        </is>
      </c>
      <c r="D494" t="inlineStr">
        <is>
          <t>A</t>
        </is>
      </c>
      <c r="E494" t="inlineStr">
        <is>
          <t>Departamento</t>
        </is>
      </c>
      <c r="F494" t="inlineStr">
        <is>
          <t>1401</t>
        </is>
      </c>
      <c r="G494" t="n">
        <v>70</v>
      </c>
      <c r="H494" t="n">
        <v>0</v>
      </c>
      <c r="I494" s="39" t="n">
        <v>531100</v>
      </c>
      <c r="J494" s="39" t="n">
        <v>483000</v>
      </c>
      <c r="Q494" s="39" t="n"/>
      <c r="R494" s="39" t="n"/>
      <c r="Y494" s="39" t="n"/>
      <c r="Z494" s="39" t="n"/>
      <c r="AG494" s="39" t="n"/>
      <c r="AH494" s="39" t="n"/>
      <c r="AI494" t="inlineStr">
        <is>
          <t>Jacqueline Elsa Moreno Huaman</t>
        </is>
      </c>
      <c r="AJ494" t="inlineStr">
        <is>
          <t>28276212</t>
        </is>
      </c>
      <c r="AK494" t="inlineStr">
        <is>
          <t>Calle Padr Urraca 111 Edifc. 6 - Dpto. 603</t>
        </is>
      </c>
      <c r="AL494" t="n">
        <v>0</v>
      </c>
      <c r="AM494" t="inlineStr">
        <is>
          <t>966689822</t>
        </is>
      </c>
      <c r="AN494" t="inlineStr">
        <is>
          <t>jmoreno.incorp@gmail.com</t>
        </is>
      </c>
      <c r="AO494" t="inlineStr">
        <is>
          <t>LIMA</t>
        </is>
      </c>
      <c r="AP494" t="inlineStr">
        <is>
          <t>SAN MIGUEL</t>
        </is>
      </c>
      <c r="AQ494" s="75" t="n">
        <v>46386</v>
      </c>
      <c r="AR494" s="75" t="n"/>
      <c r="AS494" t="inlineStr">
        <is>
          <t>AHORRO CASA</t>
        </is>
      </c>
      <c r="AT494" t="n">
        <v>3</v>
      </c>
      <c r="AU494" t="n">
        <v>55000</v>
      </c>
      <c r="AV494" t="n">
        <v>0</v>
      </c>
      <c r="AW494" t="n">
        <v>0</v>
      </c>
      <c r="AX494" s="39" t="n">
        <v>55000</v>
      </c>
      <c r="AY494" s="39" t="n">
        <v>0</v>
      </c>
      <c r="AZ494" s="39" t="n">
        <v>55000</v>
      </c>
      <c r="BB494" t="inlineStr">
        <is>
          <t>Ahorro</t>
        </is>
      </c>
      <c r="BH494" t="inlineStr">
        <is>
          <t>No</t>
        </is>
      </c>
      <c r="BK494" t="inlineStr">
        <is>
          <t>PENDIENTE</t>
        </is>
      </c>
      <c r="BV494" t="inlineStr">
        <is>
          <t>No</t>
        </is>
      </c>
      <c r="BW494" s="76" t="n">
        <v>46172.40138888889</v>
      </c>
      <c r="BX494" t="inlineStr">
        <is>
          <t>Carla Michue M</t>
        </is>
      </c>
      <c r="BZ494" t="n">
        <v>46</v>
      </c>
      <c r="CB494" t="n">
        <v>0</v>
      </c>
      <c r="CF494" t="inlineStr">
        <is>
          <t>Cobranzas_2026.csv</t>
        </is>
      </c>
      <c r="CG494" t="n">
        <v>2026</v>
      </c>
      <c r="CH494" t="inlineStr">
        <is>
          <t>01/01/2024</t>
        </is>
      </c>
      <c r="CI494" t="inlineStr">
        <is>
          <t>24/08/2031</t>
        </is>
      </c>
    </row>
    <row r="495">
      <c r="A495" t="inlineStr">
        <is>
          <t>RESIDENCIAL BEYOND</t>
        </is>
      </c>
      <c r="B495" t="inlineStr">
        <is>
          <t>Etapa 1</t>
        </is>
      </c>
      <c r="C495" t="inlineStr">
        <is>
          <t>Edificio</t>
        </is>
      </c>
      <c r="D495" t="inlineStr">
        <is>
          <t>A</t>
        </is>
      </c>
      <c r="E495" t="inlineStr">
        <is>
          <t>Departamento</t>
        </is>
      </c>
      <c r="F495" t="inlineStr">
        <is>
          <t>802</t>
        </is>
      </c>
      <c r="G495" t="n">
        <v>57</v>
      </c>
      <c r="H495" t="n">
        <v>0</v>
      </c>
      <c r="I495" s="39" t="n">
        <v>430000</v>
      </c>
      <c r="J495" s="39" t="n">
        <v>400000</v>
      </c>
      <c r="K495" t="inlineStr">
        <is>
          <t>Edificio</t>
        </is>
      </c>
      <c r="L495" t="inlineStr">
        <is>
          <t>A</t>
        </is>
      </c>
      <c r="M495" t="inlineStr">
        <is>
          <t>Estacionamiento</t>
        </is>
      </c>
      <c r="N495" t="inlineStr">
        <is>
          <t>E 20 - D 15</t>
        </is>
      </c>
      <c r="O495" t="n">
        <v>12.5</v>
      </c>
      <c r="P495" t="n">
        <v>2</v>
      </c>
      <c r="Q495" s="39" t="n">
        <v>50000</v>
      </c>
      <c r="R495" s="39" t="n">
        <v>50000</v>
      </c>
      <c r="Y495" s="39" t="n"/>
      <c r="Z495" s="39" t="n"/>
      <c r="AG495" s="39" t="n"/>
      <c r="AH495" s="39" t="n"/>
      <c r="AI495" t="inlineStr">
        <is>
          <t>Jazmin Elizabeth Ramirez Lazaro</t>
        </is>
      </c>
      <c r="AJ495" t="inlineStr">
        <is>
          <t>75662644</t>
        </is>
      </c>
      <c r="AK495" t="inlineStr">
        <is>
          <t>Av. Arnaldo Marquez 1440 Dpto.906</t>
        </is>
      </c>
      <c r="AL495" t="n">
        <v>0</v>
      </c>
      <c r="AM495" t="inlineStr">
        <is>
          <t>915176274</t>
        </is>
      </c>
      <c r="AN495" t="inlineStr">
        <is>
          <t>jazmin.ramirez.lazaro8@gmail.com</t>
        </is>
      </c>
      <c r="AO495" t="inlineStr">
        <is>
          <t>LIMA</t>
        </is>
      </c>
      <c r="AP495" t="inlineStr">
        <is>
          <t>JESUS MARIA</t>
        </is>
      </c>
      <c r="AQ495" s="75" t="n">
        <v>46155</v>
      </c>
      <c r="AR495" s="75" t="n">
        <v>46155</v>
      </c>
      <c r="AS495" t="inlineStr">
        <is>
          <t>SEPARACION</t>
        </is>
      </c>
      <c r="AT495" t="n">
        <v>1</v>
      </c>
      <c r="AU495" t="n">
        <v>3000</v>
      </c>
      <c r="AV495" t="n">
        <v>0</v>
      </c>
      <c r="AW495" t="n">
        <v>0</v>
      </c>
      <c r="AX495" s="39" t="n">
        <v>3000</v>
      </c>
      <c r="AY495" s="39" t="n">
        <v>3000</v>
      </c>
      <c r="AZ495" s="39" t="n">
        <v>0</v>
      </c>
      <c r="BA495" t="n">
        <v>0</v>
      </c>
      <c r="BB495" t="inlineStr">
        <is>
          <t>Ahorro</t>
        </is>
      </c>
      <c r="BC495" t="inlineStr">
        <is>
          <t>Banco de Credito del Perú</t>
        </is>
      </c>
      <c r="BD495" t="inlineStr">
        <is>
          <t>194-7325779-0-65</t>
        </is>
      </c>
      <c r="BE495" t="inlineStr">
        <is>
          <t>DEPOSITO EN CUENTA</t>
        </is>
      </c>
      <c r="BG495" t="inlineStr">
        <is>
          <t>4969236</t>
        </is>
      </c>
      <c r="BH495" t="inlineStr">
        <is>
          <t>No</t>
        </is>
      </c>
      <c r="BJ495" t="n">
        <v>4</v>
      </c>
      <c r="BK495" t="inlineStr">
        <is>
          <t>CANCELADO</t>
        </is>
      </c>
      <c r="BV495" t="inlineStr">
        <is>
          <t>Si</t>
        </is>
      </c>
      <c r="BW495" s="76" t="n">
        <v>46172.75902777778</v>
      </c>
      <c r="BX495" t="inlineStr">
        <is>
          <t>Carla Michue M</t>
        </is>
      </c>
      <c r="BZ495" t="n">
        <v>42</v>
      </c>
      <c r="CA495" t="inlineStr">
        <is>
          <t>13/05/2026 17:12</t>
        </is>
      </c>
      <c r="CB495" t="n">
        <v>0</v>
      </c>
      <c r="CF495" t="inlineStr">
        <is>
          <t>Cobranzas_2026.csv</t>
        </is>
      </c>
      <c r="CG495" t="n">
        <v>2026</v>
      </c>
      <c r="CH495" t="inlineStr">
        <is>
          <t>01/01/2024</t>
        </is>
      </c>
      <c r="CI495" t="inlineStr">
        <is>
          <t>24/08/2031</t>
        </is>
      </c>
    </row>
    <row r="496">
      <c r="A496" t="inlineStr">
        <is>
          <t>RESIDENCIAL BEYOND</t>
        </is>
      </c>
      <c r="B496" t="inlineStr">
        <is>
          <t>Etapa 1</t>
        </is>
      </c>
      <c r="C496" t="inlineStr">
        <is>
          <t>Edificio</t>
        </is>
      </c>
      <c r="D496" t="inlineStr">
        <is>
          <t>A</t>
        </is>
      </c>
      <c r="E496" t="inlineStr">
        <is>
          <t>Departamento</t>
        </is>
      </c>
      <c r="F496" t="inlineStr">
        <is>
          <t>802</t>
        </is>
      </c>
      <c r="G496" t="n">
        <v>57</v>
      </c>
      <c r="H496" t="n">
        <v>0</v>
      </c>
      <c r="I496" s="39" t="n">
        <v>430000</v>
      </c>
      <c r="J496" s="39" t="n">
        <v>400000</v>
      </c>
      <c r="K496" t="inlineStr">
        <is>
          <t>Edificio</t>
        </is>
      </c>
      <c r="L496" t="inlineStr">
        <is>
          <t>A</t>
        </is>
      </c>
      <c r="M496" t="inlineStr">
        <is>
          <t>Estacionamiento</t>
        </is>
      </c>
      <c r="N496" t="inlineStr">
        <is>
          <t>E 20 - D 15</t>
        </is>
      </c>
      <c r="O496" t="n">
        <v>12.5</v>
      </c>
      <c r="P496" t="n">
        <v>2</v>
      </c>
      <c r="Q496" s="39" t="n">
        <v>50000</v>
      </c>
      <c r="R496" s="39" t="n">
        <v>50000</v>
      </c>
      <c r="Y496" s="39" t="n"/>
      <c r="Z496" s="39" t="n"/>
      <c r="AG496" s="39" t="n"/>
      <c r="AH496" s="39" t="n"/>
      <c r="AI496" t="inlineStr">
        <is>
          <t>Jazmin Elizabeth Ramirez Lazaro</t>
        </is>
      </c>
      <c r="AJ496" t="inlineStr">
        <is>
          <t>75662644</t>
        </is>
      </c>
      <c r="AK496" t="inlineStr">
        <is>
          <t>Av. Arnaldo Marquez 1440 Dpto.906</t>
        </is>
      </c>
      <c r="AL496" t="n">
        <v>0</v>
      </c>
      <c r="AM496" t="inlineStr">
        <is>
          <t>915176274</t>
        </is>
      </c>
      <c r="AN496" t="inlineStr">
        <is>
          <t>jazmin.ramirez.lazaro8@gmail.com</t>
        </is>
      </c>
      <c r="AO496" t="inlineStr">
        <is>
          <t>LIMA</t>
        </is>
      </c>
      <c r="AP496" t="inlineStr">
        <is>
          <t>JESUS MARIA</t>
        </is>
      </c>
      <c r="AQ496" s="75" t="n">
        <v>46172</v>
      </c>
      <c r="AR496" s="75" t="n">
        <v>46172</v>
      </c>
      <c r="AS496" t="inlineStr">
        <is>
          <t>CUOTA INICIAL</t>
        </is>
      </c>
      <c r="AT496" t="n">
        <v>1</v>
      </c>
      <c r="AU496" t="n">
        <v>30000</v>
      </c>
      <c r="AV496" t="n">
        <v>0</v>
      </c>
      <c r="AW496" t="n">
        <v>0</v>
      </c>
      <c r="AX496" s="39" t="n">
        <v>30000</v>
      </c>
      <c r="AY496" s="39" t="n">
        <v>30000</v>
      </c>
      <c r="AZ496" s="39" t="n">
        <v>0</v>
      </c>
      <c r="BA496" t="n">
        <v>0</v>
      </c>
      <c r="BB496" t="inlineStr">
        <is>
          <t>Ahorro</t>
        </is>
      </c>
      <c r="BC496" t="inlineStr">
        <is>
          <t>Banco de Credito del Perú</t>
        </is>
      </c>
      <c r="BD496" t="inlineStr">
        <is>
          <t>194-7325779-0-65</t>
        </is>
      </c>
      <c r="BE496" t="inlineStr">
        <is>
          <t>TRANSFERENCIA BANCARIA</t>
        </is>
      </c>
      <c r="BG496" t="inlineStr">
        <is>
          <t>0319831</t>
        </is>
      </c>
      <c r="BH496" t="inlineStr">
        <is>
          <t>No</t>
        </is>
      </c>
      <c r="BJ496" t="n">
        <v>4</v>
      </c>
      <c r="BK496" t="inlineStr">
        <is>
          <t>CANCELADO</t>
        </is>
      </c>
      <c r="BV496" t="inlineStr">
        <is>
          <t>Si</t>
        </is>
      </c>
      <c r="BW496" s="76" t="n">
        <v>46172.75902777778</v>
      </c>
      <c r="BX496" t="inlineStr">
        <is>
          <t>Carla Michue M</t>
        </is>
      </c>
      <c r="BZ496" t="n">
        <v>42</v>
      </c>
      <c r="CA496" t="inlineStr">
        <is>
          <t>09/06/2026 18:11</t>
        </is>
      </c>
      <c r="CB496" t="n">
        <v>0</v>
      </c>
      <c r="CF496" t="inlineStr">
        <is>
          <t>Cobranzas_2026.csv</t>
        </is>
      </c>
      <c r="CG496" t="n">
        <v>2026</v>
      </c>
      <c r="CH496" t="inlineStr">
        <is>
          <t>01/01/2024</t>
        </is>
      </c>
      <c r="CI496" t="inlineStr">
        <is>
          <t>24/08/2031</t>
        </is>
      </c>
    </row>
    <row r="497">
      <c r="A497" t="inlineStr">
        <is>
          <t>RESIDENCIAL BEYOND</t>
        </is>
      </c>
      <c r="B497" t="inlineStr">
        <is>
          <t>Etapa 1</t>
        </is>
      </c>
      <c r="C497" t="inlineStr">
        <is>
          <t>Edificio</t>
        </is>
      </c>
      <c r="D497" t="inlineStr">
        <is>
          <t>A</t>
        </is>
      </c>
      <c r="E497" t="inlineStr">
        <is>
          <t>Departamento</t>
        </is>
      </c>
      <c r="F497" t="inlineStr">
        <is>
          <t>802</t>
        </is>
      </c>
      <c r="G497" t="n">
        <v>57</v>
      </c>
      <c r="H497" t="n">
        <v>0</v>
      </c>
      <c r="I497" s="39" t="n">
        <v>430000</v>
      </c>
      <c r="J497" s="39" t="n">
        <v>400000</v>
      </c>
      <c r="K497" t="inlineStr">
        <is>
          <t>Edificio</t>
        </is>
      </c>
      <c r="L497" t="inlineStr">
        <is>
          <t>A</t>
        </is>
      </c>
      <c r="M497" t="inlineStr">
        <is>
          <t>Estacionamiento</t>
        </is>
      </c>
      <c r="N497" t="inlineStr">
        <is>
          <t>E 20 - D 15</t>
        </is>
      </c>
      <c r="O497" t="n">
        <v>12.5</v>
      </c>
      <c r="P497" t="n">
        <v>2</v>
      </c>
      <c r="Q497" s="39" t="n">
        <v>50000</v>
      </c>
      <c r="R497" s="39" t="n">
        <v>50000</v>
      </c>
      <c r="Y497" s="39" t="n"/>
      <c r="Z497" s="39" t="n"/>
      <c r="AG497" s="39" t="n"/>
      <c r="AH497" s="39" t="n"/>
      <c r="AI497" t="inlineStr">
        <is>
          <t>Jazmin Elizabeth Ramirez Lazaro</t>
        </is>
      </c>
      <c r="AJ497" t="inlineStr">
        <is>
          <t>75662644</t>
        </is>
      </c>
      <c r="AK497" t="inlineStr">
        <is>
          <t>Av. Arnaldo Marquez 1440 Dpto.906</t>
        </is>
      </c>
      <c r="AL497" t="n">
        <v>0</v>
      </c>
      <c r="AM497" t="inlineStr">
        <is>
          <t>915176274</t>
        </is>
      </c>
      <c r="AN497" t="inlineStr">
        <is>
          <t>jazmin.ramirez.lazaro8@gmail.com</t>
        </is>
      </c>
      <c r="AO497" t="inlineStr">
        <is>
          <t>LIMA</t>
        </is>
      </c>
      <c r="AP497" t="inlineStr">
        <is>
          <t>JESUS MARIA</t>
        </is>
      </c>
      <c r="AQ497" s="75" t="n">
        <v>46325</v>
      </c>
      <c r="AR497" s="75" t="n"/>
      <c r="AS497" t="inlineStr">
        <is>
          <t>CUOTA INICIAL</t>
        </is>
      </c>
      <c r="AT497" t="n">
        <v>2</v>
      </c>
      <c r="AU497" t="n">
        <v>57000</v>
      </c>
      <c r="AV497" t="n">
        <v>0</v>
      </c>
      <c r="AW497" t="n">
        <v>0</v>
      </c>
      <c r="AX497" s="39" t="n">
        <v>57000</v>
      </c>
      <c r="AY497" s="39" t="n">
        <v>0</v>
      </c>
      <c r="AZ497" s="39" t="n">
        <v>57000</v>
      </c>
      <c r="BB497" t="inlineStr">
        <is>
          <t>Ahorro</t>
        </is>
      </c>
      <c r="BH497" t="inlineStr">
        <is>
          <t>No</t>
        </is>
      </c>
      <c r="BK497" t="inlineStr">
        <is>
          <t>PENDIENTE</t>
        </is>
      </c>
      <c r="BV497" t="inlineStr">
        <is>
          <t>No</t>
        </is>
      </c>
      <c r="BW497" s="76" t="n">
        <v>46172.75902777778</v>
      </c>
      <c r="BX497" t="inlineStr">
        <is>
          <t>Carla Michue M</t>
        </is>
      </c>
      <c r="BZ497" t="n">
        <v>42</v>
      </c>
      <c r="CB497" t="n">
        <v>0</v>
      </c>
      <c r="CF497" t="inlineStr">
        <is>
          <t>Cobranzas_2026.csv</t>
        </is>
      </c>
      <c r="CG497" t="n">
        <v>2026</v>
      </c>
      <c r="CH497" t="inlineStr">
        <is>
          <t>01/01/2024</t>
        </is>
      </c>
      <c r="CI497" t="inlineStr">
        <is>
          <t>24/08/2031</t>
        </is>
      </c>
    </row>
    <row r="498">
      <c r="A498" t="inlineStr">
        <is>
          <t>RESIDENCIAL BEYOND</t>
        </is>
      </c>
      <c r="B498" t="inlineStr">
        <is>
          <t>Etapa 1</t>
        </is>
      </c>
      <c r="C498" t="inlineStr">
        <is>
          <t>Edificio</t>
        </is>
      </c>
      <c r="D498" t="inlineStr">
        <is>
          <t>A</t>
        </is>
      </c>
      <c r="E498" t="inlineStr">
        <is>
          <t>Departamento</t>
        </is>
      </c>
      <c r="F498" t="inlineStr">
        <is>
          <t>802</t>
        </is>
      </c>
      <c r="G498" t="n">
        <v>57</v>
      </c>
      <c r="H498" t="n">
        <v>0</v>
      </c>
      <c r="I498" s="39" t="n">
        <v>430000</v>
      </c>
      <c r="J498" s="39" t="n">
        <v>400000</v>
      </c>
      <c r="K498" t="inlineStr">
        <is>
          <t>Edificio</t>
        </is>
      </c>
      <c r="L498" t="inlineStr">
        <is>
          <t>A</t>
        </is>
      </c>
      <c r="M498" t="inlineStr">
        <is>
          <t>Estacionamiento</t>
        </is>
      </c>
      <c r="N498" t="inlineStr">
        <is>
          <t>E 20 - D 15</t>
        </is>
      </c>
      <c r="O498" t="n">
        <v>12.5</v>
      </c>
      <c r="P498" t="n">
        <v>2</v>
      </c>
      <c r="Q498" s="39" t="n">
        <v>50000</v>
      </c>
      <c r="R498" s="39" t="n">
        <v>50000</v>
      </c>
      <c r="Y498" s="39" t="n"/>
      <c r="Z498" s="39" t="n"/>
      <c r="AG498" s="39" t="n"/>
      <c r="AH498" s="39" t="n"/>
      <c r="AI498" t="inlineStr">
        <is>
          <t>Jazmin Elizabeth Ramirez Lazaro</t>
        </is>
      </c>
      <c r="AJ498" t="inlineStr">
        <is>
          <t>75662644</t>
        </is>
      </c>
      <c r="AK498" t="inlineStr">
        <is>
          <t>Av. Arnaldo Marquez 1440 Dpto.906</t>
        </is>
      </c>
      <c r="AL498" t="n">
        <v>0</v>
      </c>
      <c r="AM498" t="inlineStr">
        <is>
          <t>915176274</t>
        </is>
      </c>
      <c r="AN498" t="inlineStr">
        <is>
          <t>jazmin.ramirez.lazaro8@gmail.com</t>
        </is>
      </c>
      <c r="AO498" t="inlineStr">
        <is>
          <t>LIMA</t>
        </is>
      </c>
      <c r="AP498" t="inlineStr">
        <is>
          <t>JESUS MARIA</t>
        </is>
      </c>
      <c r="AQ498" s="75" t="n">
        <v>46386</v>
      </c>
      <c r="AR498" s="75" t="n"/>
      <c r="AS498" t="inlineStr">
        <is>
          <t>SALDO FINANCIAR</t>
        </is>
      </c>
      <c r="AT498" t="n">
        <v>1</v>
      </c>
      <c r="AU498" t="n">
        <v>360000</v>
      </c>
      <c r="AV498" t="n">
        <v>0</v>
      </c>
      <c r="AW498" t="n">
        <v>0</v>
      </c>
      <c r="AX498" s="39" t="n">
        <v>360000</v>
      </c>
      <c r="AY498" s="39" t="n">
        <v>0</v>
      </c>
      <c r="AZ498" s="39" t="n">
        <v>360000</v>
      </c>
      <c r="BB498" t="inlineStr">
        <is>
          <t>Ahorro</t>
        </is>
      </c>
      <c r="BH498" t="inlineStr">
        <is>
          <t>No</t>
        </is>
      </c>
      <c r="BK498" t="inlineStr">
        <is>
          <t>PENDIENTE</t>
        </is>
      </c>
      <c r="BV498" t="inlineStr">
        <is>
          <t>No</t>
        </is>
      </c>
      <c r="BW498" s="76" t="n">
        <v>46172.75902777778</v>
      </c>
      <c r="BX498" t="inlineStr">
        <is>
          <t>Carla Michue M</t>
        </is>
      </c>
      <c r="BZ498" t="n">
        <v>42</v>
      </c>
      <c r="CB498" t="n">
        <v>0</v>
      </c>
      <c r="CF498" t="inlineStr">
        <is>
          <t>Cobranzas_2026.csv</t>
        </is>
      </c>
      <c r="CG498" t="n">
        <v>2026</v>
      </c>
      <c r="CH498" t="inlineStr">
        <is>
          <t>01/01/2024</t>
        </is>
      </c>
      <c r="CI498" t="inlineStr">
        <is>
          <t>24/08/2031</t>
        </is>
      </c>
    </row>
    <row r="499">
      <c r="A499" t="inlineStr">
        <is>
          <t>RESIDENCIAL BEYOND</t>
        </is>
      </c>
      <c r="B499" t="inlineStr">
        <is>
          <t>Etapa 1</t>
        </is>
      </c>
      <c r="C499" t="inlineStr">
        <is>
          <t>Edificio</t>
        </is>
      </c>
      <c r="D499" t="inlineStr">
        <is>
          <t>A</t>
        </is>
      </c>
      <c r="E499" t="inlineStr">
        <is>
          <t>Departamento</t>
        </is>
      </c>
      <c r="F499" t="inlineStr">
        <is>
          <t>204</t>
        </is>
      </c>
      <c r="G499" t="n">
        <v>67</v>
      </c>
      <c r="H499" t="n">
        <v>0</v>
      </c>
      <c r="I499" s="39" t="n">
        <v>498000</v>
      </c>
      <c r="J499" s="39" t="n">
        <v>450000</v>
      </c>
      <c r="Q499" s="39" t="n"/>
      <c r="R499" s="39" t="n"/>
      <c r="Y499" s="39" t="n"/>
      <c r="Z499" s="39" t="n"/>
      <c r="AG499" s="39" t="n"/>
      <c r="AH499" s="39" t="n"/>
      <c r="AI499" t="inlineStr">
        <is>
          <t>Jhoully Kattherine Moreno Saavedra</t>
        </is>
      </c>
      <c r="AJ499" t="inlineStr">
        <is>
          <t>73600966</t>
        </is>
      </c>
      <c r="AK499" t="inlineStr">
        <is>
          <t>Emilio de la Barrera 264</t>
        </is>
      </c>
      <c r="AL499" t="n">
        <v>0</v>
      </c>
      <c r="AM499" t="inlineStr">
        <is>
          <t>934027061</t>
        </is>
      </c>
      <c r="AN499" t="inlineStr">
        <is>
          <t>jhoullym@gmail.com</t>
        </is>
      </c>
      <c r="AO499" t="inlineStr">
        <is>
          <t>LIMA</t>
        </is>
      </c>
      <c r="AP499" t="inlineStr">
        <is>
          <t>SAN MARTIN DE PORRES</t>
        </is>
      </c>
      <c r="AQ499" s="75" t="n">
        <v>46081</v>
      </c>
      <c r="AR499" s="75" t="n">
        <v>46051</v>
      </c>
      <c r="AS499" t="inlineStr">
        <is>
          <t>CUOTA INICIAL</t>
        </is>
      </c>
      <c r="AT499" t="n">
        <v>2</v>
      </c>
      <c r="AU499" t="n">
        <v>7500</v>
      </c>
      <c r="AV499" t="n">
        <v>0</v>
      </c>
      <c r="AW499" t="n">
        <v>0</v>
      </c>
      <c r="AX499" s="39" t="n">
        <v>7500</v>
      </c>
      <c r="AY499" s="39" t="n">
        <v>7500</v>
      </c>
      <c r="AZ499" s="39" t="n">
        <v>0</v>
      </c>
      <c r="BA499" t="n">
        <v>0</v>
      </c>
      <c r="BB499" t="inlineStr">
        <is>
          <t>Crédito Hipotecario</t>
        </is>
      </c>
      <c r="BC499" t="inlineStr">
        <is>
          <t>Banco de Credito del Perú</t>
        </is>
      </c>
      <c r="BD499" t="inlineStr">
        <is>
          <t>194-7325779-0-65</t>
        </is>
      </c>
      <c r="BE499" t="inlineStr">
        <is>
          <t>TRANSFERENCIA BANCARIA</t>
        </is>
      </c>
      <c r="BF499" t="inlineStr">
        <is>
          <t>73600966</t>
        </is>
      </c>
      <c r="BG499" t="inlineStr">
        <is>
          <t>00368899</t>
        </is>
      </c>
      <c r="BH499" t="inlineStr">
        <is>
          <t>No</t>
        </is>
      </c>
      <c r="BI499" t="inlineStr">
        <is>
          <t>NO PRECISA</t>
        </is>
      </c>
      <c r="BJ499" t="n">
        <v>4</v>
      </c>
      <c r="BK499" t="inlineStr">
        <is>
          <t>CANCELADO</t>
        </is>
      </c>
      <c r="BV499" t="inlineStr">
        <is>
          <t>Si</t>
        </is>
      </c>
      <c r="BW499" s="76" t="n">
        <v>45971.18472222222</v>
      </c>
      <c r="BX499" t="inlineStr">
        <is>
          <t>Carla Michue M</t>
        </is>
      </c>
      <c r="BZ499" t="n">
        <v>3</v>
      </c>
      <c r="CA499" t="inlineStr">
        <is>
          <t>18/05/2026 04:33</t>
        </is>
      </c>
      <c r="CB499" t="n">
        <v>0</v>
      </c>
      <c r="CF499" t="inlineStr">
        <is>
          <t>Cobranzas_2026.csv</t>
        </is>
      </c>
      <c r="CG499" t="n">
        <v>2026</v>
      </c>
      <c r="CH499" t="inlineStr">
        <is>
          <t>01/01/2024</t>
        </is>
      </c>
      <c r="CI499" t="inlineStr">
        <is>
          <t>24/08/2031</t>
        </is>
      </c>
    </row>
    <row r="500">
      <c r="A500" t="inlineStr">
        <is>
          <t>RESIDENCIAL BEYOND</t>
        </is>
      </c>
      <c r="B500" t="inlineStr">
        <is>
          <t>Etapa 1</t>
        </is>
      </c>
      <c r="C500" t="inlineStr">
        <is>
          <t>Edificio</t>
        </is>
      </c>
      <c r="D500" t="inlineStr">
        <is>
          <t>A</t>
        </is>
      </c>
      <c r="E500" t="inlineStr">
        <is>
          <t>Departamento</t>
        </is>
      </c>
      <c r="F500" t="inlineStr">
        <is>
          <t>204</t>
        </is>
      </c>
      <c r="G500" t="n">
        <v>67</v>
      </c>
      <c r="H500" t="n">
        <v>0</v>
      </c>
      <c r="I500" s="39" t="n">
        <v>498000</v>
      </c>
      <c r="J500" s="39" t="n">
        <v>450000</v>
      </c>
      <c r="Q500" s="39" t="n"/>
      <c r="R500" s="39" t="n"/>
      <c r="Y500" s="39" t="n"/>
      <c r="Z500" s="39" t="n"/>
      <c r="AG500" s="39" t="n"/>
      <c r="AH500" s="39" t="n"/>
      <c r="AI500" t="inlineStr">
        <is>
          <t>Jhoully Kattherine Moreno Saavedra</t>
        </is>
      </c>
      <c r="AJ500" t="inlineStr">
        <is>
          <t>73600966</t>
        </is>
      </c>
      <c r="AK500" t="inlineStr">
        <is>
          <t>Emilio de la Barrera 264</t>
        </is>
      </c>
      <c r="AL500" t="n">
        <v>0</v>
      </c>
      <c r="AM500" t="inlineStr">
        <is>
          <t>934027061</t>
        </is>
      </c>
      <c r="AN500" t="inlineStr">
        <is>
          <t>jhoullym@gmail.com</t>
        </is>
      </c>
      <c r="AO500" t="inlineStr">
        <is>
          <t>LIMA</t>
        </is>
      </c>
      <c r="AP500" t="inlineStr">
        <is>
          <t>SAN MARTIN DE PORRES</t>
        </is>
      </c>
      <c r="AQ500" s="75" t="n">
        <v>46142</v>
      </c>
      <c r="AR500" s="75" t="n">
        <v>46119</v>
      </c>
      <c r="AS500" t="inlineStr">
        <is>
          <t>CUOTA INICIAL</t>
        </is>
      </c>
      <c r="AT500" t="n">
        <v>3</v>
      </c>
      <c r="AU500" t="n">
        <v>15000</v>
      </c>
      <c r="AV500" t="n">
        <v>0</v>
      </c>
      <c r="AW500" t="n">
        <v>0</v>
      </c>
      <c r="AX500" s="39" t="n">
        <v>15000</v>
      </c>
      <c r="AY500" s="39" t="n">
        <v>15000</v>
      </c>
      <c r="AZ500" s="39" t="n">
        <v>0</v>
      </c>
      <c r="BA500" t="n">
        <v>0</v>
      </c>
      <c r="BB500" t="inlineStr">
        <is>
          <t>Crédito Hipotecario</t>
        </is>
      </c>
      <c r="BC500" t="inlineStr">
        <is>
          <t>Banco de Credito del Perú</t>
        </is>
      </c>
      <c r="BD500" t="inlineStr">
        <is>
          <t>194-7325779-0-65</t>
        </is>
      </c>
      <c r="BE500" t="inlineStr">
        <is>
          <t>TRANSFERENCIA BANCARIA</t>
        </is>
      </c>
      <c r="BF500" t="inlineStr">
        <is>
          <t>73600966</t>
        </is>
      </c>
      <c r="BG500" t="inlineStr">
        <is>
          <t>02476804</t>
        </is>
      </c>
      <c r="BH500" t="inlineStr">
        <is>
          <t>No</t>
        </is>
      </c>
      <c r="BI500" t="inlineStr">
        <is>
          <t>NO PRECISA</t>
        </is>
      </c>
      <c r="BJ500" t="n">
        <v>4</v>
      </c>
      <c r="BK500" t="inlineStr">
        <is>
          <t>CANCELADO</t>
        </is>
      </c>
      <c r="BV500" t="inlineStr">
        <is>
          <t>Si</t>
        </is>
      </c>
      <c r="BW500" s="76" t="n">
        <v>45971.18472222222</v>
      </c>
      <c r="BX500" t="inlineStr">
        <is>
          <t>Carla Michue M</t>
        </is>
      </c>
      <c r="BZ500" t="n">
        <v>3</v>
      </c>
      <c r="CA500" t="inlineStr">
        <is>
          <t>18/05/2026 04:34</t>
        </is>
      </c>
      <c r="CB500" t="n">
        <v>0</v>
      </c>
      <c r="CF500" t="inlineStr">
        <is>
          <t>Cobranzas_2026.csv</t>
        </is>
      </c>
      <c r="CG500" t="n">
        <v>2026</v>
      </c>
      <c r="CH500" t="inlineStr">
        <is>
          <t>01/01/2024</t>
        </is>
      </c>
      <c r="CI500" t="inlineStr">
        <is>
          <t>24/08/2031</t>
        </is>
      </c>
    </row>
    <row r="501">
      <c r="A501" t="inlineStr">
        <is>
          <t>RESIDENCIAL BEYOND</t>
        </is>
      </c>
      <c r="B501" t="inlineStr">
        <is>
          <t>Etapa 1</t>
        </is>
      </c>
      <c r="C501" t="inlineStr">
        <is>
          <t>Edificio</t>
        </is>
      </c>
      <c r="D501" t="inlineStr">
        <is>
          <t>A</t>
        </is>
      </c>
      <c r="E501" t="inlineStr">
        <is>
          <t>Departamento</t>
        </is>
      </c>
      <c r="F501" t="inlineStr">
        <is>
          <t>204</t>
        </is>
      </c>
      <c r="G501" t="n">
        <v>67</v>
      </c>
      <c r="H501" t="n">
        <v>0</v>
      </c>
      <c r="I501" s="39" t="n">
        <v>498000</v>
      </c>
      <c r="J501" s="39" t="n">
        <v>450000</v>
      </c>
      <c r="Q501" s="39" t="n"/>
      <c r="R501" s="39" t="n"/>
      <c r="Y501" s="39" t="n"/>
      <c r="Z501" s="39" t="n"/>
      <c r="AG501" s="39" t="n"/>
      <c r="AH501" s="39" t="n"/>
      <c r="AI501" t="inlineStr">
        <is>
          <t>Jhoully Kattherine Moreno Saavedra</t>
        </is>
      </c>
      <c r="AJ501" t="inlineStr">
        <is>
          <t>73600966</t>
        </is>
      </c>
      <c r="AK501" t="inlineStr">
        <is>
          <t>Emilio de la Barrera 264</t>
        </is>
      </c>
      <c r="AL501" t="n">
        <v>0</v>
      </c>
      <c r="AM501" t="inlineStr">
        <is>
          <t>934027061</t>
        </is>
      </c>
      <c r="AN501" t="inlineStr">
        <is>
          <t>jhoullym@gmail.com</t>
        </is>
      </c>
      <c r="AO501" t="inlineStr">
        <is>
          <t>LIMA</t>
        </is>
      </c>
      <c r="AP501" t="inlineStr">
        <is>
          <t>SAN MARTIN DE PORRES</t>
        </is>
      </c>
      <c r="AQ501" s="75" t="n">
        <v>46203</v>
      </c>
      <c r="AR501" s="75" t="n"/>
      <c r="AS501" t="inlineStr">
        <is>
          <t>SALDO FINANCIAR</t>
        </is>
      </c>
      <c r="AT501" t="n">
        <v>1</v>
      </c>
      <c r="AU501" t="n">
        <v>405000</v>
      </c>
      <c r="AV501" t="n">
        <v>0</v>
      </c>
      <c r="AW501" t="n">
        <v>0</v>
      </c>
      <c r="AX501" s="39" t="n">
        <v>405000</v>
      </c>
      <c r="AY501" s="39" t="n">
        <v>0</v>
      </c>
      <c r="AZ501" s="39" t="n">
        <v>405000</v>
      </c>
      <c r="BB501" t="inlineStr">
        <is>
          <t>Crédito Hipotecario</t>
        </is>
      </c>
      <c r="BH501" t="inlineStr">
        <is>
          <t>No</t>
        </is>
      </c>
      <c r="BK501" t="inlineStr">
        <is>
          <t>VENCIDO</t>
        </is>
      </c>
      <c r="BV501" t="inlineStr">
        <is>
          <t>No</t>
        </is>
      </c>
      <c r="BW501" s="76" t="n">
        <v>45971.18472222222</v>
      </c>
      <c r="BX501" t="inlineStr">
        <is>
          <t>Carla Michue M</t>
        </is>
      </c>
      <c r="BZ501" t="n">
        <v>3</v>
      </c>
      <c r="CB501" t="n">
        <v>0</v>
      </c>
      <c r="CF501" t="inlineStr">
        <is>
          <t>Cobranzas_2026.csv</t>
        </is>
      </c>
      <c r="CG501" t="n">
        <v>2026</v>
      </c>
      <c r="CH501" t="inlineStr">
        <is>
          <t>01/01/2024</t>
        </is>
      </c>
      <c r="CI501" t="inlineStr">
        <is>
          <t>24/08/2031</t>
        </is>
      </c>
    </row>
    <row r="502">
      <c r="A502" t="inlineStr">
        <is>
          <t>RESIDENCIAL BEYOND</t>
        </is>
      </c>
      <c r="B502" t="inlineStr">
        <is>
          <t>Etapa 1</t>
        </is>
      </c>
      <c r="C502" t="inlineStr">
        <is>
          <t>Edificio</t>
        </is>
      </c>
      <c r="D502" t="inlineStr">
        <is>
          <t>A</t>
        </is>
      </c>
      <c r="E502" t="inlineStr">
        <is>
          <t>Departamento</t>
        </is>
      </c>
      <c r="F502" t="inlineStr">
        <is>
          <t>1303</t>
        </is>
      </c>
      <c r="G502" t="n">
        <v>68</v>
      </c>
      <c r="H502" t="n">
        <v>0</v>
      </c>
      <c r="I502" s="39" t="n">
        <v>504700</v>
      </c>
      <c r="J502" s="39" t="n">
        <v>453700</v>
      </c>
      <c r="K502" t="inlineStr">
        <is>
          <t>Edificio</t>
        </is>
      </c>
      <c r="L502" t="inlineStr">
        <is>
          <t>A</t>
        </is>
      </c>
      <c r="M502" t="inlineStr">
        <is>
          <t>Estacionamiento</t>
        </is>
      </c>
      <c r="N502" t="inlineStr">
        <is>
          <t>E 50 - D 30</t>
        </is>
      </c>
      <c r="O502" t="n">
        <v>12.5</v>
      </c>
      <c r="P502" t="n">
        <v>2.8</v>
      </c>
      <c r="Q502" s="39" t="n">
        <v>50000</v>
      </c>
      <c r="R502" s="39" t="n">
        <v>50000</v>
      </c>
      <c r="Y502" s="39" t="n"/>
      <c r="Z502" s="39" t="n"/>
      <c r="AG502" s="39" t="n"/>
      <c r="AH502" s="39" t="n"/>
      <c r="AI502" t="inlineStr">
        <is>
          <t>Jimena Melissa Huayanca Lopez</t>
        </is>
      </c>
      <c r="AJ502" t="inlineStr">
        <is>
          <t>73268311</t>
        </is>
      </c>
      <c r="AK502" t="inlineStr">
        <is>
          <t xml:space="preserve">Av. Cuba 560, Dpto N°1703 </t>
        </is>
      </c>
      <c r="AL502" t="n">
        <v>0</v>
      </c>
      <c r="AM502" t="inlineStr">
        <is>
          <t>923732315</t>
        </is>
      </c>
      <c r="AN502" t="inlineStr">
        <is>
          <t>jimelissahl@gmail.com</t>
        </is>
      </c>
      <c r="AO502" t="inlineStr">
        <is>
          <t>LIMA</t>
        </is>
      </c>
      <c r="AP502" t="inlineStr">
        <is>
          <t>JESUS MARIA</t>
        </is>
      </c>
      <c r="AQ502" s="75" t="n">
        <v>46163</v>
      </c>
      <c r="AR502" s="75" t="n">
        <v>46163</v>
      </c>
      <c r="AS502" t="inlineStr">
        <is>
          <t>SEPARACION</t>
        </is>
      </c>
      <c r="AT502" t="n">
        <v>1</v>
      </c>
      <c r="AU502" t="n">
        <v>3000</v>
      </c>
      <c r="AV502" t="n">
        <v>0</v>
      </c>
      <c r="AW502" t="n">
        <v>0</v>
      </c>
      <c r="AX502" s="39" t="n">
        <v>3000</v>
      </c>
      <c r="AY502" s="39" t="n">
        <v>3000</v>
      </c>
      <c r="AZ502" s="39" t="n">
        <v>0</v>
      </c>
      <c r="BA502" t="n">
        <v>0</v>
      </c>
      <c r="BB502" t="inlineStr">
        <is>
          <t>Ahorro</t>
        </is>
      </c>
      <c r="BC502" t="inlineStr">
        <is>
          <t>Banco de Credito del Perú</t>
        </is>
      </c>
      <c r="BD502" t="inlineStr">
        <is>
          <t>194-7325779-0-65</t>
        </is>
      </c>
      <c r="BE502" t="inlineStr">
        <is>
          <t>POS VISA</t>
        </is>
      </c>
      <c r="BG502" t="inlineStr">
        <is>
          <t>008557</t>
        </is>
      </c>
      <c r="BH502" t="inlineStr">
        <is>
          <t>Si</t>
        </is>
      </c>
      <c r="BJ502" t="n">
        <v>4</v>
      </c>
      <c r="BK502" t="inlineStr">
        <is>
          <t>CANCELADO</t>
        </is>
      </c>
      <c r="BV502" t="inlineStr">
        <is>
          <t>Si</t>
        </is>
      </c>
      <c r="BW502" s="76" t="n">
        <v>46170.44652777778</v>
      </c>
      <c r="BX502" t="inlineStr">
        <is>
          <t>Kenny Salazar S</t>
        </is>
      </c>
      <c r="BZ502" t="n">
        <v>40</v>
      </c>
      <c r="CA502" t="inlineStr">
        <is>
          <t>22/05/2026 12:08</t>
        </is>
      </c>
      <c r="CB502" t="n">
        <v>0</v>
      </c>
      <c r="CF502" t="inlineStr">
        <is>
          <t>Cobranzas_2026.csv</t>
        </is>
      </c>
      <c r="CG502" t="n">
        <v>2026</v>
      </c>
      <c r="CH502" t="inlineStr">
        <is>
          <t>01/01/2024</t>
        </is>
      </c>
      <c r="CI502" t="inlineStr">
        <is>
          <t>24/08/2031</t>
        </is>
      </c>
    </row>
    <row r="503">
      <c r="A503" t="inlineStr">
        <is>
          <t>RESIDENCIAL BEYOND</t>
        </is>
      </c>
      <c r="B503" t="inlineStr">
        <is>
          <t>Etapa 1</t>
        </is>
      </c>
      <c r="C503" t="inlineStr">
        <is>
          <t>Edificio</t>
        </is>
      </c>
      <c r="D503" t="inlineStr">
        <is>
          <t>A</t>
        </is>
      </c>
      <c r="E503" t="inlineStr">
        <is>
          <t>Departamento</t>
        </is>
      </c>
      <c r="F503" t="inlineStr">
        <is>
          <t>1303</t>
        </is>
      </c>
      <c r="G503" t="n">
        <v>68</v>
      </c>
      <c r="H503" t="n">
        <v>0</v>
      </c>
      <c r="I503" s="39" t="n">
        <v>504700</v>
      </c>
      <c r="J503" s="39" t="n">
        <v>453700</v>
      </c>
      <c r="K503" t="inlineStr">
        <is>
          <t>Edificio</t>
        </is>
      </c>
      <c r="L503" t="inlineStr">
        <is>
          <t>A</t>
        </is>
      </c>
      <c r="M503" t="inlineStr">
        <is>
          <t>Estacionamiento</t>
        </is>
      </c>
      <c r="N503" t="inlineStr">
        <is>
          <t>E 50 - D 30</t>
        </is>
      </c>
      <c r="O503" t="n">
        <v>12.5</v>
      </c>
      <c r="P503" t="n">
        <v>2.8</v>
      </c>
      <c r="Q503" s="39" t="n">
        <v>50000</v>
      </c>
      <c r="R503" s="39" t="n">
        <v>50000</v>
      </c>
      <c r="Y503" s="39" t="n"/>
      <c r="Z503" s="39" t="n"/>
      <c r="AG503" s="39" t="n"/>
      <c r="AH503" s="39" t="n"/>
      <c r="AI503" t="inlineStr">
        <is>
          <t>Jimena Melissa Huayanca Lopez</t>
        </is>
      </c>
      <c r="AJ503" t="inlineStr">
        <is>
          <t>73268311</t>
        </is>
      </c>
      <c r="AK503" t="inlineStr">
        <is>
          <t xml:space="preserve">Av. Cuba 560, Dpto N°1703 </t>
        </is>
      </c>
      <c r="AL503" t="n">
        <v>0</v>
      </c>
      <c r="AM503" t="inlineStr">
        <is>
          <t>923732315</t>
        </is>
      </c>
      <c r="AN503" t="inlineStr">
        <is>
          <t>jimelissahl@gmail.com</t>
        </is>
      </c>
      <c r="AO503" t="inlineStr">
        <is>
          <t>LIMA</t>
        </is>
      </c>
      <c r="AP503" t="inlineStr">
        <is>
          <t>JESUS MARIA</t>
        </is>
      </c>
      <c r="AQ503" s="75" t="n">
        <v>46170</v>
      </c>
      <c r="AR503" s="75" t="n">
        <v>46170</v>
      </c>
      <c r="AS503" t="inlineStr">
        <is>
          <t>CUOTA INICIAL</t>
        </is>
      </c>
      <c r="AT503" t="n">
        <v>1</v>
      </c>
      <c r="AU503" t="n">
        <v>22185</v>
      </c>
      <c r="AV503" t="n">
        <v>0</v>
      </c>
      <c r="AW503" t="n">
        <v>0</v>
      </c>
      <c r="AX503" s="39" t="n">
        <v>22185</v>
      </c>
      <c r="AY503" s="39" t="n">
        <v>22185</v>
      </c>
      <c r="AZ503" s="39" t="n">
        <v>0</v>
      </c>
      <c r="BA503" t="n">
        <v>0</v>
      </c>
      <c r="BB503" t="inlineStr">
        <is>
          <t>Ahorro</t>
        </is>
      </c>
      <c r="BC503" t="inlineStr">
        <is>
          <t>Banco de Credito del Perú</t>
        </is>
      </c>
      <c r="BD503" t="inlineStr">
        <is>
          <t>194-7325779-0-65</t>
        </is>
      </c>
      <c r="BE503" t="inlineStr">
        <is>
          <t>TRANSFERENCIA BANCARIA</t>
        </is>
      </c>
      <c r="BG503" t="inlineStr">
        <is>
          <t>01474178</t>
        </is>
      </c>
      <c r="BH503" t="inlineStr">
        <is>
          <t>No</t>
        </is>
      </c>
      <c r="BJ503" t="n">
        <v>4</v>
      </c>
      <c r="BK503" t="inlineStr">
        <is>
          <t>CANCELADO</t>
        </is>
      </c>
      <c r="BV503" t="inlineStr">
        <is>
          <t>Si</t>
        </is>
      </c>
      <c r="BW503" s="76" t="n">
        <v>46170.44652777778</v>
      </c>
      <c r="BX503" t="inlineStr">
        <is>
          <t>Kenny Salazar S</t>
        </is>
      </c>
      <c r="BZ503" t="n">
        <v>40</v>
      </c>
      <c r="CA503" t="inlineStr">
        <is>
          <t>21/08/2026 11:57</t>
        </is>
      </c>
      <c r="CB503" t="n">
        <v>0</v>
      </c>
      <c r="CF503" t="inlineStr">
        <is>
          <t>Cobranzas_2026.csv</t>
        </is>
      </c>
      <c r="CG503" t="n">
        <v>2026</v>
      </c>
      <c r="CH503" t="inlineStr">
        <is>
          <t>01/01/2024</t>
        </is>
      </c>
      <c r="CI503" t="inlineStr">
        <is>
          <t>24/08/2031</t>
        </is>
      </c>
    </row>
    <row r="504">
      <c r="A504" t="inlineStr">
        <is>
          <t>RESIDENCIAL BEYOND</t>
        </is>
      </c>
      <c r="B504" t="inlineStr">
        <is>
          <t>Etapa 1</t>
        </is>
      </c>
      <c r="C504" t="inlineStr">
        <is>
          <t>Edificio</t>
        </is>
      </c>
      <c r="D504" t="inlineStr">
        <is>
          <t>A</t>
        </is>
      </c>
      <c r="E504" t="inlineStr">
        <is>
          <t>Departamento</t>
        </is>
      </c>
      <c r="F504" t="inlineStr">
        <is>
          <t>1303</t>
        </is>
      </c>
      <c r="G504" t="n">
        <v>68</v>
      </c>
      <c r="H504" t="n">
        <v>0</v>
      </c>
      <c r="I504" s="39" t="n">
        <v>504700</v>
      </c>
      <c r="J504" s="39" t="n">
        <v>453700</v>
      </c>
      <c r="K504" t="inlineStr">
        <is>
          <t>Edificio</t>
        </is>
      </c>
      <c r="L504" t="inlineStr">
        <is>
          <t>A</t>
        </is>
      </c>
      <c r="M504" t="inlineStr">
        <is>
          <t>Estacionamiento</t>
        </is>
      </c>
      <c r="N504" t="inlineStr">
        <is>
          <t>E 50 - D 30</t>
        </is>
      </c>
      <c r="O504" t="n">
        <v>12.5</v>
      </c>
      <c r="P504" t="n">
        <v>2.8</v>
      </c>
      <c r="Q504" s="39" t="n">
        <v>50000</v>
      </c>
      <c r="R504" s="39" t="n">
        <v>50000</v>
      </c>
      <c r="Y504" s="39" t="n"/>
      <c r="Z504" s="39" t="n"/>
      <c r="AG504" s="39" t="n"/>
      <c r="AH504" s="39" t="n"/>
      <c r="AI504" t="inlineStr">
        <is>
          <t>Jimena Melissa Huayanca Lopez</t>
        </is>
      </c>
      <c r="AJ504" t="inlineStr">
        <is>
          <t>73268311</t>
        </is>
      </c>
      <c r="AK504" t="inlineStr">
        <is>
          <t xml:space="preserve">Av. Cuba 560, Dpto N°1703 </t>
        </is>
      </c>
      <c r="AL504" t="n">
        <v>0</v>
      </c>
      <c r="AM504" t="inlineStr">
        <is>
          <t>923732315</t>
        </is>
      </c>
      <c r="AN504" t="inlineStr">
        <is>
          <t>jimelissahl@gmail.com</t>
        </is>
      </c>
      <c r="AO504" t="inlineStr">
        <is>
          <t>LIMA</t>
        </is>
      </c>
      <c r="AP504" t="inlineStr">
        <is>
          <t>JESUS MARIA</t>
        </is>
      </c>
      <c r="AQ504" s="75" t="n">
        <v>46356</v>
      </c>
      <c r="AR504" s="75" t="n"/>
      <c r="AS504" t="inlineStr">
        <is>
          <t>CUOTA INICIAL</t>
        </is>
      </c>
      <c r="AT504" t="n">
        <v>2</v>
      </c>
      <c r="AU504" t="n">
        <v>25185</v>
      </c>
      <c r="AV504" t="n">
        <v>0</v>
      </c>
      <c r="AW504" t="n">
        <v>0</v>
      </c>
      <c r="AX504" s="39" t="n">
        <v>25185</v>
      </c>
      <c r="AY504" s="39" t="n">
        <v>0</v>
      </c>
      <c r="AZ504" s="39" t="n">
        <v>25185</v>
      </c>
      <c r="BB504" t="inlineStr">
        <is>
          <t>Ahorro</t>
        </is>
      </c>
      <c r="BH504" t="inlineStr">
        <is>
          <t>No</t>
        </is>
      </c>
      <c r="BK504" t="inlineStr">
        <is>
          <t>PENDIENTE</t>
        </is>
      </c>
      <c r="BV504" t="inlineStr">
        <is>
          <t>No</t>
        </is>
      </c>
      <c r="BW504" s="76" t="n">
        <v>46170.44652777778</v>
      </c>
      <c r="BX504" t="inlineStr">
        <is>
          <t>Kenny Salazar S</t>
        </is>
      </c>
      <c r="BZ504" t="n">
        <v>40</v>
      </c>
      <c r="CB504" t="n">
        <v>0</v>
      </c>
      <c r="CF504" t="inlineStr">
        <is>
          <t>Cobranzas_2026.csv</t>
        </is>
      </c>
      <c r="CG504" t="n">
        <v>2026</v>
      </c>
      <c r="CH504" t="inlineStr">
        <is>
          <t>01/01/2024</t>
        </is>
      </c>
      <c r="CI504" t="inlineStr">
        <is>
          <t>24/08/2031</t>
        </is>
      </c>
    </row>
    <row r="505">
      <c r="A505" t="inlineStr">
        <is>
          <t>RESIDENCIAL BEYOND</t>
        </is>
      </c>
      <c r="B505" t="inlineStr">
        <is>
          <t>Etapa 1</t>
        </is>
      </c>
      <c r="C505" t="inlineStr">
        <is>
          <t>Edificio</t>
        </is>
      </c>
      <c r="D505" t="inlineStr">
        <is>
          <t>A</t>
        </is>
      </c>
      <c r="E505" t="inlineStr">
        <is>
          <t>Departamento</t>
        </is>
      </c>
      <c r="F505" t="inlineStr">
        <is>
          <t>601</t>
        </is>
      </c>
      <c r="G505" t="n">
        <v>70</v>
      </c>
      <c r="H505" t="n">
        <v>0</v>
      </c>
      <c r="I505" s="39" t="n">
        <v>518500</v>
      </c>
      <c r="J505" s="39" t="n">
        <v>470000</v>
      </c>
      <c r="Q505" s="39" t="n"/>
      <c r="R505" s="39" t="n"/>
      <c r="Y505" s="39" t="n"/>
      <c r="Z505" s="39" t="n"/>
      <c r="AG505" s="39" t="n"/>
      <c r="AH505" s="39" t="n"/>
      <c r="AI505" t="inlineStr">
        <is>
          <t>Jimmy Luis Andrade Morveli</t>
        </is>
      </c>
      <c r="AJ505" t="inlineStr">
        <is>
          <t>40071918</t>
        </is>
      </c>
      <c r="AK505" t="inlineStr">
        <is>
          <t>Av. Brasil 1836 Edif Bh South Dpto. 409</t>
        </is>
      </c>
      <c r="AL505" t="n">
        <v>0</v>
      </c>
      <c r="AM505" t="inlineStr">
        <is>
          <t>924430158</t>
        </is>
      </c>
      <c r="AN505" t="inlineStr">
        <is>
          <t>Jimmyandrademorveli@gmail.com</t>
        </is>
      </c>
      <c r="AO505" t="inlineStr">
        <is>
          <t>LIMA</t>
        </is>
      </c>
      <c r="AP505" t="inlineStr">
        <is>
          <t>PUEBLO LIBRE</t>
        </is>
      </c>
      <c r="AQ505" s="75" t="n">
        <v>46081</v>
      </c>
      <c r="AR505" s="75" t="n"/>
      <c r="AS505" t="inlineStr">
        <is>
          <t>CUOTA INICIAL</t>
        </is>
      </c>
      <c r="AT505" t="n">
        <v>1</v>
      </c>
      <c r="AU505" t="n">
        <v>44000</v>
      </c>
      <c r="AV505" t="n">
        <v>0</v>
      </c>
      <c r="AW505" t="n">
        <v>0</v>
      </c>
      <c r="AX505" s="39" t="n">
        <v>44000</v>
      </c>
      <c r="AY505" s="39" t="n">
        <v>0</v>
      </c>
      <c r="AZ505" s="39" t="n">
        <v>44000</v>
      </c>
      <c r="BB505" t="inlineStr">
        <is>
          <t>Crédito Hipotecario</t>
        </is>
      </c>
      <c r="BH505" t="inlineStr">
        <is>
          <t>No</t>
        </is>
      </c>
      <c r="BK505" t="inlineStr">
        <is>
          <t>VENCIDO</t>
        </is>
      </c>
      <c r="BV505" t="inlineStr">
        <is>
          <t>No</t>
        </is>
      </c>
      <c r="BW505" s="76" t="n">
        <v>46028.40416666667</v>
      </c>
      <c r="BX505" t="inlineStr">
        <is>
          <t>Magaly Guevara Perez</t>
        </is>
      </c>
      <c r="BZ505" t="n">
        <v>33</v>
      </c>
      <c r="CB505" t="n">
        <v>0</v>
      </c>
      <c r="CF505" t="inlineStr">
        <is>
          <t>Cobranzas_2026.csv</t>
        </is>
      </c>
      <c r="CG505" t="n">
        <v>2026</v>
      </c>
      <c r="CH505" t="inlineStr">
        <is>
          <t>01/01/2024</t>
        </is>
      </c>
      <c r="CI505" t="inlineStr">
        <is>
          <t>24/08/2031</t>
        </is>
      </c>
    </row>
    <row r="506">
      <c r="A506" t="inlineStr">
        <is>
          <t>RESIDENCIAL BEYOND</t>
        </is>
      </c>
      <c r="B506" t="inlineStr">
        <is>
          <t>Etapa 1</t>
        </is>
      </c>
      <c r="C506" t="inlineStr">
        <is>
          <t>Edificio</t>
        </is>
      </c>
      <c r="D506" t="inlineStr">
        <is>
          <t>A</t>
        </is>
      </c>
      <c r="E506" t="inlineStr">
        <is>
          <t>Departamento</t>
        </is>
      </c>
      <c r="F506" t="inlineStr">
        <is>
          <t>601</t>
        </is>
      </c>
      <c r="G506" t="n">
        <v>70</v>
      </c>
      <c r="H506" t="n">
        <v>0</v>
      </c>
      <c r="I506" s="39" t="n">
        <v>518500</v>
      </c>
      <c r="J506" s="39" t="n">
        <v>470000</v>
      </c>
      <c r="Q506" s="39" t="n"/>
      <c r="R506" s="39" t="n"/>
      <c r="Y506" s="39" t="n"/>
      <c r="Z506" s="39" t="n"/>
      <c r="AG506" s="39" t="n"/>
      <c r="AH506" s="39" t="n"/>
      <c r="AI506" t="inlineStr">
        <is>
          <t>Jimmy Luis Andrade Morveli</t>
        </is>
      </c>
      <c r="AJ506" t="inlineStr">
        <is>
          <t>40071918</t>
        </is>
      </c>
      <c r="AK506" t="inlineStr">
        <is>
          <t>Av. Brasil 1836 Edif Bh South Dpto. 409</t>
        </is>
      </c>
      <c r="AL506" t="n">
        <v>0</v>
      </c>
      <c r="AM506" t="inlineStr">
        <is>
          <t>924430158</t>
        </is>
      </c>
      <c r="AN506" t="inlineStr">
        <is>
          <t>Jimmyandrademorveli@gmail.com</t>
        </is>
      </c>
      <c r="AO506" t="inlineStr">
        <is>
          <t>LIMA</t>
        </is>
      </c>
      <c r="AP506" t="inlineStr">
        <is>
          <t>PUEBLO LIBRE</t>
        </is>
      </c>
      <c r="AQ506" s="75" t="n">
        <v>46111</v>
      </c>
      <c r="AR506" s="75" t="n"/>
      <c r="AS506" t="inlineStr">
        <is>
          <t>SALDO FINANCIAR</t>
        </is>
      </c>
      <c r="AT506" t="n">
        <v>1</v>
      </c>
      <c r="AU506" t="n">
        <v>423000</v>
      </c>
      <c r="AV506" t="n">
        <v>0</v>
      </c>
      <c r="AW506" t="n">
        <v>0</v>
      </c>
      <c r="AX506" s="39" t="n">
        <v>423000</v>
      </c>
      <c r="AY506" s="39" t="n">
        <v>0</v>
      </c>
      <c r="AZ506" s="39" t="n">
        <v>423000</v>
      </c>
      <c r="BB506" t="inlineStr">
        <is>
          <t>Crédito Hipotecario</t>
        </is>
      </c>
      <c r="BH506" t="inlineStr">
        <is>
          <t>No</t>
        </is>
      </c>
      <c r="BK506" t="inlineStr">
        <is>
          <t>VENCIDO</t>
        </is>
      </c>
      <c r="BV506" t="inlineStr">
        <is>
          <t>No</t>
        </is>
      </c>
      <c r="BW506" s="76" t="n">
        <v>46028.40416666667</v>
      </c>
      <c r="BX506" t="inlineStr">
        <is>
          <t>Magaly Guevara Perez</t>
        </is>
      </c>
      <c r="BZ506" t="n">
        <v>33</v>
      </c>
      <c r="CB506" t="n">
        <v>0</v>
      </c>
      <c r="CF506" t="inlineStr">
        <is>
          <t>Cobranzas_2026.csv</t>
        </is>
      </c>
      <c r="CG506" t="n">
        <v>2026</v>
      </c>
      <c r="CH506" t="inlineStr">
        <is>
          <t>01/01/2024</t>
        </is>
      </c>
      <c r="CI506" t="inlineStr">
        <is>
          <t>24/08/2031</t>
        </is>
      </c>
    </row>
    <row r="507">
      <c r="A507" t="inlineStr">
        <is>
          <t>RESIDENCIAL BEYOND</t>
        </is>
      </c>
      <c r="B507" t="inlineStr">
        <is>
          <t>Etapa 1</t>
        </is>
      </c>
      <c r="C507" t="inlineStr">
        <is>
          <t>Edificio</t>
        </is>
      </c>
      <c r="D507" t="inlineStr">
        <is>
          <t>A</t>
        </is>
      </c>
      <c r="E507" t="inlineStr">
        <is>
          <t>Departamento</t>
        </is>
      </c>
      <c r="F507" t="inlineStr">
        <is>
          <t>405</t>
        </is>
      </c>
      <c r="G507" t="n">
        <v>72</v>
      </c>
      <c r="H507" t="n">
        <v>0</v>
      </c>
      <c r="I507" s="39" t="n">
        <v>532100</v>
      </c>
      <c r="J507" s="39" t="n">
        <v>501100</v>
      </c>
      <c r="Q507" s="39" t="n"/>
      <c r="R507" s="39" t="n"/>
      <c r="Y507" s="39" t="n"/>
      <c r="Z507" s="39" t="n"/>
      <c r="AG507" s="39" t="n"/>
      <c r="AH507" s="39" t="n"/>
      <c r="AI507" t="inlineStr">
        <is>
          <t>Jiri Ruzicka R</t>
        </is>
      </c>
      <c r="AJ507" t="inlineStr">
        <is>
          <t>001831906</t>
        </is>
      </c>
      <c r="AK507" t="inlineStr">
        <is>
          <t xml:space="preserve">Calle Los Mirtos 230 Edificio Live Lima Flats Torre C </t>
        </is>
      </c>
      <c r="AL507" t="n">
        <v>0</v>
      </c>
      <c r="AM507" t="inlineStr">
        <is>
          <t>943541529</t>
        </is>
      </c>
      <c r="AN507" t="inlineStr">
        <is>
          <t>jiriruzicka@web.de</t>
        </is>
      </c>
      <c r="AO507" t="inlineStr">
        <is>
          <t>LIMA</t>
        </is>
      </c>
      <c r="AP507" t="inlineStr">
        <is>
          <t>LINCE</t>
        </is>
      </c>
      <c r="AQ507" s="75" t="n">
        <v>46159</v>
      </c>
      <c r="AR507" s="75" t="n">
        <v>46159</v>
      </c>
      <c r="AS507" t="inlineStr">
        <is>
          <t>SEPARACION</t>
        </is>
      </c>
      <c r="AT507" t="n">
        <v>1</v>
      </c>
      <c r="AU507" t="n">
        <v>3000</v>
      </c>
      <c r="AV507" t="n">
        <v>0</v>
      </c>
      <c r="AW507" t="n">
        <v>0</v>
      </c>
      <c r="AX507" s="39" t="n">
        <v>3000</v>
      </c>
      <c r="AY507" s="39" t="n">
        <v>3000</v>
      </c>
      <c r="AZ507" s="39" t="n">
        <v>0</v>
      </c>
      <c r="BA507" t="n">
        <v>0</v>
      </c>
      <c r="BB507" t="inlineStr">
        <is>
          <t>Ahorro</t>
        </is>
      </c>
      <c r="BC507" t="inlineStr">
        <is>
          <t>Banco de Credito del Perú</t>
        </is>
      </c>
      <c r="BD507" t="inlineStr">
        <is>
          <t>194-7325779-0-65</t>
        </is>
      </c>
      <c r="BE507" t="inlineStr">
        <is>
          <t>POS VISA</t>
        </is>
      </c>
      <c r="BG507" t="inlineStr">
        <is>
          <t>0083</t>
        </is>
      </c>
      <c r="BH507" t="inlineStr">
        <is>
          <t>Si</t>
        </is>
      </c>
      <c r="BJ507" t="n">
        <v>4</v>
      </c>
      <c r="BK507" t="inlineStr">
        <is>
          <t>CANCELADO</t>
        </is>
      </c>
      <c r="BV507" t="inlineStr">
        <is>
          <t>Si</t>
        </is>
      </c>
      <c r="BW507" s="76" t="n">
        <v>46164.38958333333</v>
      </c>
      <c r="BX507" t="inlineStr">
        <is>
          <t>Josue andres Perez Chamorro</t>
        </is>
      </c>
      <c r="BZ507" t="n">
        <v>8</v>
      </c>
      <c r="CA507" t="inlineStr">
        <is>
          <t>17/05/2026 16:35</t>
        </is>
      </c>
      <c r="CB507" t="n">
        <v>0</v>
      </c>
      <c r="CF507" t="inlineStr">
        <is>
          <t>Cobranzas_2026.csv</t>
        </is>
      </c>
      <c r="CG507" t="n">
        <v>2026</v>
      </c>
      <c r="CH507" t="inlineStr">
        <is>
          <t>01/01/2024</t>
        </is>
      </c>
      <c r="CI507" t="inlineStr">
        <is>
          <t>24/08/2031</t>
        </is>
      </c>
    </row>
    <row r="508">
      <c r="A508" t="inlineStr">
        <is>
          <t>RESIDENCIAL BEYOND</t>
        </is>
      </c>
      <c r="B508" t="inlineStr">
        <is>
          <t>Etapa 1</t>
        </is>
      </c>
      <c r="C508" t="inlineStr">
        <is>
          <t>Edificio</t>
        </is>
      </c>
      <c r="D508" t="inlineStr">
        <is>
          <t>A</t>
        </is>
      </c>
      <c r="E508" t="inlineStr">
        <is>
          <t>Departamento</t>
        </is>
      </c>
      <c r="F508" t="inlineStr">
        <is>
          <t>405</t>
        </is>
      </c>
      <c r="G508" t="n">
        <v>72</v>
      </c>
      <c r="H508" t="n">
        <v>0</v>
      </c>
      <c r="I508" s="39" t="n">
        <v>532100</v>
      </c>
      <c r="J508" s="39" t="n">
        <v>501100</v>
      </c>
      <c r="Q508" s="39" t="n"/>
      <c r="R508" s="39" t="n"/>
      <c r="Y508" s="39" t="n"/>
      <c r="Z508" s="39" t="n"/>
      <c r="AG508" s="39" t="n"/>
      <c r="AH508" s="39" t="n"/>
      <c r="AI508" t="inlineStr">
        <is>
          <t>Jiri Ruzicka R</t>
        </is>
      </c>
      <c r="AJ508" t="inlineStr">
        <is>
          <t>001831906</t>
        </is>
      </c>
      <c r="AK508" t="inlineStr">
        <is>
          <t xml:space="preserve">Calle Los Mirtos 230 Edificio Live Lima Flats Torre C </t>
        </is>
      </c>
      <c r="AL508" t="n">
        <v>0</v>
      </c>
      <c r="AM508" t="inlineStr">
        <is>
          <t>943541529</t>
        </is>
      </c>
      <c r="AN508" t="inlineStr">
        <is>
          <t>jiriruzicka@web.de</t>
        </is>
      </c>
      <c r="AO508" t="inlineStr">
        <is>
          <t>LIMA</t>
        </is>
      </c>
      <c r="AP508" t="inlineStr">
        <is>
          <t>LINCE</t>
        </is>
      </c>
      <c r="AQ508" s="75" t="n">
        <v>46163</v>
      </c>
      <c r="AR508" s="75" t="n">
        <v>46164</v>
      </c>
      <c r="AS508" t="inlineStr">
        <is>
          <t>CUOTA INICIAL</t>
        </is>
      </c>
      <c r="AT508" t="n">
        <v>1</v>
      </c>
      <c r="AU508" t="n">
        <v>22055</v>
      </c>
      <c r="AV508" t="n">
        <v>0</v>
      </c>
      <c r="AW508" t="n">
        <v>0</v>
      </c>
      <c r="AX508" s="39" t="n">
        <v>22055</v>
      </c>
      <c r="AY508" s="39" t="n">
        <v>22055</v>
      </c>
      <c r="AZ508" s="39" t="n">
        <v>0</v>
      </c>
      <c r="BA508" t="n">
        <v>0</v>
      </c>
      <c r="BB508" t="inlineStr">
        <is>
          <t>Ahorro</t>
        </is>
      </c>
      <c r="BC508" t="inlineStr">
        <is>
          <t>Banco de Credito del Perú</t>
        </is>
      </c>
      <c r="BD508" t="inlineStr">
        <is>
          <t>194-7325779-0-65</t>
        </is>
      </c>
      <c r="BE508" t="inlineStr">
        <is>
          <t>TRANSFERENCIA BANCARIA</t>
        </is>
      </c>
      <c r="BG508" t="inlineStr">
        <is>
          <t>046664</t>
        </is>
      </c>
      <c r="BH508" t="inlineStr">
        <is>
          <t>Si</t>
        </is>
      </c>
      <c r="BJ508" t="n">
        <v>4</v>
      </c>
      <c r="BK508" t="inlineStr">
        <is>
          <t>CANCELADO</t>
        </is>
      </c>
      <c r="BV508" t="inlineStr">
        <is>
          <t>Si</t>
        </is>
      </c>
      <c r="BW508" s="76" t="n">
        <v>46164.38958333333</v>
      </c>
      <c r="BX508" t="inlineStr">
        <is>
          <t>Josue andres Perez Chamorro</t>
        </is>
      </c>
      <c r="BZ508" t="n">
        <v>8</v>
      </c>
      <c r="CA508" t="inlineStr">
        <is>
          <t>02/06/2026 16:38</t>
        </is>
      </c>
      <c r="CB508" t="n">
        <v>0</v>
      </c>
      <c r="CF508" t="inlineStr">
        <is>
          <t>Cobranzas_2026.csv</t>
        </is>
      </c>
      <c r="CG508" t="n">
        <v>2026</v>
      </c>
      <c r="CH508" t="inlineStr">
        <is>
          <t>01/01/2024</t>
        </is>
      </c>
      <c r="CI508" t="inlineStr">
        <is>
          <t>24/08/2031</t>
        </is>
      </c>
    </row>
    <row r="509">
      <c r="A509" t="inlineStr">
        <is>
          <t>RESIDENCIAL BEYOND</t>
        </is>
      </c>
      <c r="B509" t="inlineStr">
        <is>
          <t>Etapa 1</t>
        </is>
      </c>
      <c r="C509" t="inlineStr">
        <is>
          <t>Edificio</t>
        </is>
      </c>
      <c r="D509" t="inlineStr">
        <is>
          <t>A</t>
        </is>
      </c>
      <c r="E509" t="inlineStr">
        <is>
          <t>Departamento</t>
        </is>
      </c>
      <c r="F509" t="inlineStr">
        <is>
          <t>803</t>
        </is>
      </c>
      <c r="G509" t="n">
        <v>68</v>
      </c>
      <c r="H509" t="n">
        <v>0</v>
      </c>
      <c r="I509" s="39" t="n">
        <v>510000</v>
      </c>
      <c r="J509" s="39" t="n">
        <v>476700</v>
      </c>
      <c r="K509" t="inlineStr">
        <is>
          <t>Edificio</t>
        </is>
      </c>
      <c r="L509" t="inlineStr">
        <is>
          <t>A</t>
        </is>
      </c>
      <c r="M509" t="inlineStr">
        <is>
          <t>Estacionamiento</t>
        </is>
      </c>
      <c r="N509" t="inlineStr">
        <is>
          <t>E 28 - D 18</t>
        </is>
      </c>
      <c r="O509" t="n">
        <v>12.5</v>
      </c>
      <c r="P509" t="n">
        <v>1.72</v>
      </c>
      <c r="Q509" s="39" t="n">
        <v>48600</v>
      </c>
      <c r="R509" s="39" t="n">
        <v>48600</v>
      </c>
      <c r="Y509" s="39" t="n"/>
      <c r="Z509" s="39" t="n"/>
      <c r="AG509" s="39" t="n"/>
      <c r="AH509" s="39" t="n"/>
      <c r="AI509" t="inlineStr">
        <is>
          <t>Jorge Luis Montoya Mendoza</t>
        </is>
      </c>
      <c r="AJ509" t="inlineStr">
        <is>
          <t>21458250</t>
        </is>
      </c>
      <c r="AK509" t="inlineStr">
        <is>
          <t>luismm65@hotmail.com</t>
        </is>
      </c>
      <c r="AL509" t="n">
        <v>0</v>
      </c>
      <c r="AM509" t="inlineStr">
        <is>
          <t>962673705</t>
        </is>
      </c>
      <c r="AN509" t="inlineStr">
        <is>
          <t>luismm65@hotmail.com</t>
        </is>
      </c>
      <c r="AO509" t="inlineStr">
        <is>
          <t>LIMA</t>
        </is>
      </c>
      <c r="AP509" t="inlineStr">
        <is>
          <t>PUEBLO LIBRE</t>
        </is>
      </c>
      <c r="AQ509" s="75" t="n">
        <v>46095</v>
      </c>
      <c r="AR509" s="75" t="n">
        <v>46095</v>
      </c>
      <c r="AS509" t="inlineStr">
        <is>
          <t>SEPARACION</t>
        </is>
      </c>
      <c r="AT509" t="n">
        <v>1</v>
      </c>
      <c r="AU509" t="n">
        <v>3000</v>
      </c>
      <c r="AV509" t="n">
        <v>0</v>
      </c>
      <c r="AW509" t="n">
        <v>0</v>
      </c>
      <c r="AX509" s="39" t="n">
        <v>3000</v>
      </c>
      <c r="AY509" s="39" t="n">
        <v>3000</v>
      </c>
      <c r="AZ509" s="39" t="n">
        <v>0</v>
      </c>
      <c r="BA509" t="n">
        <v>0</v>
      </c>
      <c r="BB509" t="inlineStr">
        <is>
          <t>Crédito Directo</t>
        </is>
      </c>
      <c r="BC509" t="inlineStr">
        <is>
          <t>Banco de Credito del Perú</t>
        </is>
      </c>
      <c r="BD509" t="inlineStr">
        <is>
          <t>194-7325779-0-65</t>
        </is>
      </c>
      <c r="BE509" t="inlineStr">
        <is>
          <t>TRANSFERENCIA BANCARIA</t>
        </is>
      </c>
      <c r="BG509" t="inlineStr">
        <is>
          <t>14032026</t>
        </is>
      </c>
      <c r="BH509" t="inlineStr">
        <is>
          <t>No</t>
        </is>
      </c>
      <c r="BJ509" t="n">
        <v>4</v>
      </c>
      <c r="BK509" t="inlineStr">
        <is>
          <t>CANCELADO</t>
        </is>
      </c>
      <c r="BV509" t="inlineStr">
        <is>
          <t>Si</t>
        </is>
      </c>
      <c r="BW509" s="76" t="n">
        <v>46142.41805555556</v>
      </c>
      <c r="BX509" t="inlineStr">
        <is>
          <t>Magaly Guevara Perez</t>
        </is>
      </c>
      <c r="BZ509" t="n">
        <v>18</v>
      </c>
      <c r="CA509" t="inlineStr">
        <is>
          <t>23/05/2026 23:39</t>
        </is>
      </c>
      <c r="CB509" t="n">
        <v>0</v>
      </c>
      <c r="CF509" t="inlineStr">
        <is>
          <t>Cobranzas_2026.csv</t>
        </is>
      </c>
      <c r="CG509" t="n">
        <v>2026</v>
      </c>
      <c r="CH509" t="inlineStr">
        <is>
          <t>01/01/2024</t>
        </is>
      </c>
      <c r="CI509" t="inlineStr">
        <is>
          <t>24/08/2031</t>
        </is>
      </c>
    </row>
    <row r="510">
      <c r="A510" t="inlineStr">
        <is>
          <t>RESIDENCIAL BEYOND</t>
        </is>
      </c>
      <c r="B510" t="inlineStr">
        <is>
          <t>Etapa 1</t>
        </is>
      </c>
      <c r="C510" t="inlineStr">
        <is>
          <t>Edificio</t>
        </is>
      </c>
      <c r="D510" t="inlineStr">
        <is>
          <t>A</t>
        </is>
      </c>
      <c r="E510" t="inlineStr">
        <is>
          <t>Departamento</t>
        </is>
      </c>
      <c r="F510" t="inlineStr">
        <is>
          <t>803</t>
        </is>
      </c>
      <c r="G510" t="n">
        <v>68</v>
      </c>
      <c r="H510" t="n">
        <v>0</v>
      </c>
      <c r="I510" s="39" t="n">
        <v>510000</v>
      </c>
      <c r="J510" s="39" t="n">
        <v>476700</v>
      </c>
      <c r="K510" t="inlineStr">
        <is>
          <t>Edificio</t>
        </is>
      </c>
      <c r="L510" t="inlineStr">
        <is>
          <t>A</t>
        </is>
      </c>
      <c r="M510" t="inlineStr">
        <is>
          <t>Estacionamiento</t>
        </is>
      </c>
      <c r="N510" t="inlineStr">
        <is>
          <t>E 28 - D 18</t>
        </is>
      </c>
      <c r="O510" t="n">
        <v>12.5</v>
      </c>
      <c r="P510" t="n">
        <v>1.72</v>
      </c>
      <c r="Q510" s="39" t="n">
        <v>48600</v>
      </c>
      <c r="R510" s="39" t="n">
        <v>48600</v>
      </c>
      <c r="Y510" s="39" t="n"/>
      <c r="Z510" s="39" t="n"/>
      <c r="AG510" s="39" t="n"/>
      <c r="AH510" s="39" t="n"/>
      <c r="AI510" t="inlineStr">
        <is>
          <t>Jorge Luis Montoya Mendoza</t>
        </is>
      </c>
      <c r="AJ510" t="inlineStr">
        <is>
          <t>21458250</t>
        </is>
      </c>
      <c r="AK510" t="inlineStr">
        <is>
          <t>luismm65@hotmail.com</t>
        </is>
      </c>
      <c r="AL510" t="n">
        <v>0</v>
      </c>
      <c r="AM510" t="inlineStr">
        <is>
          <t>962673705</t>
        </is>
      </c>
      <c r="AN510" t="inlineStr">
        <is>
          <t>luismm65@hotmail.com</t>
        </is>
      </c>
      <c r="AO510" t="inlineStr">
        <is>
          <t>LIMA</t>
        </is>
      </c>
      <c r="AP510" t="inlineStr">
        <is>
          <t>PUEBLO LIBRE</t>
        </is>
      </c>
      <c r="AQ510" s="75" t="n">
        <v>46111</v>
      </c>
      <c r="AR510" s="75" t="n">
        <v>46111</v>
      </c>
      <c r="AS510" t="inlineStr">
        <is>
          <t>CUOTA INICIAL</t>
        </is>
      </c>
      <c r="AT510" t="n">
        <v>1</v>
      </c>
      <c r="AU510" t="n">
        <v>154590</v>
      </c>
      <c r="AV510" t="n">
        <v>0</v>
      </c>
      <c r="AW510" t="n">
        <v>0</v>
      </c>
      <c r="AX510" s="39" t="n">
        <v>154590</v>
      </c>
      <c r="AY510" s="39" t="n">
        <v>154590</v>
      </c>
      <c r="AZ510" s="39" t="n">
        <v>0</v>
      </c>
      <c r="BA510" t="n">
        <v>0</v>
      </c>
      <c r="BB510" t="inlineStr">
        <is>
          <t>Crédito Directo</t>
        </is>
      </c>
      <c r="BC510" t="inlineStr">
        <is>
          <t>Banco de Credito del Perú</t>
        </is>
      </c>
      <c r="BD510" t="inlineStr">
        <is>
          <t>194-7325779-0-65</t>
        </is>
      </c>
      <c r="BE510" t="inlineStr">
        <is>
          <t>TRANSFERENCIA BANCARIA</t>
        </is>
      </c>
      <c r="BG510" t="inlineStr">
        <is>
          <t>00119</t>
        </is>
      </c>
      <c r="BH510" t="inlineStr">
        <is>
          <t>No</t>
        </is>
      </c>
      <c r="BJ510" t="n">
        <v>4</v>
      </c>
      <c r="BK510" t="inlineStr">
        <is>
          <t>CANCELADO</t>
        </is>
      </c>
      <c r="BV510" t="inlineStr">
        <is>
          <t>Si</t>
        </is>
      </c>
      <c r="BW510" s="76" t="n">
        <v>46142.41805555556</v>
      </c>
      <c r="BX510" t="inlineStr">
        <is>
          <t>Magaly Guevara Perez</t>
        </is>
      </c>
      <c r="BZ510" t="n">
        <v>18</v>
      </c>
      <c r="CA510" t="inlineStr">
        <is>
          <t>23/05/2026 23:43</t>
        </is>
      </c>
      <c r="CB510" t="n">
        <v>0</v>
      </c>
      <c r="CF510" t="inlineStr">
        <is>
          <t>Cobranzas_2026.csv</t>
        </is>
      </c>
      <c r="CG510" t="n">
        <v>2026</v>
      </c>
      <c r="CH510" t="inlineStr">
        <is>
          <t>01/01/2024</t>
        </is>
      </c>
      <c r="CI510" t="inlineStr">
        <is>
          <t>24/08/2031</t>
        </is>
      </c>
    </row>
    <row r="511">
      <c r="A511" t="inlineStr">
        <is>
          <t>RESIDENCIAL BEYOND</t>
        </is>
      </c>
      <c r="B511" t="inlineStr">
        <is>
          <t>Etapa 1</t>
        </is>
      </c>
      <c r="C511" t="inlineStr">
        <is>
          <t>Edificio</t>
        </is>
      </c>
      <c r="D511" t="inlineStr">
        <is>
          <t>A</t>
        </is>
      </c>
      <c r="E511" t="inlineStr">
        <is>
          <t>Departamento</t>
        </is>
      </c>
      <c r="F511" t="inlineStr">
        <is>
          <t>803</t>
        </is>
      </c>
      <c r="G511" t="n">
        <v>68</v>
      </c>
      <c r="H511" t="n">
        <v>0</v>
      </c>
      <c r="I511" s="39" t="n">
        <v>510000</v>
      </c>
      <c r="J511" s="39" t="n">
        <v>476700</v>
      </c>
      <c r="K511" t="inlineStr">
        <is>
          <t>Edificio</t>
        </is>
      </c>
      <c r="L511" t="inlineStr">
        <is>
          <t>A</t>
        </is>
      </c>
      <c r="M511" t="inlineStr">
        <is>
          <t>Estacionamiento</t>
        </is>
      </c>
      <c r="N511" t="inlineStr">
        <is>
          <t>E 28 - D 18</t>
        </is>
      </c>
      <c r="O511" t="n">
        <v>12.5</v>
      </c>
      <c r="P511" t="n">
        <v>1.72</v>
      </c>
      <c r="Q511" s="39" t="n">
        <v>48600</v>
      </c>
      <c r="R511" s="39" t="n">
        <v>48600</v>
      </c>
      <c r="Y511" s="39" t="n"/>
      <c r="Z511" s="39" t="n"/>
      <c r="AG511" s="39" t="n"/>
      <c r="AH511" s="39" t="n"/>
      <c r="AI511" t="inlineStr">
        <is>
          <t>Jorge Luis Montoya Mendoza</t>
        </is>
      </c>
      <c r="AJ511" t="inlineStr">
        <is>
          <t>21458250</t>
        </is>
      </c>
      <c r="AK511" t="inlineStr">
        <is>
          <t>luismm65@hotmail.com</t>
        </is>
      </c>
      <c r="AL511" t="n">
        <v>0</v>
      </c>
      <c r="AM511" t="inlineStr">
        <is>
          <t>962673705</t>
        </is>
      </c>
      <c r="AN511" t="inlineStr">
        <is>
          <t>luismm65@hotmail.com</t>
        </is>
      </c>
      <c r="AO511" t="inlineStr">
        <is>
          <t>LIMA</t>
        </is>
      </c>
      <c r="AP511" t="inlineStr">
        <is>
          <t>PUEBLO LIBRE</t>
        </is>
      </c>
      <c r="AQ511" s="75" t="n">
        <v>46386</v>
      </c>
      <c r="AR511" s="75" t="n"/>
      <c r="AS511" t="inlineStr">
        <is>
          <t>SALDO FINANCIAR</t>
        </is>
      </c>
      <c r="AT511" t="n">
        <v>1</v>
      </c>
      <c r="AU511" t="n">
        <v>105060</v>
      </c>
      <c r="AV511" t="n">
        <v>0</v>
      </c>
      <c r="AW511" t="n">
        <v>0</v>
      </c>
      <c r="AX511" s="39" t="n">
        <v>105060</v>
      </c>
      <c r="AY511" s="39" t="n">
        <v>0</v>
      </c>
      <c r="AZ511" s="39" t="n">
        <v>105060</v>
      </c>
      <c r="BB511" t="inlineStr">
        <is>
          <t>Crédito Directo</t>
        </is>
      </c>
      <c r="BH511" t="inlineStr">
        <is>
          <t>No</t>
        </is>
      </c>
      <c r="BK511" t="inlineStr">
        <is>
          <t>PENDIENTE</t>
        </is>
      </c>
      <c r="BV511" t="inlineStr">
        <is>
          <t>No</t>
        </is>
      </c>
      <c r="BW511" s="76" t="n">
        <v>46142.41805555556</v>
      </c>
      <c r="BX511" t="inlineStr">
        <is>
          <t>Magaly Guevara Perez</t>
        </is>
      </c>
      <c r="BZ511" t="n">
        <v>18</v>
      </c>
      <c r="CB511" t="n">
        <v>0</v>
      </c>
      <c r="CF511" t="inlineStr">
        <is>
          <t>Cobranzas_2026.csv</t>
        </is>
      </c>
      <c r="CG511" t="n">
        <v>2026</v>
      </c>
      <c r="CH511" t="inlineStr">
        <is>
          <t>01/01/2024</t>
        </is>
      </c>
      <c r="CI511" t="inlineStr">
        <is>
          <t>24/08/2031</t>
        </is>
      </c>
    </row>
    <row r="512">
      <c r="A512" t="inlineStr">
        <is>
          <t>RESIDENCIAL VENECIA</t>
        </is>
      </c>
      <c r="B512" t="inlineStr">
        <is>
          <t>Etapa 1</t>
        </is>
      </c>
      <c r="C512" t="inlineStr">
        <is>
          <t>Edificio</t>
        </is>
      </c>
      <c r="D512" t="inlineStr">
        <is>
          <t>A</t>
        </is>
      </c>
      <c r="E512" t="inlineStr">
        <is>
          <t>Departamento</t>
        </is>
      </c>
      <c r="F512" t="inlineStr">
        <is>
          <t>504</t>
        </is>
      </c>
      <c r="G512" t="n">
        <v>67</v>
      </c>
      <c r="H512" t="n">
        <v>0</v>
      </c>
      <c r="I512" s="39" t="n">
        <v>428000</v>
      </c>
      <c r="J512" s="39" t="n">
        <v>428000</v>
      </c>
      <c r="Q512" s="39" t="n"/>
      <c r="R512" s="39" t="n"/>
      <c r="Y512" s="39" t="n"/>
      <c r="Z512" s="39" t="n"/>
      <c r="AG512" s="39" t="n"/>
      <c r="AH512" s="39" t="n"/>
      <c r="AI512" t="inlineStr">
        <is>
          <t>Jose Edgardo Camacho Cespedes</t>
        </is>
      </c>
      <c r="AJ512" t="inlineStr">
        <is>
          <t>16631860</t>
        </is>
      </c>
      <c r="AK512" t="inlineStr">
        <is>
          <t>Jr. Huamachuco 1961Urb.Fundo Oyague</t>
        </is>
      </c>
      <c r="AL512" t="n">
        <v>0</v>
      </c>
      <c r="AM512" t="inlineStr">
        <is>
          <t>985758164</t>
        </is>
      </c>
      <c r="AN512" t="inlineStr">
        <is>
          <t>edgardocc1ro@gmail.com</t>
        </is>
      </c>
      <c r="AO512" t="inlineStr">
        <is>
          <t>LIMA</t>
        </is>
      </c>
      <c r="AP512" t="inlineStr">
        <is>
          <t>JESUS MARIA</t>
        </is>
      </c>
      <c r="AQ512" s="75" t="n">
        <v>46049</v>
      </c>
      <c r="AR512" s="75" t="n">
        <v>46049</v>
      </c>
      <c r="AS512" t="inlineStr">
        <is>
          <t>CUOTA INICIAL</t>
        </is>
      </c>
      <c r="AT512" t="n">
        <v>1</v>
      </c>
      <c r="AU512" t="n">
        <v>18680</v>
      </c>
      <c r="AV512" t="n">
        <v>0</v>
      </c>
      <c r="AW512" t="n">
        <v>0</v>
      </c>
      <c r="AX512" s="39" t="n">
        <v>18680</v>
      </c>
      <c r="AY512" s="39" t="n">
        <v>18680</v>
      </c>
      <c r="AZ512" s="39" t="n">
        <v>0</v>
      </c>
      <c r="BA512" t="n">
        <v>0</v>
      </c>
      <c r="BB512" t="inlineStr">
        <is>
          <t>Crédito Hipotecario</t>
        </is>
      </c>
      <c r="BC512" t="inlineStr">
        <is>
          <t>Scotiabank Perú</t>
        </is>
      </c>
      <c r="BD512" t="inlineStr">
        <is>
          <t>0004071419</t>
        </is>
      </c>
      <c r="BE512" t="inlineStr">
        <is>
          <t>TRANSFERENCIA BANCARIA</t>
        </is>
      </c>
      <c r="BG512" t="inlineStr">
        <is>
          <t>5535877</t>
        </is>
      </c>
      <c r="BH512" t="inlineStr">
        <is>
          <t>No</t>
        </is>
      </c>
      <c r="BJ512" t="n">
        <v>4</v>
      </c>
      <c r="BK512" t="inlineStr">
        <is>
          <t>CANCELADO</t>
        </is>
      </c>
      <c r="BV512" t="inlineStr">
        <is>
          <t>Si</t>
        </is>
      </c>
      <c r="BW512" s="76" t="n">
        <v>46049.34444444445</v>
      </c>
      <c r="BX512" t="inlineStr">
        <is>
          <t>Magaly Guevara Perez</t>
        </is>
      </c>
      <c r="BZ512" t="n">
        <v>10</v>
      </c>
      <c r="CA512" t="inlineStr">
        <is>
          <t>24/05/2026 20:06</t>
        </is>
      </c>
      <c r="CB512" t="n">
        <v>0</v>
      </c>
      <c r="CF512" t="inlineStr">
        <is>
          <t>Cobranzas_2026.csv</t>
        </is>
      </c>
      <c r="CG512" t="n">
        <v>2026</v>
      </c>
      <c r="CH512" t="inlineStr">
        <is>
          <t>01/01/2024</t>
        </is>
      </c>
      <c r="CI512" t="inlineStr">
        <is>
          <t>24/08/2031</t>
        </is>
      </c>
    </row>
    <row r="513">
      <c r="A513" t="inlineStr">
        <is>
          <t>RESIDENCIAL VENECIA</t>
        </is>
      </c>
      <c r="B513" t="inlineStr">
        <is>
          <t>Etapa 1</t>
        </is>
      </c>
      <c r="C513" t="inlineStr">
        <is>
          <t>Edificio</t>
        </is>
      </c>
      <c r="D513" t="inlineStr">
        <is>
          <t>A</t>
        </is>
      </c>
      <c r="E513" t="inlineStr">
        <is>
          <t>Departamento</t>
        </is>
      </c>
      <c r="F513" t="inlineStr">
        <is>
          <t>504</t>
        </is>
      </c>
      <c r="G513" t="n">
        <v>67</v>
      </c>
      <c r="H513" t="n">
        <v>0</v>
      </c>
      <c r="I513" s="39" t="n">
        <v>428000</v>
      </c>
      <c r="J513" s="39" t="n">
        <v>428000</v>
      </c>
      <c r="Q513" s="39" t="n"/>
      <c r="R513" s="39" t="n"/>
      <c r="Y513" s="39" t="n"/>
      <c r="Z513" s="39" t="n"/>
      <c r="AG513" s="39" t="n"/>
      <c r="AH513" s="39" t="n"/>
      <c r="AI513" t="inlineStr">
        <is>
          <t>Jose Edgardo Camacho Cespedes</t>
        </is>
      </c>
      <c r="AJ513" t="inlineStr">
        <is>
          <t>16631860</t>
        </is>
      </c>
      <c r="AK513" t="inlineStr">
        <is>
          <t>Jr. Huamachuco 1961Urb.Fundo Oyague</t>
        </is>
      </c>
      <c r="AL513" t="n">
        <v>0</v>
      </c>
      <c r="AM513" t="inlineStr">
        <is>
          <t>985758164</t>
        </is>
      </c>
      <c r="AN513" t="inlineStr">
        <is>
          <t>edgardocc1ro@gmail.com</t>
        </is>
      </c>
      <c r="AO513" t="inlineStr">
        <is>
          <t>LIMA</t>
        </is>
      </c>
      <c r="AP513" t="inlineStr">
        <is>
          <t>JESUS MARIA</t>
        </is>
      </c>
      <c r="AQ513" s="75" t="n">
        <v>46107</v>
      </c>
      <c r="AR513" s="75" t="n">
        <v>46107</v>
      </c>
      <c r="AS513" t="inlineStr">
        <is>
          <t>CUOTA INICIAL</t>
        </is>
      </c>
      <c r="AT513" t="n">
        <v>2</v>
      </c>
      <c r="AU513" t="n">
        <v>20520</v>
      </c>
      <c r="AV513" t="n">
        <v>0</v>
      </c>
      <c r="AW513" t="n">
        <v>0</v>
      </c>
      <c r="AX513" s="39" t="n">
        <v>20520</v>
      </c>
      <c r="AY513" s="39" t="n">
        <v>20520</v>
      </c>
      <c r="AZ513" s="39" t="n">
        <v>0</v>
      </c>
      <c r="BA513" t="n">
        <v>0</v>
      </c>
      <c r="BB513" t="inlineStr">
        <is>
          <t>Crédito Hipotecario</t>
        </is>
      </c>
      <c r="BC513" t="inlineStr">
        <is>
          <t>Scotiabank Perú</t>
        </is>
      </c>
      <c r="BD513" t="inlineStr">
        <is>
          <t>0004071419</t>
        </is>
      </c>
      <c r="BE513" t="inlineStr">
        <is>
          <t>TRANSFERENCIA BANCARIA</t>
        </is>
      </c>
      <c r="BG513" t="inlineStr">
        <is>
          <t>5527318</t>
        </is>
      </c>
      <c r="BH513" t="inlineStr">
        <is>
          <t>No</t>
        </is>
      </c>
      <c r="BJ513" t="n">
        <v>4</v>
      </c>
      <c r="BK513" t="inlineStr">
        <is>
          <t>CANCELADO</t>
        </is>
      </c>
      <c r="BV513" t="inlineStr">
        <is>
          <t>Si</t>
        </is>
      </c>
      <c r="BW513" s="76" t="n">
        <v>46049.34444444445</v>
      </c>
      <c r="BX513" t="inlineStr">
        <is>
          <t>Magaly Guevara Perez</t>
        </is>
      </c>
      <c r="BZ513" t="n">
        <v>10</v>
      </c>
      <c r="CA513" t="inlineStr">
        <is>
          <t>24/05/2026 20:06</t>
        </is>
      </c>
      <c r="CB513" t="n">
        <v>0</v>
      </c>
      <c r="CF513" t="inlineStr">
        <is>
          <t>Cobranzas_2026.csv</t>
        </is>
      </c>
      <c r="CG513" t="n">
        <v>2026</v>
      </c>
      <c r="CH513" t="inlineStr">
        <is>
          <t>01/01/2024</t>
        </is>
      </c>
      <c r="CI513" t="inlineStr">
        <is>
          <t>24/08/2031</t>
        </is>
      </c>
    </row>
    <row r="514">
      <c r="A514" t="inlineStr">
        <is>
          <t>RESIDENCIAL VENECIA</t>
        </is>
      </c>
      <c r="B514" t="inlineStr">
        <is>
          <t>Etapa 1</t>
        </is>
      </c>
      <c r="C514" t="inlineStr">
        <is>
          <t>Edificio</t>
        </is>
      </c>
      <c r="D514" t="inlineStr">
        <is>
          <t>A</t>
        </is>
      </c>
      <c r="E514" t="inlineStr">
        <is>
          <t>Departamento</t>
        </is>
      </c>
      <c r="F514" t="inlineStr">
        <is>
          <t>504</t>
        </is>
      </c>
      <c r="G514" t="n">
        <v>67</v>
      </c>
      <c r="H514" t="n">
        <v>0</v>
      </c>
      <c r="I514" s="39" t="n">
        <v>428000</v>
      </c>
      <c r="J514" s="39" t="n">
        <v>428000</v>
      </c>
      <c r="Q514" s="39" t="n"/>
      <c r="R514" s="39" t="n"/>
      <c r="Y514" s="39" t="n"/>
      <c r="Z514" s="39" t="n"/>
      <c r="AG514" s="39" t="n"/>
      <c r="AH514" s="39" t="n"/>
      <c r="AI514" t="inlineStr">
        <is>
          <t>Jose Edgardo Camacho Cespedes</t>
        </is>
      </c>
      <c r="AJ514" t="inlineStr">
        <is>
          <t>16631860</t>
        </is>
      </c>
      <c r="AK514" t="inlineStr">
        <is>
          <t>Jr. Huamachuco 1961Urb.Fundo Oyague</t>
        </is>
      </c>
      <c r="AL514" t="n">
        <v>0</v>
      </c>
      <c r="AM514" t="inlineStr">
        <is>
          <t>985758164</t>
        </is>
      </c>
      <c r="AN514" t="inlineStr">
        <is>
          <t>edgardocc1ro@gmail.com</t>
        </is>
      </c>
      <c r="AO514" t="inlineStr">
        <is>
          <t>LIMA</t>
        </is>
      </c>
      <c r="AP514" t="inlineStr">
        <is>
          <t>JESUS MARIA</t>
        </is>
      </c>
      <c r="AQ514" s="75" t="n">
        <v>46232.38680555556</v>
      </c>
      <c r="AR514" s="75" t="n">
        <v>46230</v>
      </c>
      <c r="AS514" t="inlineStr">
        <is>
          <t>SALDO FINANCIAR</t>
        </is>
      </c>
      <c r="AT514" t="n">
        <v>1</v>
      </c>
      <c r="AU514" t="n">
        <v>0</v>
      </c>
      <c r="AV514" t="n">
        <v>0</v>
      </c>
      <c r="AW514" t="n">
        <v>0</v>
      </c>
      <c r="AX514" s="39" t="n">
        <v>385800</v>
      </c>
      <c r="AY514" s="39" t="n">
        <v>15655.84</v>
      </c>
      <c r="AZ514" s="39" t="n">
        <v>0</v>
      </c>
      <c r="BA514" t="n">
        <v>0</v>
      </c>
      <c r="BB514" t="inlineStr">
        <is>
          <t>Crédito Hipotecario</t>
        </is>
      </c>
      <c r="BC514" t="inlineStr">
        <is>
          <t>Scotiabank Perú</t>
        </is>
      </c>
      <c r="BD514" t="inlineStr">
        <is>
          <t>0004071419</t>
        </is>
      </c>
      <c r="BE514" t="inlineStr">
        <is>
          <t>TRANSFERENCIA BANCARIA</t>
        </is>
      </c>
      <c r="BF514" t="inlineStr">
        <is>
          <t xml:space="preserve">EB01-98 </t>
        </is>
      </c>
      <c r="BH514" t="inlineStr">
        <is>
          <t>No</t>
        </is>
      </c>
      <c r="BJ514" t="n">
        <v>4</v>
      </c>
      <c r="BK514" t="inlineStr">
        <is>
          <t>CANCELADO</t>
        </is>
      </c>
      <c r="BV514" t="inlineStr">
        <is>
          <t>Si</t>
        </is>
      </c>
      <c r="BW514" s="76" t="n">
        <v>46049.34444444445</v>
      </c>
      <c r="BX514" t="inlineStr">
        <is>
          <t>Magaly Guevara Perez</t>
        </is>
      </c>
      <c r="BZ514" t="n">
        <v>10</v>
      </c>
      <c r="CA514" t="inlineStr">
        <is>
          <t>27/07/2026 11:53</t>
        </is>
      </c>
      <c r="CB514" t="n">
        <v>0</v>
      </c>
      <c r="CF514" t="inlineStr">
        <is>
          <t>Cobranzas_2026.csv</t>
        </is>
      </c>
      <c r="CG514" t="n">
        <v>2026</v>
      </c>
      <c r="CH514" t="inlineStr">
        <is>
          <t>01/01/2024</t>
        </is>
      </c>
      <c r="CI514" t="inlineStr">
        <is>
          <t>24/08/2031</t>
        </is>
      </c>
    </row>
    <row r="515">
      <c r="A515" t="inlineStr">
        <is>
          <t>RESIDENCIAL VENECIA</t>
        </is>
      </c>
      <c r="B515" t="inlineStr">
        <is>
          <t>Etapa 1</t>
        </is>
      </c>
      <c r="C515" t="inlineStr">
        <is>
          <t>Edificio</t>
        </is>
      </c>
      <c r="D515" t="inlineStr">
        <is>
          <t>A</t>
        </is>
      </c>
      <c r="E515" t="inlineStr">
        <is>
          <t>Departamento</t>
        </is>
      </c>
      <c r="F515" t="inlineStr">
        <is>
          <t>504</t>
        </is>
      </c>
      <c r="G515" t="n">
        <v>67</v>
      </c>
      <c r="H515" t="n">
        <v>0</v>
      </c>
      <c r="I515" s="39" t="n">
        <v>428000</v>
      </c>
      <c r="J515" s="39" t="n">
        <v>428000</v>
      </c>
      <c r="Q515" s="39" t="n"/>
      <c r="R515" s="39" t="n"/>
      <c r="Y515" s="39" t="n"/>
      <c r="Z515" s="39" t="n"/>
      <c r="AG515" s="39" t="n"/>
      <c r="AH515" s="39" t="n"/>
      <c r="AI515" t="inlineStr">
        <is>
          <t>Jose Edgardo Camacho Cespedes</t>
        </is>
      </c>
      <c r="AJ515" t="inlineStr">
        <is>
          <t>16631860</t>
        </is>
      </c>
      <c r="AK515" t="inlineStr">
        <is>
          <t>Jr. Huamachuco 1961Urb.Fundo Oyague</t>
        </is>
      </c>
      <c r="AL515" t="n">
        <v>0</v>
      </c>
      <c r="AM515" t="inlineStr">
        <is>
          <t>985758164</t>
        </is>
      </c>
      <c r="AN515" t="inlineStr">
        <is>
          <t>edgardocc1ro@gmail.com</t>
        </is>
      </c>
      <c r="AO515" t="inlineStr">
        <is>
          <t>LIMA</t>
        </is>
      </c>
      <c r="AP515" t="inlineStr">
        <is>
          <t>JESUS MARIA</t>
        </is>
      </c>
      <c r="AQ515" s="75" t="n">
        <v>46232.38680555556</v>
      </c>
      <c r="AR515" s="75" t="n">
        <v>46230</v>
      </c>
      <c r="AS515" t="inlineStr">
        <is>
          <t>SALDO FINANCIAR</t>
        </is>
      </c>
      <c r="AT515" t="n">
        <v>1</v>
      </c>
      <c r="AU515" t="n">
        <v>385800</v>
      </c>
      <c r="AV515" t="n">
        <v>0</v>
      </c>
      <c r="AW515" t="n">
        <v>0</v>
      </c>
      <c r="AX515" s="39" t="n">
        <v>0</v>
      </c>
      <c r="AY515" s="39" t="n">
        <v>6344.16</v>
      </c>
      <c r="AZ515" s="39" t="n">
        <v>0</v>
      </c>
      <c r="BA515" t="n">
        <v>0</v>
      </c>
      <c r="BB515" t="inlineStr">
        <is>
          <t>Crédito Hipotecario</t>
        </is>
      </c>
      <c r="BC515" t="inlineStr">
        <is>
          <t>Scotiabank Perú</t>
        </is>
      </c>
      <c r="BD515" t="inlineStr">
        <is>
          <t>0004071419</t>
        </is>
      </c>
      <c r="BE515" t="inlineStr">
        <is>
          <t>TRANSFERENCIA BANCARIA</t>
        </is>
      </c>
      <c r="BG515" t="inlineStr">
        <is>
          <t>EB01-100</t>
        </is>
      </c>
      <c r="BH515" t="inlineStr">
        <is>
          <t>No</t>
        </is>
      </c>
      <c r="BJ515" t="n">
        <v>4</v>
      </c>
      <c r="BK515" t="inlineStr">
        <is>
          <t>CANCELADO</t>
        </is>
      </c>
      <c r="BV515" t="inlineStr">
        <is>
          <t>Si</t>
        </is>
      </c>
      <c r="BW515" s="76" t="n">
        <v>46049.34444444445</v>
      </c>
      <c r="BX515" t="inlineStr">
        <is>
          <t>Magaly Guevara Perez</t>
        </is>
      </c>
      <c r="BZ515" t="n">
        <v>10</v>
      </c>
      <c r="CA515" t="inlineStr">
        <is>
          <t>27/07/2026 11:54</t>
        </is>
      </c>
      <c r="CB515" t="n">
        <v>0</v>
      </c>
      <c r="CF515" t="inlineStr">
        <is>
          <t>Cobranzas_2026.csv</t>
        </is>
      </c>
      <c r="CG515" t="n">
        <v>2026</v>
      </c>
      <c r="CH515" t="inlineStr">
        <is>
          <t>01/01/2024</t>
        </is>
      </c>
      <c r="CI515" t="inlineStr">
        <is>
          <t>24/08/2031</t>
        </is>
      </c>
    </row>
    <row r="516">
      <c r="A516" t="inlineStr">
        <is>
          <t>RESIDENCIAL VENECIA</t>
        </is>
      </c>
      <c r="B516" t="inlineStr">
        <is>
          <t>Etapa 1</t>
        </is>
      </c>
      <c r="C516" t="inlineStr">
        <is>
          <t>Edificio</t>
        </is>
      </c>
      <c r="D516" t="inlineStr">
        <is>
          <t>A</t>
        </is>
      </c>
      <c r="E516" t="inlineStr">
        <is>
          <t>Departamento</t>
        </is>
      </c>
      <c r="F516" t="inlineStr">
        <is>
          <t>504</t>
        </is>
      </c>
      <c r="G516" t="n">
        <v>67</v>
      </c>
      <c r="H516" t="n">
        <v>0</v>
      </c>
      <c r="I516" s="39" t="n">
        <v>428000</v>
      </c>
      <c r="J516" s="39" t="n">
        <v>428000</v>
      </c>
      <c r="Q516" s="39" t="n"/>
      <c r="R516" s="39" t="n"/>
      <c r="Y516" s="39" t="n"/>
      <c r="Z516" s="39" t="n"/>
      <c r="AG516" s="39" t="n"/>
      <c r="AH516" s="39" t="n"/>
      <c r="AI516" t="inlineStr">
        <is>
          <t>Jose Edgardo Camacho Cespedes</t>
        </is>
      </c>
      <c r="AJ516" t="inlineStr">
        <is>
          <t>16631860</t>
        </is>
      </c>
      <c r="AK516" t="inlineStr">
        <is>
          <t>Jr. Huamachuco 1961Urb.Fundo Oyague</t>
        </is>
      </c>
      <c r="AL516" t="n">
        <v>0</v>
      </c>
      <c r="AM516" t="inlineStr">
        <is>
          <t>985758164</t>
        </is>
      </c>
      <c r="AN516" t="inlineStr">
        <is>
          <t>edgardocc1ro@gmail.com</t>
        </is>
      </c>
      <c r="AO516" t="inlineStr">
        <is>
          <t>LIMA</t>
        </is>
      </c>
      <c r="AP516" t="inlineStr">
        <is>
          <t>JESUS MARIA</t>
        </is>
      </c>
      <c r="AQ516" s="75" t="n">
        <v>46232.38680555556</v>
      </c>
      <c r="AR516" s="75" t="n">
        <v>46171</v>
      </c>
      <c r="AS516" t="inlineStr">
        <is>
          <t>SALDO FINANCIAR</t>
        </is>
      </c>
      <c r="AT516" t="n">
        <v>1</v>
      </c>
      <c r="AU516" t="n">
        <v>0</v>
      </c>
      <c r="AV516" t="n">
        <v>0</v>
      </c>
      <c r="AW516" t="n">
        <v>0</v>
      </c>
      <c r="AX516" s="39" t="n">
        <v>0</v>
      </c>
      <c r="AY516" s="39" t="n">
        <v>363800</v>
      </c>
      <c r="AZ516" s="39" t="n">
        <v>0</v>
      </c>
      <c r="BA516" t="n">
        <v>0</v>
      </c>
      <c r="BB516" t="inlineStr">
        <is>
          <t>Crédito Hipotecario</t>
        </is>
      </c>
      <c r="BC516" t="inlineStr">
        <is>
          <t>Scotiabank Perú</t>
        </is>
      </c>
      <c r="BD516" t="inlineStr">
        <is>
          <t>0004071419</t>
        </is>
      </c>
      <c r="BE516" t="inlineStr">
        <is>
          <t>TRANSFERENCIA BANCARIA</t>
        </is>
      </c>
      <c r="BH516" t="inlineStr">
        <is>
          <t>No</t>
        </is>
      </c>
      <c r="BJ516" t="n">
        <v>4</v>
      </c>
      <c r="BK516" t="inlineStr">
        <is>
          <t>CANCELADO</t>
        </is>
      </c>
      <c r="BV516" t="inlineStr">
        <is>
          <t>Si</t>
        </is>
      </c>
      <c r="BW516" s="76" t="n">
        <v>46049.34444444445</v>
      </c>
      <c r="BX516" t="inlineStr">
        <is>
          <t>Magaly Guevara Perez</t>
        </is>
      </c>
      <c r="BZ516" t="n">
        <v>10</v>
      </c>
      <c r="CA516" t="inlineStr">
        <is>
          <t>18/08/2026 18:12</t>
        </is>
      </c>
      <c r="CB516" t="n">
        <v>0</v>
      </c>
      <c r="CF516" t="inlineStr">
        <is>
          <t>Cobranzas_2026.csv</t>
        </is>
      </c>
      <c r="CG516" t="n">
        <v>2026</v>
      </c>
      <c r="CH516" t="inlineStr">
        <is>
          <t>01/01/2024</t>
        </is>
      </c>
      <c r="CI516" t="inlineStr">
        <is>
          <t>24/08/2031</t>
        </is>
      </c>
    </row>
    <row r="517">
      <c r="A517" t="inlineStr">
        <is>
          <t>RESIDENCIAL VENECIA</t>
        </is>
      </c>
      <c r="B517" t="inlineStr">
        <is>
          <t>Etapa 1</t>
        </is>
      </c>
      <c r="C517" t="inlineStr">
        <is>
          <t>Edificio</t>
        </is>
      </c>
      <c r="D517" t="inlineStr">
        <is>
          <t>A</t>
        </is>
      </c>
      <c r="E517" t="inlineStr">
        <is>
          <t>Estacionamiento</t>
        </is>
      </c>
      <c r="F517" t="inlineStr">
        <is>
          <t>E 10 - D 1</t>
        </is>
      </c>
      <c r="G517" t="n">
        <v>15.35</v>
      </c>
      <c r="H517" t="n">
        <v>0</v>
      </c>
      <c r="I517" s="39" t="n">
        <v>54000</v>
      </c>
      <c r="J517" s="39" t="n">
        <v>54000</v>
      </c>
      <c r="Q517" s="39" t="n"/>
      <c r="R517" s="39" t="n"/>
      <c r="Y517" s="39" t="n"/>
      <c r="Z517" s="39" t="n"/>
      <c r="AG517" s="39" t="n"/>
      <c r="AH517" s="39" t="n"/>
      <c r="AI517" t="inlineStr">
        <is>
          <t>Jose Edgardo Cespedes Camacho</t>
        </is>
      </c>
      <c r="AJ517" t="inlineStr">
        <is>
          <t>16631860</t>
        </is>
      </c>
      <c r="AK517" t="inlineStr">
        <is>
          <t>Jr. Huamachuco 1961Urb.Fundo Oyague</t>
        </is>
      </c>
      <c r="AL517" t="n">
        <v>0</v>
      </c>
      <c r="AM517" t="inlineStr">
        <is>
          <t>985758164</t>
        </is>
      </c>
      <c r="AN517" t="inlineStr">
        <is>
          <t>edgardocc1ro@gmail.com</t>
        </is>
      </c>
      <c r="AO517" t="inlineStr">
        <is>
          <t>LIMA</t>
        </is>
      </c>
      <c r="AP517" t="inlineStr">
        <is>
          <t>JESUS MARIA</t>
        </is>
      </c>
      <c r="AQ517" s="75" t="n">
        <v>46079</v>
      </c>
      <c r="AR517" s="75" t="n">
        <v>46079</v>
      </c>
      <c r="AS517" t="inlineStr">
        <is>
          <t>SEPARACION</t>
        </is>
      </c>
      <c r="AT517" t="n">
        <v>1</v>
      </c>
      <c r="AU517" t="n">
        <v>3000</v>
      </c>
      <c r="AV517" t="n">
        <v>0</v>
      </c>
      <c r="AW517" t="n">
        <v>0</v>
      </c>
      <c r="AX517" s="39" t="n">
        <v>3000</v>
      </c>
      <c r="AY517" s="39" t="n">
        <v>3000</v>
      </c>
      <c r="AZ517" s="39" t="n">
        <v>0</v>
      </c>
      <c r="BA517" t="n">
        <v>0</v>
      </c>
      <c r="BB517" t="inlineStr">
        <is>
          <t>Crédito Directo</t>
        </is>
      </c>
      <c r="BC517" t="inlineStr">
        <is>
          <t>Scotiabank Perú</t>
        </is>
      </c>
      <c r="BD517" t="inlineStr">
        <is>
          <t>0004071419</t>
        </is>
      </c>
      <c r="BE517" t="inlineStr">
        <is>
          <t>TRANSFERENCIA BANCARIA</t>
        </is>
      </c>
      <c r="BG517" t="inlineStr">
        <is>
          <t>784465558963</t>
        </is>
      </c>
      <c r="BH517" t="inlineStr">
        <is>
          <t>No</t>
        </is>
      </c>
      <c r="BJ517" t="n">
        <v>4</v>
      </c>
      <c r="BK517" t="inlineStr">
        <is>
          <t>CANCELADO</t>
        </is>
      </c>
      <c r="BV517" t="inlineStr">
        <is>
          <t>Si</t>
        </is>
      </c>
      <c r="BW517" s="76" t="n">
        <v>46079.41944444444</v>
      </c>
      <c r="BX517" t="inlineStr">
        <is>
          <t>Magaly Guevara Perez</t>
        </is>
      </c>
      <c r="BZ517" t="n">
        <v>17</v>
      </c>
      <c r="CA517" t="inlineStr">
        <is>
          <t>02/08/2026 09:07</t>
        </is>
      </c>
      <c r="CB517" t="n">
        <v>0</v>
      </c>
      <c r="CF517" t="inlineStr">
        <is>
          <t>Cobranzas_2026.csv</t>
        </is>
      </c>
      <c r="CG517" t="n">
        <v>2026</v>
      </c>
      <c r="CH517" t="inlineStr">
        <is>
          <t>01/01/2024</t>
        </is>
      </c>
      <c r="CI517" t="inlineStr">
        <is>
          <t>24/08/2031</t>
        </is>
      </c>
    </row>
    <row r="518">
      <c r="A518" t="inlineStr">
        <is>
          <t>RESIDENCIAL VENECIA</t>
        </is>
      </c>
      <c r="B518" t="inlineStr">
        <is>
          <t>Etapa 1</t>
        </is>
      </c>
      <c r="C518" t="inlineStr">
        <is>
          <t>Edificio</t>
        </is>
      </c>
      <c r="D518" t="inlineStr">
        <is>
          <t>A</t>
        </is>
      </c>
      <c r="E518" t="inlineStr">
        <is>
          <t>Estacionamiento</t>
        </is>
      </c>
      <c r="F518" t="inlineStr">
        <is>
          <t>E 10 - D 1</t>
        </is>
      </c>
      <c r="G518" t="n">
        <v>15.35</v>
      </c>
      <c r="H518" t="n">
        <v>0</v>
      </c>
      <c r="I518" s="39" t="n">
        <v>54000</v>
      </c>
      <c r="J518" s="39" t="n">
        <v>54000</v>
      </c>
      <c r="Q518" s="39" t="n"/>
      <c r="R518" s="39" t="n"/>
      <c r="Y518" s="39" t="n"/>
      <c r="Z518" s="39" t="n"/>
      <c r="AG518" s="39" t="n"/>
      <c r="AH518" s="39" t="n"/>
      <c r="AI518" t="inlineStr">
        <is>
          <t>Jose Edgardo Cespedes Camacho</t>
        </is>
      </c>
      <c r="AJ518" t="inlineStr">
        <is>
          <t>16631860</t>
        </is>
      </c>
      <c r="AK518" t="inlineStr">
        <is>
          <t>Jr. Huamachuco 1961Urb.Fundo Oyague</t>
        </is>
      </c>
      <c r="AL518" t="n">
        <v>0</v>
      </c>
      <c r="AM518" t="inlineStr">
        <is>
          <t>985758164</t>
        </is>
      </c>
      <c r="AN518" t="inlineStr">
        <is>
          <t>edgardocc1ro@gmail.com</t>
        </is>
      </c>
      <c r="AO518" t="inlineStr">
        <is>
          <t>LIMA</t>
        </is>
      </c>
      <c r="AP518" t="inlineStr">
        <is>
          <t>JESUS MARIA</t>
        </is>
      </c>
      <c r="AQ518" s="75" t="n">
        <v>46079</v>
      </c>
      <c r="AR518" s="75" t="n">
        <v>46079</v>
      </c>
      <c r="AS518" t="inlineStr">
        <is>
          <t>CUOTA INICIAL</t>
        </is>
      </c>
      <c r="AT518" t="n">
        <v>1</v>
      </c>
      <c r="AU518" t="n">
        <v>7000</v>
      </c>
      <c r="AV518" t="n">
        <v>0</v>
      </c>
      <c r="AW518" t="n">
        <v>0</v>
      </c>
      <c r="AX518" s="39" t="n">
        <v>7000</v>
      </c>
      <c r="AY518" s="39" t="n">
        <v>7000</v>
      </c>
      <c r="AZ518" s="39" t="n">
        <v>0</v>
      </c>
      <c r="BA518" t="n">
        <v>0</v>
      </c>
      <c r="BB518" t="inlineStr">
        <is>
          <t>Crédito Directo</t>
        </is>
      </c>
      <c r="BC518" t="inlineStr">
        <is>
          <t>Scotiabank Perú</t>
        </is>
      </c>
      <c r="BD518" t="inlineStr">
        <is>
          <t>0004071419</t>
        </is>
      </c>
      <c r="BE518" t="inlineStr">
        <is>
          <t>TRANSFERENCIA BANCARIA</t>
        </is>
      </c>
      <c r="BG518" t="inlineStr">
        <is>
          <t>784465558963</t>
        </is>
      </c>
      <c r="BH518" t="inlineStr">
        <is>
          <t>No</t>
        </is>
      </c>
      <c r="BJ518" t="n">
        <v>4</v>
      </c>
      <c r="BK518" t="inlineStr">
        <is>
          <t>CANCELADO</t>
        </is>
      </c>
      <c r="BV518" t="inlineStr">
        <is>
          <t>Si</t>
        </is>
      </c>
      <c r="BW518" s="76" t="n">
        <v>46079.41944444444</v>
      </c>
      <c r="BX518" t="inlineStr">
        <is>
          <t>Magaly Guevara Perez</t>
        </is>
      </c>
      <c r="BZ518" t="n">
        <v>17</v>
      </c>
      <c r="CA518" t="inlineStr">
        <is>
          <t>02/08/2026 09:07</t>
        </is>
      </c>
      <c r="CB518" t="n">
        <v>0</v>
      </c>
      <c r="CF518" t="inlineStr">
        <is>
          <t>Cobranzas_2026.csv</t>
        </is>
      </c>
      <c r="CG518" t="n">
        <v>2026</v>
      </c>
      <c r="CH518" t="inlineStr">
        <is>
          <t>01/01/2024</t>
        </is>
      </c>
      <c r="CI518" t="inlineStr">
        <is>
          <t>24/08/2031</t>
        </is>
      </c>
    </row>
    <row r="519">
      <c r="A519" t="inlineStr">
        <is>
          <t>RESIDENCIAL VENECIA</t>
        </is>
      </c>
      <c r="B519" t="inlineStr">
        <is>
          <t>Etapa 1</t>
        </is>
      </c>
      <c r="C519" t="inlineStr">
        <is>
          <t>Edificio</t>
        </is>
      </c>
      <c r="D519" t="inlineStr">
        <is>
          <t>A</t>
        </is>
      </c>
      <c r="E519" t="inlineStr">
        <is>
          <t>Estacionamiento</t>
        </is>
      </c>
      <c r="F519" t="inlineStr">
        <is>
          <t>E 10 - D 1</t>
        </is>
      </c>
      <c r="G519" t="n">
        <v>15.35</v>
      </c>
      <c r="H519" t="n">
        <v>0</v>
      </c>
      <c r="I519" s="39" t="n">
        <v>54000</v>
      </c>
      <c r="J519" s="39" t="n">
        <v>54000</v>
      </c>
      <c r="Q519" s="39" t="n"/>
      <c r="R519" s="39" t="n"/>
      <c r="Y519" s="39" t="n"/>
      <c r="Z519" s="39" t="n"/>
      <c r="AG519" s="39" t="n"/>
      <c r="AH519" s="39" t="n"/>
      <c r="AI519" t="inlineStr">
        <is>
          <t>Jose Edgardo Cespedes Camacho</t>
        </is>
      </c>
      <c r="AJ519" t="inlineStr">
        <is>
          <t>16631860</t>
        </is>
      </c>
      <c r="AK519" t="inlineStr">
        <is>
          <t>Jr. Huamachuco 1961Urb.Fundo Oyague</t>
        </is>
      </c>
      <c r="AL519" t="n">
        <v>0</v>
      </c>
      <c r="AM519" t="inlineStr">
        <is>
          <t>985758164</t>
        </is>
      </c>
      <c r="AN519" t="inlineStr">
        <is>
          <t>edgardocc1ro@gmail.com</t>
        </is>
      </c>
      <c r="AO519" t="inlineStr">
        <is>
          <t>LIMA</t>
        </is>
      </c>
      <c r="AP519" t="inlineStr">
        <is>
          <t>JESUS MARIA</t>
        </is>
      </c>
      <c r="AQ519" s="75" t="n">
        <v>46203</v>
      </c>
      <c r="AR519" s="75" t="n">
        <v>46197</v>
      </c>
      <c r="AS519" t="inlineStr">
        <is>
          <t>SALDO FINANCIAR</t>
        </is>
      </c>
      <c r="AT519" t="n">
        <v>1</v>
      </c>
      <c r="AU519" t="n">
        <v>3666.67</v>
      </c>
      <c r="AV519" t="n">
        <v>0</v>
      </c>
      <c r="AW519" t="n">
        <v>0</v>
      </c>
      <c r="AX519" s="39" t="n">
        <v>3666.67</v>
      </c>
      <c r="AY519" s="39" t="n">
        <v>3666.67</v>
      </c>
      <c r="AZ519" s="39" t="n">
        <v>0</v>
      </c>
      <c r="BA519" t="n">
        <v>0</v>
      </c>
      <c r="BB519" t="inlineStr">
        <is>
          <t>Crédito Directo</t>
        </is>
      </c>
      <c r="BC519" t="inlineStr">
        <is>
          <t>Scotiabank Perú</t>
        </is>
      </c>
      <c r="BD519" t="inlineStr">
        <is>
          <t>0004071419</t>
        </is>
      </c>
      <c r="BE519" t="inlineStr">
        <is>
          <t>TRANSFERENCIA BANCARIA</t>
        </is>
      </c>
      <c r="BG519" t="inlineStr">
        <is>
          <t>7844655521396</t>
        </is>
      </c>
      <c r="BH519" t="inlineStr">
        <is>
          <t>No</t>
        </is>
      </c>
      <c r="BJ519" t="n">
        <v>4</v>
      </c>
      <c r="BK519" t="inlineStr">
        <is>
          <t>CANCELADO</t>
        </is>
      </c>
      <c r="BV519" t="inlineStr">
        <is>
          <t>Si</t>
        </is>
      </c>
      <c r="BW519" s="76" t="n">
        <v>46079.41944444444</v>
      </c>
      <c r="BX519" t="inlineStr">
        <is>
          <t>Magaly Guevara Perez</t>
        </is>
      </c>
      <c r="BZ519" t="n">
        <v>17</v>
      </c>
      <c r="CA519" t="inlineStr">
        <is>
          <t>02/07/2026 11:50</t>
        </is>
      </c>
      <c r="CB519" t="n">
        <v>0</v>
      </c>
      <c r="CF519" t="inlineStr">
        <is>
          <t>Cobranzas_2026.csv</t>
        </is>
      </c>
      <c r="CG519" t="n">
        <v>2026</v>
      </c>
      <c r="CH519" t="inlineStr">
        <is>
          <t>01/01/2024</t>
        </is>
      </c>
      <c r="CI519" t="inlineStr">
        <is>
          <t>24/08/2031</t>
        </is>
      </c>
    </row>
    <row r="520">
      <c r="A520" t="inlineStr">
        <is>
          <t>RESIDENCIAL VENECIA</t>
        </is>
      </c>
      <c r="B520" t="inlineStr">
        <is>
          <t>Etapa 1</t>
        </is>
      </c>
      <c r="C520" t="inlineStr">
        <is>
          <t>Edificio</t>
        </is>
      </c>
      <c r="D520" t="inlineStr">
        <is>
          <t>A</t>
        </is>
      </c>
      <c r="E520" t="inlineStr">
        <is>
          <t>Estacionamiento</t>
        </is>
      </c>
      <c r="F520" t="inlineStr">
        <is>
          <t>E 10 - D 1</t>
        </is>
      </c>
      <c r="G520" t="n">
        <v>15.35</v>
      </c>
      <c r="H520" t="n">
        <v>0</v>
      </c>
      <c r="I520" s="39" t="n">
        <v>54000</v>
      </c>
      <c r="J520" s="39" t="n">
        <v>54000</v>
      </c>
      <c r="Q520" s="39" t="n"/>
      <c r="R520" s="39" t="n"/>
      <c r="Y520" s="39" t="n"/>
      <c r="Z520" s="39" t="n"/>
      <c r="AG520" s="39" t="n"/>
      <c r="AH520" s="39" t="n"/>
      <c r="AI520" t="inlineStr">
        <is>
          <t>Jose Edgardo Cespedes Camacho</t>
        </is>
      </c>
      <c r="AJ520" t="inlineStr">
        <is>
          <t>16631860</t>
        </is>
      </c>
      <c r="AK520" t="inlineStr">
        <is>
          <t>Jr. Huamachuco 1961Urb.Fundo Oyague</t>
        </is>
      </c>
      <c r="AL520" t="n">
        <v>0</v>
      </c>
      <c r="AM520" t="inlineStr">
        <is>
          <t>985758164</t>
        </is>
      </c>
      <c r="AN520" t="inlineStr">
        <is>
          <t>edgardocc1ro@gmail.com</t>
        </is>
      </c>
      <c r="AO520" t="inlineStr">
        <is>
          <t>LIMA</t>
        </is>
      </c>
      <c r="AP520" t="inlineStr">
        <is>
          <t>JESUS MARIA</t>
        </is>
      </c>
      <c r="AQ520" s="75" t="n">
        <v>46233</v>
      </c>
      <c r="AR520" s="75" t="n">
        <v>46197</v>
      </c>
      <c r="AS520" t="inlineStr">
        <is>
          <t>SALDO FINANCIAR</t>
        </is>
      </c>
      <c r="AT520" t="n">
        <v>2</v>
      </c>
      <c r="AU520" t="n">
        <v>3666.67</v>
      </c>
      <c r="AV520" t="n">
        <v>0</v>
      </c>
      <c r="AW520" t="n">
        <v>0</v>
      </c>
      <c r="AX520" s="39" t="n">
        <v>3666.67</v>
      </c>
      <c r="AY520" s="39" t="n">
        <v>3666.67</v>
      </c>
      <c r="AZ520" s="39" t="n">
        <v>0</v>
      </c>
      <c r="BA520" t="n">
        <v>0</v>
      </c>
      <c r="BB520" t="inlineStr">
        <is>
          <t>Crédito Directo</t>
        </is>
      </c>
      <c r="BC520" t="inlineStr">
        <is>
          <t>Scotiabank Perú</t>
        </is>
      </c>
      <c r="BD520" t="inlineStr">
        <is>
          <t>0004071419</t>
        </is>
      </c>
      <c r="BE520" t="inlineStr">
        <is>
          <t>TRANSFERENCIA BANCARIA</t>
        </is>
      </c>
      <c r="BG520" t="inlineStr">
        <is>
          <t>7844655521516</t>
        </is>
      </c>
      <c r="BH520" t="inlineStr">
        <is>
          <t>No</t>
        </is>
      </c>
      <c r="BJ520" t="n">
        <v>4</v>
      </c>
      <c r="BK520" t="inlineStr">
        <is>
          <t>CANCELADO</t>
        </is>
      </c>
      <c r="BV520" t="inlineStr">
        <is>
          <t>Si</t>
        </is>
      </c>
      <c r="BW520" s="76" t="n">
        <v>46079.41944444444</v>
      </c>
      <c r="BX520" t="inlineStr">
        <is>
          <t>Magaly Guevara Perez</t>
        </is>
      </c>
      <c r="BZ520" t="n">
        <v>17</v>
      </c>
      <c r="CA520" t="inlineStr">
        <is>
          <t>02/07/2026 11:52</t>
        </is>
      </c>
      <c r="CB520" t="n">
        <v>0</v>
      </c>
      <c r="CF520" t="inlineStr">
        <is>
          <t>Cobranzas_2026.csv</t>
        </is>
      </c>
      <c r="CG520" t="n">
        <v>2026</v>
      </c>
      <c r="CH520" t="inlineStr">
        <is>
          <t>01/01/2024</t>
        </is>
      </c>
      <c r="CI520" t="inlineStr">
        <is>
          <t>24/08/2031</t>
        </is>
      </c>
    </row>
    <row r="521">
      <c r="A521" t="inlineStr">
        <is>
          <t>RESIDENCIAL VENECIA</t>
        </is>
      </c>
      <c r="B521" t="inlineStr">
        <is>
          <t>Etapa 1</t>
        </is>
      </c>
      <c r="C521" t="inlineStr">
        <is>
          <t>Edificio</t>
        </is>
      </c>
      <c r="D521" t="inlineStr">
        <is>
          <t>A</t>
        </is>
      </c>
      <c r="E521" t="inlineStr">
        <is>
          <t>Estacionamiento</t>
        </is>
      </c>
      <c r="F521" t="inlineStr">
        <is>
          <t>E 10 - D 1</t>
        </is>
      </c>
      <c r="G521" t="n">
        <v>15.35</v>
      </c>
      <c r="H521" t="n">
        <v>0</v>
      </c>
      <c r="I521" s="39" t="n">
        <v>54000</v>
      </c>
      <c r="J521" s="39" t="n">
        <v>54000</v>
      </c>
      <c r="Q521" s="39" t="n"/>
      <c r="R521" s="39" t="n"/>
      <c r="Y521" s="39" t="n"/>
      <c r="Z521" s="39" t="n"/>
      <c r="AG521" s="39" t="n"/>
      <c r="AH521" s="39" t="n"/>
      <c r="AI521" t="inlineStr">
        <is>
          <t>Jose Edgardo Cespedes Camacho</t>
        </is>
      </c>
      <c r="AJ521" t="inlineStr">
        <is>
          <t>16631860</t>
        </is>
      </c>
      <c r="AK521" t="inlineStr">
        <is>
          <t>Jr. Huamachuco 1961Urb.Fundo Oyague</t>
        </is>
      </c>
      <c r="AL521" t="n">
        <v>0</v>
      </c>
      <c r="AM521" t="inlineStr">
        <is>
          <t>985758164</t>
        </is>
      </c>
      <c r="AN521" t="inlineStr">
        <is>
          <t>edgardocc1ro@gmail.com</t>
        </is>
      </c>
      <c r="AO521" t="inlineStr">
        <is>
          <t>LIMA</t>
        </is>
      </c>
      <c r="AP521" t="inlineStr">
        <is>
          <t>JESUS MARIA</t>
        </is>
      </c>
      <c r="AQ521" s="75" t="n">
        <v>46264</v>
      </c>
      <c r="AR521" s="75" t="n">
        <v>46206</v>
      </c>
      <c r="AS521" t="inlineStr">
        <is>
          <t>SALDO FINANCIAR</t>
        </is>
      </c>
      <c r="AT521" t="n">
        <v>3</v>
      </c>
      <c r="AU521" t="n">
        <v>3666.67</v>
      </c>
      <c r="AV521" t="n">
        <v>0</v>
      </c>
      <c r="AW521" t="n">
        <v>0</v>
      </c>
      <c r="AX521" s="39" t="n">
        <v>3666.67</v>
      </c>
      <c r="AY521" s="39" t="n">
        <v>3666.67</v>
      </c>
      <c r="AZ521" s="39" t="n">
        <v>0</v>
      </c>
      <c r="BA521" t="n">
        <v>0</v>
      </c>
      <c r="BB521" t="inlineStr">
        <is>
          <t>Crédito Directo</t>
        </is>
      </c>
      <c r="BC521" t="inlineStr">
        <is>
          <t>Scotiabank Perú</t>
        </is>
      </c>
      <c r="BD521" t="inlineStr">
        <is>
          <t>0004071419</t>
        </is>
      </c>
      <c r="BE521" t="inlineStr">
        <is>
          <t>TRANSFERENCIA BANCARIA</t>
        </is>
      </c>
      <c r="BG521" t="inlineStr">
        <is>
          <t>7844655529714</t>
        </is>
      </c>
      <c r="BH521" t="inlineStr">
        <is>
          <t>No</t>
        </is>
      </c>
      <c r="BJ521" t="n">
        <v>4</v>
      </c>
      <c r="BK521" t="inlineStr">
        <is>
          <t>CANCELADO</t>
        </is>
      </c>
      <c r="BV521" t="inlineStr">
        <is>
          <t>Si</t>
        </is>
      </c>
      <c r="BW521" s="76" t="n">
        <v>46079.41944444444</v>
      </c>
      <c r="BX521" t="inlineStr">
        <is>
          <t>Magaly Guevara Perez</t>
        </is>
      </c>
      <c r="BZ521" t="n">
        <v>17</v>
      </c>
      <c r="CA521" t="inlineStr">
        <is>
          <t>02/08/2026 09:04</t>
        </is>
      </c>
      <c r="CB521" t="n">
        <v>0</v>
      </c>
      <c r="CF521" t="inlineStr">
        <is>
          <t>Cobranzas_2026.csv</t>
        </is>
      </c>
      <c r="CG521" t="n">
        <v>2026</v>
      </c>
      <c r="CH521" t="inlineStr">
        <is>
          <t>01/01/2024</t>
        </is>
      </c>
      <c r="CI521" t="inlineStr">
        <is>
          <t>24/08/2031</t>
        </is>
      </c>
    </row>
    <row r="522">
      <c r="A522" t="inlineStr">
        <is>
          <t>RESIDENCIAL VENECIA</t>
        </is>
      </c>
      <c r="B522" t="inlineStr">
        <is>
          <t>Etapa 1</t>
        </is>
      </c>
      <c r="C522" t="inlineStr">
        <is>
          <t>Edificio</t>
        </is>
      </c>
      <c r="D522" t="inlineStr">
        <is>
          <t>A</t>
        </is>
      </c>
      <c r="E522" t="inlineStr">
        <is>
          <t>Estacionamiento</t>
        </is>
      </c>
      <c r="F522" t="inlineStr">
        <is>
          <t>E 10 - D 1</t>
        </is>
      </c>
      <c r="G522" t="n">
        <v>15.35</v>
      </c>
      <c r="H522" t="n">
        <v>0</v>
      </c>
      <c r="I522" s="39" t="n">
        <v>54000</v>
      </c>
      <c r="J522" s="39" t="n">
        <v>54000</v>
      </c>
      <c r="Q522" s="39" t="n"/>
      <c r="R522" s="39" t="n"/>
      <c r="Y522" s="39" t="n"/>
      <c r="Z522" s="39" t="n"/>
      <c r="AG522" s="39" t="n"/>
      <c r="AH522" s="39" t="n"/>
      <c r="AI522" t="inlineStr">
        <is>
          <t>Jose Edgardo Cespedes Camacho</t>
        </is>
      </c>
      <c r="AJ522" t="inlineStr">
        <is>
          <t>16631860</t>
        </is>
      </c>
      <c r="AK522" t="inlineStr">
        <is>
          <t>Jr. Huamachuco 1961Urb.Fundo Oyague</t>
        </is>
      </c>
      <c r="AL522" t="n">
        <v>0</v>
      </c>
      <c r="AM522" t="inlineStr">
        <is>
          <t>985758164</t>
        </is>
      </c>
      <c r="AN522" t="inlineStr">
        <is>
          <t>edgardocc1ro@gmail.com</t>
        </is>
      </c>
      <c r="AO522" t="inlineStr">
        <is>
          <t>LIMA</t>
        </is>
      </c>
      <c r="AP522" t="inlineStr">
        <is>
          <t>JESUS MARIA</t>
        </is>
      </c>
      <c r="AQ522" s="75" t="n">
        <v>46295</v>
      </c>
      <c r="AR522" s="75" t="n">
        <v>46233</v>
      </c>
      <c r="AS522" t="inlineStr">
        <is>
          <t>SALDO FINANCIAR</t>
        </is>
      </c>
      <c r="AT522" t="n">
        <v>4</v>
      </c>
      <c r="AU522" t="n">
        <v>3666.67</v>
      </c>
      <c r="AV522" t="n">
        <v>0</v>
      </c>
      <c r="AW522" t="n">
        <v>0</v>
      </c>
      <c r="AX522" s="39" t="n">
        <v>3666.67</v>
      </c>
      <c r="AY522" s="39" t="n">
        <v>3666.67</v>
      </c>
      <c r="AZ522" s="39" t="n">
        <v>0</v>
      </c>
      <c r="BA522" t="n">
        <v>0</v>
      </c>
      <c r="BB522" t="inlineStr">
        <is>
          <t>Crédito Directo</t>
        </is>
      </c>
      <c r="BC522" t="inlineStr">
        <is>
          <t>Scotiabank Perú</t>
        </is>
      </c>
      <c r="BD522" t="inlineStr">
        <is>
          <t>0004071419</t>
        </is>
      </c>
      <c r="BE522" t="inlineStr">
        <is>
          <t>TRANSFERENCIA BANCARIA</t>
        </is>
      </c>
      <c r="BG522" t="inlineStr">
        <is>
          <t>7844655603094</t>
        </is>
      </c>
      <c r="BH522" t="inlineStr">
        <is>
          <t>No</t>
        </is>
      </c>
      <c r="BJ522" t="n">
        <v>4</v>
      </c>
      <c r="BK522" t="inlineStr">
        <is>
          <t>CANCELADO</t>
        </is>
      </c>
      <c r="BV522" t="inlineStr">
        <is>
          <t>Si</t>
        </is>
      </c>
      <c r="BW522" s="76" t="n">
        <v>46079.41944444444</v>
      </c>
      <c r="BX522" t="inlineStr">
        <is>
          <t>Magaly Guevara Perez</t>
        </is>
      </c>
      <c r="BZ522" t="n">
        <v>17</v>
      </c>
      <c r="CA522" t="inlineStr">
        <is>
          <t>02/08/2026 09:05</t>
        </is>
      </c>
      <c r="CB522" t="n">
        <v>0</v>
      </c>
      <c r="CF522" t="inlineStr">
        <is>
          <t>Cobranzas_2026.csv</t>
        </is>
      </c>
      <c r="CG522" t="n">
        <v>2026</v>
      </c>
      <c r="CH522" t="inlineStr">
        <is>
          <t>01/01/2024</t>
        </is>
      </c>
      <c r="CI522" t="inlineStr">
        <is>
          <t>24/08/2031</t>
        </is>
      </c>
    </row>
    <row r="523">
      <c r="A523" t="inlineStr">
        <is>
          <t>RESIDENCIAL VENECIA</t>
        </is>
      </c>
      <c r="B523" t="inlineStr">
        <is>
          <t>Etapa 1</t>
        </is>
      </c>
      <c r="C523" t="inlineStr">
        <is>
          <t>Edificio</t>
        </is>
      </c>
      <c r="D523" t="inlineStr">
        <is>
          <t>A</t>
        </is>
      </c>
      <c r="E523" t="inlineStr">
        <is>
          <t>Estacionamiento</t>
        </is>
      </c>
      <c r="F523" t="inlineStr">
        <is>
          <t>E 10 - D 1</t>
        </is>
      </c>
      <c r="G523" t="n">
        <v>15.35</v>
      </c>
      <c r="H523" t="n">
        <v>0</v>
      </c>
      <c r="I523" s="39" t="n">
        <v>54000</v>
      </c>
      <c r="J523" s="39" t="n">
        <v>54000</v>
      </c>
      <c r="Q523" s="39" t="n"/>
      <c r="R523" s="39" t="n"/>
      <c r="Y523" s="39" t="n"/>
      <c r="Z523" s="39" t="n"/>
      <c r="AG523" s="39" t="n"/>
      <c r="AH523" s="39" t="n"/>
      <c r="AI523" t="inlineStr">
        <is>
          <t>Jose Edgardo Cespedes Camacho</t>
        </is>
      </c>
      <c r="AJ523" t="inlineStr">
        <is>
          <t>16631860</t>
        </is>
      </c>
      <c r="AK523" t="inlineStr">
        <is>
          <t>Jr. Huamachuco 1961Urb.Fundo Oyague</t>
        </is>
      </c>
      <c r="AL523" t="n">
        <v>0</v>
      </c>
      <c r="AM523" t="inlineStr">
        <is>
          <t>985758164</t>
        </is>
      </c>
      <c r="AN523" t="inlineStr">
        <is>
          <t>edgardocc1ro@gmail.com</t>
        </is>
      </c>
      <c r="AO523" t="inlineStr">
        <is>
          <t>LIMA</t>
        </is>
      </c>
      <c r="AP523" t="inlineStr">
        <is>
          <t>JESUS MARIA</t>
        </is>
      </c>
      <c r="AQ523" s="75" t="n">
        <v>46325</v>
      </c>
      <c r="AR523" s="75" t="n"/>
      <c r="AS523" t="inlineStr">
        <is>
          <t>SALDO FINANCIAR</t>
        </is>
      </c>
      <c r="AT523" t="n">
        <v>5</v>
      </c>
      <c r="AU523" t="n">
        <v>3666.67</v>
      </c>
      <c r="AV523" t="n">
        <v>0</v>
      </c>
      <c r="AW523" t="n">
        <v>0</v>
      </c>
      <c r="AX523" s="39" t="n">
        <v>3666.67</v>
      </c>
      <c r="AY523" s="39" t="n">
        <v>0</v>
      </c>
      <c r="AZ523" s="39" t="n">
        <v>3666.67</v>
      </c>
      <c r="BB523" t="inlineStr">
        <is>
          <t>Crédito Directo</t>
        </is>
      </c>
      <c r="BH523" t="inlineStr">
        <is>
          <t>No</t>
        </is>
      </c>
      <c r="BK523" t="inlineStr">
        <is>
          <t>PENDIENTE</t>
        </is>
      </c>
      <c r="BV523" t="inlineStr">
        <is>
          <t>No</t>
        </is>
      </c>
      <c r="BW523" s="76" t="n">
        <v>46079.41944444444</v>
      </c>
      <c r="BX523" t="inlineStr">
        <is>
          <t>Magaly Guevara Perez</t>
        </is>
      </c>
      <c r="BZ523" t="n">
        <v>17</v>
      </c>
      <c r="CB523" t="n">
        <v>0</v>
      </c>
      <c r="CF523" t="inlineStr">
        <is>
          <t>Cobranzas_2026.csv</t>
        </is>
      </c>
      <c r="CG523" t="n">
        <v>2026</v>
      </c>
      <c r="CH523" t="inlineStr">
        <is>
          <t>01/01/2024</t>
        </is>
      </c>
      <c r="CI523" t="inlineStr">
        <is>
          <t>24/08/2031</t>
        </is>
      </c>
    </row>
    <row r="524">
      <c r="A524" t="inlineStr">
        <is>
          <t>RESIDENCIAL VENECIA</t>
        </is>
      </c>
      <c r="B524" t="inlineStr">
        <is>
          <t>Etapa 1</t>
        </is>
      </c>
      <c r="C524" t="inlineStr">
        <is>
          <t>Edificio</t>
        </is>
      </c>
      <c r="D524" t="inlineStr">
        <is>
          <t>A</t>
        </is>
      </c>
      <c r="E524" t="inlineStr">
        <is>
          <t>Estacionamiento</t>
        </is>
      </c>
      <c r="F524" t="inlineStr">
        <is>
          <t>E 10 - D 1</t>
        </is>
      </c>
      <c r="G524" t="n">
        <v>15.35</v>
      </c>
      <c r="H524" t="n">
        <v>0</v>
      </c>
      <c r="I524" s="39" t="n">
        <v>54000</v>
      </c>
      <c r="J524" s="39" t="n">
        <v>54000</v>
      </c>
      <c r="Q524" s="39" t="n"/>
      <c r="R524" s="39" t="n"/>
      <c r="Y524" s="39" t="n"/>
      <c r="Z524" s="39" t="n"/>
      <c r="AG524" s="39" t="n"/>
      <c r="AH524" s="39" t="n"/>
      <c r="AI524" t="inlineStr">
        <is>
          <t>Jose Edgardo Cespedes Camacho</t>
        </is>
      </c>
      <c r="AJ524" t="inlineStr">
        <is>
          <t>16631860</t>
        </is>
      </c>
      <c r="AK524" t="inlineStr">
        <is>
          <t>Jr. Huamachuco 1961Urb.Fundo Oyague</t>
        </is>
      </c>
      <c r="AL524" t="n">
        <v>0</v>
      </c>
      <c r="AM524" t="inlineStr">
        <is>
          <t>985758164</t>
        </is>
      </c>
      <c r="AN524" t="inlineStr">
        <is>
          <t>edgardocc1ro@gmail.com</t>
        </is>
      </c>
      <c r="AO524" t="inlineStr">
        <is>
          <t>LIMA</t>
        </is>
      </c>
      <c r="AP524" t="inlineStr">
        <is>
          <t>JESUS MARIA</t>
        </is>
      </c>
      <c r="AQ524" s="75" t="n">
        <v>46356</v>
      </c>
      <c r="AR524" s="75" t="n"/>
      <c r="AS524" t="inlineStr">
        <is>
          <t>SALDO FINANCIAR</t>
        </is>
      </c>
      <c r="AT524" t="n">
        <v>6</v>
      </c>
      <c r="AU524" t="n">
        <v>3666.67</v>
      </c>
      <c r="AV524" t="n">
        <v>0</v>
      </c>
      <c r="AW524" t="n">
        <v>0</v>
      </c>
      <c r="AX524" s="39" t="n">
        <v>3666.67</v>
      </c>
      <c r="AY524" s="39" t="n">
        <v>0</v>
      </c>
      <c r="AZ524" s="39" t="n">
        <v>3666.67</v>
      </c>
      <c r="BB524" t="inlineStr">
        <is>
          <t>Crédito Directo</t>
        </is>
      </c>
      <c r="BH524" t="inlineStr">
        <is>
          <t>No</t>
        </is>
      </c>
      <c r="BK524" t="inlineStr">
        <is>
          <t>PENDIENTE</t>
        </is>
      </c>
      <c r="BV524" t="inlineStr">
        <is>
          <t>No</t>
        </is>
      </c>
      <c r="BW524" s="76" t="n">
        <v>46079.41944444444</v>
      </c>
      <c r="BX524" t="inlineStr">
        <is>
          <t>Magaly Guevara Perez</t>
        </is>
      </c>
      <c r="BZ524" t="n">
        <v>17</v>
      </c>
      <c r="CB524" t="n">
        <v>0</v>
      </c>
      <c r="CF524" t="inlineStr">
        <is>
          <t>Cobranzas_2026.csv</t>
        </is>
      </c>
      <c r="CG524" t="n">
        <v>2026</v>
      </c>
      <c r="CH524" t="inlineStr">
        <is>
          <t>01/01/2024</t>
        </is>
      </c>
      <c r="CI524" t="inlineStr">
        <is>
          <t>24/08/2031</t>
        </is>
      </c>
    </row>
    <row r="525">
      <c r="A525" t="inlineStr">
        <is>
          <t>RESIDENCIAL VENECIA</t>
        </is>
      </c>
      <c r="B525" t="inlineStr">
        <is>
          <t>Etapa 1</t>
        </is>
      </c>
      <c r="C525" t="inlineStr">
        <is>
          <t>Edificio</t>
        </is>
      </c>
      <c r="D525" t="inlineStr">
        <is>
          <t>A</t>
        </is>
      </c>
      <c r="E525" t="inlineStr">
        <is>
          <t>Estacionamiento</t>
        </is>
      </c>
      <c r="F525" t="inlineStr">
        <is>
          <t>E 10 - D 1</t>
        </is>
      </c>
      <c r="G525" t="n">
        <v>15.35</v>
      </c>
      <c r="H525" t="n">
        <v>0</v>
      </c>
      <c r="I525" s="39" t="n">
        <v>54000</v>
      </c>
      <c r="J525" s="39" t="n">
        <v>54000</v>
      </c>
      <c r="Q525" s="39" t="n"/>
      <c r="R525" s="39" t="n"/>
      <c r="Y525" s="39" t="n"/>
      <c r="Z525" s="39" t="n"/>
      <c r="AG525" s="39" t="n"/>
      <c r="AH525" s="39" t="n"/>
      <c r="AI525" t="inlineStr">
        <is>
          <t>Jose Edgardo Cespedes Camacho</t>
        </is>
      </c>
      <c r="AJ525" t="inlineStr">
        <is>
          <t>16631860</t>
        </is>
      </c>
      <c r="AK525" t="inlineStr">
        <is>
          <t>Jr. Huamachuco 1961Urb.Fundo Oyague</t>
        </is>
      </c>
      <c r="AL525" t="n">
        <v>0</v>
      </c>
      <c r="AM525" t="inlineStr">
        <is>
          <t>985758164</t>
        </is>
      </c>
      <c r="AN525" t="inlineStr">
        <is>
          <t>edgardocc1ro@gmail.com</t>
        </is>
      </c>
      <c r="AO525" t="inlineStr">
        <is>
          <t>LIMA</t>
        </is>
      </c>
      <c r="AP525" t="inlineStr">
        <is>
          <t>JESUS MARIA</t>
        </is>
      </c>
      <c r="AQ525" s="75" t="n">
        <v>46386</v>
      </c>
      <c r="AR525" s="75" t="n"/>
      <c r="AS525" t="inlineStr">
        <is>
          <t>SALDO FINANCIAR</t>
        </is>
      </c>
      <c r="AT525" t="n">
        <v>7</v>
      </c>
      <c r="AU525" t="n">
        <v>3666.67</v>
      </c>
      <c r="AV525" t="n">
        <v>0</v>
      </c>
      <c r="AW525" t="n">
        <v>0</v>
      </c>
      <c r="AX525" s="39" t="n">
        <v>3666.67</v>
      </c>
      <c r="AY525" s="39" t="n">
        <v>0</v>
      </c>
      <c r="AZ525" s="39" t="n">
        <v>3666.67</v>
      </c>
      <c r="BB525" t="inlineStr">
        <is>
          <t>Crédito Directo</t>
        </is>
      </c>
      <c r="BH525" t="inlineStr">
        <is>
          <t>No</t>
        </is>
      </c>
      <c r="BK525" t="inlineStr">
        <is>
          <t>PENDIENTE</t>
        </is>
      </c>
      <c r="BV525" t="inlineStr">
        <is>
          <t>No</t>
        </is>
      </c>
      <c r="BW525" s="76" t="n">
        <v>46079.41944444444</v>
      </c>
      <c r="BX525" t="inlineStr">
        <is>
          <t>Magaly Guevara Perez</t>
        </is>
      </c>
      <c r="BZ525" t="n">
        <v>17</v>
      </c>
      <c r="CB525" t="n">
        <v>0</v>
      </c>
      <c r="CF525" t="inlineStr">
        <is>
          <t>Cobranzas_2026.csv</t>
        </is>
      </c>
      <c r="CG525" t="n">
        <v>2026</v>
      </c>
      <c r="CH525" t="inlineStr">
        <is>
          <t>01/01/2024</t>
        </is>
      </c>
      <c r="CI525" t="inlineStr">
        <is>
          <t>24/08/2031</t>
        </is>
      </c>
    </row>
    <row r="526">
      <c r="A526" t="inlineStr">
        <is>
          <t>RESIDENCIAL PRADA</t>
        </is>
      </c>
      <c r="B526" t="inlineStr">
        <is>
          <t>Etapa 1</t>
        </is>
      </c>
      <c r="C526" t="inlineStr">
        <is>
          <t>Edificio</t>
        </is>
      </c>
      <c r="D526" t="inlineStr">
        <is>
          <t>A</t>
        </is>
      </c>
      <c r="E526" t="inlineStr">
        <is>
          <t>Estacionamiento</t>
        </is>
      </c>
      <c r="F526" t="inlineStr">
        <is>
          <t>E 30</t>
        </is>
      </c>
      <c r="G526" t="n">
        <v>13.52</v>
      </c>
      <c r="H526" t="n">
        <v>0</v>
      </c>
      <c r="I526" s="39" t="n">
        <v>51500</v>
      </c>
      <c r="J526" s="39" t="n">
        <v>51500</v>
      </c>
      <c r="Q526" s="39" t="n"/>
      <c r="R526" s="39" t="n"/>
      <c r="Y526" s="39" t="n"/>
      <c r="Z526" s="39" t="n"/>
      <c r="AG526" s="39" t="n"/>
      <c r="AH526" s="39" t="n"/>
      <c r="AI526" t="inlineStr">
        <is>
          <t>Joseluis Gaspar Zapata Flores</t>
        </is>
      </c>
      <c r="AJ526" t="inlineStr">
        <is>
          <t>46730672</t>
        </is>
      </c>
      <c r="AK526" t="inlineStr">
        <is>
          <t>Jr. Los Clavles 141 P. J  El Progreso 1er Sector</t>
        </is>
      </c>
      <c r="AL526" t="n">
        <v>0</v>
      </c>
      <c r="AM526" t="inlineStr">
        <is>
          <t>948041027</t>
        </is>
      </c>
      <c r="AN526" t="inlineStr">
        <is>
          <t>jlzapata91@gmail.com</t>
        </is>
      </c>
      <c r="AO526" t="inlineStr">
        <is>
          <t>LIMA</t>
        </is>
      </c>
      <c r="AP526" t="inlineStr">
        <is>
          <t>CARABAYLLO</t>
        </is>
      </c>
      <c r="AQ526" s="75" t="n">
        <v>46027</v>
      </c>
      <c r="AR526" s="75" t="n">
        <v>46027</v>
      </c>
      <c r="AS526" t="inlineStr">
        <is>
          <t>SALDO FINANCIAR</t>
        </is>
      </c>
      <c r="AT526" t="n">
        <v>2</v>
      </c>
      <c r="AU526" t="n">
        <v>3000</v>
      </c>
      <c r="AV526" t="n">
        <v>0</v>
      </c>
      <c r="AW526" t="n">
        <v>0</v>
      </c>
      <c r="AX526" s="39" t="n">
        <v>3000</v>
      </c>
      <c r="AY526" s="39" t="n">
        <v>3000</v>
      </c>
      <c r="AZ526" s="39" t="n">
        <v>0</v>
      </c>
      <c r="BA526" t="n">
        <v>0</v>
      </c>
      <c r="BB526" t="inlineStr">
        <is>
          <t>Crédito Directo</t>
        </is>
      </c>
      <c r="BC526" t="inlineStr">
        <is>
          <t>Scotiabank Perú</t>
        </is>
      </c>
      <c r="BD526" t="inlineStr">
        <is>
          <t>000-2768484</t>
        </is>
      </c>
      <c r="BE526" t="inlineStr">
        <is>
          <t>TRANSFERENCIA BANCARIA</t>
        </is>
      </c>
      <c r="BG526" t="inlineStr">
        <is>
          <t>7844655573313</t>
        </is>
      </c>
      <c r="BH526" t="inlineStr">
        <is>
          <t>No</t>
        </is>
      </c>
      <c r="BJ526" t="n">
        <v>4</v>
      </c>
      <c r="BK526" t="inlineStr">
        <is>
          <t>CANCELADO</t>
        </is>
      </c>
      <c r="BV526" t="inlineStr">
        <is>
          <t>Si</t>
        </is>
      </c>
      <c r="BW526" s="76" t="n">
        <v>45960.71875</v>
      </c>
      <c r="BX526" t="inlineStr">
        <is>
          <t>Magaly Guevara Perez</t>
        </is>
      </c>
      <c r="BZ526" t="n">
        <v>59</v>
      </c>
      <c r="CA526" t="inlineStr">
        <is>
          <t>29/06/2026 20:51</t>
        </is>
      </c>
      <c r="CB526" t="n">
        <v>0</v>
      </c>
      <c r="CF526" t="inlineStr">
        <is>
          <t>Cobranzas_2026.csv</t>
        </is>
      </c>
      <c r="CG526" t="n">
        <v>2026</v>
      </c>
      <c r="CH526" t="inlineStr">
        <is>
          <t>01/01/2024</t>
        </is>
      </c>
      <c r="CI526" t="inlineStr">
        <is>
          <t>24/08/2031</t>
        </is>
      </c>
    </row>
    <row r="527">
      <c r="A527" t="inlineStr">
        <is>
          <t>RESIDENCIAL PRADA</t>
        </is>
      </c>
      <c r="B527" t="inlineStr">
        <is>
          <t>Etapa 1</t>
        </is>
      </c>
      <c r="C527" t="inlineStr">
        <is>
          <t>Edificio</t>
        </is>
      </c>
      <c r="D527" t="inlineStr">
        <is>
          <t>A</t>
        </is>
      </c>
      <c r="E527" t="inlineStr">
        <is>
          <t>Estacionamiento</t>
        </is>
      </c>
      <c r="F527" t="inlineStr">
        <is>
          <t>E 30</t>
        </is>
      </c>
      <c r="G527" t="n">
        <v>13.52</v>
      </c>
      <c r="H527" t="n">
        <v>0</v>
      </c>
      <c r="I527" s="39" t="n">
        <v>51500</v>
      </c>
      <c r="J527" s="39" t="n">
        <v>51500</v>
      </c>
      <c r="Q527" s="39" t="n"/>
      <c r="R527" s="39" t="n"/>
      <c r="Y527" s="39" t="n"/>
      <c r="Z527" s="39" t="n"/>
      <c r="AG527" s="39" t="n"/>
      <c r="AH527" s="39" t="n"/>
      <c r="AI527" t="inlineStr">
        <is>
          <t>Joseluis Gaspar Zapata Flores</t>
        </is>
      </c>
      <c r="AJ527" t="inlineStr">
        <is>
          <t>46730672</t>
        </is>
      </c>
      <c r="AK527" t="inlineStr">
        <is>
          <t>Jr. Los Clavles 141 P. J  El Progreso 1er Sector</t>
        </is>
      </c>
      <c r="AL527" t="n">
        <v>0</v>
      </c>
      <c r="AM527" t="inlineStr">
        <is>
          <t>948041027</t>
        </is>
      </c>
      <c r="AN527" t="inlineStr">
        <is>
          <t>jlzapata91@gmail.com</t>
        </is>
      </c>
      <c r="AO527" t="inlineStr">
        <is>
          <t>LIMA</t>
        </is>
      </c>
      <c r="AP527" t="inlineStr">
        <is>
          <t>CARABAYLLO</t>
        </is>
      </c>
      <c r="AQ527" s="75" t="n">
        <v>46058</v>
      </c>
      <c r="AR527" s="75" t="n">
        <v>46055</v>
      </c>
      <c r="AS527" t="inlineStr">
        <is>
          <t>SALDO FINANCIAR</t>
        </is>
      </c>
      <c r="AT527" t="n">
        <v>3</v>
      </c>
      <c r="AU527" t="n">
        <v>3000</v>
      </c>
      <c r="AV527" t="n">
        <v>0</v>
      </c>
      <c r="AW527" t="n">
        <v>0</v>
      </c>
      <c r="AX527" s="39" t="n">
        <v>3000</v>
      </c>
      <c r="AY527" s="39" t="n">
        <v>3000</v>
      </c>
      <c r="AZ527" s="39" t="n">
        <v>0</v>
      </c>
      <c r="BA527" t="n">
        <v>0</v>
      </c>
      <c r="BB527" t="inlineStr">
        <is>
          <t>Crédito Directo</t>
        </is>
      </c>
      <c r="BC527" t="inlineStr">
        <is>
          <t>Scotiabank Perú</t>
        </is>
      </c>
      <c r="BD527" t="inlineStr">
        <is>
          <t>000-2768484</t>
        </is>
      </c>
      <c r="BE527" t="inlineStr">
        <is>
          <t>TRANSFERENCIA BANCARIA</t>
        </is>
      </c>
      <c r="BG527" t="inlineStr">
        <is>
          <t>7844655628914</t>
        </is>
      </c>
      <c r="BH527" t="inlineStr">
        <is>
          <t>No</t>
        </is>
      </c>
      <c r="BJ527" t="n">
        <v>4</v>
      </c>
      <c r="BK527" t="inlineStr">
        <is>
          <t>CANCELADO</t>
        </is>
      </c>
      <c r="BV527" t="inlineStr">
        <is>
          <t>Si</t>
        </is>
      </c>
      <c r="BW527" s="76" t="n">
        <v>45960.71875</v>
      </c>
      <c r="BX527" t="inlineStr">
        <is>
          <t>Magaly Guevara Perez</t>
        </is>
      </c>
      <c r="BZ527" t="n">
        <v>59</v>
      </c>
      <c r="CA527" t="inlineStr">
        <is>
          <t>29/06/2026 20:52</t>
        </is>
      </c>
      <c r="CB527" t="n">
        <v>0</v>
      </c>
      <c r="CF527" t="inlineStr">
        <is>
          <t>Cobranzas_2026.csv</t>
        </is>
      </c>
      <c r="CG527" t="n">
        <v>2026</v>
      </c>
      <c r="CH527" t="inlineStr">
        <is>
          <t>01/01/2024</t>
        </is>
      </c>
      <c r="CI527" t="inlineStr">
        <is>
          <t>24/08/2031</t>
        </is>
      </c>
    </row>
    <row r="528">
      <c r="A528" t="inlineStr">
        <is>
          <t>RESIDENCIAL PRADA</t>
        </is>
      </c>
      <c r="B528" t="inlineStr">
        <is>
          <t>Etapa 1</t>
        </is>
      </c>
      <c r="C528" t="inlineStr">
        <is>
          <t>Edificio</t>
        </is>
      </c>
      <c r="D528" t="inlineStr">
        <is>
          <t>A</t>
        </is>
      </c>
      <c r="E528" t="inlineStr">
        <is>
          <t>Estacionamiento</t>
        </is>
      </c>
      <c r="F528" t="inlineStr">
        <is>
          <t>E 30</t>
        </is>
      </c>
      <c r="G528" t="n">
        <v>13.52</v>
      </c>
      <c r="H528" t="n">
        <v>0</v>
      </c>
      <c r="I528" s="39" t="n">
        <v>51500</v>
      </c>
      <c r="J528" s="39" t="n">
        <v>51500</v>
      </c>
      <c r="Q528" s="39" t="n"/>
      <c r="R528" s="39" t="n"/>
      <c r="Y528" s="39" t="n"/>
      <c r="Z528" s="39" t="n"/>
      <c r="AG528" s="39" t="n"/>
      <c r="AH528" s="39" t="n"/>
      <c r="AI528" t="inlineStr">
        <is>
          <t>Joseluis Gaspar Zapata Flores</t>
        </is>
      </c>
      <c r="AJ528" t="inlineStr">
        <is>
          <t>46730672</t>
        </is>
      </c>
      <c r="AK528" t="inlineStr">
        <is>
          <t>Jr. Los Clavles 141 P. J  El Progreso 1er Sector</t>
        </is>
      </c>
      <c r="AL528" t="n">
        <v>0</v>
      </c>
      <c r="AM528" t="inlineStr">
        <is>
          <t>948041027</t>
        </is>
      </c>
      <c r="AN528" t="inlineStr">
        <is>
          <t>jlzapata91@gmail.com</t>
        </is>
      </c>
      <c r="AO528" t="inlineStr">
        <is>
          <t>LIMA</t>
        </is>
      </c>
      <c r="AP528" t="inlineStr">
        <is>
          <t>CARABAYLLO</t>
        </is>
      </c>
      <c r="AQ528" s="75" t="n">
        <v>46086</v>
      </c>
      <c r="AR528" s="75" t="n">
        <v>46084</v>
      </c>
      <c r="AS528" t="inlineStr">
        <is>
          <t>SALDO FINANCIAR</t>
        </is>
      </c>
      <c r="AT528" t="n">
        <v>4</v>
      </c>
      <c r="AU528" t="n">
        <v>3000</v>
      </c>
      <c r="AV528" t="n">
        <v>0</v>
      </c>
      <c r="AW528" t="n">
        <v>0</v>
      </c>
      <c r="AX528" s="39" t="n">
        <v>3000</v>
      </c>
      <c r="AY528" s="39" t="n">
        <v>3000</v>
      </c>
      <c r="AZ528" s="39" t="n">
        <v>0</v>
      </c>
      <c r="BA528" t="n">
        <v>0</v>
      </c>
      <c r="BB528" t="inlineStr">
        <is>
          <t>Crédito Directo</t>
        </is>
      </c>
      <c r="BC528" t="inlineStr">
        <is>
          <t>Scotiabank Perú</t>
        </is>
      </c>
      <c r="BD528" t="inlineStr">
        <is>
          <t>000-2768484</t>
        </is>
      </c>
      <c r="BE528" t="inlineStr">
        <is>
          <t>TRANSFERENCIA BANCARIA</t>
        </is>
      </c>
      <c r="BG528" t="inlineStr">
        <is>
          <t>7844655533003</t>
        </is>
      </c>
      <c r="BH528" t="inlineStr">
        <is>
          <t>No</t>
        </is>
      </c>
      <c r="BJ528" t="n">
        <v>4</v>
      </c>
      <c r="BK528" t="inlineStr">
        <is>
          <t>CANCELADO</t>
        </is>
      </c>
      <c r="BV528" t="inlineStr">
        <is>
          <t>Si</t>
        </is>
      </c>
      <c r="BW528" s="76" t="n">
        <v>45960.71875</v>
      </c>
      <c r="BX528" t="inlineStr">
        <is>
          <t>Magaly Guevara Perez</t>
        </is>
      </c>
      <c r="BZ528" t="n">
        <v>59</v>
      </c>
      <c r="CA528" t="inlineStr">
        <is>
          <t>29/06/2026 20:59</t>
        </is>
      </c>
      <c r="CB528" t="n">
        <v>0</v>
      </c>
      <c r="CF528" t="inlineStr">
        <is>
          <t>Cobranzas_2026.csv</t>
        </is>
      </c>
      <c r="CG528" t="n">
        <v>2026</v>
      </c>
      <c r="CH528" t="inlineStr">
        <is>
          <t>01/01/2024</t>
        </is>
      </c>
      <c r="CI528" t="inlineStr">
        <is>
          <t>24/08/2031</t>
        </is>
      </c>
    </row>
    <row r="529">
      <c r="A529" t="inlineStr">
        <is>
          <t>RESIDENCIAL PRADA</t>
        </is>
      </c>
      <c r="B529" t="inlineStr">
        <is>
          <t>Etapa 1</t>
        </is>
      </c>
      <c r="C529" t="inlineStr">
        <is>
          <t>Edificio</t>
        </is>
      </c>
      <c r="D529" t="inlineStr">
        <is>
          <t>A</t>
        </is>
      </c>
      <c r="E529" t="inlineStr">
        <is>
          <t>Estacionamiento</t>
        </is>
      </c>
      <c r="F529" t="inlineStr">
        <is>
          <t>E 30</t>
        </is>
      </c>
      <c r="G529" t="n">
        <v>13.52</v>
      </c>
      <c r="H529" t="n">
        <v>0</v>
      </c>
      <c r="I529" s="39" t="n">
        <v>51500</v>
      </c>
      <c r="J529" s="39" t="n">
        <v>51500</v>
      </c>
      <c r="Q529" s="39" t="n"/>
      <c r="R529" s="39" t="n"/>
      <c r="Y529" s="39" t="n"/>
      <c r="Z529" s="39" t="n"/>
      <c r="AG529" s="39" t="n"/>
      <c r="AH529" s="39" t="n"/>
      <c r="AI529" t="inlineStr">
        <is>
          <t>Joseluis Gaspar Zapata Flores</t>
        </is>
      </c>
      <c r="AJ529" t="inlineStr">
        <is>
          <t>46730672</t>
        </is>
      </c>
      <c r="AK529" t="inlineStr">
        <is>
          <t>Jr. Los Clavles 141 P. J  El Progreso 1er Sector</t>
        </is>
      </c>
      <c r="AL529" t="n">
        <v>0</v>
      </c>
      <c r="AM529" t="inlineStr">
        <is>
          <t>948041027</t>
        </is>
      </c>
      <c r="AN529" t="inlineStr">
        <is>
          <t>jlzapata91@gmail.com</t>
        </is>
      </c>
      <c r="AO529" t="inlineStr">
        <is>
          <t>LIMA</t>
        </is>
      </c>
      <c r="AP529" t="inlineStr">
        <is>
          <t>CARABAYLLO</t>
        </is>
      </c>
      <c r="AQ529" s="75" t="n">
        <v>46117</v>
      </c>
      <c r="AR529" s="75" t="n">
        <v>46116</v>
      </c>
      <c r="AS529" t="inlineStr">
        <is>
          <t>SALDO FINANCIAR</t>
        </is>
      </c>
      <c r="AT529" t="n">
        <v>5</v>
      </c>
      <c r="AU529" t="n">
        <v>3000</v>
      </c>
      <c r="AV529" t="n">
        <v>0</v>
      </c>
      <c r="AW529" t="n">
        <v>0</v>
      </c>
      <c r="AX529" s="39" t="n">
        <v>3000</v>
      </c>
      <c r="AY529" s="39" t="n">
        <v>3000</v>
      </c>
      <c r="AZ529" s="39" t="n">
        <v>0</v>
      </c>
      <c r="BA529" t="n">
        <v>0</v>
      </c>
      <c r="BB529" t="inlineStr">
        <is>
          <t>Crédito Directo</t>
        </is>
      </c>
      <c r="BC529" t="inlineStr">
        <is>
          <t>Scotiabank Perú</t>
        </is>
      </c>
      <c r="BD529" t="inlineStr">
        <is>
          <t>000-2768484</t>
        </is>
      </c>
      <c r="BE529" t="inlineStr">
        <is>
          <t>TRANSFERENCIA BANCARIA</t>
        </is>
      </c>
      <c r="BG529" t="inlineStr">
        <is>
          <t>7844655573323</t>
        </is>
      </c>
      <c r="BH529" t="inlineStr">
        <is>
          <t>No</t>
        </is>
      </c>
      <c r="BJ529" t="n">
        <v>4</v>
      </c>
      <c r="BK529" t="inlineStr">
        <is>
          <t>CANCELADO</t>
        </is>
      </c>
      <c r="BV529" t="inlineStr">
        <is>
          <t>Si</t>
        </is>
      </c>
      <c r="BW529" s="76" t="n">
        <v>45960.71875</v>
      </c>
      <c r="BX529" t="inlineStr">
        <is>
          <t>Magaly Guevara Perez</t>
        </is>
      </c>
      <c r="BZ529" t="n">
        <v>59</v>
      </c>
      <c r="CA529" t="inlineStr">
        <is>
          <t>29/06/2026 21:00</t>
        </is>
      </c>
      <c r="CB529" t="n">
        <v>0</v>
      </c>
      <c r="CF529" t="inlineStr">
        <is>
          <t>Cobranzas_2026.csv</t>
        </is>
      </c>
      <c r="CG529" t="n">
        <v>2026</v>
      </c>
      <c r="CH529" t="inlineStr">
        <is>
          <t>01/01/2024</t>
        </is>
      </c>
      <c r="CI529" t="inlineStr">
        <is>
          <t>24/08/2031</t>
        </is>
      </c>
    </row>
    <row r="530">
      <c r="A530" t="inlineStr">
        <is>
          <t>RESIDENCIAL PRADA</t>
        </is>
      </c>
      <c r="B530" t="inlineStr">
        <is>
          <t>Etapa 1</t>
        </is>
      </c>
      <c r="C530" t="inlineStr">
        <is>
          <t>Edificio</t>
        </is>
      </c>
      <c r="D530" t="inlineStr">
        <is>
          <t>A</t>
        </is>
      </c>
      <c r="E530" t="inlineStr">
        <is>
          <t>Estacionamiento</t>
        </is>
      </c>
      <c r="F530" t="inlineStr">
        <is>
          <t>E 30</t>
        </is>
      </c>
      <c r="G530" t="n">
        <v>13.52</v>
      </c>
      <c r="H530" t="n">
        <v>0</v>
      </c>
      <c r="I530" s="39" t="n">
        <v>51500</v>
      </c>
      <c r="J530" s="39" t="n">
        <v>51500</v>
      </c>
      <c r="Q530" s="39" t="n"/>
      <c r="R530" s="39" t="n"/>
      <c r="Y530" s="39" t="n"/>
      <c r="Z530" s="39" t="n"/>
      <c r="AG530" s="39" t="n"/>
      <c r="AH530" s="39" t="n"/>
      <c r="AI530" t="inlineStr">
        <is>
          <t>Joseluis Gaspar Zapata Flores</t>
        </is>
      </c>
      <c r="AJ530" t="inlineStr">
        <is>
          <t>46730672</t>
        </is>
      </c>
      <c r="AK530" t="inlineStr">
        <is>
          <t>Jr. Los Clavles 141 P. J  El Progreso 1er Sector</t>
        </is>
      </c>
      <c r="AL530" t="n">
        <v>0</v>
      </c>
      <c r="AM530" t="inlineStr">
        <is>
          <t>948041027</t>
        </is>
      </c>
      <c r="AN530" t="inlineStr">
        <is>
          <t>jlzapata91@gmail.com</t>
        </is>
      </c>
      <c r="AO530" t="inlineStr">
        <is>
          <t>LIMA</t>
        </is>
      </c>
      <c r="AP530" t="inlineStr">
        <is>
          <t>CARABAYLLO</t>
        </is>
      </c>
      <c r="AQ530" s="75" t="n">
        <v>46147</v>
      </c>
      <c r="AR530" s="75" t="n">
        <v>46147</v>
      </c>
      <c r="AS530" t="inlineStr">
        <is>
          <t>SALDO FINANCIAR</t>
        </is>
      </c>
      <c r="AT530" t="n">
        <v>6</v>
      </c>
      <c r="AU530" t="n">
        <v>3000</v>
      </c>
      <c r="AV530" t="n">
        <v>0</v>
      </c>
      <c r="AW530" t="n">
        <v>0</v>
      </c>
      <c r="AX530" s="39" t="n">
        <v>3000</v>
      </c>
      <c r="AY530" s="39" t="n">
        <v>3000</v>
      </c>
      <c r="AZ530" s="39" t="n">
        <v>0</v>
      </c>
      <c r="BA530" t="n">
        <v>0</v>
      </c>
      <c r="BB530" t="inlineStr">
        <is>
          <t>Crédito Directo</t>
        </is>
      </c>
      <c r="BC530" t="inlineStr">
        <is>
          <t>Scotiabank Perú</t>
        </is>
      </c>
      <c r="BD530" t="inlineStr">
        <is>
          <t>000-2768484</t>
        </is>
      </c>
      <c r="BE530" t="inlineStr">
        <is>
          <t>TRANSFERENCIA BANCARIA</t>
        </is>
      </c>
      <c r="BG530" t="inlineStr">
        <is>
          <t>7844655544040</t>
        </is>
      </c>
      <c r="BH530" t="inlineStr">
        <is>
          <t>No</t>
        </is>
      </c>
      <c r="BJ530" t="n">
        <v>4</v>
      </c>
      <c r="BK530" t="inlineStr">
        <is>
          <t>CANCELADO</t>
        </is>
      </c>
      <c r="BV530" t="inlineStr">
        <is>
          <t>Si</t>
        </is>
      </c>
      <c r="BW530" s="76" t="n">
        <v>45960.71875</v>
      </c>
      <c r="BX530" t="inlineStr">
        <is>
          <t>Magaly Guevara Perez</t>
        </is>
      </c>
      <c r="BZ530" t="n">
        <v>59</v>
      </c>
      <c r="CA530" t="inlineStr">
        <is>
          <t>29/06/2026 21:00</t>
        </is>
      </c>
      <c r="CB530" t="n">
        <v>0</v>
      </c>
      <c r="CF530" t="inlineStr">
        <is>
          <t>Cobranzas_2026.csv</t>
        </is>
      </c>
      <c r="CG530" t="n">
        <v>2026</v>
      </c>
      <c r="CH530" t="inlineStr">
        <is>
          <t>01/01/2024</t>
        </is>
      </c>
      <c r="CI530" t="inlineStr">
        <is>
          <t>24/08/2031</t>
        </is>
      </c>
    </row>
    <row r="531">
      <c r="A531" t="inlineStr">
        <is>
          <t>RESIDENCIAL PRADA</t>
        </is>
      </c>
      <c r="B531" t="inlineStr">
        <is>
          <t>Etapa 1</t>
        </is>
      </c>
      <c r="C531" t="inlineStr">
        <is>
          <t>Edificio</t>
        </is>
      </c>
      <c r="D531" t="inlineStr">
        <is>
          <t>A</t>
        </is>
      </c>
      <c r="E531" t="inlineStr">
        <is>
          <t>Estacionamiento</t>
        </is>
      </c>
      <c r="F531" t="inlineStr">
        <is>
          <t>E 30</t>
        </is>
      </c>
      <c r="G531" t="n">
        <v>13.52</v>
      </c>
      <c r="H531" t="n">
        <v>0</v>
      </c>
      <c r="I531" s="39" t="n">
        <v>51500</v>
      </c>
      <c r="J531" s="39" t="n">
        <v>51500</v>
      </c>
      <c r="Q531" s="39" t="n"/>
      <c r="R531" s="39" t="n"/>
      <c r="Y531" s="39" t="n"/>
      <c r="Z531" s="39" t="n"/>
      <c r="AG531" s="39" t="n"/>
      <c r="AH531" s="39" t="n"/>
      <c r="AI531" t="inlineStr">
        <is>
          <t>Joseluis Gaspar Zapata Flores</t>
        </is>
      </c>
      <c r="AJ531" t="inlineStr">
        <is>
          <t>46730672</t>
        </is>
      </c>
      <c r="AK531" t="inlineStr">
        <is>
          <t>Jr. Los Clavles 141 P. J  El Progreso 1er Sector</t>
        </is>
      </c>
      <c r="AL531" t="n">
        <v>0</v>
      </c>
      <c r="AM531" t="inlineStr">
        <is>
          <t>948041027</t>
        </is>
      </c>
      <c r="AN531" t="inlineStr">
        <is>
          <t>jlzapata91@gmail.com</t>
        </is>
      </c>
      <c r="AO531" t="inlineStr">
        <is>
          <t>LIMA</t>
        </is>
      </c>
      <c r="AP531" t="inlineStr">
        <is>
          <t>CARABAYLLO</t>
        </is>
      </c>
      <c r="AQ531" s="75" t="n">
        <v>46178</v>
      </c>
      <c r="AR531" s="75" t="n">
        <v>46178</v>
      </c>
      <c r="AS531" t="inlineStr">
        <is>
          <t>SALDO FINANCIAR</t>
        </is>
      </c>
      <c r="AT531" t="n">
        <v>7</v>
      </c>
      <c r="AU531" t="n">
        <v>3000</v>
      </c>
      <c r="AV531" t="n">
        <v>0</v>
      </c>
      <c r="AW531" t="n">
        <v>0</v>
      </c>
      <c r="AX531" s="39" t="n">
        <v>3000</v>
      </c>
      <c r="AY531" s="39" t="n">
        <v>3000</v>
      </c>
      <c r="AZ531" s="39" t="n">
        <v>0</v>
      </c>
      <c r="BA531" t="n">
        <v>0</v>
      </c>
      <c r="BB531" t="inlineStr">
        <is>
          <t>Crédito Directo</t>
        </is>
      </c>
      <c r="BC531" t="inlineStr">
        <is>
          <t>Scotiabank Perú</t>
        </is>
      </c>
      <c r="BD531" t="inlineStr">
        <is>
          <t>000-2768484</t>
        </is>
      </c>
      <c r="BE531" t="inlineStr">
        <is>
          <t>TRANSFERENCIA BANCARIA</t>
        </is>
      </c>
      <c r="BG531" t="inlineStr">
        <is>
          <t>7844655527739</t>
        </is>
      </c>
      <c r="BH531" t="inlineStr">
        <is>
          <t>No</t>
        </is>
      </c>
      <c r="BJ531" t="n">
        <v>4</v>
      </c>
      <c r="BK531" t="inlineStr">
        <is>
          <t>CANCELADO</t>
        </is>
      </c>
      <c r="BV531" t="inlineStr">
        <is>
          <t>Si</t>
        </is>
      </c>
      <c r="BW531" s="76" t="n">
        <v>45960.71875</v>
      </c>
      <c r="BX531" t="inlineStr">
        <is>
          <t>Magaly Guevara Perez</t>
        </is>
      </c>
      <c r="BZ531" t="n">
        <v>59</v>
      </c>
      <c r="CA531" t="inlineStr">
        <is>
          <t>29/06/2026 21:02</t>
        </is>
      </c>
      <c r="CB531" t="n">
        <v>0</v>
      </c>
      <c r="CF531" t="inlineStr">
        <is>
          <t>Cobranzas_2026.csv</t>
        </is>
      </c>
      <c r="CG531" t="n">
        <v>2026</v>
      </c>
      <c r="CH531" t="inlineStr">
        <is>
          <t>01/01/2024</t>
        </is>
      </c>
      <c r="CI531" t="inlineStr">
        <is>
          <t>24/08/2031</t>
        </is>
      </c>
    </row>
    <row r="532">
      <c r="A532" t="inlineStr">
        <is>
          <t>RESIDENCIAL PRADA</t>
        </is>
      </c>
      <c r="B532" t="inlineStr">
        <is>
          <t>Etapa 1</t>
        </is>
      </c>
      <c r="C532" t="inlineStr">
        <is>
          <t>Edificio</t>
        </is>
      </c>
      <c r="D532" t="inlineStr">
        <is>
          <t>A</t>
        </is>
      </c>
      <c r="E532" t="inlineStr">
        <is>
          <t>Estacionamiento</t>
        </is>
      </c>
      <c r="F532" t="inlineStr">
        <is>
          <t>E 30</t>
        </is>
      </c>
      <c r="G532" t="n">
        <v>13.52</v>
      </c>
      <c r="H532" t="n">
        <v>0</v>
      </c>
      <c r="I532" s="39" t="n">
        <v>51500</v>
      </c>
      <c r="J532" s="39" t="n">
        <v>51500</v>
      </c>
      <c r="Q532" s="39" t="n"/>
      <c r="R532" s="39" t="n"/>
      <c r="Y532" s="39" t="n"/>
      <c r="Z532" s="39" t="n"/>
      <c r="AG532" s="39" t="n"/>
      <c r="AH532" s="39" t="n"/>
      <c r="AI532" t="inlineStr">
        <is>
          <t>Joseluis Gaspar Zapata Flores</t>
        </is>
      </c>
      <c r="AJ532" t="inlineStr">
        <is>
          <t>46730672</t>
        </is>
      </c>
      <c r="AK532" t="inlineStr">
        <is>
          <t>Jr. Los Clavles 141 P. J  El Progreso 1er Sector</t>
        </is>
      </c>
      <c r="AL532" t="n">
        <v>0</v>
      </c>
      <c r="AM532" t="inlineStr">
        <is>
          <t>948041027</t>
        </is>
      </c>
      <c r="AN532" t="inlineStr">
        <is>
          <t>jlzapata91@gmail.com</t>
        </is>
      </c>
      <c r="AO532" t="inlineStr">
        <is>
          <t>LIMA</t>
        </is>
      </c>
      <c r="AP532" t="inlineStr">
        <is>
          <t>CARABAYLLO</t>
        </is>
      </c>
      <c r="AQ532" s="75" t="n">
        <v>46234</v>
      </c>
      <c r="AR532" s="75" t="n">
        <v>46255</v>
      </c>
      <c r="AS532" t="inlineStr">
        <is>
          <t>SALDO FINANCIAR</t>
        </is>
      </c>
      <c r="AT532" t="n">
        <v>8</v>
      </c>
      <c r="AU532" t="n">
        <v>22500</v>
      </c>
      <c r="AV532" t="n">
        <v>0</v>
      </c>
      <c r="AW532" t="n">
        <v>0</v>
      </c>
      <c r="AX532" s="39" t="n">
        <v>22500</v>
      </c>
      <c r="AY532" s="39" t="n">
        <v>22500</v>
      </c>
      <c r="AZ532" s="39" t="n">
        <v>0</v>
      </c>
      <c r="BA532" t="n">
        <v>0</v>
      </c>
      <c r="BB532" t="inlineStr">
        <is>
          <t>Crédito Directo</t>
        </is>
      </c>
      <c r="BC532" t="inlineStr">
        <is>
          <t>Scotiabank Perú</t>
        </is>
      </c>
      <c r="BD532" t="inlineStr">
        <is>
          <t>000-2768484</t>
        </is>
      </c>
      <c r="BE532" t="inlineStr">
        <is>
          <t>TRANSFERENCIA BANCARIA</t>
        </is>
      </c>
      <c r="BH532" t="inlineStr">
        <is>
          <t>No</t>
        </is>
      </c>
      <c r="BJ532" t="n">
        <v>4</v>
      </c>
      <c r="BK532" t="inlineStr">
        <is>
          <t>CANCELADO</t>
        </is>
      </c>
      <c r="BV532" t="inlineStr">
        <is>
          <t>Si</t>
        </is>
      </c>
      <c r="BW532" s="76" t="n">
        <v>45960.71875</v>
      </c>
      <c r="BX532" t="inlineStr">
        <is>
          <t>Magaly Guevara Perez</t>
        </is>
      </c>
      <c r="BZ532" t="n">
        <v>59</v>
      </c>
      <c r="CA532" t="inlineStr">
        <is>
          <t>23/08/2026 19:34</t>
        </is>
      </c>
      <c r="CB532" t="n">
        <v>0</v>
      </c>
      <c r="CF532" t="inlineStr">
        <is>
          <t>Cobranzas_2026.csv</t>
        </is>
      </c>
      <c r="CG532" t="n">
        <v>2026</v>
      </c>
      <c r="CH532" t="inlineStr">
        <is>
          <t>01/01/2024</t>
        </is>
      </c>
      <c r="CI532" t="inlineStr">
        <is>
          <t>24/08/2031</t>
        </is>
      </c>
    </row>
    <row r="533">
      <c r="A533" t="inlineStr">
        <is>
          <t>RESIDENCIAL BEYOND</t>
        </is>
      </c>
      <c r="B533" t="inlineStr">
        <is>
          <t>Etapa 1</t>
        </is>
      </c>
      <c r="C533" t="inlineStr">
        <is>
          <t>Edificio</t>
        </is>
      </c>
      <c r="D533" t="inlineStr">
        <is>
          <t>A</t>
        </is>
      </c>
      <c r="E533" t="inlineStr">
        <is>
          <t>Departamento</t>
        </is>
      </c>
      <c r="F533" t="inlineStr">
        <is>
          <t>404</t>
        </is>
      </c>
      <c r="G533" t="n">
        <v>67</v>
      </c>
      <c r="H533" t="n">
        <v>0</v>
      </c>
      <c r="I533" s="39" t="n">
        <v>498000</v>
      </c>
      <c r="J533" s="39" t="n">
        <v>460000</v>
      </c>
      <c r="Q533" s="39" t="n"/>
      <c r="R533" s="39" t="n"/>
      <c r="Y533" s="39" t="n"/>
      <c r="Z533" s="39" t="n"/>
      <c r="AG533" s="39" t="n"/>
      <c r="AH533" s="39" t="n"/>
      <c r="AI533" t="inlineStr">
        <is>
          <t>Juana Mercedes Moran Peralta</t>
        </is>
      </c>
      <c r="AJ533" t="inlineStr">
        <is>
          <t>03495726</t>
        </is>
      </c>
      <c r="AK533" t="inlineStr">
        <is>
          <t>Jr. Ignacio Álvarez Thomas 1573 - Dpto. 302</t>
        </is>
      </c>
      <c r="AL533" t="n">
        <v>0</v>
      </c>
      <c r="AM533" t="inlineStr">
        <is>
          <t>978122557</t>
        </is>
      </c>
      <c r="AN533" t="inlineStr">
        <is>
          <t>Juanamoran2371@gmail.com</t>
        </is>
      </c>
      <c r="AO533" t="inlineStr">
        <is>
          <t>LIMA</t>
        </is>
      </c>
      <c r="AP533" t="inlineStr">
        <is>
          <t>CERCADO DE LIMA</t>
        </is>
      </c>
      <c r="AQ533" s="75" t="n">
        <v>46250.6625</v>
      </c>
      <c r="AR533" s="75" t="n">
        <v>45818</v>
      </c>
      <c r="AS533" t="inlineStr">
        <is>
          <t>CUOTA INICIAL</t>
        </is>
      </c>
      <c r="AT533" t="n">
        <v>1</v>
      </c>
      <c r="AU533" t="n">
        <v>43000</v>
      </c>
      <c r="AV533" t="n">
        <v>0</v>
      </c>
      <c r="AW533" t="n">
        <v>0</v>
      </c>
      <c r="AX533" s="39" t="n">
        <v>43000</v>
      </c>
      <c r="AY533" s="39" t="n">
        <v>10000</v>
      </c>
      <c r="AZ533" s="39" t="n">
        <v>0</v>
      </c>
      <c r="BA533" t="n">
        <v>0</v>
      </c>
      <c r="BB533" t="inlineStr">
        <is>
          <t>Ahorro</t>
        </is>
      </c>
      <c r="BC533" t="inlineStr">
        <is>
          <t>Banco de Credito del Perú</t>
        </is>
      </c>
      <c r="BD533" t="inlineStr">
        <is>
          <t>194-7325779-0-65</t>
        </is>
      </c>
      <c r="BE533" t="inlineStr">
        <is>
          <t>TRANSFERENCIA BANCARIA</t>
        </is>
      </c>
      <c r="BG533" t="inlineStr">
        <is>
          <t>03115533</t>
        </is>
      </c>
      <c r="BH533" t="inlineStr">
        <is>
          <t>No</t>
        </is>
      </c>
      <c r="BJ533" t="n">
        <v>4</v>
      </c>
      <c r="BK533" t="inlineStr">
        <is>
          <t>CANCELADO</t>
        </is>
      </c>
      <c r="BV533" t="inlineStr">
        <is>
          <t>Si</t>
        </is>
      </c>
      <c r="BW533" s="76" t="n">
        <v>46178.42777777778</v>
      </c>
      <c r="BX533" t="inlineStr">
        <is>
          <t>Magaly Guevara Perez</t>
        </is>
      </c>
      <c r="BZ533" t="n">
        <v>29</v>
      </c>
      <c r="CA533" t="inlineStr">
        <is>
          <t>13/08/2026 14:12</t>
        </is>
      </c>
      <c r="CB533" t="n">
        <v>0</v>
      </c>
      <c r="CF533" t="inlineStr">
        <is>
          <t>Cobranzas_2026.csv</t>
        </is>
      </c>
      <c r="CG533" t="n">
        <v>2026</v>
      </c>
      <c r="CH533" t="inlineStr">
        <is>
          <t>01/01/2024</t>
        </is>
      </c>
      <c r="CI533" t="inlineStr">
        <is>
          <t>24/08/2031</t>
        </is>
      </c>
    </row>
    <row r="534">
      <c r="A534" t="inlineStr">
        <is>
          <t>RESIDENCIAL BEYOND</t>
        </is>
      </c>
      <c r="B534" t="inlineStr">
        <is>
          <t>Etapa 1</t>
        </is>
      </c>
      <c r="C534" t="inlineStr">
        <is>
          <t>Edificio</t>
        </is>
      </c>
      <c r="D534" t="inlineStr">
        <is>
          <t>A</t>
        </is>
      </c>
      <c r="E534" t="inlineStr">
        <is>
          <t>Departamento</t>
        </is>
      </c>
      <c r="F534" t="inlineStr">
        <is>
          <t>404</t>
        </is>
      </c>
      <c r="G534" t="n">
        <v>67</v>
      </c>
      <c r="H534" t="n">
        <v>0</v>
      </c>
      <c r="I534" s="39" t="n">
        <v>498000</v>
      </c>
      <c r="J534" s="39" t="n">
        <v>460000</v>
      </c>
      <c r="Q534" s="39" t="n"/>
      <c r="R534" s="39" t="n"/>
      <c r="Y534" s="39" t="n"/>
      <c r="Z534" s="39" t="n"/>
      <c r="AG534" s="39" t="n"/>
      <c r="AH534" s="39" t="n"/>
      <c r="AI534" t="inlineStr">
        <is>
          <t>Juana Mercedes Moran Peralta</t>
        </is>
      </c>
      <c r="AJ534" t="inlineStr">
        <is>
          <t>03495726</t>
        </is>
      </c>
      <c r="AK534" t="inlineStr">
        <is>
          <t>Jr. Ignacio Álvarez Thomas 1573 - Dpto. 302</t>
        </is>
      </c>
      <c r="AL534" t="n">
        <v>0</v>
      </c>
      <c r="AM534" t="inlineStr">
        <is>
          <t>978122557</t>
        </is>
      </c>
      <c r="AN534" t="inlineStr">
        <is>
          <t>Juanamoran2371@gmail.com</t>
        </is>
      </c>
      <c r="AO534" t="inlineStr">
        <is>
          <t>LIMA</t>
        </is>
      </c>
      <c r="AP534" t="inlineStr">
        <is>
          <t>CERCADO DE LIMA</t>
        </is>
      </c>
      <c r="AQ534" s="75" t="n">
        <v>46250.6625</v>
      </c>
      <c r="AR534" s="75" t="n">
        <v>45863</v>
      </c>
      <c r="AS534" t="inlineStr">
        <is>
          <t>CUOTA INICIAL</t>
        </is>
      </c>
      <c r="AT534" t="n">
        <v>1</v>
      </c>
      <c r="AU534" t="n">
        <v>0</v>
      </c>
      <c r="AV534" t="n">
        <v>0</v>
      </c>
      <c r="AW534" t="n">
        <v>0</v>
      </c>
      <c r="AX534" s="39" t="n">
        <v>0</v>
      </c>
      <c r="AY534" s="39" t="n">
        <v>10000</v>
      </c>
      <c r="AZ534" s="39" t="n">
        <v>0</v>
      </c>
      <c r="BA534" t="n">
        <v>0</v>
      </c>
      <c r="BB534" t="inlineStr">
        <is>
          <t>Ahorro</t>
        </is>
      </c>
      <c r="BC534" t="inlineStr">
        <is>
          <t>Banco de Credito del Perú</t>
        </is>
      </c>
      <c r="BD534" t="inlineStr">
        <is>
          <t>194-7325779-0-65</t>
        </is>
      </c>
      <c r="BE534" t="inlineStr">
        <is>
          <t>TRANSFERENCIA BANCARIA</t>
        </is>
      </c>
      <c r="BG534" t="inlineStr">
        <is>
          <t>1672391</t>
        </is>
      </c>
      <c r="BH534" t="inlineStr">
        <is>
          <t>No</t>
        </is>
      </c>
      <c r="BJ534" t="n">
        <v>4</v>
      </c>
      <c r="BK534" t="inlineStr">
        <is>
          <t>CANCELADO</t>
        </is>
      </c>
      <c r="BV534" t="inlineStr">
        <is>
          <t>Si</t>
        </is>
      </c>
      <c r="BW534" s="76" t="n">
        <v>46178.42777777778</v>
      </c>
      <c r="BX534" t="inlineStr">
        <is>
          <t>Magaly Guevara Perez</t>
        </is>
      </c>
      <c r="BZ534" t="n">
        <v>29</v>
      </c>
      <c r="CA534" t="inlineStr">
        <is>
          <t>13/08/2026 14:14</t>
        </is>
      </c>
      <c r="CB534" t="n">
        <v>0</v>
      </c>
      <c r="CF534" t="inlineStr">
        <is>
          <t>Cobranzas_2026.csv</t>
        </is>
      </c>
      <c r="CG534" t="n">
        <v>2026</v>
      </c>
      <c r="CH534" t="inlineStr">
        <is>
          <t>01/01/2024</t>
        </is>
      </c>
      <c r="CI534" t="inlineStr">
        <is>
          <t>24/08/2031</t>
        </is>
      </c>
    </row>
    <row r="535">
      <c r="A535" t="inlineStr">
        <is>
          <t>RESIDENCIAL BEYOND</t>
        </is>
      </c>
      <c r="B535" t="inlineStr">
        <is>
          <t>Etapa 1</t>
        </is>
      </c>
      <c r="C535" t="inlineStr">
        <is>
          <t>Edificio</t>
        </is>
      </c>
      <c r="D535" t="inlineStr">
        <is>
          <t>A</t>
        </is>
      </c>
      <c r="E535" t="inlineStr">
        <is>
          <t>Departamento</t>
        </is>
      </c>
      <c r="F535" t="inlineStr">
        <is>
          <t>404</t>
        </is>
      </c>
      <c r="G535" t="n">
        <v>67</v>
      </c>
      <c r="H535" t="n">
        <v>0</v>
      </c>
      <c r="I535" s="39" t="n">
        <v>498000</v>
      </c>
      <c r="J535" s="39" t="n">
        <v>460000</v>
      </c>
      <c r="Q535" s="39" t="n"/>
      <c r="R535" s="39" t="n"/>
      <c r="Y535" s="39" t="n"/>
      <c r="Z535" s="39" t="n"/>
      <c r="AG535" s="39" t="n"/>
      <c r="AH535" s="39" t="n"/>
      <c r="AI535" t="inlineStr">
        <is>
          <t>Juana Mercedes Moran Peralta</t>
        </is>
      </c>
      <c r="AJ535" t="inlineStr">
        <is>
          <t>03495726</t>
        </is>
      </c>
      <c r="AK535" t="inlineStr">
        <is>
          <t>Jr. Ignacio Álvarez Thomas 1573 - Dpto. 302</t>
        </is>
      </c>
      <c r="AL535" t="n">
        <v>0</v>
      </c>
      <c r="AM535" t="inlineStr">
        <is>
          <t>978122557</t>
        </is>
      </c>
      <c r="AN535" t="inlineStr">
        <is>
          <t>Juanamoran2371@gmail.com</t>
        </is>
      </c>
      <c r="AO535" t="inlineStr">
        <is>
          <t>LIMA</t>
        </is>
      </c>
      <c r="AP535" t="inlineStr">
        <is>
          <t>CERCADO DE LIMA</t>
        </is>
      </c>
      <c r="AQ535" s="75" t="n">
        <v>46250.6625</v>
      </c>
      <c r="AR535" s="75" t="n">
        <v>46151</v>
      </c>
      <c r="AS535" t="inlineStr">
        <is>
          <t>CUOTA INICIAL</t>
        </is>
      </c>
      <c r="AT535" t="n">
        <v>1</v>
      </c>
      <c r="AU535" t="n">
        <v>0</v>
      </c>
      <c r="AV535" t="n">
        <v>0</v>
      </c>
      <c r="AW535" t="n">
        <v>0</v>
      </c>
      <c r="AX535" s="39" t="n">
        <v>0</v>
      </c>
      <c r="AY535" s="39" t="n">
        <v>23000</v>
      </c>
      <c r="AZ535" s="39" t="n">
        <v>0</v>
      </c>
      <c r="BA535" t="n">
        <v>0</v>
      </c>
      <c r="BB535" t="inlineStr">
        <is>
          <t>Ahorro</t>
        </is>
      </c>
      <c r="BC535" t="inlineStr">
        <is>
          <t>Banco de Credito del Perú</t>
        </is>
      </c>
      <c r="BD535" t="inlineStr">
        <is>
          <t>194-7325779-0-65</t>
        </is>
      </c>
      <c r="BE535" t="inlineStr">
        <is>
          <t>TRANSFERENCIA BANCARIA</t>
        </is>
      </c>
      <c r="BG535" t="inlineStr">
        <is>
          <t>1764662</t>
        </is>
      </c>
      <c r="BH535" t="inlineStr">
        <is>
          <t>No</t>
        </is>
      </c>
      <c r="BJ535" t="n">
        <v>4</v>
      </c>
      <c r="BK535" t="inlineStr">
        <is>
          <t>CANCELADO</t>
        </is>
      </c>
      <c r="BV535" t="inlineStr">
        <is>
          <t>Si</t>
        </is>
      </c>
      <c r="BW535" s="76" t="n">
        <v>46178.42777777778</v>
      </c>
      <c r="BX535" t="inlineStr">
        <is>
          <t>Magaly Guevara Perez</t>
        </is>
      </c>
      <c r="BZ535" t="n">
        <v>29</v>
      </c>
      <c r="CA535" t="inlineStr">
        <is>
          <t>13/08/2026 14:15</t>
        </is>
      </c>
      <c r="CB535" t="n">
        <v>0</v>
      </c>
      <c r="CF535" t="inlineStr">
        <is>
          <t>Cobranzas_2026.csv</t>
        </is>
      </c>
      <c r="CG535" t="n">
        <v>2026</v>
      </c>
      <c r="CH535" t="inlineStr">
        <is>
          <t>01/01/2024</t>
        </is>
      </c>
      <c r="CI535" t="inlineStr">
        <is>
          <t>24/08/2031</t>
        </is>
      </c>
    </row>
    <row r="536">
      <c r="A536" t="inlineStr">
        <is>
          <t>RESIDENCIAL BEYOND</t>
        </is>
      </c>
      <c r="B536" t="inlineStr">
        <is>
          <t>Etapa 1</t>
        </is>
      </c>
      <c r="C536" t="inlineStr">
        <is>
          <t>Edificio</t>
        </is>
      </c>
      <c r="D536" t="inlineStr">
        <is>
          <t>A</t>
        </is>
      </c>
      <c r="E536" t="inlineStr">
        <is>
          <t>Departamento</t>
        </is>
      </c>
      <c r="F536" t="inlineStr">
        <is>
          <t>404</t>
        </is>
      </c>
      <c r="G536" t="n">
        <v>67</v>
      </c>
      <c r="H536" t="n">
        <v>0</v>
      </c>
      <c r="I536" s="39" t="n">
        <v>498000</v>
      </c>
      <c r="J536" s="39" t="n">
        <v>460000</v>
      </c>
      <c r="Q536" s="39" t="n"/>
      <c r="R536" s="39" t="n"/>
      <c r="Y536" s="39" t="n"/>
      <c r="Z536" s="39" t="n"/>
      <c r="AG536" s="39" t="n"/>
      <c r="AH536" s="39" t="n"/>
      <c r="AI536" t="inlineStr">
        <is>
          <t>Juana Mercedes Moran Peralta</t>
        </is>
      </c>
      <c r="AJ536" t="inlineStr">
        <is>
          <t>03495726</t>
        </is>
      </c>
      <c r="AK536" t="inlineStr">
        <is>
          <t>Jr. Ignacio Álvarez Thomas 1573 - Dpto. 302</t>
        </is>
      </c>
      <c r="AL536" t="n">
        <v>0</v>
      </c>
      <c r="AM536" t="inlineStr">
        <is>
          <t>978122557</t>
        </is>
      </c>
      <c r="AN536" t="inlineStr">
        <is>
          <t>Juanamoran2371@gmail.com</t>
        </is>
      </c>
      <c r="AO536" t="inlineStr">
        <is>
          <t>LIMA</t>
        </is>
      </c>
      <c r="AP536" t="inlineStr">
        <is>
          <t>CERCADO DE LIMA</t>
        </is>
      </c>
      <c r="AQ536" s="75" t="n">
        <v>46281.6625</v>
      </c>
      <c r="AR536" s="75" t="n"/>
      <c r="AS536" t="inlineStr">
        <is>
          <t>SALDO FINANCIAR</t>
        </is>
      </c>
      <c r="AT536" t="n">
        <v>1</v>
      </c>
      <c r="AU536" t="n">
        <v>414000</v>
      </c>
      <c r="AV536" t="n">
        <v>0</v>
      </c>
      <c r="AW536" t="n">
        <v>0</v>
      </c>
      <c r="AX536" s="39" t="n">
        <v>414000</v>
      </c>
      <c r="AY536" s="39" t="n">
        <v>0</v>
      </c>
      <c r="AZ536" s="39" t="n">
        <v>414000</v>
      </c>
      <c r="BB536" t="inlineStr">
        <is>
          <t>Ahorro</t>
        </is>
      </c>
      <c r="BH536" t="inlineStr">
        <is>
          <t>No</t>
        </is>
      </c>
      <c r="BK536" t="inlineStr">
        <is>
          <t>PENDIENTE</t>
        </is>
      </c>
      <c r="BV536" t="inlineStr">
        <is>
          <t>No</t>
        </is>
      </c>
      <c r="BW536" s="76" t="n">
        <v>46178.42777777778</v>
      </c>
      <c r="BX536" t="inlineStr">
        <is>
          <t>Magaly Guevara Perez</t>
        </is>
      </c>
      <c r="BZ536" t="n">
        <v>29</v>
      </c>
      <c r="CB536" t="n">
        <v>0</v>
      </c>
      <c r="CF536" t="inlineStr">
        <is>
          <t>Cobranzas_2026.csv</t>
        </is>
      </c>
      <c r="CG536" t="n">
        <v>2026</v>
      </c>
      <c r="CH536" t="inlineStr">
        <is>
          <t>01/01/2024</t>
        </is>
      </c>
      <c r="CI536" t="inlineStr">
        <is>
          <t>24/08/2031</t>
        </is>
      </c>
    </row>
    <row r="537">
      <c r="A537" t="inlineStr">
        <is>
          <t>RESIDENCIAL PRADA</t>
        </is>
      </c>
      <c r="B537" t="inlineStr">
        <is>
          <t>Etapa 1</t>
        </is>
      </c>
      <c r="C537" t="inlineStr">
        <is>
          <t>Edificio</t>
        </is>
      </c>
      <c r="D537" t="inlineStr">
        <is>
          <t>A</t>
        </is>
      </c>
      <c r="E537" t="inlineStr">
        <is>
          <t>Departamento</t>
        </is>
      </c>
      <c r="F537" t="inlineStr">
        <is>
          <t>604</t>
        </is>
      </c>
      <c r="G537" t="n">
        <v>60.93</v>
      </c>
      <c r="H537" t="n">
        <v>0</v>
      </c>
      <c r="I537" s="39" t="n">
        <v>423000</v>
      </c>
      <c r="J537" s="39" t="n">
        <v>423000</v>
      </c>
      <c r="K537" t="inlineStr">
        <is>
          <t>Edificio</t>
        </is>
      </c>
      <c r="L537" t="inlineStr">
        <is>
          <t>A</t>
        </is>
      </c>
      <c r="M537" t="inlineStr">
        <is>
          <t>Estacionamiento</t>
        </is>
      </c>
      <c r="N537" t="inlineStr">
        <is>
          <t>E 51 - D 39</t>
        </is>
      </c>
      <c r="O537" t="n">
        <v>12.5</v>
      </c>
      <c r="P537" t="n">
        <v>1.83</v>
      </c>
      <c r="Q537" s="39" t="n">
        <v>50000</v>
      </c>
      <c r="R537" s="39" t="n">
        <v>50000</v>
      </c>
      <c r="Y537" s="39" t="n"/>
      <c r="Z537" s="39" t="n"/>
      <c r="AG537" s="39" t="n"/>
      <c r="AH537" s="39" t="n"/>
      <c r="AI537" t="inlineStr">
        <is>
          <t>JUDITH MEDINA ALVAREZ</t>
        </is>
      </c>
      <c r="AJ537" t="inlineStr">
        <is>
          <t>45149889</t>
        </is>
      </c>
      <c r="AK537" t="inlineStr">
        <is>
          <t>Calle Union 212 SubLt 2 Seccion 3 Dpto. 301</t>
        </is>
      </c>
      <c r="AM537" t="inlineStr">
        <is>
          <t>959555038</t>
        </is>
      </c>
      <c r="AN537" t="inlineStr">
        <is>
          <t>Judith_2588@hotmail.com</t>
        </is>
      </c>
      <c r="AO537" t="inlineStr">
        <is>
          <t>AREQUIPA</t>
        </is>
      </c>
      <c r="AP537" t="inlineStr">
        <is>
          <t>YANAHUARA</t>
        </is>
      </c>
      <c r="AQ537" s="75" t="n">
        <v>46096</v>
      </c>
      <c r="AR537" s="75" t="n">
        <v>46096</v>
      </c>
      <c r="AS537" t="inlineStr">
        <is>
          <t>SEPARACION</t>
        </is>
      </c>
      <c r="AT537" t="n">
        <v>1</v>
      </c>
      <c r="AU537" t="n">
        <v>3000</v>
      </c>
      <c r="AV537" t="n">
        <v>0</v>
      </c>
      <c r="AW537" t="n">
        <v>0</v>
      </c>
      <c r="AX537" s="39" t="n">
        <v>3000</v>
      </c>
      <c r="AY537" s="39" t="n">
        <v>3000</v>
      </c>
      <c r="AZ537" s="39" t="n">
        <v>0</v>
      </c>
      <c r="BA537" t="n">
        <v>0</v>
      </c>
      <c r="BB537" t="inlineStr">
        <is>
          <t>Crédito Hipotecario</t>
        </is>
      </c>
      <c r="BC537" t="inlineStr">
        <is>
          <t>Scotiabank Perú</t>
        </is>
      </c>
      <c r="BD537" t="inlineStr">
        <is>
          <t>000-2768484</t>
        </is>
      </c>
      <c r="BE537" t="inlineStr">
        <is>
          <t>TRANSFERENCIA BANCARIA</t>
        </is>
      </c>
      <c r="BF537" t="inlineStr">
        <is>
          <t>45149889</t>
        </is>
      </c>
      <c r="BG537" t="inlineStr">
        <is>
          <t>0000607419191558</t>
        </is>
      </c>
      <c r="BH537" t="inlineStr">
        <is>
          <t>No</t>
        </is>
      </c>
      <c r="BI537" t="inlineStr">
        <is>
          <t>NO PRECISA</t>
        </is>
      </c>
      <c r="BJ537" t="n">
        <v>4</v>
      </c>
      <c r="BK537" t="inlineStr">
        <is>
          <t>CANCELADO</t>
        </is>
      </c>
      <c r="BV537" t="inlineStr">
        <is>
          <t>Si</t>
        </is>
      </c>
      <c r="BW537" s="76" t="n">
        <v>46142.69583333333</v>
      </c>
      <c r="BX537" t="inlineStr">
        <is>
          <t>Kenny Salazar S</t>
        </is>
      </c>
      <c r="BZ537" t="n">
        <v>22</v>
      </c>
      <c r="CA537" t="inlineStr">
        <is>
          <t>05/06/2026 09:50</t>
        </is>
      </c>
      <c r="CB537" t="n">
        <v>0</v>
      </c>
      <c r="CF537" t="inlineStr">
        <is>
          <t>Cobranzas_2026.csv</t>
        </is>
      </c>
      <c r="CG537" t="n">
        <v>2026</v>
      </c>
      <c r="CH537" t="inlineStr">
        <is>
          <t>01/01/2024</t>
        </is>
      </c>
      <c r="CI537" t="inlineStr">
        <is>
          <t>24/08/2031</t>
        </is>
      </c>
    </row>
    <row r="538">
      <c r="A538" t="inlineStr">
        <is>
          <t>RESIDENCIAL PRADA</t>
        </is>
      </c>
      <c r="B538" t="inlineStr">
        <is>
          <t>Etapa 1</t>
        </is>
      </c>
      <c r="C538" t="inlineStr">
        <is>
          <t>Edificio</t>
        </is>
      </c>
      <c r="D538" t="inlineStr">
        <is>
          <t>A</t>
        </is>
      </c>
      <c r="E538" t="inlineStr">
        <is>
          <t>Departamento</t>
        </is>
      </c>
      <c r="F538" t="inlineStr">
        <is>
          <t>604</t>
        </is>
      </c>
      <c r="G538" t="n">
        <v>60.93</v>
      </c>
      <c r="H538" t="n">
        <v>0</v>
      </c>
      <c r="I538" s="39" t="n">
        <v>423000</v>
      </c>
      <c r="J538" s="39" t="n">
        <v>423000</v>
      </c>
      <c r="K538" t="inlineStr">
        <is>
          <t>Edificio</t>
        </is>
      </c>
      <c r="L538" t="inlineStr">
        <is>
          <t>A</t>
        </is>
      </c>
      <c r="M538" t="inlineStr">
        <is>
          <t>Estacionamiento</t>
        </is>
      </c>
      <c r="N538" t="inlineStr">
        <is>
          <t>E 51 - D 39</t>
        </is>
      </c>
      <c r="O538" t="n">
        <v>12.5</v>
      </c>
      <c r="P538" t="n">
        <v>1.83</v>
      </c>
      <c r="Q538" s="39" t="n">
        <v>50000</v>
      </c>
      <c r="R538" s="39" t="n">
        <v>50000</v>
      </c>
      <c r="Y538" s="39" t="n"/>
      <c r="Z538" s="39" t="n"/>
      <c r="AG538" s="39" t="n"/>
      <c r="AH538" s="39" t="n"/>
      <c r="AI538" t="inlineStr">
        <is>
          <t>JUDITH MEDINA ALVAREZ</t>
        </is>
      </c>
      <c r="AJ538" t="inlineStr">
        <is>
          <t>45149889</t>
        </is>
      </c>
      <c r="AK538" t="inlineStr">
        <is>
          <t>Calle Union 212 SubLt 2 Seccion 3 Dpto. 301</t>
        </is>
      </c>
      <c r="AM538" t="inlineStr">
        <is>
          <t>959555038</t>
        </is>
      </c>
      <c r="AN538" t="inlineStr">
        <is>
          <t>Judith_2588@hotmail.com</t>
        </is>
      </c>
      <c r="AO538" t="inlineStr">
        <is>
          <t>AREQUIPA</t>
        </is>
      </c>
      <c r="AP538" t="inlineStr">
        <is>
          <t>YANAHUARA</t>
        </is>
      </c>
      <c r="AQ538" s="75" t="n">
        <v>46142</v>
      </c>
      <c r="AR538" s="75" t="n">
        <v>46142</v>
      </c>
      <c r="AS538" t="inlineStr">
        <is>
          <t>CUOTA INICIAL</t>
        </is>
      </c>
      <c r="AT538" t="n">
        <v>2</v>
      </c>
      <c r="AU538" t="n">
        <v>44300</v>
      </c>
      <c r="AV538" t="n">
        <v>0</v>
      </c>
      <c r="AW538" t="n">
        <v>0</v>
      </c>
      <c r="AX538" s="39" t="n">
        <v>44300</v>
      </c>
      <c r="AY538" s="39" t="n">
        <v>44300</v>
      </c>
      <c r="AZ538" s="39" t="n">
        <v>0</v>
      </c>
      <c r="BA538" t="n">
        <v>0</v>
      </c>
      <c r="BB538" t="inlineStr">
        <is>
          <t>Crédito Hipotecario</t>
        </is>
      </c>
      <c r="BC538" t="inlineStr">
        <is>
          <t>Scotiabank Perú</t>
        </is>
      </c>
      <c r="BD538" t="inlineStr">
        <is>
          <t>000-2768484</t>
        </is>
      </c>
      <c r="BE538" t="inlineStr">
        <is>
          <t>TRANSFERENCIA BANCARIA</t>
        </is>
      </c>
      <c r="BG538" t="inlineStr">
        <is>
          <t>00063</t>
        </is>
      </c>
      <c r="BH538" t="inlineStr">
        <is>
          <t>No</t>
        </is>
      </c>
      <c r="BJ538" t="n">
        <v>4</v>
      </c>
      <c r="BK538" t="inlineStr">
        <is>
          <t>CANCELADO</t>
        </is>
      </c>
      <c r="BV538" t="inlineStr">
        <is>
          <t>Si</t>
        </is>
      </c>
      <c r="BW538" s="76" t="n">
        <v>46142.69583333333</v>
      </c>
      <c r="BX538" t="inlineStr">
        <is>
          <t>Kenny Salazar S</t>
        </is>
      </c>
      <c r="BZ538" t="n">
        <v>22</v>
      </c>
      <c r="CA538" t="inlineStr">
        <is>
          <t>07/07/2026 11:24</t>
        </is>
      </c>
      <c r="CB538" t="n">
        <v>0</v>
      </c>
      <c r="CF538" t="inlineStr">
        <is>
          <t>Cobranzas_2026.csv</t>
        </is>
      </c>
      <c r="CG538" t="n">
        <v>2026</v>
      </c>
      <c r="CH538" t="inlineStr">
        <is>
          <t>01/01/2024</t>
        </is>
      </c>
      <c r="CI538" t="inlineStr">
        <is>
          <t>24/08/2031</t>
        </is>
      </c>
    </row>
    <row r="539">
      <c r="A539" t="inlineStr">
        <is>
          <t>RESIDENCIAL PRADA</t>
        </is>
      </c>
      <c r="B539" t="inlineStr">
        <is>
          <t>Etapa 1</t>
        </is>
      </c>
      <c r="C539" t="inlineStr">
        <is>
          <t>Edificio</t>
        </is>
      </c>
      <c r="D539" t="inlineStr">
        <is>
          <t>A</t>
        </is>
      </c>
      <c r="E539" t="inlineStr">
        <is>
          <t>Departamento</t>
        </is>
      </c>
      <c r="F539" t="inlineStr">
        <is>
          <t>604</t>
        </is>
      </c>
      <c r="G539" t="n">
        <v>60.93</v>
      </c>
      <c r="H539" t="n">
        <v>0</v>
      </c>
      <c r="I539" s="39" t="n">
        <v>423000</v>
      </c>
      <c r="J539" s="39" t="n">
        <v>423000</v>
      </c>
      <c r="K539" t="inlineStr">
        <is>
          <t>Edificio</t>
        </is>
      </c>
      <c r="L539" t="inlineStr">
        <is>
          <t>A</t>
        </is>
      </c>
      <c r="M539" t="inlineStr">
        <is>
          <t>Estacionamiento</t>
        </is>
      </c>
      <c r="N539" t="inlineStr">
        <is>
          <t>E 51 - D 39</t>
        </is>
      </c>
      <c r="O539" t="n">
        <v>12.5</v>
      </c>
      <c r="P539" t="n">
        <v>1.83</v>
      </c>
      <c r="Q539" s="39" t="n">
        <v>50000</v>
      </c>
      <c r="R539" s="39" t="n">
        <v>50000</v>
      </c>
      <c r="Y539" s="39" t="n"/>
      <c r="Z539" s="39" t="n"/>
      <c r="AG539" s="39" t="n"/>
      <c r="AH539" s="39" t="n"/>
      <c r="AI539" t="inlineStr">
        <is>
          <t>JUDITH MEDINA ALVAREZ</t>
        </is>
      </c>
      <c r="AJ539" t="inlineStr">
        <is>
          <t>45149889</t>
        </is>
      </c>
      <c r="AK539" t="inlineStr">
        <is>
          <t>Calle Union 212 SubLt 2 Seccion 3 Dpto. 301</t>
        </is>
      </c>
      <c r="AM539" t="inlineStr">
        <is>
          <t>959555038</t>
        </is>
      </c>
      <c r="AN539" t="inlineStr">
        <is>
          <t>Judith_2588@hotmail.com</t>
        </is>
      </c>
      <c r="AO539" t="inlineStr">
        <is>
          <t>AREQUIPA</t>
        </is>
      </c>
      <c r="AP539" t="inlineStr">
        <is>
          <t>YANAHUARA</t>
        </is>
      </c>
      <c r="AQ539" s="75" t="n">
        <v>46203</v>
      </c>
      <c r="AR539" s="75" t="n">
        <v>46211</v>
      </c>
      <c r="AS539" t="inlineStr">
        <is>
          <t>SALDO FINANCIAR</t>
        </is>
      </c>
      <c r="AT539" t="n">
        <v>2</v>
      </c>
      <c r="AU539" t="n">
        <v>397000</v>
      </c>
      <c r="AV539" t="n">
        <v>0</v>
      </c>
      <c r="AW539" t="n">
        <v>0</v>
      </c>
      <c r="AX539" s="39" t="n">
        <v>397000</v>
      </c>
      <c r="AY539" s="39" t="n">
        <v>397000</v>
      </c>
      <c r="AZ539" s="39" t="n">
        <v>0</v>
      </c>
      <c r="BA539" t="n">
        <v>0</v>
      </c>
      <c r="BB539" t="inlineStr">
        <is>
          <t>Crédito Hipotecario</t>
        </is>
      </c>
      <c r="BC539" t="inlineStr">
        <is>
          <t>Scotiabank Perú</t>
        </is>
      </c>
      <c r="BD539" t="inlineStr">
        <is>
          <t>000-2768484</t>
        </is>
      </c>
      <c r="BE539" t="inlineStr">
        <is>
          <t>TRANSFERENCIA BANCARIA</t>
        </is>
      </c>
      <c r="BG539" t="inlineStr">
        <is>
          <t>0270800003</t>
        </is>
      </c>
      <c r="BH539" t="inlineStr">
        <is>
          <t>No</t>
        </is>
      </c>
      <c r="BJ539" t="n">
        <v>4</v>
      </c>
      <c r="BK539" t="inlineStr">
        <is>
          <t>CANCELADO</t>
        </is>
      </c>
      <c r="BV539" t="inlineStr">
        <is>
          <t>Si</t>
        </is>
      </c>
      <c r="BW539" s="76" t="n">
        <v>46142.69583333333</v>
      </c>
      <c r="BX539" t="inlineStr">
        <is>
          <t>Kenny Salazar S</t>
        </is>
      </c>
      <c r="BZ539" t="n">
        <v>22</v>
      </c>
      <c r="CA539" t="inlineStr">
        <is>
          <t>09/07/2026 13:49</t>
        </is>
      </c>
      <c r="CB539" t="n">
        <v>0</v>
      </c>
      <c r="CF539" t="inlineStr">
        <is>
          <t>Cobranzas_2026.csv</t>
        </is>
      </c>
      <c r="CG539" t="n">
        <v>2026</v>
      </c>
      <c r="CH539" t="inlineStr">
        <is>
          <t>01/01/2024</t>
        </is>
      </c>
      <c r="CI539" t="inlineStr">
        <is>
          <t>24/08/2031</t>
        </is>
      </c>
    </row>
    <row r="540">
      <c r="A540" t="inlineStr">
        <is>
          <t>RESIDENCIAL PRADA</t>
        </is>
      </c>
      <c r="B540" t="inlineStr">
        <is>
          <t>Etapa 1</t>
        </is>
      </c>
      <c r="C540" t="inlineStr">
        <is>
          <t>Edificio</t>
        </is>
      </c>
      <c r="D540" t="inlineStr">
        <is>
          <t>A</t>
        </is>
      </c>
      <c r="E540" t="inlineStr">
        <is>
          <t>Departamento</t>
        </is>
      </c>
      <c r="F540" t="inlineStr">
        <is>
          <t>604</t>
        </is>
      </c>
      <c r="G540" t="n">
        <v>60.93</v>
      </c>
      <c r="H540" t="n">
        <v>0</v>
      </c>
      <c r="I540" s="39" t="n">
        <v>423000</v>
      </c>
      <c r="J540" s="39" t="n">
        <v>423000</v>
      </c>
      <c r="K540" t="inlineStr">
        <is>
          <t>Edificio</t>
        </is>
      </c>
      <c r="L540" t="inlineStr">
        <is>
          <t>A</t>
        </is>
      </c>
      <c r="M540" t="inlineStr">
        <is>
          <t>Estacionamiento</t>
        </is>
      </c>
      <c r="N540" t="inlineStr">
        <is>
          <t>E 51 - D 39</t>
        </is>
      </c>
      <c r="O540" t="n">
        <v>12.5</v>
      </c>
      <c r="P540" t="n">
        <v>1.83</v>
      </c>
      <c r="Q540" s="39" t="n">
        <v>50000</v>
      </c>
      <c r="R540" s="39" t="n">
        <v>50000</v>
      </c>
      <c r="Y540" s="39" t="n"/>
      <c r="Z540" s="39" t="n"/>
      <c r="AG540" s="39" t="n"/>
      <c r="AH540" s="39" t="n"/>
      <c r="AI540" t="inlineStr">
        <is>
          <t>JUDITH MEDINA ALVAREZ</t>
        </is>
      </c>
      <c r="AJ540" t="inlineStr">
        <is>
          <t>45149889</t>
        </is>
      </c>
      <c r="AK540" t="inlineStr">
        <is>
          <t>Calle Union 212 SubLt 2 Seccion 3 Dpto. 301</t>
        </is>
      </c>
      <c r="AM540" t="inlineStr">
        <is>
          <t>959555038</t>
        </is>
      </c>
      <c r="AN540" t="inlineStr">
        <is>
          <t>Judith_2588@hotmail.com</t>
        </is>
      </c>
      <c r="AO540" t="inlineStr">
        <is>
          <t>AREQUIPA</t>
        </is>
      </c>
      <c r="AP540" t="inlineStr">
        <is>
          <t>YANAHUARA</t>
        </is>
      </c>
      <c r="AQ540" s="75" t="n">
        <v>46142</v>
      </c>
      <c r="AR540" s="75" t="n">
        <v>46142</v>
      </c>
      <c r="AS540" t="inlineStr">
        <is>
          <t>SALDO FINANCIAR</t>
        </is>
      </c>
      <c r="AT540" t="n">
        <v>3</v>
      </c>
      <c r="AU540" t="n">
        <v>28700</v>
      </c>
      <c r="AV540" t="n">
        <v>0</v>
      </c>
      <c r="AW540" t="n">
        <v>0</v>
      </c>
      <c r="AX540" s="39" t="n">
        <v>28700</v>
      </c>
      <c r="AY540" s="39" t="n">
        <v>28700</v>
      </c>
      <c r="AZ540" s="39" t="n">
        <v>0</v>
      </c>
      <c r="BA540" t="n">
        <v>0</v>
      </c>
      <c r="BB540" t="inlineStr">
        <is>
          <t>Crédito Hipotecario</t>
        </is>
      </c>
      <c r="BC540" t="inlineStr">
        <is>
          <t>Scotiabank Perú</t>
        </is>
      </c>
      <c r="BD540" t="inlineStr">
        <is>
          <t>000-2768484</t>
        </is>
      </c>
      <c r="BE540" t="inlineStr">
        <is>
          <t>TRANSFERENCIA BANCARIA</t>
        </is>
      </c>
      <c r="BG540" t="inlineStr">
        <is>
          <t>00063</t>
        </is>
      </c>
      <c r="BH540" t="inlineStr">
        <is>
          <t>No</t>
        </is>
      </c>
      <c r="BJ540" t="n">
        <v>4</v>
      </c>
      <c r="BK540" t="inlineStr">
        <is>
          <t>CANCELADO</t>
        </is>
      </c>
      <c r="BV540" t="inlineStr">
        <is>
          <t>Si</t>
        </is>
      </c>
      <c r="BW540" s="76" t="n">
        <v>46142.69583333333</v>
      </c>
      <c r="BX540" t="inlineStr">
        <is>
          <t>Kenny Salazar S</t>
        </is>
      </c>
      <c r="BZ540" t="n">
        <v>22</v>
      </c>
      <c r="CA540" t="inlineStr">
        <is>
          <t>07/07/2026 11:24</t>
        </is>
      </c>
      <c r="CB540" t="n">
        <v>0</v>
      </c>
      <c r="CF540" t="inlineStr">
        <is>
          <t>Cobranzas_2026.csv</t>
        </is>
      </c>
      <c r="CG540" t="n">
        <v>2026</v>
      </c>
      <c r="CH540" t="inlineStr">
        <is>
          <t>01/01/2024</t>
        </is>
      </c>
      <c r="CI540" t="inlineStr">
        <is>
          <t>24/08/2031</t>
        </is>
      </c>
    </row>
    <row r="541">
      <c r="A541" t="inlineStr">
        <is>
          <t>RESIDENCIAL PRADA</t>
        </is>
      </c>
      <c r="B541" t="inlineStr">
        <is>
          <t>Etapa 1</t>
        </is>
      </c>
      <c r="C541" t="inlineStr">
        <is>
          <t>Edificio</t>
        </is>
      </c>
      <c r="D541" t="inlineStr">
        <is>
          <t>A</t>
        </is>
      </c>
      <c r="E541" t="inlineStr">
        <is>
          <t>Estacionamiento</t>
        </is>
      </c>
      <c r="F541" t="inlineStr">
        <is>
          <t>E 09 - D 06</t>
        </is>
      </c>
      <c r="G541" t="n">
        <v>12.5</v>
      </c>
      <c r="H541" t="n">
        <v>1.83</v>
      </c>
      <c r="I541" s="39" t="n">
        <v>52000</v>
      </c>
      <c r="J541" s="39" t="n">
        <v>52000</v>
      </c>
      <c r="Q541" s="39" t="n"/>
      <c r="R541" s="39" t="n"/>
      <c r="Y541" s="39" t="n"/>
      <c r="Z541" s="39" t="n"/>
      <c r="AG541" s="39" t="n"/>
      <c r="AH541" s="39" t="n"/>
      <c r="AI541" t="inlineStr">
        <is>
          <t>Karina Cabanillas Correa</t>
        </is>
      </c>
      <c r="AJ541" t="inlineStr">
        <is>
          <t>40065933</t>
        </is>
      </c>
      <c r="AK541" t="inlineStr">
        <is>
          <t xml:space="preserve">Jr. Huiracocha 1639 Dpto. 1503 </t>
        </is>
      </c>
      <c r="AL541" t="n">
        <v>0</v>
      </c>
      <c r="AM541" t="inlineStr">
        <is>
          <t>970096822</t>
        </is>
      </c>
      <c r="AN541" t="inlineStr">
        <is>
          <t>karicab13@gmail.com</t>
        </is>
      </c>
      <c r="AO541" t="inlineStr">
        <is>
          <t>LIMA</t>
        </is>
      </c>
      <c r="AP541" t="inlineStr">
        <is>
          <t>JESUS MARIA</t>
        </is>
      </c>
      <c r="AQ541" s="75" t="n">
        <v>46112</v>
      </c>
      <c r="AR541" s="75" t="n">
        <v>46092</v>
      </c>
      <c r="AS541" t="inlineStr">
        <is>
          <t>SALDO FINANCIAR</t>
        </is>
      </c>
      <c r="AT541" t="n">
        <v>6</v>
      </c>
      <c r="AU541" t="n">
        <v>2700</v>
      </c>
      <c r="AV541" t="n">
        <v>0</v>
      </c>
      <c r="AW541" t="n">
        <v>0</v>
      </c>
      <c r="AX541" s="39" t="n">
        <v>2700</v>
      </c>
      <c r="AY541" s="39" t="n">
        <v>2700</v>
      </c>
      <c r="AZ541" s="39" t="n">
        <v>0</v>
      </c>
      <c r="BA541" t="n">
        <v>0</v>
      </c>
      <c r="BB541" t="inlineStr">
        <is>
          <t>Crédito Directo</t>
        </is>
      </c>
      <c r="BC541" t="inlineStr">
        <is>
          <t>Scotiabank Perú</t>
        </is>
      </c>
      <c r="BD541" t="inlineStr">
        <is>
          <t>000-2768484</t>
        </is>
      </c>
      <c r="BE541" t="inlineStr">
        <is>
          <t>TRANSFERENCIA BANCARIA</t>
        </is>
      </c>
      <c r="BG541" t="inlineStr">
        <is>
          <t>000006702000000</t>
        </is>
      </c>
      <c r="BH541" t="inlineStr">
        <is>
          <t>No</t>
        </is>
      </c>
      <c r="BJ541" t="n">
        <v>4</v>
      </c>
      <c r="BK541" t="inlineStr">
        <is>
          <t>CANCELADO</t>
        </is>
      </c>
      <c r="BV541" t="inlineStr">
        <is>
          <t>Si</t>
        </is>
      </c>
      <c r="BW541" s="76" t="n">
        <v>45886.67847222222</v>
      </c>
      <c r="BX541" t="inlineStr">
        <is>
          <t>Carla Michue M</t>
        </is>
      </c>
      <c r="BZ541" t="n">
        <v>65</v>
      </c>
      <c r="CA541" t="inlineStr">
        <is>
          <t>07/07/2026 16:53</t>
        </is>
      </c>
      <c r="CB541" t="n">
        <v>0</v>
      </c>
      <c r="CF541" t="inlineStr">
        <is>
          <t>Cobranzas_2026.csv</t>
        </is>
      </c>
      <c r="CG541" t="n">
        <v>2026</v>
      </c>
      <c r="CH541" t="inlineStr">
        <is>
          <t>01/01/2024</t>
        </is>
      </c>
      <c r="CI541" t="inlineStr">
        <is>
          <t>24/08/2031</t>
        </is>
      </c>
    </row>
    <row r="542">
      <c r="A542" t="inlineStr">
        <is>
          <t>RESIDENCIAL PRADA</t>
        </is>
      </c>
      <c r="B542" t="inlineStr">
        <is>
          <t>Etapa 1</t>
        </is>
      </c>
      <c r="C542" t="inlineStr">
        <is>
          <t>Edificio</t>
        </is>
      </c>
      <c r="D542" t="inlineStr">
        <is>
          <t>A</t>
        </is>
      </c>
      <c r="E542" t="inlineStr">
        <is>
          <t>Estacionamiento</t>
        </is>
      </c>
      <c r="F542" t="inlineStr">
        <is>
          <t>E 09 - D 06</t>
        </is>
      </c>
      <c r="G542" t="n">
        <v>12.5</v>
      </c>
      <c r="H542" t="n">
        <v>1.83</v>
      </c>
      <c r="I542" s="39" t="n">
        <v>52000</v>
      </c>
      <c r="J542" s="39" t="n">
        <v>52000</v>
      </c>
      <c r="Q542" s="39" t="n"/>
      <c r="R542" s="39" t="n"/>
      <c r="Y542" s="39" t="n"/>
      <c r="Z542" s="39" t="n"/>
      <c r="AG542" s="39" t="n"/>
      <c r="AH542" s="39" t="n"/>
      <c r="AI542" t="inlineStr">
        <is>
          <t>Karina Cabanillas Correa</t>
        </is>
      </c>
      <c r="AJ542" t="inlineStr">
        <is>
          <t>40065933</t>
        </is>
      </c>
      <c r="AK542" t="inlineStr">
        <is>
          <t xml:space="preserve">Jr. Huiracocha 1639 Dpto. 1503 </t>
        </is>
      </c>
      <c r="AL542" t="n">
        <v>0</v>
      </c>
      <c r="AM542" t="inlineStr">
        <is>
          <t>970096822</t>
        </is>
      </c>
      <c r="AN542" t="inlineStr">
        <is>
          <t>karicab13@gmail.com</t>
        </is>
      </c>
      <c r="AO542" t="inlineStr">
        <is>
          <t>LIMA</t>
        </is>
      </c>
      <c r="AP542" t="inlineStr">
        <is>
          <t>JESUS MARIA</t>
        </is>
      </c>
      <c r="AQ542" s="75" t="n">
        <v>46142</v>
      </c>
      <c r="AR542" s="75" t="n">
        <v>46142</v>
      </c>
      <c r="AS542" t="inlineStr">
        <is>
          <t>SALDO FINANCIAR</t>
        </is>
      </c>
      <c r="AT542" t="n">
        <v>7</v>
      </c>
      <c r="AU542" t="n">
        <v>5000</v>
      </c>
      <c r="AV542" t="n">
        <v>0</v>
      </c>
      <c r="AW542" t="n">
        <v>0</v>
      </c>
      <c r="AX542" s="39" t="n">
        <v>5000</v>
      </c>
      <c r="AY542" s="39" t="n">
        <v>5000</v>
      </c>
      <c r="AZ542" s="39" t="n">
        <v>0</v>
      </c>
      <c r="BA542" t="n">
        <v>0</v>
      </c>
      <c r="BB542" t="inlineStr">
        <is>
          <t>Crédito Directo</t>
        </is>
      </c>
      <c r="BC542" t="inlineStr">
        <is>
          <t>Scotiabank Perú</t>
        </is>
      </c>
      <c r="BD542" t="inlineStr">
        <is>
          <t>000-2768484</t>
        </is>
      </c>
      <c r="BE542" t="inlineStr">
        <is>
          <t>TRANSFERENCIA BANCARIA</t>
        </is>
      </c>
      <c r="BG542" t="inlineStr">
        <is>
          <t>5543493</t>
        </is>
      </c>
      <c r="BH542" t="inlineStr">
        <is>
          <t>No</t>
        </is>
      </c>
      <c r="BJ542" t="n">
        <v>4</v>
      </c>
      <c r="BK542" t="inlineStr">
        <is>
          <t>CANCELADO</t>
        </is>
      </c>
      <c r="BV542" t="inlineStr">
        <is>
          <t>Si</t>
        </is>
      </c>
      <c r="BW542" s="76" t="n">
        <v>45886.67847222222</v>
      </c>
      <c r="BX542" t="inlineStr">
        <is>
          <t>Carla Michue M</t>
        </is>
      </c>
      <c r="BZ542" t="n">
        <v>65</v>
      </c>
      <c r="CA542" t="inlineStr">
        <is>
          <t>07/07/2026 16:54</t>
        </is>
      </c>
      <c r="CB542" t="n">
        <v>0</v>
      </c>
      <c r="CF542" t="inlineStr">
        <is>
          <t>Cobranzas_2026.csv</t>
        </is>
      </c>
      <c r="CG542" t="n">
        <v>2026</v>
      </c>
      <c r="CH542" t="inlineStr">
        <is>
          <t>01/01/2024</t>
        </is>
      </c>
      <c r="CI542" t="inlineStr">
        <is>
          <t>24/08/2031</t>
        </is>
      </c>
    </row>
    <row r="543">
      <c r="A543" t="inlineStr">
        <is>
          <t>RESIDENCIAL PRADA</t>
        </is>
      </c>
      <c r="B543" t="inlineStr">
        <is>
          <t>Etapa 1</t>
        </is>
      </c>
      <c r="C543" t="inlineStr">
        <is>
          <t>Edificio</t>
        </is>
      </c>
      <c r="D543" t="inlineStr">
        <is>
          <t>A</t>
        </is>
      </c>
      <c r="E543" t="inlineStr">
        <is>
          <t>Estacionamiento</t>
        </is>
      </c>
      <c r="F543" t="inlineStr">
        <is>
          <t>E 09 - D 06</t>
        </is>
      </c>
      <c r="G543" t="n">
        <v>12.5</v>
      </c>
      <c r="H543" t="n">
        <v>1.83</v>
      </c>
      <c r="I543" s="39" t="n">
        <v>52000</v>
      </c>
      <c r="J543" s="39" t="n">
        <v>52000</v>
      </c>
      <c r="Q543" s="39" t="n"/>
      <c r="R543" s="39" t="n"/>
      <c r="Y543" s="39" t="n"/>
      <c r="Z543" s="39" t="n"/>
      <c r="AG543" s="39" t="n"/>
      <c r="AH543" s="39" t="n"/>
      <c r="AI543" t="inlineStr">
        <is>
          <t>Karina Cabanillas Correa</t>
        </is>
      </c>
      <c r="AJ543" t="inlineStr">
        <is>
          <t>40065933</t>
        </is>
      </c>
      <c r="AK543" t="inlineStr">
        <is>
          <t xml:space="preserve">Jr. Huiracocha 1639 Dpto. 1503 </t>
        </is>
      </c>
      <c r="AL543" t="n">
        <v>0</v>
      </c>
      <c r="AM543" t="inlineStr">
        <is>
          <t>970096822</t>
        </is>
      </c>
      <c r="AN543" t="inlineStr">
        <is>
          <t>karicab13@gmail.com</t>
        </is>
      </c>
      <c r="AO543" t="inlineStr">
        <is>
          <t>LIMA</t>
        </is>
      </c>
      <c r="AP543" t="inlineStr">
        <is>
          <t>JESUS MARIA</t>
        </is>
      </c>
      <c r="AQ543" s="75" t="n">
        <v>46173</v>
      </c>
      <c r="AR543" s="75" t="n"/>
      <c r="AS543" t="inlineStr">
        <is>
          <t>SALDO FINANCIAR</t>
        </is>
      </c>
      <c r="AT543" t="n">
        <v>8</v>
      </c>
      <c r="AU543" t="n">
        <v>5000</v>
      </c>
      <c r="AV543" t="n">
        <v>0</v>
      </c>
      <c r="AW543" t="n">
        <v>0</v>
      </c>
      <c r="AX543" s="39" t="n">
        <v>5000</v>
      </c>
      <c r="AY543" s="39" t="n">
        <v>0</v>
      </c>
      <c r="AZ543" s="39" t="n">
        <v>5000</v>
      </c>
      <c r="BB543" t="inlineStr">
        <is>
          <t>Crédito Directo</t>
        </is>
      </c>
      <c r="BH543" t="inlineStr">
        <is>
          <t>No</t>
        </is>
      </c>
      <c r="BK543" t="inlineStr">
        <is>
          <t>VENCIDO</t>
        </is>
      </c>
      <c r="BV543" t="inlineStr">
        <is>
          <t>No</t>
        </is>
      </c>
      <c r="BW543" s="76" t="n">
        <v>45886.67847222222</v>
      </c>
      <c r="BX543" t="inlineStr">
        <is>
          <t>Carla Michue M</t>
        </is>
      </c>
      <c r="BZ543" t="n">
        <v>65</v>
      </c>
      <c r="CB543" t="n">
        <v>0</v>
      </c>
      <c r="CF543" t="inlineStr">
        <is>
          <t>Cobranzas_2026.csv</t>
        </is>
      </c>
      <c r="CG543" t="n">
        <v>2026</v>
      </c>
      <c r="CH543" t="inlineStr">
        <is>
          <t>01/01/2024</t>
        </is>
      </c>
      <c r="CI543" t="inlineStr">
        <is>
          <t>24/08/2031</t>
        </is>
      </c>
    </row>
    <row r="544">
      <c r="A544" t="inlineStr">
        <is>
          <t>RESIDENCIAL PRADA</t>
        </is>
      </c>
      <c r="B544" t="inlineStr">
        <is>
          <t>Etapa 1</t>
        </is>
      </c>
      <c r="C544" t="inlineStr">
        <is>
          <t>Edificio</t>
        </is>
      </c>
      <c r="D544" t="inlineStr">
        <is>
          <t>A</t>
        </is>
      </c>
      <c r="E544" t="inlineStr">
        <is>
          <t>Estacionamiento</t>
        </is>
      </c>
      <c r="F544" t="inlineStr">
        <is>
          <t>E 09 - D 06</t>
        </is>
      </c>
      <c r="G544" t="n">
        <v>12.5</v>
      </c>
      <c r="H544" t="n">
        <v>1.83</v>
      </c>
      <c r="I544" s="39" t="n">
        <v>52000</v>
      </c>
      <c r="J544" s="39" t="n">
        <v>52000</v>
      </c>
      <c r="Q544" s="39" t="n"/>
      <c r="R544" s="39" t="n"/>
      <c r="Y544" s="39" t="n"/>
      <c r="Z544" s="39" t="n"/>
      <c r="AG544" s="39" t="n"/>
      <c r="AH544" s="39" t="n"/>
      <c r="AI544" t="inlineStr">
        <is>
          <t>Karina Cabanillas Correa</t>
        </is>
      </c>
      <c r="AJ544" t="inlineStr">
        <is>
          <t>40065933</t>
        </is>
      </c>
      <c r="AK544" t="inlineStr">
        <is>
          <t xml:space="preserve">Jr. Huiracocha 1639 Dpto. 1503 </t>
        </is>
      </c>
      <c r="AL544" t="n">
        <v>0</v>
      </c>
      <c r="AM544" t="inlineStr">
        <is>
          <t>970096822</t>
        </is>
      </c>
      <c r="AN544" t="inlineStr">
        <is>
          <t>karicab13@gmail.com</t>
        </is>
      </c>
      <c r="AO544" t="inlineStr">
        <is>
          <t>LIMA</t>
        </is>
      </c>
      <c r="AP544" t="inlineStr">
        <is>
          <t>JESUS MARIA</t>
        </is>
      </c>
      <c r="AQ544" s="75" t="n">
        <v>46203</v>
      </c>
      <c r="AR544" s="75" t="n"/>
      <c r="AS544" t="inlineStr">
        <is>
          <t>SALDO FINANCIAR</t>
        </is>
      </c>
      <c r="AT544" t="n">
        <v>9</v>
      </c>
      <c r="AU544" t="n">
        <v>5400</v>
      </c>
      <c r="AV544" t="n">
        <v>0</v>
      </c>
      <c r="AW544" t="n">
        <v>0</v>
      </c>
      <c r="AX544" s="39" t="n">
        <v>5400</v>
      </c>
      <c r="AY544" s="39" t="n">
        <v>0</v>
      </c>
      <c r="AZ544" s="39" t="n">
        <v>5400</v>
      </c>
      <c r="BB544" t="inlineStr">
        <is>
          <t>Crédito Directo</t>
        </is>
      </c>
      <c r="BH544" t="inlineStr">
        <is>
          <t>No</t>
        </is>
      </c>
      <c r="BK544" t="inlineStr">
        <is>
          <t>VENCIDO</t>
        </is>
      </c>
      <c r="BV544" t="inlineStr">
        <is>
          <t>No</t>
        </is>
      </c>
      <c r="BW544" s="76" t="n">
        <v>45886.67847222222</v>
      </c>
      <c r="BX544" t="inlineStr">
        <is>
          <t>Carla Michue M</t>
        </is>
      </c>
      <c r="BZ544" t="n">
        <v>65</v>
      </c>
      <c r="CB544" t="n">
        <v>0</v>
      </c>
      <c r="CF544" t="inlineStr">
        <is>
          <t>Cobranzas_2026.csv</t>
        </is>
      </c>
      <c r="CG544" t="n">
        <v>2026</v>
      </c>
      <c r="CH544" t="inlineStr">
        <is>
          <t>01/01/2024</t>
        </is>
      </c>
      <c r="CI544" t="inlineStr">
        <is>
          <t>24/08/2031</t>
        </is>
      </c>
    </row>
    <row r="545">
      <c r="A545" t="inlineStr">
        <is>
          <t>RESIDENCIAL PRADA</t>
        </is>
      </c>
      <c r="B545" t="inlineStr">
        <is>
          <t>Etapa 1</t>
        </is>
      </c>
      <c r="C545" t="inlineStr">
        <is>
          <t>Edificio</t>
        </is>
      </c>
      <c r="D545" t="inlineStr">
        <is>
          <t>A</t>
        </is>
      </c>
      <c r="E545" t="inlineStr">
        <is>
          <t>Estacionamiento</t>
        </is>
      </c>
      <c r="F545" t="inlineStr">
        <is>
          <t>E 09 - D 06</t>
        </is>
      </c>
      <c r="G545" t="n">
        <v>12.5</v>
      </c>
      <c r="H545" t="n">
        <v>1.83</v>
      </c>
      <c r="I545" s="39" t="n">
        <v>52000</v>
      </c>
      <c r="J545" s="39" t="n">
        <v>52000</v>
      </c>
      <c r="Q545" s="39" t="n"/>
      <c r="R545" s="39" t="n"/>
      <c r="Y545" s="39" t="n"/>
      <c r="Z545" s="39" t="n"/>
      <c r="AG545" s="39" t="n"/>
      <c r="AH545" s="39" t="n"/>
      <c r="AI545" t="inlineStr">
        <is>
          <t>Karina Cabanillas Correa</t>
        </is>
      </c>
      <c r="AJ545" t="inlineStr">
        <is>
          <t>40065933</t>
        </is>
      </c>
      <c r="AK545" t="inlineStr">
        <is>
          <t xml:space="preserve">Jr. Huiracocha 1639 Dpto. 1503 </t>
        </is>
      </c>
      <c r="AL545" t="n">
        <v>0</v>
      </c>
      <c r="AM545" t="inlineStr">
        <is>
          <t>970096822</t>
        </is>
      </c>
      <c r="AN545" t="inlineStr">
        <is>
          <t>karicab13@gmail.com</t>
        </is>
      </c>
      <c r="AO545" t="inlineStr">
        <is>
          <t>LIMA</t>
        </is>
      </c>
      <c r="AP545" t="inlineStr">
        <is>
          <t>JESUS MARIA</t>
        </is>
      </c>
      <c r="AQ545" s="75" t="n">
        <v>46234</v>
      </c>
      <c r="AR545" s="75" t="n"/>
      <c r="AS545" t="inlineStr">
        <is>
          <t>SALDO FINANCIAR</t>
        </is>
      </c>
      <c r="AT545" t="n">
        <v>10</v>
      </c>
      <c r="AU545" t="n">
        <v>10000</v>
      </c>
      <c r="AV545" t="n">
        <v>0</v>
      </c>
      <c r="AW545" t="n">
        <v>0</v>
      </c>
      <c r="AX545" s="39" t="n">
        <v>10000</v>
      </c>
      <c r="AY545" s="39" t="n">
        <v>0</v>
      </c>
      <c r="AZ545" s="39" t="n">
        <v>10000</v>
      </c>
      <c r="BB545" t="inlineStr">
        <is>
          <t>Crédito Directo</t>
        </is>
      </c>
      <c r="BH545" t="inlineStr">
        <is>
          <t>No</t>
        </is>
      </c>
      <c r="BK545" t="inlineStr">
        <is>
          <t>VENCIDO</t>
        </is>
      </c>
      <c r="BV545" t="inlineStr">
        <is>
          <t>No</t>
        </is>
      </c>
      <c r="BW545" s="76" t="n">
        <v>45886.67847222222</v>
      </c>
      <c r="BX545" t="inlineStr">
        <is>
          <t>Carla Michue M</t>
        </is>
      </c>
      <c r="BZ545" t="n">
        <v>65</v>
      </c>
      <c r="CB545" t="n">
        <v>0</v>
      </c>
      <c r="CF545" t="inlineStr">
        <is>
          <t>Cobranzas_2026.csv</t>
        </is>
      </c>
      <c r="CG545" t="n">
        <v>2026</v>
      </c>
      <c r="CH545" t="inlineStr">
        <is>
          <t>01/01/2024</t>
        </is>
      </c>
      <c r="CI545" t="inlineStr">
        <is>
          <t>24/08/2031</t>
        </is>
      </c>
    </row>
    <row r="546">
      <c r="A546" t="inlineStr">
        <is>
          <t>RESIDENCIAL BEYOND</t>
        </is>
      </c>
      <c r="B546" t="inlineStr">
        <is>
          <t>Etapa 1</t>
        </is>
      </c>
      <c r="C546" t="inlineStr">
        <is>
          <t>Edificio</t>
        </is>
      </c>
      <c r="D546" t="inlineStr">
        <is>
          <t>A</t>
        </is>
      </c>
      <c r="E546" t="inlineStr">
        <is>
          <t>Departamento</t>
        </is>
      </c>
      <c r="F546" t="inlineStr">
        <is>
          <t>305</t>
        </is>
      </c>
      <c r="G546" t="n">
        <v>72</v>
      </c>
      <c r="H546" t="n">
        <v>0</v>
      </c>
      <c r="I546" s="39" t="n">
        <v>532100</v>
      </c>
      <c r="J546" s="39" t="n">
        <v>495000</v>
      </c>
      <c r="Q546" s="39" t="n"/>
      <c r="R546" s="39" t="n"/>
      <c r="Y546" s="39" t="n"/>
      <c r="Z546" s="39" t="n"/>
      <c r="AG546" s="39" t="n"/>
      <c r="AH546" s="39" t="n"/>
      <c r="AI546" t="inlineStr">
        <is>
          <t>Karla Ivette Necochea Lopezv</t>
        </is>
      </c>
      <c r="AJ546" t="inlineStr">
        <is>
          <t>71128732</t>
        </is>
      </c>
      <c r="AK546" t="inlineStr">
        <is>
          <t>Av. Venezuela 1036 Dpto. 301</t>
        </is>
      </c>
      <c r="AL546" t="n">
        <v>0</v>
      </c>
      <c r="AM546" t="inlineStr">
        <is>
          <t>+19145079719</t>
        </is>
      </c>
      <c r="AN546" t="inlineStr">
        <is>
          <t>karlanecoche_lo@hotmail.com</t>
        </is>
      </c>
      <c r="AO546" t="inlineStr">
        <is>
          <t>LIMA</t>
        </is>
      </c>
      <c r="AP546" t="inlineStr">
        <is>
          <t>BREÑA</t>
        </is>
      </c>
      <c r="AQ546" s="75" t="n">
        <v>46135</v>
      </c>
      <c r="AR546" s="75" t="n">
        <v>46135</v>
      </c>
      <c r="AS546" t="inlineStr">
        <is>
          <t>SEPARACION</t>
        </is>
      </c>
      <c r="AT546" t="n">
        <v>1</v>
      </c>
      <c r="AU546" t="n">
        <v>3000</v>
      </c>
      <c r="AV546" t="n">
        <v>0</v>
      </c>
      <c r="AW546" t="n">
        <v>0</v>
      </c>
      <c r="AX546" s="39" t="n">
        <v>3000</v>
      </c>
      <c r="AY546" s="39" t="n">
        <v>3000</v>
      </c>
      <c r="AZ546" s="39" t="n">
        <v>0</v>
      </c>
      <c r="BA546" t="n">
        <v>0</v>
      </c>
      <c r="BB546" t="inlineStr">
        <is>
          <t>Ahorro</t>
        </is>
      </c>
      <c r="BC546" t="inlineStr">
        <is>
          <t>Banco de Credito del Perú</t>
        </is>
      </c>
      <c r="BD546" t="inlineStr">
        <is>
          <t>194-7325779-0-65</t>
        </is>
      </c>
      <c r="BE546" t="inlineStr">
        <is>
          <t>TRANSFERENCIA BANCARIA</t>
        </is>
      </c>
      <c r="BG546" t="inlineStr">
        <is>
          <t>04157602</t>
        </is>
      </c>
      <c r="BH546" t="inlineStr">
        <is>
          <t>No</t>
        </is>
      </c>
      <c r="BJ546" t="n">
        <v>4</v>
      </c>
      <c r="BK546" t="inlineStr">
        <is>
          <t>CANCELADO</t>
        </is>
      </c>
      <c r="BV546" t="inlineStr">
        <is>
          <t>No</t>
        </is>
      </c>
      <c r="BW546" s="76" t="n">
        <v>46172.36041666667</v>
      </c>
      <c r="BX546" t="inlineStr">
        <is>
          <t>Magaly Guevara Perez</t>
        </is>
      </c>
      <c r="BZ546" t="n">
        <v>44</v>
      </c>
      <c r="CA546" t="inlineStr">
        <is>
          <t>01/05/2026 16:39</t>
        </is>
      </c>
      <c r="CB546" t="n">
        <v>0</v>
      </c>
      <c r="CF546" t="inlineStr">
        <is>
          <t>Cobranzas_2026.csv</t>
        </is>
      </c>
      <c r="CG546" t="n">
        <v>2026</v>
      </c>
      <c r="CH546" t="inlineStr">
        <is>
          <t>01/01/2024</t>
        </is>
      </c>
      <c r="CI546" t="inlineStr">
        <is>
          <t>24/08/2031</t>
        </is>
      </c>
    </row>
    <row r="547">
      <c r="A547" t="inlineStr">
        <is>
          <t>RESIDENCIAL BEYOND</t>
        </is>
      </c>
      <c r="B547" t="inlineStr">
        <is>
          <t>Etapa 1</t>
        </is>
      </c>
      <c r="C547" t="inlineStr">
        <is>
          <t>Edificio</t>
        </is>
      </c>
      <c r="D547" t="inlineStr">
        <is>
          <t>A</t>
        </is>
      </c>
      <c r="E547" t="inlineStr">
        <is>
          <t>Departamento</t>
        </is>
      </c>
      <c r="F547" t="inlineStr">
        <is>
          <t>305</t>
        </is>
      </c>
      <c r="G547" t="n">
        <v>72</v>
      </c>
      <c r="H547" t="n">
        <v>0</v>
      </c>
      <c r="I547" s="39" t="n">
        <v>532100</v>
      </c>
      <c r="J547" s="39" t="n">
        <v>495000</v>
      </c>
      <c r="Q547" s="39" t="n"/>
      <c r="R547" s="39" t="n"/>
      <c r="Y547" s="39" t="n"/>
      <c r="Z547" s="39" t="n"/>
      <c r="AG547" s="39" t="n"/>
      <c r="AH547" s="39" t="n"/>
      <c r="AI547" t="inlineStr">
        <is>
          <t>Karla Ivette Necochea Lopezv</t>
        </is>
      </c>
      <c r="AJ547" t="inlineStr">
        <is>
          <t>71128732</t>
        </is>
      </c>
      <c r="AK547" t="inlineStr">
        <is>
          <t>Av. Venezuela 1036 Dpto. 301</t>
        </is>
      </c>
      <c r="AL547" t="n">
        <v>0</v>
      </c>
      <c r="AM547" t="inlineStr">
        <is>
          <t>+19145079719</t>
        </is>
      </c>
      <c r="AN547" t="inlineStr">
        <is>
          <t>karlanecoche_lo@hotmail.com</t>
        </is>
      </c>
      <c r="AO547" t="inlineStr">
        <is>
          <t>LIMA</t>
        </is>
      </c>
      <c r="AP547" t="inlineStr">
        <is>
          <t>BREÑA</t>
        </is>
      </c>
      <c r="AQ547" s="75" t="n">
        <v>46172</v>
      </c>
      <c r="AR547" s="75" t="n">
        <v>46172</v>
      </c>
      <c r="AS547" t="inlineStr">
        <is>
          <t>CUOTA INICIAL</t>
        </is>
      </c>
      <c r="AT547" t="n">
        <v>1</v>
      </c>
      <c r="AU547" t="n">
        <v>45880</v>
      </c>
      <c r="AV547" t="n">
        <v>0</v>
      </c>
      <c r="AW547" t="n">
        <v>0</v>
      </c>
      <c r="AX547" s="39" t="n">
        <v>45880</v>
      </c>
      <c r="AY547" s="39" t="n">
        <v>45880</v>
      </c>
      <c r="AZ547" s="39" t="n">
        <v>0</v>
      </c>
      <c r="BA547" t="n">
        <v>0</v>
      </c>
      <c r="BB547" t="inlineStr">
        <is>
          <t>Ahorro</t>
        </is>
      </c>
      <c r="BC547" t="inlineStr">
        <is>
          <t>Banco de Credito del Perú</t>
        </is>
      </c>
      <c r="BD547" t="inlineStr">
        <is>
          <t>194-7325779-0-65</t>
        </is>
      </c>
      <c r="BE547" t="inlineStr">
        <is>
          <t>TRANSFERENCIA BANCARIA</t>
        </is>
      </c>
      <c r="BG547" t="inlineStr">
        <is>
          <t>0534345</t>
        </is>
      </c>
      <c r="BH547" t="inlineStr">
        <is>
          <t>No</t>
        </is>
      </c>
      <c r="BJ547" t="n">
        <v>4</v>
      </c>
      <c r="BK547" t="inlineStr">
        <is>
          <t>CANCELADO</t>
        </is>
      </c>
      <c r="BV547" t="inlineStr">
        <is>
          <t>Si</t>
        </is>
      </c>
      <c r="BW547" s="76" t="n">
        <v>46172.36041666667</v>
      </c>
      <c r="BX547" t="inlineStr">
        <is>
          <t>Magaly Guevara Perez</t>
        </is>
      </c>
      <c r="BZ547" t="n">
        <v>44</v>
      </c>
      <c r="CA547" t="inlineStr">
        <is>
          <t>14/08/2026 10:25</t>
        </is>
      </c>
      <c r="CB547" t="n">
        <v>0</v>
      </c>
      <c r="CF547" t="inlineStr">
        <is>
          <t>Cobranzas_2026.csv</t>
        </is>
      </c>
      <c r="CG547" t="n">
        <v>2026</v>
      </c>
      <c r="CH547" t="inlineStr">
        <is>
          <t>01/01/2024</t>
        </is>
      </c>
      <c r="CI547" t="inlineStr">
        <is>
          <t>24/08/2031</t>
        </is>
      </c>
    </row>
    <row r="548">
      <c r="A548" t="inlineStr">
        <is>
          <t>RESIDENCIAL BEYOND</t>
        </is>
      </c>
      <c r="B548" t="inlineStr">
        <is>
          <t>Etapa 1</t>
        </is>
      </c>
      <c r="C548" t="inlineStr">
        <is>
          <t>Edificio</t>
        </is>
      </c>
      <c r="D548" t="inlineStr">
        <is>
          <t>A</t>
        </is>
      </c>
      <c r="E548" t="inlineStr">
        <is>
          <t>Departamento</t>
        </is>
      </c>
      <c r="F548" t="inlineStr">
        <is>
          <t>305</t>
        </is>
      </c>
      <c r="G548" t="n">
        <v>72</v>
      </c>
      <c r="H548" t="n">
        <v>0</v>
      </c>
      <c r="I548" s="39" t="n">
        <v>532100</v>
      </c>
      <c r="J548" s="39" t="n">
        <v>495000</v>
      </c>
      <c r="Q548" s="39" t="n"/>
      <c r="R548" s="39" t="n"/>
      <c r="Y548" s="39" t="n"/>
      <c r="Z548" s="39" t="n"/>
      <c r="AG548" s="39" t="n"/>
      <c r="AH548" s="39" t="n"/>
      <c r="AI548" t="inlineStr">
        <is>
          <t>Karla Ivette Necochea Lopezv</t>
        </is>
      </c>
      <c r="AJ548" t="inlineStr">
        <is>
          <t>71128732</t>
        </is>
      </c>
      <c r="AK548" t="inlineStr">
        <is>
          <t>Av. Venezuela 1036 Dpto. 301</t>
        </is>
      </c>
      <c r="AL548" t="n">
        <v>0</v>
      </c>
      <c r="AM548" t="inlineStr">
        <is>
          <t>+19145079719</t>
        </is>
      </c>
      <c r="AN548" t="inlineStr">
        <is>
          <t>karlanecoche_lo@hotmail.com</t>
        </is>
      </c>
      <c r="AO548" t="inlineStr">
        <is>
          <t>LIMA</t>
        </is>
      </c>
      <c r="AP548" t="inlineStr">
        <is>
          <t>BREÑA</t>
        </is>
      </c>
      <c r="AQ548" s="75" t="n">
        <v>46325</v>
      </c>
      <c r="AR548" s="75" t="n"/>
      <c r="AS548" t="inlineStr">
        <is>
          <t>CUOTA INICIAL</t>
        </is>
      </c>
      <c r="AT548" t="n">
        <v>2</v>
      </c>
      <c r="AU548" t="n">
        <v>48880</v>
      </c>
      <c r="AV548" t="n">
        <v>0</v>
      </c>
      <c r="AW548" t="n">
        <v>0</v>
      </c>
      <c r="AX548" s="39" t="n">
        <v>48880</v>
      </c>
      <c r="AY548" s="39" t="n">
        <v>0</v>
      </c>
      <c r="AZ548" s="39" t="n">
        <v>48880</v>
      </c>
      <c r="BB548" t="inlineStr">
        <is>
          <t>Ahorro</t>
        </is>
      </c>
      <c r="BH548" t="inlineStr">
        <is>
          <t>No</t>
        </is>
      </c>
      <c r="BK548" t="inlineStr">
        <is>
          <t>PENDIENTE</t>
        </is>
      </c>
      <c r="BV548" t="inlineStr">
        <is>
          <t>No</t>
        </is>
      </c>
      <c r="BW548" s="76" t="n">
        <v>46172.36041666667</v>
      </c>
      <c r="BX548" t="inlineStr">
        <is>
          <t>Magaly Guevara Perez</t>
        </is>
      </c>
      <c r="BZ548" t="n">
        <v>44</v>
      </c>
      <c r="CB548" t="n">
        <v>0</v>
      </c>
      <c r="CF548" t="inlineStr">
        <is>
          <t>Cobranzas_2026.csv</t>
        </is>
      </c>
      <c r="CG548" t="n">
        <v>2026</v>
      </c>
      <c r="CH548" t="inlineStr">
        <is>
          <t>01/01/2024</t>
        </is>
      </c>
      <c r="CI548" t="inlineStr">
        <is>
          <t>24/08/2031</t>
        </is>
      </c>
    </row>
    <row r="549">
      <c r="A549" t="inlineStr">
        <is>
          <t>RESIDENCIAL BEYOND</t>
        </is>
      </c>
      <c r="B549" t="inlineStr">
        <is>
          <t>Etapa 1</t>
        </is>
      </c>
      <c r="C549" t="inlineStr">
        <is>
          <t>Edificio</t>
        </is>
      </c>
      <c r="D549" t="inlineStr">
        <is>
          <t>A</t>
        </is>
      </c>
      <c r="E549" t="inlineStr">
        <is>
          <t>Departamento</t>
        </is>
      </c>
      <c r="F549" t="inlineStr">
        <is>
          <t>305</t>
        </is>
      </c>
      <c r="G549" t="n">
        <v>72</v>
      </c>
      <c r="H549" t="n">
        <v>0</v>
      </c>
      <c r="I549" s="39" t="n">
        <v>532100</v>
      </c>
      <c r="J549" s="39" t="n">
        <v>495000</v>
      </c>
      <c r="Q549" s="39" t="n"/>
      <c r="R549" s="39" t="n"/>
      <c r="Y549" s="39" t="n"/>
      <c r="Z549" s="39" t="n"/>
      <c r="AG549" s="39" t="n"/>
      <c r="AH549" s="39" t="n"/>
      <c r="AI549" t="inlineStr">
        <is>
          <t>Karla Ivette Necochea Lopezv</t>
        </is>
      </c>
      <c r="AJ549" t="inlineStr">
        <is>
          <t>71128732</t>
        </is>
      </c>
      <c r="AK549" t="inlineStr">
        <is>
          <t>Av. Venezuela 1036 Dpto. 301</t>
        </is>
      </c>
      <c r="AL549" t="n">
        <v>0</v>
      </c>
      <c r="AM549" t="inlineStr">
        <is>
          <t>+19145079719</t>
        </is>
      </c>
      <c r="AN549" t="inlineStr">
        <is>
          <t>karlanecoche_lo@hotmail.com</t>
        </is>
      </c>
      <c r="AO549" t="inlineStr">
        <is>
          <t>LIMA</t>
        </is>
      </c>
      <c r="AP549" t="inlineStr">
        <is>
          <t>BREÑA</t>
        </is>
      </c>
      <c r="AQ549" s="75" t="n">
        <v>46188</v>
      </c>
      <c r="AR549" s="75" t="n"/>
      <c r="AS549" t="inlineStr">
        <is>
          <t>SALDO FINANCIAR</t>
        </is>
      </c>
      <c r="AT549" t="n">
        <v>1</v>
      </c>
      <c r="AU549" t="n">
        <v>198620</v>
      </c>
      <c r="AV549" t="n">
        <v>0</v>
      </c>
      <c r="AW549" t="n">
        <v>0</v>
      </c>
      <c r="AX549" s="39" t="n">
        <v>198620</v>
      </c>
      <c r="AY549" s="39" t="n">
        <v>0</v>
      </c>
      <c r="AZ549" s="39" t="n">
        <v>198620</v>
      </c>
      <c r="BB549" t="inlineStr">
        <is>
          <t>Ahorro</t>
        </is>
      </c>
      <c r="BH549" t="inlineStr">
        <is>
          <t>No</t>
        </is>
      </c>
      <c r="BK549" t="inlineStr">
        <is>
          <t>VENCIDO</t>
        </is>
      </c>
      <c r="BV549" t="inlineStr">
        <is>
          <t>No</t>
        </is>
      </c>
      <c r="BW549" s="76" t="n">
        <v>46172.36041666667</v>
      </c>
      <c r="BX549" t="inlineStr">
        <is>
          <t>Magaly Guevara Perez</t>
        </is>
      </c>
      <c r="BZ549" t="n">
        <v>44</v>
      </c>
      <c r="CB549" t="n">
        <v>0</v>
      </c>
      <c r="CF549" t="inlineStr">
        <is>
          <t>Cobranzas_2026.csv</t>
        </is>
      </c>
      <c r="CG549" t="n">
        <v>2026</v>
      </c>
      <c r="CH549" t="inlineStr">
        <is>
          <t>01/01/2024</t>
        </is>
      </c>
      <c r="CI549" t="inlineStr">
        <is>
          <t>24/08/2031</t>
        </is>
      </c>
    </row>
    <row r="550">
      <c r="A550" t="inlineStr">
        <is>
          <t>RESIDENCIAL BEYOND</t>
        </is>
      </c>
      <c r="B550" t="inlineStr">
        <is>
          <t>Etapa 1</t>
        </is>
      </c>
      <c r="C550" t="inlineStr">
        <is>
          <t>Edificio</t>
        </is>
      </c>
      <c r="D550" t="inlineStr">
        <is>
          <t>A</t>
        </is>
      </c>
      <c r="E550" t="inlineStr">
        <is>
          <t>Departamento</t>
        </is>
      </c>
      <c r="F550" t="inlineStr">
        <is>
          <t>305</t>
        </is>
      </c>
      <c r="G550" t="n">
        <v>72</v>
      </c>
      <c r="H550" t="n">
        <v>0</v>
      </c>
      <c r="I550" s="39" t="n">
        <v>532100</v>
      </c>
      <c r="J550" s="39" t="n">
        <v>495000</v>
      </c>
      <c r="Q550" s="39" t="n"/>
      <c r="R550" s="39" t="n"/>
      <c r="Y550" s="39" t="n"/>
      <c r="Z550" s="39" t="n"/>
      <c r="AG550" s="39" t="n"/>
      <c r="AH550" s="39" t="n"/>
      <c r="AI550" t="inlineStr">
        <is>
          <t>Karla Ivette Necochea Lopezv</t>
        </is>
      </c>
      <c r="AJ550" t="inlineStr">
        <is>
          <t>71128732</t>
        </is>
      </c>
      <c r="AK550" t="inlineStr">
        <is>
          <t>Av. Venezuela 1036 Dpto. 301</t>
        </is>
      </c>
      <c r="AL550" t="n">
        <v>0</v>
      </c>
      <c r="AM550" t="inlineStr">
        <is>
          <t>+19145079719</t>
        </is>
      </c>
      <c r="AN550" t="inlineStr">
        <is>
          <t>karlanecoche_lo@hotmail.com</t>
        </is>
      </c>
      <c r="AO550" t="inlineStr">
        <is>
          <t>LIMA</t>
        </is>
      </c>
      <c r="AP550" t="inlineStr">
        <is>
          <t>BREÑA</t>
        </is>
      </c>
      <c r="AQ550" s="75" t="n">
        <v>46386</v>
      </c>
      <c r="AR550" s="75" t="n"/>
      <c r="AS550" t="inlineStr">
        <is>
          <t>SALDO FINANCIAR</t>
        </is>
      </c>
      <c r="AT550" t="n">
        <v>2</v>
      </c>
      <c r="AU550" t="n">
        <v>198620</v>
      </c>
      <c r="AV550" t="n">
        <v>0</v>
      </c>
      <c r="AW550" t="n">
        <v>0</v>
      </c>
      <c r="AX550" s="39" t="n">
        <v>198620</v>
      </c>
      <c r="AY550" s="39" t="n">
        <v>0</v>
      </c>
      <c r="AZ550" s="39" t="n">
        <v>198620</v>
      </c>
      <c r="BB550" t="inlineStr">
        <is>
          <t>Ahorro</t>
        </is>
      </c>
      <c r="BH550" t="inlineStr">
        <is>
          <t>No</t>
        </is>
      </c>
      <c r="BK550" t="inlineStr">
        <is>
          <t>PENDIENTE</t>
        </is>
      </c>
      <c r="BV550" t="inlineStr">
        <is>
          <t>No</t>
        </is>
      </c>
      <c r="BW550" s="76" t="n">
        <v>46172.36041666667</v>
      </c>
      <c r="BX550" t="inlineStr">
        <is>
          <t>Magaly Guevara Perez</t>
        </is>
      </c>
      <c r="BZ550" t="n">
        <v>44</v>
      </c>
      <c r="CB550" t="n">
        <v>0</v>
      </c>
      <c r="CF550" t="inlineStr">
        <is>
          <t>Cobranzas_2026.csv</t>
        </is>
      </c>
      <c r="CG550" t="n">
        <v>2026</v>
      </c>
      <c r="CH550" t="inlineStr">
        <is>
          <t>01/01/2024</t>
        </is>
      </c>
      <c r="CI550" t="inlineStr">
        <is>
          <t>24/08/2031</t>
        </is>
      </c>
    </row>
    <row r="551">
      <c r="A551" t="inlineStr">
        <is>
          <t>RESIDENCIAL BEYOND</t>
        </is>
      </c>
      <c r="B551" t="inlineStr">
        <is>
          <t>Etapa 1</t>
        </is>
      </c>
      <c r="C551" t="inlineStr">
        <is>
          <t>Edificio</t>
        </is>
      </c>
      <c r="D551" t="inlineStr">
        <is>
          <t>A</t>
        </is>
      </c>
      <c r="E551" t="inlineStr">
        <is>
          <t>Departamento</t>
        </is>
      </c>
      <c r="F551" t="inlineStr">
        <is>
          <t>303</t>
        </is>
      </c>
      <c r="G551" t="n">
        <v>68</v>
      </c>
      <c r="H551" t="n">
        <v>0</v>
      </c>
      <c r="I551" s="39" t="n">
        <v>504700</v>
      </c>
      <c r="J551" s="39" t="n">
        <v>458000</v>
      </c>
      <c r="Q551" s="39" t="n"/>
      <c r="R551" s="39" t="n"/>
      <c r="Y551" s="39" t="n"/>
      <c r="Z551" s="39" t="n"/>
      <c r="AG551" s="39" t="n"/>
      <c r="AH551" s="39" t="n"/>
      <c r="AI551" t="inlineStr">
        <is>
          <t>Leidy Lucero Espíritu Zabarburu</t>
        </is>
      </c>
      <c r="AJ551" t="inlineStr">
        <is>
          <t>76936857</t>
        </is>
      </c>
      <c r="AK551" t="inlineStr">
        <is>
          <t>Av. José Arnaldo Márquez Nº 1655 – Dpto.403</t>
        </is>
      </c>
      <c r="AL551" t="n">
        <v>0</v>
      </c>
      <c r="AM551" t="inlineStr">
        <is>
          <t>966435253</t>
        </is>
      </c>
      <c r="AN551" t="inlineStr">
        <is>
          <t>lespiritu@zgroup.com.pe</t>
        </is>
      </c>
      <c r="AO551" t="inlineStr">
        <is>
          <t>LIMA</t>
        </is>
      </c>
      <c r="AP551" t="inlineStr">
        <is>
          <t>JESUS MARIA</t>
        </is>
      </c>
      <c r="AQ551" s="75" t="n">
        <v>46057</v>
      </c>
      <c r="AR551" s="75" t="n">
        <v>46057</v>
      </c>
      <c r="AS551" t="inlineStr">
        <is>
          <t>CUOTA INICIAL</t>
        </is>
      </c>
      <c r="AT551" t="n">
        <v>1</v>
      </c>
      <c r="AU551" t="n">
        <v>19900</v>
      </c>
      <c r="AV551" t="n">
        <v>0</v>
      </c>
      <c r="AW551" t="n">
        <v>0</v>
      </c>
      <c r="AX551" s="39" t="n">
        <v>19900</v>
      </c>
      <c r="AY551" s="39" t="n">
        <v>19900</v>
      </c>
      <c r="AZ551" s="39" t="n">
        <v>0</v>
      </c>
      <c r="BA551" t="n">
        <v>0</v>
      </c>
      <c r="BB551" t="inlineStr">
        <is>
          <t>Ahorro</t>
        </is>
      </c>
      <c r="BC551" t="inlineStr">
        <is>
          <t>Banco de Credito del Perú</t>
        </is>
      </c>
      <c r="BD551" t="inlineStr">
        <is>
          <t>194-7325779-0-65</t>
        </is>
      </c>
      <c r="BE551" t="inlineStr">
        <is>
          <t>TRANSFERENCIA BANCARIA</t>
        </is>
      </c>
      <c r="BG551" t="inlineStr">
        <is>
          <t>03009075</t>
        </is>
      </c>
      <c r="BH551" t="inlineStr">
        <is>
          <t>No</t>
        </is>
      </c>
      <c r="BJ551" t="n">
        <v>4</v>
      </c>
      <c r="BK551" t="inlineStr">
        <is>
          <t>CANCELADO</t>
        </is>
      </c>
      <c r="BV551" t="inlineStr">
        <is>
          <t>Si</t>
        </is>
      </c>
      <c r="BW551" s="76" t="n">
        <v>46057.42013888889</v>
      </c>
      <c r="BX551" t="inlineStr">
        <is>
          <t>Magaly Guevara Perez</t>
        </is>
      </c>
      <c r="BZ551" t="n">
        <v>25</v>
      </c>
      <c r="CA551" t="inlineStr">
        <is>
          <t>12/08/2026 17:56</t>
        </is>
      </c>
      <c r="CB551" t="n">
        <v>0</v>
      </c>
      <c r="CF551" t="inlineStr">
        <is>
          <t>Cobranzas_2026.csv</t>
        </is>
      </c>
      <c r="CG551" t="n">
        <v>2026</v>
      </c>
      <c r="CH551" t="inlineStr">
        <is>
          <t>01/01/2024</t>
        </is>
      </c>
      <c r="CI551" t="inlineStr">
        <is>
          <t>24/08/2031</t>
        </is>
      </c>
    </row>
    <row r="552">
      <c r="A552" t="inlineStr">
        <is>
          <t>RESIDENCIAL BEYOND</t>
        </is>
      </c>
      <c r="B552" t="inlineStr">
        <is>
          <t>Etapa 1</t>
        </is>
      </c>
      <c r="C552" t="inlineStr">
        <is>
          <t>Edificio</t>
        </is>
      </c>
      <c r="D552" t="inlineStr">
        <is>
          <t>A</t>
        </is>
      </c>
      <c r="E552" t="inlineStr">
        <is>
          <t>Departamento</t>
        </is>
      </c>
      <c r="F552" t="inlineStr">
        <is>
          <t>303</t>
        </is>
      </c>
      <c r="G552" t="n">
        <v>68</v>
      </c>
      <c r="H552" t="n">
        <v>0</v>
      </c>
      <c r="I552" s="39" t="n">
        <v>504700</v>
      </c>
      <c r="J552" s="39" t="n">
        <v>458000</v>
      </c>
      <c r="Q552" s="39" t="n"/>
      <c r="R552" s="39" t="n"/>
      <c r="Y552" s="39" t="n"/>
      <c r="Z552" s="39" t="n"/>
      <c r="AG552" s="39" t="n"/>
      <c r="AH552" s="39" t="n"/>
      <c r="AI552" t="inlineStr">
        <is>
          <t>Leidy Lucero Espíritu Zabarburu</t>
        </is>
      </c>
      <c r="AJ552" t="inlineStr">
        <is>
          <t>76936857</t>
        </is>
      </c>
      <c r="AK552" t="inlineStr">
        <is>
          <t>Av. José Arnaldo Márquez Nº 1655 – Dpto.403</t>
        </is>
      </c>
      <c r="AL552" t="n">
        <v>0</v>
      </c>
      <c r="AM552" t="inlineStr">
        <is>
          <t>966435253</t>
        </is>
      </c>
      <c r="AN552" t="inlineStr">
        <is>
          <t>lespiritu@zgroup.com.pe</t>
        </is>
      </c>
      <c r="AO552" t="inlineStr">
        <is>
          <t>LIMA</t>
        </is>
      </c>
      <c r="AP552" t="inlineStr">
        <is>
          <t>JESUS MARIA</t>
        </is>
      </c>
      <c r="AQ552" s="75" t="n">
        <v>46189</v>
      </c>
      <c r="AR552" s="75" t="n"/>
      <c r="AS552" t="inlineStr">
        <is>
          <t>CUOTA INICIAL</t>
        </is>
      </c>
      <c r="AT552" t="n">
        <v>2</v>
      </c>
      <c r="AU552" t="n">
        <v>45800</v>
      </c>
      <c r="AV552" t="n">
        <v>0</v>
      </c>
      <c r="AW552" t="n">
        <v>0</v>
      </c>
      <c r="AX552" s="39" t="n">
        <v>45800</v>
      </c>
      <c r="AY552" s="39" t="n">
        <v>0</v>
      </c>
      <c r="AZ552" s="39" t="n">
        <v>45800</v>
      </c>
      <c r="BB552" t="inlineStr">
        <is>
          <t>Ahorro</t>
        </is>
      </c>
      <c r="BH552" t="inlineStr">
        <is>
          <t>No</t>
        </is>
      </c>
      <c r="BK552" t="inlineStr">
        <is>
          <t>VENCIDO</t>
        </is>
      </c>
      <c r="BV552" t="inlineStr">
        <is>
          <t>No</t>
        </is>
      </c>
      <c r="BW552" s="76" t="n">
        <v>46057.42013888889</v>
      </c>
      <c r="BX552" t="inlineStr">
        <is>
          <t>Magaly Guevara Perez</t>
        </is>
      </c>
      <c r="BZ552" t="n">
        <v>25</v>
      </c>
      <c r="CB552" t="n">
        <v>0</v>
      </c>
      <c r="CF552" t="inlineStr">
        <is>
          <t>Cobranzas_2026.csv</t>
        </is>
      </c>
      <c r="CG552" t="n">
        <v>2026</v>
      </c>
      <c r="CH552" t="inlineStr">
        <is>
          <t>01/01/2024</t>
        </is>
      </c>
      <c r="CI552" t="inlineStr">
        <is>
          <t>24/08/2031</t>
        </is>
      </c>
    </row>
    <row r="553">
      <c r="A553" t="inlineStr">
        <is>
          <t>RESIDENCIAL BEYOND</t>
        </is>
      </c>
      <c r="B553" t="inlineStr">
        <is>
          <t>Etapa 1</t>
        </is>
      </c>
      <c r="C553" t="inlineStr">
        <is>
          <t>Edificio</t>
        </is>
      </c>
      <c r="D553" t="inlineStr">
        <is>
          <t>A</t>
        </is>
      </c>
      <c r="E553" t="inlineStr">
        <is>
          <t>Departamento</t>
        </is>
      </c>
      <c r="F553" t="inlineStr">
        <is>
          <t>303</t>
        </is>
      </c>
      <c r="G553" t="n">
        <v>68</v>
      </c>
      <c r="H553" t="n">
        <v>0</v>
      </c>
      <c r="I553" s="39" t="n">
        <v>504700</v>
      </c>
      <c r="J553" s="39" t="n">
        <v>458000</v>
      </c>
      <c r="Q553" s="39" t="n"/>
      <c r="R553" s="39" t="n"/>
      <c r="Y553" s="39" t="n"/>
      <c r="Z553" s="39" t="n"/>
      <c r="AG553" s="39" t="n"/>
      <c r="AH553" s="39" t="n"/>
      <c r="AI553" t="inlineStr">
        <is>
          <t>Leidy Lucero Espíritu Zabarburu</t>
        </is>
      </c>
      <c r="AJ553" t="inlineStr">
        <is>
          <t>76936857</t>
        </is>
      </c>
      <c r="AK553" t="inlineStr">
        <is>
          <t>Av. José Arnaldo Márquez Nº 1655 – Dpto.403</t>
        </is>
      </c>
      <c r="AL553" t="n">
        <v>0</v>
      </c>
      <c r="AM553" t="inlineStr">
        <is>
          <t>966435253</t>
        </is>
      </c>
      <c r="AN553" t="inlineStr">
        <is>
          <t>lespiritu@zgroup.com.pe</t>
        </is>
      </c>
      <c r="AO553" t="inlineStr">
        <is>
          <t>LIMA</t>
        </is>
      </c>
      <c r="AP553" t="inlineStr">
        <is>
          <t>JESUS MARIA</t>
        </is>
      </c>
      <c r="AQ553" s="75" t="n">
        <v>46234</v>
      </c>
      <c r="AR553" s="75" t="n"/>
      <c r="AS553" t="inlineStr">
        <is>
          <t>SALDO FINANCIAR</t>
        </is>
      </c>
      <c r="AT553" t="n">
        <v>1</v>
      </c>
      <c r="AU553" t="n">
        <v>389300</v>
      </c>
      <c r="AV553" t="n">
        <v>0</v>
      </c>
      <c r="AW553" t="n">
        <v>0</v>
      </c>
      <c r="AX553" s="39" t="n">
        <v>389300</v>
      </c>
      <c r="AY553" s="39" t="n">
        <v>0</v>
      </c>
      <c r="AZ553" s="39" t="n">
        <v>389300</v>
      </c>
      <c r="BB553" t="inlineStr">
        <is>
          <t>Ahorro</t>
        </is>
      </c>
      <c r="BH553" t="inlineStr">
        <is>
          <t>No</t>
        </is>
      </c>
      <c r="BK553" t="inlineStr">
        <is>
          <t>VENCIDO</t>
        </is>
      </c>
      <c r="BV553" t="inlineStr">
        <is>
          <t>No</t>
        </is>
      </c>
      <c r="BW553" s="76" t="n">
        <v>46057.42013888889</v>
      </c>
      <c r="BX553" t="inlineStr">
        <is>
          <t>Magaly Guevara Perez</t>
        </is>
      </c>
      <c r="BZ553" t="n">
        <v>25</v>
      </c>
      <c r="CB553" t="n">
        <v>0</v>
      </c>
      <c r="CF553" t="inlineStr">
        <is>
          <t>Cobranzas_2026.csv</t>
        </is>
      </c>
      <c r="CG553" t="n">
        <v>2026</v>
      </c>
      <c r="CH553" t="inlineStr">
        <is>
          <t>01/01/2024</t>
        </is>
      </c>
      <c r="CI553" t="inlineStr">
        <is>
          <t>24/08/2031</t>
        </is>
      </c>
    </row>
    <row r="554">
      <c r="A554" t="inlineStr">
        <is>
          <t>RESIDENCIAL VENECIA</t>
        </is>
      </c>
      <c r="B554" t="inlineStr">
        <is>
          <t>Etapa 1</t>
        </is>
      </c>
      <c r="C554" t="inlineStr">
        <is>
          <t>Edificio</t>
        </is>
      </c>
      <c r="D554" t="inlineStr">
        <is>
          <t>A</t>
        </is>
      </c>
      <c r="E554" t="inlineStr">
        <is>
          <t>Departamento</t>
        </is>
      </c>
      <c r="F554" t="inlineStr">
        <is>
          <t>301</t>
        </is>
      </c>
      <c r="G554" t="n">
        <v>78</v>
      </c>
      <c r="H554" t="n">
        <v>0</v>
      </c>
      <c r="I554" s="39" t="n">
        <v>534000</v>
      </c>
      <c r="J554" s="39" t="n">
        <v>534000</v>
      </c>
      <c r="K554" t="inlineStr">
        <is>
          <t>Edificio</t>
        </is>
      </c>
      <c r="L554" t="inlineStr">
        <is>
          <t>A</t>
        </is>
      </c>
      <c r="M554" t="inlineStr">
        <is>
          <t>Estacionamiento</t>
        </is>
      </c>
      <c r="N554" t="inlineStr">
        <is>
          <t>E 17</t>
        </is>
      </c>
      <c r="O554" t="n">
        <v>12</v>
      </c>
      <c r="P554" t="n">
        <v>0</v>
      </c>
      <c r="Q554" s="39" t="n">
        <v>43000</v>
      </c>
      <c r="R554" s="39" t="n">
        <v>43000</v>
      </c>
      <c r="Y554" s="39" t="n"/>
      <c r="Z554" s="39" t="n"/>
      <c r="AG554" s="39" t="n"/>
      <c r="AH554" s="39" t="n"/>
      <c r="AI554" t="inlineStr">
        <is>
          <t>Leidy Pilar Espinoza Mariño</t>
        </is>
      </c>
      <c r="AJ554" t="inlineStr">
        <is>
          <t>46546054</t>
        </is>
      </c>
      <c r="AK554" t="inlineStr">
        <is>
          <t>LAS AZUCENAS LT-34 MZ-F- HUMAYA</t>
        </is>
      </c>
      <c r="AL554" t="n">
        <v>0</v>
      </c>
      <c r="AM554" t="inlineStr">
        <is>
          <t>945411554</t>
        </is>
      </c>
      <c r="AN554" t="inlineStr">
        <is>
          <t>leidyespinoza30@gmail.com</t>
        </is>
      </c>
      <c r="AO554" t="inlineStr">
        <is>
          <t>HUAURA</t>
        </is>
      </c>
      <c r="AP554" t="inlineStr">
        <is>
          <t>HUAURA</t>
        </is>
      </c>
      <c r="AQ554" s="75" t="n">
        <v>46053</v>
      </c>
      <c r="AR554" s="75" t="n">
        <v>46105</v>
      </c>
      <c r="AS554" t="inlineStr">
        <is>
          <t>AHORRO CASA</t>
        </is>
      </c>
      <c r="AT554" t="n">
        <v>2</v>
      </c>
      <c r="AU554" t="n">
        <v>28850</v>
      </c>
      <c r="AV554" t="n">
        <v>0</v>
      </c>
      <c r="AW554" t="n">
        <v>0</v>
      </c>
      <c r="AX554" s="39" t="n">
        <v>28850</v>
      </c>
      <c r="AY554" s="39" t="n">
        <v>28850</v>
      </c>
      <c r="AZ554" s="39" t="n">
        <v>0</v>
      </c>
      <c r="BA554" t="n">
        <v>0</v>
      </c>
      <c r="BB554" t="inlineStr">
        <is>
          <t>Crédito Hipotecario</t>
        </is>
      </c>
      <c r="BC554" t="inlineStr">
        <is>
          <t>Scotiabank Perú</t>
        </is>
      </c>
      <c r="BD554" t="inlineStr">
        <is>
          <t>0004071419</t>
        </is>
      </c>
      <c r="BE554" t="inlineStr">
        <is>
          <t>TRANSFERENCIA BANCARIA</t>
        </is>
      </c>
      <c r="BF554" t="inlineStr">
        <is>
          <t>46546054</t>
        </is>
      </c>
      <c r="BG554" t="inlineStr">
        <is>
          <t>7844655508247</t>
        </is>
      </c>
      <c r="BH554" t="inlineStr">
        <is>
          <t>No</t>
        </is>
      </c>
      <c r="BJ554" t="n">
        <v>4</v>
      </c>
      <c r="BK554" t="inlineStr">
        <is>
          <t>CANCELADO</t>
        </is>
      </c>
      <c r="BV554" t="inlineStr">
        <is>
          <t>Si</t>
        </is>
      </c>
      <c r="BW554" s="76" t="n">
        <v>45922.33680555555</v>
      </c>
      <c r="BX554" t="inlineStr">
        <is>
          <t>Magaly Guevara Perez</t>
        </is>
      </c>
      <c r="BZ554" t="n">
        <v>5</v>
      </c>
      <c r="CA554" t="inlineStr">
        <is>
          <t>04/06/2026 08:34</t>
        </is>
      </c>
      <c r="CB554" t="n">
        <v>0</v>
      </c>
      <c r="CF554" t="inlineStr">
        <is>
          <t>Cobranzas_2026.csv</t>
        </is>
      </c>
      <c r="CG554" t="n">
        <v>2026</v>
      </c>
      <c r="CH554" t="inlineStr">
        <is>
          <t>01/01/2024</t>
        </is>
      </c>
      <c r="CI554" t="inlineStr">
        <is>
          <t>24/08/2031</t>
        </is>
      </c>
    </row>
    <row r="555">
      <c r="A555" t="inlineStr">
        <is>
          <t>RESIDENCIAL VENECIA</t>
        </is>
      </c>
      <c r="B555" t="inlineStr">
        <is>
          <t>Etapa 1</t>
        </is>
      </c>
      <c r="C555" t="inlineStr">
        <is>
          <t>Edificio</t>
        </is>
      </c>
      <c r="D555" t="inlineStr">
        <is>
          <t>A</t>
        </is>
      </c>
      <c r="E555" t="inlineStr">
        <is>
          <t>Departamento</t>
        </is>
      </c>
      <c r="F555" t="inlineStr">
        <is>
          <t>301</t>
        </is>
      </c>
      <c r="G555" t="n">
        <v>78</v>
      </c>
      <c r="H555" t="n">
        <v>0</v>
      </c>
      <c r="I555" s="39" t="n">
        <v>534000</v>
      </c>
      <c r="J555" s="39" t="n">
        <v>534000</v>
      </c>
      <c r="K555" t="inlineStr">
        <is>
          <t>Edificio</t>
        </is>
      </c>
      <c r="L555" t="inlineStr">
        <is>
          <t>A</t>
        </is>
      </c>
      <c r="M555" t="inlineStr">
        <is>
          <t>Estacionamiento</t>
        </is>
      </c>
      <c r="N555" t="inlineStr">
        <is>
          <t>E 17</t>
        </is>
      </c>
      <c r="O555" t="n">
        <v>12</v>
      </c>
      <c r="P555" t="n">
        <v>0</v>
      </c>
      <c r="Q555" s="39" t="n">
        <v>43000</v>
      </c>
      <c r="R555" s="39" t="n">
        <v>43000</v>
      </c>
      <c r="Y555" s="39" t="n"/>
      <c r="Z555" s="39" t="n"/>
      <c r="AG555" s="39" t="n"/>
      <c r="AH555" s="39" t="n"/>
      <c r="AI555" t="inlineStr">
        <is>
          <t>Leidy Pilar Espinoza Mariño</t>
        </is>
      </c>
      <c r="AJ555" t="inlineStr">
        <is>
          <t>46546054</t>
        </is>
      </c>
      <c r="AK555" t="inlineStr">
        <is>
          <t>LAS AZUCENAS LT-34 MZ-F- HUMAYA</t>
        </is>
      </c>
      <c r="AL555" t="n">
        <v>0</v>
      </c>
      <c r="AM555" t="inlineStr">
        <is>
          <t>945411554</t>
        </is>
      </c>
      <c r="AN555" t="inlineStr">
        <is>
          <t>leidyespinoza30@gmail.com</t>
        </is>
      </c>
      <c r="AO555" t="inlineStr">
        <is>
          <t>HUAURA</t>
        </is>
      </c>
      <c r="AP555" t="inlineStr">
        <is>
          <t>HUAURA</t>
        </is>
      </c>
      <c r="AQ555" s="75" t="n">
        <v>46203</v>
      </c>
      <c r="AR555" s="75" t="n">
        <v>46230</v>
      </c>
      <c r="AS555" t="inlineStr">
        <is>
          <t>SALDO FINANCIAR</t>
        </is>
      </c>
      <c r="AT555" t="n">
        <v>1</v>
      </c>
      <c r="AU555" t="n">
        <v>519300</v>
      </c>
      <c r="AV555" t="n">
        <v>0</v>
      </c>
      <c r="AW555" t="n">
        <v>0</v>
      </c>
      <c r="AX555" s="39" t="n">
        <v>519300</v>
      </c>
      <c r="AY555" s="39" t="n">
        <v>519300</v>
      </c>
      <c r="AZ555" s="39" t="n">
        <v>0</v>
      </c>
      <c r="BA555" t="n">
        <v>0</v>
      </c>
      <c r="BB555" t="inlineStr">
        <is>
          <t>Crédito Hipotecario</t>
        </is>
      </c>
      <c r="BC555" t="inlineStr">
        <is>
          <t>Scotiabank Perú</t>
        </is>
      </c>
      <c r="BD555" t="inlineStr">
        <is>
          <t>0004071419</t>
        </is>
      </c>
      <c r="BE555" t="inlineStr">
        <is>
          <t>TRANSFERENCIA BANCARIA</t>
        </is>
      </c>
      <c r="BG555" t="inlineStr">
        <is>
          <t>EB01-101</t>
        </is>
      </c>
      <c r="BH555" t="inlineStr">
        <is>
          <t>Si</t>
        </is>
      </c>
      <c r="BJ555" t="n">
        <v>4</v>
      </c>
      <c r="BK555" t="inlineStr">
        <is>
          <t>CANCELADO</t>
        </is>
      </c>
      <c r="BV555" t="inlineStr">
        <is>
          <t>Si</t>
        </is>
      </c>
      <c r="BW555" s="76" t="n">
        <v>45922.33680555555</v>
      </c>
      <c r="BX555" t="inlineStr">
        <is>
          <t>Magaly Guevara Perez</t>
        </is>
      </c>
      <c r="BZ555" t="n">
        <v>5</v>
      </c>
      <c r="CA555" t="inlineStr">
        <is>
          <t>27/07/2026 12:06</t>
        </is>
      </c>
      <c r="CB555" t="n">
        <v>0</v>
      </c>
      <c r="CF555" t="inlineStr">
        <is>
          <t>Cobranzas_2026.csv</t>
        </is>
      </c>
      <c r="CG555" t="n">
        <v>2026</v>
      </c>
      <c r="CH555" t="inlineStr">
        <is>
          <t>01/01/2024</t>
        </is>
      </c>
      <c r="CI555" t="inlineStr">
        <is>
          <t>24/08/2031</t>
        </is>
      </c>
    </row>
    <row r="556">
      <c r="A556" t="inlineStr">
        <is>
          <t>RESIDENCIAL PRADA</t>
        </is>
      </c>
      <c r="B556" t="inlineStr">
        <is>
          <t>Etapa 1</t>
        </is>
      </c>
      <c r="C556" t="inlineStr">
        <is>
          <t>Edificio</t>
        </is>
      </c>
      <c r="D556" t="inlineStr">
        <is>
          <t>A</t>
        </is>
      </c>
      <c r="E556" t="inlineStr">
        <is>
          <t>Departamento</t>
        </is>
      </c>
      <c r="F556" t="inlineStr">
        <is>
          <t>904</t>
        </is>
      </c>
      <c r="G556" t="n">
        <v>60.93</v>
      </c>
      <c r="H556" t="n">
        <v>0</v>
      </c>
      <c r="I556" s="39" t="n">
        <v>417700</v>
      </c>
      <c r="J556" s="39" t="n">
        <v>417700</v>
      </c>
      <c r="Q556" s="39" t="n"/>
      <c r="R556" s="39" t="n"/>
      <c r="Y556" s="39" t="n"/>
      <c r="Z556" s="39" t="n"/>
      <c r="AG556" s="39" t="n"/>
      <c r="AH556" s="39" t="n"/>
      <c r="AI556" t="inlineStr">
        <is>
          <t xml:space="preserve">Lizet Lopez Paucar </t>
        </is>
      </c>
      <c r="AJ556" t="inlineStr">
        <is>
          <t>42459734</t>
        </is>
      </c>
      <c r="AK556" t="inlineStr">
        <is>
          <t>Av. Arnaldo Márquez 1526 Dpto. 34 - Jesús María - Lima</t>
        </is>
      </c>
      <c r="AL556" t="n">
        <v>999889061</v>
      </c>
      <c r="AM556" t="inlineStr">
        <is>
          <t>999889061</t>
        </is>
      </c>
      <c r="AN556" t="inlineStr">
        <is>
          <t>lizetlopezp@gmail.com</t>
        </is>
      </c>
      <c r="AO556" t="inlineStr">
        <is>
          <t>LIMA</t>
        </is>
      </c>
      <c r="AP556" t="inlineStr">
        <is>
          <t>JESUS MARIA</t>
        </is>
      </c>
      <c r="AQ556" s="75" t="n">
        <v>46027</v>
      </c>
      <c r="AR556" s="75" t="n">
        <v>46027</v>
      </c>
      <c r="AS556" t="inlineStr">
        <is>
          <t>SEPARACION</t>
        </is>
      </c>
      <c r="AT556" t="n">
        <v>1</v>
      </c>
      <c r="AU556" t="n">
        <v>3000</v>
      </c>
      <c r="AV556" t="n">
        <v>0</v>
      </c>
      <c r="AW556" t="n">
        <v>0</v>
      </c>
      <c r="AX556" s="39" t="n">
        <v>3000</v>
      </c>
      <c r="AY556" s="39" t="n">
        <v>3000</v>
      </c>
      <c r="AZ556" s="39" t="n">
        <v>0</v>
      </c>
      <c r="BA556" t="n">
        <v>0</v>
      </c>
      <c r="BB556" t="inlineStr">
        <is>
          <t>Ahorro</t>
        </is>
      </c>
      <c r="BC556" t="inlineStr">
        <is>
          <t>Scotiabank Perú</t>
        </is>
      </c>
      <c r="BD556" t="inlineStr">
        <is>
          <t>000-2768484</t>
        </is>
      </c>
      <c r="BE556" t="inlineStr">
        <is>
          <t>POS VISA</t>
        </is>
      </c>
      <c r="BG556" t="inlineStr">
        <is>
          <t>0000600519140030</t>
        </is>
      </c>
      <c r="BH556" t="inlineStr">
        <is>
          <t>No</t>
        </is>
      </c>
      <c r="BI556" t="inlineStr">
        <is>
          <t>AHORROS PERSONALES</t>
        </is>
      </c>
      <c r="BJ556" t="n">
        <v>4</v>
      </c>
      <c r="BK556" t="inlineStr">
        <is>
          <t>CANCELADO</t>
        </is>
      </c>
      <c r="BV556" t="inlineStr">
        <is>
          <t>Si</t>
        </is>
      </c>
      <c r="BW556" s="76" t="n">
        <v>46053.58055555556</v>
      </c>
      <c r="BX556" t="inlineStr">
        <is>
          <t>Kenny Salazar S</t>
        </is>
      </c>
      <c r="BZ556" t="n">
        <v>46</v>
      </c>
      <c r="CA556" t="inlineStr">
        <is>
          <t>03/06/2026 10:04</t>
        </is>
      </c>
      <c r="CB556" t="n">
        <v>0</v>
      </c>
      <c r="CF556" t="inlineStr">
        <is>
          <t>Cobranzas_2026.csv</t>
        </is>
      </c>
      <c r="CG556" t="n">
        <v>2026</v>
      </c>
      <c r="CH556" t="inlineStr">
        <is>
          <t>01/01/2024</t>
        </is>
      </c>
      <c r="CI556" t="inlineStr">
        <is>
          <t>24/08/2031</t>
        </is>
      </c>
    </row>
    <row r="557">
      <c r="A557" t="inlineStr">
        <is>
          <t>RESIDENCIAL PRADA</t>
        </is>
      </c>
      <c r="B557" t="inlineStr">
        <is>
          <t>Etapa 1</t>
        </is>
      </c>
      <c r="C557" t="inlineStr">
        <is>
          <t>Edificio</t>
        </is>
      </c>
      <c r="D557" t="inlineStr">
        <is>
          <t>A</t>
        </is>
      </c>
      <c r="E557" t="inlineStr">
        <is>
          <t>Departamento</t>
        </is>
      </c>
      <c r="F557" t="inlineStr">
        <is>
          <t>904</t>
        </is>
      </c>
      <c r="G557" t="n">
        <v>60.93</v>
      </c>
      <c r="H557" t="n">
        <v>0</v>
      </c>
      <c r="I557" s="39" t="n">
        <v>417700</v>
      </c>
      <c r="J557" s="39" t="n">
        <v>417700</v>
      </c>
      <c r="Q557" s="39" t="n"/>
      <c r="R557" s="39" t="n"/>
      <c r="Y557" s="39" t="n"/>
      <c r="Z557" s="39" t="n"/>
      <c r="AG557" s="39" t="n"/>
      <c r="AH557" s="39" t="n"/>
      <c r="AI557" t="inlineStr">
        <is>
          <t xml:space="preserve">Lizet Lopez Paucar </t>
        </is>
      </c>
      <c r="AJ557" t="inlineStr">
        <is>
          <t>42459734</t>
        </is>
      </c>
      <c r="AK557" t="inlineStr">
        <is>
          <t>Av. Arnaldo Márquez 1526 Dpto. 34 - Jesús María - Lima</t>
        </is>
      </c>
      <c r="AL557" t="n">
        <v>999889061</v>
      </c>
      <c r="AM557" t="inlineStr">
        <is>
          <t>999889061</t>
        </is>
      </c>
      <c r="AN557" t="inlineStr">
        <is>
          <t>lizetlopezp@gmail.com</t>
        </is>
      </c>
      <c r="AO557" t="inlineStr">
        <is>
          <t>LIMA</t>
        </is>
      </c>
      <c r="AP557" t="inlineStr">
        <is>
          <t>JESUS MARIA</t>
        </is>
      </c>
      <c r="AQ557" s="75" t="n">
        <v>46054</v>
      </c>
      <c r="AR557" s="75" t="n">
        <v>46053</v>
      </c>
      <c r="AS557" t="inlineStr">
        <is>
          <t>CUOTA INICIAL</t>
        </is>
      </c>
      <c r="AT557" t="n">
        <v>1</v>
      </c>
      <c r="AU557" t="n">
        <v>0</v>
      </c>
      <c r="AV557" t="n">
        <v>0</v>
      </c>
      <c r="AW557" t="n">
        <v>0</v>
      </c>
      <c r="AX557" s="39" t="n">
        <v>30000</v>
      </c>
      <c r="AY557" s="39" t="n">
        <v>29650</v>
      </c>
      <c r="AZ557" s="39" t="n">
        <v>0</v>
      </c>
      <c r="BA557" t="n">
        <v>0</v>
      </c>
      <c r="BB557" t="inlineStr">
        <is>
          <t>Ahorro</t>
        </is>
      </c>
      <c r="BC557" t="inlineStr">
        <is>
          <t>Scotiabank Perú</t>
        </is>
      </c>
      <c r="BD557" t="inlineStr">
        <is>
          <t>000-2768484</t>
        </is>
      </c>
      <c r="BE557" t="inlineStr">
        <is>
          <t>TRANSFERENCIA BANCARIA</t>
        </is>
      </c>
      <c r="BG557" t="inlineStr">
        <is>
          <t>02462401</t>
        </is>
      </c>
      <c r="BH557" t="inlineStr">
        <is>
          <t>No</t>
        </is>
      </c>
      <c r="BJ557" t="n">
        <v>4</v>
      </c>
      <c r="BK557" t="inlineStr">
        <is>
          <t>CANCELADO</t>
        </is>
      </c>
      <c r="BV557" t="inlineStr">
        <is>
          <t>Si</t>
        </is>
      </c>
      <c r="BW557" s="76" t="n">
        <v>46053.58055555556</v>
      </c>
      <c r="BX557" t="inlineStr">
        <is>
          <t>Kenny Salazar S</t>
        </is>
      </c>
      <c r="BZ557" t="n">
        <v>46</v>
      </c>
      <c r="CA557" t="inlineStr">
        <is>
          <t>07/07/2026 13:49</t>
        </is>
      </c>
      <c r="CB557" t="n">
        <v>0</v>
      </c>
      <c r="CF557" t="inlineStr">
        <is>
          <t>Cobranzas_2026.csv</t>
        </is>
      </c>
      <c r="CG557" t="n">
        <v>2026</v>
      </c>
      <c r="CH557" t="inlineStr">
        <is>
          <t>01/01/2024</t>
        </is>
      </c>
      <c r="CI557" t="inlineStr">
        <is>
          <t>24/08/2031</t>
        </is>
      </c>
    </row>
    <row r="558">
      <c r="A558" t="inlineStr">
        <is>
          <t>RESIDENCIAL PRADA</t>
        </is>
      </c>
      <c r="B558" t="inlineStr">
        <is>
          <t>Etapa 1</t>
        </is>
      </c>
      <c r="C558" t="inlineStr">
        <is>
          <t>Edificio</t>
        </is>
      </c>
      <c r="D558" t="inlineStr">
        <is>
          <t>A</t>
        </is>
      </c>
      <c r="E558" t="inlineStr">
        <is>
          <t>Departamento</t>
        </is>
      </c>
      <c r="F558" t="inlineStr">
        <is>
          <t>904</t>
        </is>
      </c>
      <c r="G558" t="n">
        <v>60.93</v>
      </c>
      <c r="H558" t="n">
        <v>0</v>
      </c>
      <c r="I558" s="39" t="n">
        <v>417700</v>
      </c>
      <c r="J558" s="39" t="n">
        <v>417700</v>
      </c>
      <c r="Q558" s="39" t="n"/>
      <c r="R558" s="39" t="n"/>
      <c r="Y558" s="39" t="n"/>
      <c r="Z558" s="39" t="n"/>
      <c r="AG558" s="39" t="n"/>
      <c r="AH558" s="39" t="n"/>
      <c r="AI558" t="inlineStr">
        <is>
          <t xml:space="preserve">Lizet Lopez Paucar </t>
        </is>
      </c>
      <c r="AJ558" t="inlineStr">
        <is>
          <t>42459734</t>
        </is>
      </c>
      <c r="AK558" t="inlineStr">
        <is>
          <t>Av. Arnaldo Márquez 1526 Dpto. 34 - Jesús María - Lima</t>
        </is>
      </c>
      <c r="AL558" t="n">
        <v>999889061</v>
      </c>
      <c r="AM558" t="inlineStr">
        <is>
          <t>999889061</t>
        </is>
      </c>
      <c r="AN558" t="inlineStr">
        <is>
          <t>lizetlopezp@gmail.com</t>
        </is>
      </c>
      <c r="AO558" t="inlineStr">
        <is>
          <t>LIMA</t>
        </is>
      </c>
      <c r="AP558" t="inlineStr">
        <is>
          <t>JESUS MARIA</t>
        </is>
      </c>
      <c r="AQ558" s="75" t="n">
        <v>46054</v>
      </c>
      <c r="AR558" s="75" t="n">
        <v>46054</v>
      </c>
      <c r="AS558" t="inlineStr">
        <is>
          <t>CUOTA INICIAL</t>
        </is>
      </c>
      <c r="AT558" t="n">
        <v>1</v>
      </c>
      <c r="AU558" t="n">
        <v>30000</v>
      </c>
      <c r="AV558" t="n">
        <v>0</v>
      </c>
      <c r="AW558" t="n">
        <v>0</v>
      </c>
      <c r="AX558" s="39" t="n">
        <v>0</v>
      </c>
      <c r="AY558" s="39" t="n">
        <v>350</v>
      </c>
      <c r="AZ558" s="39" t="n">
        <v>0</v>
      </c>
      <c r="BA558" t="n">
        <v>0</v>
      </c>
      <c r="BB558" t="inlineStr">
        <is>
          <t>Ahorro</t>
        </is>
      </c>
      <c r="BC558" t="inlineStr">
        <is>
          <t>Scotiabank Perú</t>
        </is>
      </c>
      <c r="BD558" t="inlineStr">
        <is>
          <t>000-2768484</t>
        </is>
      </c>
      <c r="BE558" t="inlineStr">
        <is>
          <t>TRANSFERENCIA BANCARIA</t>
        </is>
      </c>
      <c r="BG558" t="inlineStr">
        <is>
          <t>02011578</t>
        </is>
      </c>
      <c r="BH558" t="inlineStr">
        <is>
          <t>No</t>
        </is>
      </c>
      <c r="BJ558" t="n">
        <v>4</v>
      </c>
      <c r="BK558" t="inlineStr">
        <is>
          <t>CANCELADO</t>
        </is>
      </c>
      <c r="BV558" t="inlineStr">
        <is>
          <t>Si</t>
        </is>
      </c>
      <c r="BW558" s="76" t="n">
        <v>46053.58055555556</v>
      </c>
      <c r="BX558" t="inlineStr">
        <is>
          <t>Kenny Salazar S</t>
        </is>
      </c>
      <c r="BZ558" t="n">
        <v>46</v>
      </c>
      <c r="CA558" t="inlineStr">
        <is>
          <t>07/07/2026 13:50</t>
        </is>
      </c>
      <c r="CB558" t="n">
        <v>0</v>
      </c>
      <c r="CF558" t="inlineStr">
        <is>
          <t>Cobranzas_2026.csv</t>
        </is>
      </c>
      <c r="CG558" t="n">
        <v>2026</v>
      </c>
      <c r="CH558" t="inlineStr">
        <is>
          <t>01/01/2024</t>
        </is>
      </c>
      <c r="CI558" t="inlineStr">
        <is>
          <t>24/08/2031</t>
        </is>
      </c>
    </row>
    <row r="559">
      <c r="A559" t="inlineStr">
        <is>
          <t>RESIDENCIAL PRADA</t>
        </is>
      </c>
      <c r="B559" t="inlineStr">
        <is>
          <t>Etapa 1</t>
        </is>
      </c>
      <c r="C559" t="inlineStr">
        <is>
          <t>Edificio</t>
        </is>
      </c>
      <c r="D559" t="inlineStr">
        <is>
          <t>A</t>
        </is>
      </c>
      <c r="E559" t="inlineStr">
        <is>
          <t>Departamento</t>
        </is>
      </c>
      <c r="F559" t="inlineStr">
        <is>
          <t>904</t>
        </is>
      </c>
      <c r="G559" t="n">
        <v>60.93</v>
      </c>
      <c r="H559" t="n">
        <v>0</v>
      </c>
      <c r="I559" s="39" t="n">
        <v>417700</v>
      </c>
      <c r="J559" s="39" t="n">
        <v>417700</v>
      </c>
      <c r="Q559" s="39" t="n"/>
      <c r="R559" s="39" t="n"/>
      <c r="Y559" s="39" t="n"/>
      <c r="Z559" s="39" t="n"/>
      <c r="AG559" s="39" t="n"/>
      <c r="AH559" s="39" t="n"/>
      <c r="AI559" t="inlineStr">
        <is>
          <t xml:space="preserve">Lizet Lopez Paucar </t>
        </is>
      </c>
      <c r="AJ559" t="inlineStr">
        <is>
          <t>42459734</t>
        </is>
      </c>
      <c r="AK559" t="inlineStr">
        <is>
          <t>Av. Arnaldo Márquez 1526 Dpto. 34 - Jesús María - Lima</t>
        </is>
      </c>
      <c r="AL559" t="n">
        <v>999889061</v>
      </c>
      <c r="AM559" t="inlineStr">
        <is>
          <t>999889061</t>
        </is>
      </c>
      <c r="AN559" t="inlineStr">
        <is>
          <t>lizetlopezp@gmail.com</t>
        </is>
      </c>
      <c r="AO559" t="inlineStr">
        <is>
          <t>LIMA</t>
        </is>
      </c>
      <c r="AP559" t="inlineStr">
        <is>
          <t>JESUS MARIA</t>
        </is>
      </c>
      <c r="AQ559" s="75" t="n">
        <v>46157</v>
      </c>
      <c r="AR559" s="75" t="n">
        <v>46185</v>
      </c>
      <c r="AS559" t="inlineStr">
        <is>
          <t>CUOTA INICIAL</t>
        </is>
      </c>
      <c r="AT559" t="n">
        <v>2</v>
      </c>
      <c r="AU559" t="n">
        <v>0</v>
      </c>
      <c r="AV559" t="n">
        <v>0</v>
      </c>
      <c r="AW559" t="n">
        <v>0</v>
      </c>
      <c r="AX559" s="39" t="n">
        <v>20700</v>
      </c>
      <c r="AY559" s="39" t="n">
        <v>17498.37</v>
      </c>
      <c r="AZ559" s="39" t="n">
        <v>0</v>
      </c>
      <c r="BA559" t="n">
        <v>0</v>
      </c>
      <c r="BB559" t="inlineStr">
        <is>
          <t>Ahorro</t>
        </is>
      </c>
      <c r="BC559" t="inlineStr">
        <is>
          <t>Scotiabank Perú</t>
        </is>
      </c>
      <c r="BD559" t="inlineStr">
        <is>
          <t>000-2768484</t>
        </is>
      </c>
      <c r="BE559" t="inlineStr">
        <is>
          <t>TRANSFERENCIA BANCARIA</t>
        </is>
      </c>
      <c r="BG559" t="inlineStr">
        <is>
          <t>7844655529167</t>
        </is>
      </c>
      <c r="BH559" t="inlineStr">
        <is>
          <t>No</t>
        </is>
      </c>
      <c r="BJ559" t="n">
        <v>4</v>
      </c>
      <c r="BK559" t="inlineStr">
        <is>
          <t>CANCELADO</t>
        </is>
      </c>
      <c r="BV559" t="inlineStr">
        <is>
          <t>Si</t>
        </is>
      </c>
      <c r="BW559" s="76" t="n">
        <v>46053.58055555556</v>
      </c>
      <c r="BX559" t="inlineStr">
        <is>
          <t>Kenny Salazar S</t>
        </is>
      </c>
      <c r="BZ559" t="n">
        <v>46</v>
      </c>
      <c r="CA559" t="inlineStr">
        <is>
          <t>07/07/2026 13:54</t>
        </is>
      </c>
      <c r="CB559" t="n">
        <v>0</v>
      </c>
      <c r="CF559" t="inlineStr">
        <is>
          <t>Cobranzas_2026.csv</t>
        </is>
      </c>
      <c r="CG559" t="n">
        <v>2026</v>
      </c>
      <c r="CH559" t="inlineStr">
        <is>
          <t>01/01/2024</t>
        </is>
      </c>
      <c r="CI559" t="inlineStr">
        <is>
          <t>24/08/2031</t>
        </is>
      </c>
    </row>
    <row r="560">
      <c r="A560" t="inlineStr">
        <is>
          <t>RESIDENCIAL PRADA</t>
        </is>
      </c>
      <c r="B560" t="inlineStr">
        <is>
          <t>Etapa 1</t>
        </is>
      </c>
      <c r="C560" t="inlineStr">
        <is>
          <t>Edificio</t>
        </is>
      </c>
      <c r="D560" t="inlineStr">
        <is>
          <t>A</t>
        </is>
      </c>
      <c r="E560" t="inlineStr">
        <is>
          <t>Departamento</t>
        </is>
      </c>
      <c r="F560" t="inlineStr">
        <is>
          <t>904</t>
        </is>
      </c>
      <c r="G560" t="n">
        <v>60.93</v>
      </c>
      <c r="H560" t="n">
        <v>0</v>
      </c>
      <c r="I560" s="39" t="n">
        <v>417700</v>
      </c>
      <c r="J560" s="39" t="n">
        <v>417700</v>
      </c>
      <c r="Q560" s="39" t="n"/>
      <c r="R560" s="39" t="n"/>
      <c r="Y560" s="39" t="n"/>
      <c r="Z560" s="39" t="n"/>
      <c r="AG560" s="39" t="n"/>
      <c r="AH560" s="39" t="n"/>
      <c r="AI560" t="inlineStr">
        <is>
          <t xml:space="preserve">Lizet Lopez Paucar </t>
        </is>
      </c>
      <c r="AJ560" t="inlineStr">
        <is>
          <t>42459734</t>
        </is>
      </c>
      <c r="AK560" t="inlineStr">
        <is>
          <t>Av. Arnaldo Márquez 1526 Dpto. 34 - Jesús María - Lima</t>
        </is>
      </c>
      <c r="AL560" t="n">
        <v>999889061</v>
      </c>
      <c r="AM560" t="inlineStr">
        <is>
          <t>999889061</t>
        </is>
      </c>
      <c r="AN560" t="inlineStr">
        <is>
          <t>lizetlopezp@gmail.com</t>
        </is>
      </c>
      <c r="AO560" t="inlineStr">
        <is>
          <t>LIMA</t>
        </is>
      </c>
      <c r="AP560" t="inlineStr">
        <is>
          <t>JESUS MARIA</t>
        </is>
      </c>
      <c r="AQ560" s="75" t="n">
        <v>46157</v>
      </c>
      <c r="AR560" s="75" t="n">
        <v>46186</v>
      </c>
      <c r="AS560" t="inlineStr">
        <is>
          <t>CUOTA INICIAL</t>
        </is>
      </c>
      <c r="AT560" t="n">
        <v>2</v>
      </c>
      <c r="AU560" t="n">
        <v>20700</v>
      </c>
      <c r="AV560" t="n">
        <v>0</v>
      </c>
      <c r="AW560" t="n">
        <v>0</v>
      </c>
      <c r="AX560" s="39" t="n">
        <v>0</v>
      </c>
      <c r="AY560" s="39" t="n">
        <v>3201.63</v>
      </c>
      <c r="AZ560" s="39" t="n">
        <v>0</v>
      </c>
      <c r="BA560" t="n">
        <v>0</v>
      </c>
      <c r="BB560" t="inlineStr">
        <is>
          <t>Ahorro</t>
        </is>
      </c>
      <c r="BC560" t="inlineStr">
        <is>
          <t>Scotiabank Perú</t>
        </is>
      </c>
      <c r="BD560" t="inlineStr">
        <is>
          <t>000-2768484</t>
        </is>
      </c>
      <c r="BE560" t="inlineStr">
        <is>
          <t>TRANSFERENCIA BANCARIA</t>
        </is>
      </c>
      <c r="BG560" t="inlineStr">
        <is>
          <t>7844655513571</t>
        </is>
      </c>
      <c r="BH560" t="inlineStr">
        <is>
          <t>No</t>
        </is>
      </c>
      <c r="BJ560" t="n">
        <v>4</v>
      </c>
      <c r="BK560" t="inlineStr">
        <is>
          <t>CANCELADO</t>
        </is>
      </c>
      <c r="BV560" t="inlineStr">
        <is>
          <t>Si</t>
        </is>
      </c>
      <c r="BW560" s="76" t="n">
        <v>46053.58055555556</v>
      </c>
      <c r="BX560" t="inlineStr">
        <is>
          <t>Kenny Salazar S</t>
        </is>
      </c>
      <c r="BZ560" t="n">
        <v>46</v>
      </c>
      <c r="CA560" t="inlineStr">
        <is>
          <t>07/07/2026 13:56</t>
        </is>
      </c>
      <c r="CB560" t="n">
        <v>0</v>
      </c>
      <c r="CF560" t="inlineStr">
        <is>
          <t>Cobranzas_2026.csv</t>
        </is>
      </c>
      <c r="CG560" t="n">
        <v>2026</v>
      </c>
      <c r="CH560" t="inlineStr">
        <is>
          <t>01/01/2024</t>
        </is>
      </c>
      <c r="CI560" t="inlineStr">
        <is>
          <t>24/08/2031</t>
        </is>
      </c>
    </row>
    <row r="561">
      <c r="A561" t="inlineStr">
        <is>
          <t>RESIDENCIAL PRADA</t>
        </is>
      </c>
      <c r="B561" t="inlineStr">
        <is>
          <t>Etapa 1</t>
        </is>
      </c>
      <c r="C561" t="inlineStr">
        <is>
          <t>Edificio</t>
        </is>
      </c>
      <c r="D561" t="inlineStr">
        <is>
          <t>A</t>
        </is>
      </c>
      <c r="E561" t="inlineStr">
        <is>
          <t>Departamento</t>
        </is>
      </c>
      <c r="F561" t="inlineStr">
        <is>
          <t>904</t>
        </is>
      </c>
      <c r="G561" t="n">
        <v>60.93</v>
      </c>
      <c r="H561" t="n">
        <v>0</v>
      </c>
      <c r="I561" s="39" t="n">
        <v>417700</v>
      </c>
      <c r="J561" s="39" t="n">
        <v>417700</v>
      </c>
      <c r="Q561" s="39" t="n"/>
      <c r="R561" s="39" t="n"/>
      <c r="Y561" s="39" t="n"/>
      <c r="Z561" s="39" t="n"/>
      <c r="AG561" s="39" t="n"/>
      <c r="AH561" s="39" t="n"/>
      <c r="AI561" t="inlineStr">
        <is>
          <t xml:space="preserve">Lizet Lopez Paucar </t>
        </is>
      </c>
      <c r="AJ561" t="inlineStr">
        <is>
          <t>42459734</t>
        </is>
      </c>
      <c r="AK561" t="inlineStr">
        <is>
          <t>Av. Arnaldo Márquez 1526 Dpto. 34 - Jesús María - Lima</t>
        </is>
      </c>
      <c r="AL561" t="n">
        <v>999889061</v>
      </c>
      <c r="AM561" t="inlineStr">
        <is>
          <t>999889061</t>
        </is>
      </c>
      <c r="AN561" t="inlineStr">
        <is>
          <t>lizetlopezp@gmail.com</t>
        </is>
      </c>
      <c r="AO561" t="inlineStr">
        <is>
          <t>LIMA</t>
        </is>
      </c>
      <c r="AP561" t="inlineStr">
        <is>
          <t>JESUS MARIA</t>
        </is>
      </c>
      <c r="AQ561" s="75" t="n">
        <v>46172</v>
      </c>
      <c r="AR561" s="75" t="n">
        <v>46186</v>
      </c>
      <c r="AS561" t="inlineStr">
        <is>
          <t>CUOTA INICIAL</t>
        </is>
      </c>
      <c r="AT561" t="n">
        <v>3</v>
      </c>
      <c r="AU561" t="n">
        <v>14000</v>
      </c>
      <c r="AV561" t="n">
        <v>0</v>
      </c>
      <c r="AW561" t="n">
        <v>0</v>
      </c>
      <c r="AX561" s="39" t="n">
        <v>14000</v>
      </c>
      <c r="AY561" s="39" t="n">
        <v>14000</v>
      </c>
      <c r="AZ561" s="39" t="n">
        <v>0</v>
      </c>
      <c r="BA561" t="n">
        <v>0</v>
      </c>
      <c r="BB561" t="inlineStr">
        <is>
          <t>Ahorro</t>
        </is>
      </c>
      <c r="BC561" t="inlineStr">
        <is>
          <t>Scotiabank Perú</t>
        </is>
      </c>
      <c r="BD561" t="inlineStr">
        <is>
          <t>000-2768484</t>
        </is>
      </c>
      <c r="BE561" t="inlineStr">
        <is>
          <t>TRANSFERENCIA BANCARIA</t>
        </is>
      </c>
      <c r="BG561" t="inlineStr">
        <is>
          <t>7844655513571</t>
        </is>
      </c>
      <c r="BH561" t="inlineStr">
        <is>
          <t>No</t>
        </is>
      </c>
      <c r="BJ561" t="n">
        <v>4</v>
      </c>
      <c r="BK561" t="inlineStr">
        <is>
          <t>CANCELADO</t>
        </is>
      </c>
      <c r="BV561" t="inlineStr">
        <is>
          <t>Si</t>
        </is>
      </c>
      <c r="BW561" s="76" t="n">
        <v>46053.58055555556</v>
      </c>
      <c r="BX561" t="inlineStr">
        <is>
          <t>Kenny Salazar S</t>
        </is>
      </c>
      <c r="BZ561" t="n">
        <v>46</v>
      </c>
      <c r="CA561" t="inlineStr">
        <is>
          <t>07/07/2026 13:56</t>
        </is>
      </c>
      <c r="CB561" t="n">
        <v>0</v>
      </c>
      <c r="CF561" t="inlineStr">
        <is>
          <t>Cobranzas_2026.csv</t>
        </is>
      </c>
      <c r="CG561" t="n">
        <v>2026</v>
      </c>
      <c r="CH561" t="inlineStr">
        <is>
          <t>01/01/2024</t>
        </is>
      </c>
      <c r="CI561" t="inlineStr">
        <is>
          <t>24/08/2031</t>
        </is>
      </c>
    </row>
    <row r="562">
      <c r="A562" t="inlineStr">
        <is>
          <t>RESIDENCIAL PRADA</t>
        </is>
      </c>
      <c r="B562" t="inlineStr">
        <is>
          <t>Etapa 1</t>
        </is>
      </c>
      <c r="C562" t="inlineStr">
        <is>
          <t>Edificio</t>
        </is>
      </c>
      <c r="D562" t="inlineStr">
        <is>
          <t>A</t>
        </is>
      </c>
      <c r="E562" t="inlineStr">
        <is>
          <t>Departamento</t>
        </is>
      </c>
      <c r="F562" t="inlineStr">
        <is>
          <t>904</t>
        </is>
      </c>
      <c r="G562" t="n">
        <v>60.93</v>
      </c>
      <c r="H562" t="n">
        <v>0</v>
      </c>
      <c r="I562" s="39" t="n">
        <v>417700</v>
      </c>
      <c r="J562" s="39" t="n">
        <v>417700</v>
      </c>
      <c r="Q562" s="39" t="n"/>
      <c r="R562" s="39" t="n"/>
      <c r="Y562" s="39" t="n"/>
      <c r="Z562" s="39" t="n"/>
      <c r="AG562" s="39" t="n"/>
      <c r="AH562" s="39" t="n"/>
      <c r="AI562" t="inlineStr">
        <is>
          <t xml:space="preserve">Lizet Lopez Paucar </t>
        </is>
      </c>
      <c r="AJ562" t="inlineStr">
        <is>
          <t>42459734</t>
        </is>
      </c>
      <c r="AK562" t="inlineStr">
        <is>
          <t>Av. Arnaldo Márquez 1526 Dpto. 34 - Jesús María - Lima</t>
        </is>
      </c>
      <c r="AL562" t="n">
        <v>999889061</v>
      </c>
      <c r="AM562" t="inlineStr">
        <is>
          <t>999889061</t>
        </is>
      </c>
      <c r="AN562" t="inlineStr">
        <is>
          <t>lizetlopezp@gmail.com</t>
        </is>
      </c>
      <c r="AO562" t="inlineStr">
        <is>
          <t>LIMA</t>
        </is>
      </c>
      <c r="AP562" t="inlineStr">
        <is>
          <t>JESUS MARIA</t>
        </is>
      </c>
      <c r="AQ562" s="75" t="n">
        <v>46203</v>
      </c>
      <c r="AR562" s="75" t="n">
        <v>46247</v>
      </c>
      <c r="AS562" t="inlineStr">
        <is>
          <t>SALDO FINANCIAR</t>
        </is>
      </c>
      <c r="AT562" t="n">
        <v>1</v>
      </c>
      <c r="AU562" t="n">
        <v>350000</v>
      </c>
      <c r="AV562" t="n">
        <v>0</v>
      </c>
      <c r="AW562" t="n">
        <v>0</v>
      </c>
      <c r="AX562" s="39" t="n">
        <v>350000</v>
      </c>
      <c r="AY562" s="39" t="n">
        <v>350000</v>
      </c>
      <c r="AZ562" s="39" t="n">
        <v>0</v>
      </c>
      <c r="BA562" t="n">
        <v>0</v>
      </c>
      <c r="BB562" t="inlineStr">
        <is>
          <t>Ahorro</t>
        </is>
      </c>
      <c r="BC562" t="inlineStr">
        <is>
          <t>Scotiabank Perú</t>
        </is>
      </c>
      <c r="BD562" t="inlineStr">
        <is>
          <t>000-2768484</t>
        </is>
      </c>
      <c r="BE562" t="inlineStr">
        <is>
          <t>TRANSFERENCIA BANCARIA</t>
        </is>
      </c>
      <c r="BG562" t="inlineStr">
        <is>
          <t>EB01-293</t>
        </is>
      </c>
      <c r="BH562" t="inlineStr">
        <is>
          <t>No</t>
        </is>
      </c>
      <c r="BJ562" t="n">
        <v>4</v>
      </c>
      <c r="BK562" t="inlineStr">
        <is>
          <t>CANCELADO</t>
        </is>
      </c>
      <c r="BV562" t="inlineStr">
        <is>
          <t>Si</t>
        </is>
      </c>
      <c r="BW562" s="76" t="n">
        <v>46053.58055555556</v>
      </c>
      <c r="BX562" t="inlineStr">
        <is>
          <t>Kenny Salazar S</t>
        </is>
      </c>
      <c r="BZ562" t="n">
        <v>46</v>
      </c>
      <c r="CA562" t="inlineStr">
        <is>
          <t>18/08/2026 11:54</t>
        </is>
      </c>
      <c r="CB562" t="n">
        <v>0</v>
      </c>
      <c r="CF562" t="inlineStr">
        <is>
          <t>Cobranzas_2026.csv</t>
        </is>
      </c>
      <c r="CG562" t="n">
        <v>2026</v>
      </c>
      <c r="CH562" t="inlineStr">
        <is>
          <t>01/01/2024</t>
        </is>
      </c>
      <c r="CI562" t="inlineStr">
        <is>
          <t>24/08/2031</t>
        </is>
      </c>
    </row>
    <row r="563">
      <c r="A563" t="inlineStr">
        <is>
          <t>RESIDENCIAL PRADA</t>
        </is>
      </c>
      <c r="B563" t="inlineStr">
        <is>
          <t>Etapa 1</t>
        </is>
      </c>
      <c r="C563" t="inlineStr">
        <is>
          <t>Edificio</t>
        </is>
      </c>
      <c r="D563" t="inlineStr">
        <is>
          <t>A</t>
        </is>
      </c>
      <c r="E563" t="inlineStr">
        <is>
          <t>Estacionamiento</t>
        </is>
      </c>
      <c r="F563" t="inlineStr">
        <is>
          <t>E 37 - D 28</t>
        </is>
      </c>
      <c r="G563" t="n">
        <v>12.49</v>
      </c>
      <c r="H563" t="n">
        <v>1.83</v>
      </c>
      <c r="I563" s="39" t="n">
        <v>52000</v>
      </c>
      <c r="J563" s="39" t="n">
        <v>52000</v>
      </c>
      <c r="Q563" s="39" t="n"/>
      <c r="R563" s="39" t="n"/>
      <c r="Y563" s="39" t="n"/>
      <c r="Z563" s="39" t="n"/>
      <c r="AG563" s="39" t="n"/>
      <c r="AH563" s="39" t="n"/>
      <c r="AI563" t="inlineStr">
        <is>
          <t>Luis Alberto Ovalle Huamanguilla</t>
        </is>
      </c>
      <c r="AJ563" t="inlineStr">
        <is>
          <t>43953371</t>
        </is>
      </c>
      <c r="AK563" t="inlineStr">
        <is>
          <t>JR. NAPO NRO. 821</t>
        </is>
      </c>
      <c r="AL563" t="n">
        <v>0</v>
      </c>
      <c r="AM563" t="inlineStr">
        <is>
          <t>992764943</t>
        </is>
      </c>
      <c r="AN563" t="inlineStr">
        <is>
          <t>aovalle2212@gmail.com</t>
        </is>
      </c>
      <c r="AO563" t="inlineStr">
        <is>
          <t>LIMA</t>
        </is>
      </c>
      <c r="AP563" t="inlineStr">
        <is>
          <t>BREÑA</t>
        </is>
      </c>
      <c r="AQ563" s="75" t="n">
        <v>46112</v>
      </c>
      <c r="AR563" s="75" t="n">
        <v>46112</v>
      </c>
      <c r="AS563" t="inlineStr">
        <is>
          <t>CUOTA INICIAL</t>
        </is>
      </c>
      <c r="AT563" t="n">
        <v>1</v>
      </c>
      <c r="AU563" t="n">
        <v>12000</v>
      </c>
      <c r="AV563" t="n">
        <v>0</v>
      </c>
      <c r="AW563" t="n">
        <v>0</v>
      </c>
      <c r="AX563" s="39" t="n">
        <v>12000</v>
      </c>
      <c r="AY563" s="39" t="n">
        <v>12000</v>
      </c>
      <c r="AZ563" s="39" t="n">
        <v>0</v>
      </c>
      <c r="BA563" t="n">
        <v>0</v>
      </c>
      <c r="BB563" t="inlineStr">
        <is>
          <t>Crédito Directo</t>
        </is>
      </c>
      <c r="BC563" t="inlineStr">
        <is>
          <t>Scotiabank Perú</t>
        </is>
      </c>
      <c r="BD563" t="inlineStr">
        <is>
          <t>000-2768484</t>
        </is>
      </c>
      <c r="BE563" t="inlineStr">
        <is>
          <t>TRANSFERENCIA BANCARIA</t>
        </is>
      </c>
      <c r="BG563" t="inlineStr">
        <is>
          <t>000074230000007425</t>
        </is>
      </c>
      <c r="BH563" t="inlineStr">
        <is>
          <t>No</t>
        </is>
      </c>
      <c r="BJ563" t="n">
        <v>4</v>
      </c>
      <c r="BK563" t="inlineStr">
        <is>
          <t>CANCELADO</t>
        </is>
      </c>
      <c r="BV563" t="inlineStr">
        <is>
          <t>Si</t>
        </is>
      </c>
      <c r="BW563" s="76" t="n">
        <v>46112.72361111111</v>
      </c>
      <c r="BX563" t="inlineStr">
        <is>
          <t>Magaly Guevara Perez</t>
        </is>
      </c>
      <c r="BZ563" t="n">
        <v>60</v>
      </c>
      <c r="CA563" t="inlineStr">
        <is>
          <t>07/07/2026 11:20</t>
        </is>
      </c>
      <c r="CB563" t="n">
        <v>0</v>
      </c>
      <c r="CF563" t="inlineStr">
        <is>
          <t>Cobranzas_2026.csv</t>
        </is>
      </c>
      <c r="CG563" t="n">
        <v>2026</v>
      </c>
      <c r="CH563" t="inlineStr">
        <is>
          <t>01/01/2024</t>
        </is>
      </c>
      <c r="CI563" t="inlineStr">
        <is>
          <t>24/08/2031</t>
        </is>
      </c>
    </row>
    <row r="564">
      <c r="A564" t="inlineStr">
        <is>
          <t>RESIDENCIAL PRADA</t>
        </is>
      </c>
      <c r="B564" t="inlineStr">
        <is>
          <t>Etapa 1</t>
        </is>
      </c>
      <c r="C564" t="inlineStr">
        <is>
          <t>Edificio</t>
        </is>
      </c>
      <c r="D564" t="inlineStr">
        <is>
          <t>A</t>
        </is>
      </c>
      <c r="E564" t="inlineStr">
        <is>
          <t>Estacionamiento</t>
        </is>
      </c>
      <c r="F564" t="inlineStr">
        <is>
          <t>E 37 - D 28</t>
        </is>
      </c>
      <c r="G564" t="n">
        <v>12.49</v>
      </c>
      <c r="H564" t="n">
        <v>1.83</v>
      </c>
      <c r="I564" s="39" t="n">
        <v>52000</v>
      </c>
      <c r="J564" s="39" t="n">
        <v>52000</v>
      </c>
      <c r="Q564" s="39" t="n"/>
      <c r="R564" s="39" t="n"/>
      <c r="Y564" s="39" t="n"/>
      <c r="Z564" s="39" t="n"/>
      <c r="AG564" s="39" t="n"/>
      <c r="AH564" s="39" t="n"/>
      <c r="AI564" t="inlineStr">
        <is>
          <t>Luis Alberto Ovalle Huamanguilla</t>
        </is>
      </c>
      <c r="AJ564" t="inlineStr">
        <is>
          <t>43953371</t>
        </is>
      </c>
      <c r="AK564" t="inlineStr">
        <is>
          <t>JR. NAPO NRO. 821</t>
        </is>
      </c>
      <c r="AL564" t="n">
        <v>0</v>
      </c>
      <c r="AM564" t="inlineStr">
        <is>
          <t>992764943</t>
        </is>
      </c>
      <c r="AN564" t="inlineStr">
        <is>
          <t>aovalle2212@gmail.com</t>
        </is>
      </c>
      <c r="AO564" t="inlineStr">
        <is>
          <t>LIMA</t>
        </is>
      </c>
      <c r="AP564" t="inlineStr">
        <is>
          <t>BREÑA</t>
        </is>
      </c>
      <c r="AQ564" s="75" t="n">
        <v>46234</v>
      </c>
      <c r="AR564" s="75" t="n"/>
      <c r="AS564" t="inlineStr">
        <is>
          <t>SALDO FINANCIAR</t>
        </is>
      </c>
      <c r="AT564" t="n">
        <v>1</v>
      </c>
      <c r="AU564" t="n">
        <v>35000</v>
      </c>
      <c r="AV564" t="n">
        <v>0</v>
      </c>
      <c r="AW564" t="n">
        <v>0</v>
      </c>
      <c r="AX564" s="39" t="n">
        <v>35000</v>
      </c>
      <c r="AY564" s="39" t="n">
        <v>0</v>
      </c>
      <c r="AZ564" s="39" t="n">
        <v>35000</v>
      </c>
      <c r="BB564" t="inlineStr">
        <is>
          <t>Crédito Directo</t>
        </is>
      </c>
      <c r="BH564" t="inlineStr">
        <is>
          <t>No</t>
        </is>
      </c>
      <c r="BK564" t="inlineStr">
        <is>
          <t>VENCIDO</t>
        </is>
      </c>
      <c r="BV564" t="inlineStr">
        <is>
          <t>No</t>
        </is>
      </c>
      <c r="BW564" s="76" t="n">
        <v>46112.72361111111</v>
      </c>
      <c r="BX564" t="inlineStr">
        <is>
          <t>Magaly Guevara Perez</t>
        </is>
      </c>
      <c r="BZ564" t="n">
        <v>60</v>
      </c>
      <c r="CB564" t="n">
        <v>0</v>
      </c>
      <c r="CF564" t="inlineStr">
        <is>
          <t>Cobranzas_2026.csv</t>
        </is>
      </c>
      <c r="CG564" t="n">
        <v>2026</v>
      </c>
      <c r="CH564" t="inlineStr">
        <is>
          <t>01/01/2024</t>
        </is>
      </c>
      <c r="CI564" t="inlineStr">
        <is>
          <t>24/08/2031</t>
        </is>
      </c>
    </row>
    <row r="565">
      <c r="A565" t="inlineStr">
        <is>
          <t>RESIDENCIAL BEYOND</t>
        </is>
      </c>
      <c r="B565" t="inlineStr">
        <is>
          <t>Etapa 1</t>
        </is>
      </c>
      <c r="C565" t="inlineStr">
        <is>
          <t>Edificio</t>
        </is>
      </c>
      <c r="D565" t="inlineStr">
        <is>
          <t>A</t>
        </is>
      </c>
      <c r="E565" t="inlineStr">
        <is>
          <t>Departamento</t>
        </is>
      </c>
      <c r="F565" t="inlineStr">
        <is>
          <t>401</t>
        </is>
      </c>
      <c r="G565" t="n">
        <v>70</v>
      </c>
      <c r="H565" t="n">
        <v>0</v>
      </c>
      <c r="I565" s="39" t="n">
        <v>518500</v>
      </c>
      <c r="J565" s="39" t="n">
        <v>470000</v>
      </c>
      <c r="Q565" s="39" t="n"/>
      <c r="R565" s="39" t="n"/>
      <c r="Y565" s="39" t="n"/>
      <c r="Z565" s="39" t="n"/>
      <c r="AG565" s="39" t="n"/>
      <c r="AH565" s="39" t="n"/>
      <c r="AI565" t="inlineStr">
        <is>
          <t>Luis Alberto Vargas Chacaltana</t>
        </is>
      </c>
      <c r="AJ565" t="inlineStr">
        <is>
          <t>09389936</t>
        </is>
      </c>
      <c r="AK565" t="inlineStr">
        <is>
          <t>Los Tilos 388 – 392</t>
        </is>
      </c>
      <c r="AL565" t="n">
        <v>0</v>
      </c>
      <c r="AM565" t="inlineStr">
        <is>
          <t>946890596</t>
        </is>
      </c>
      <c r="AN565" t="inlineStr">
        <is>
          <t>nicolle1095@gmail.com</t>
        </is>
      </c>
      <c r="AO565" t="inlineStr">
        <is>
          <t>LIMA</t>
        </is>
      </c>
      <c r="AP565" t="inlineStr">
        <is>
          <t>SANTIAGO DE SURCO</t>
        </is>
      </c>
      <c r="AQ565" s="75" t="n">
        <v>46250.62986111111</v>
      </c>
      <c r="AR565" s="75" t="n">
        <v>45932</v>
      </c>
      <c r="AS565" t="inlineStr">
        <is>
          <t>CUOTA INICIAL</t>
        </is>
      </c>
      <c r="AT565" t="n">
        <v>1</v>
      </c>
      <c r="AU565" t="n">
        <v>0</v>
      </c>
      <c r="AV565" t="n">
        <v>0</v>
      </c>
      <c r="AW565" t="n">
        <v>0</v>
      </c>
      <c r="AX565" s="39" t="n">
        <v>148000</v>
      </c>
      <c r="AY565" s="39" t="n">
        <v>138000</v>
      </c>
      <c r="AZ565" s="39" t="n">
        <v>0</v>
      </c>
      <c r="BA565" t="n">
        <v>0</v>
      </c>
      <c r="BB565" t="inlineStr">
        <is>
          <t>Crédito Directo</t>
        </is>
      </c>
      <c r="BC565" t="inlineStr">
        <is>
          <t>Banco de Credito del Perú</t>
        </is>
      </c>
      <c r="BD565" t="inlineStr">
        <is>
          <t>194-7325779-0-65</t>
        </is>
      </c>
      <c r="BE565" t="inlineStr">
        <is>
          <t>CHEQUE DE GERENCIA</t>
        </is>
      </c>
      <c r="BG565" t="inlineStr">
        <is>
          <t>04175259</t>
        </is>
      </c>
      <c r="BH565" t="inlineStr">
        <is>
          <t>No</t>
        </is>
      </c>
      <c r="BJ565" t="n">
        <v>4</v>
      </c>
      <c r="BK565" t="inlineStr">
        <is>
          <t>CANCELADO</t>
        </is>
      </c>
      <c r="BV565" t="inlineStr">
        <is>
          <t>Si</t>
        </is>
      </c>
      <c r="BW565" s="76" t="n">
        <v>45932.42222222222</v>
      </c>
      <c r="BX565" t="inlineStr">
        <is>
          <t>Magaly Guevara Perez</t>
        </is>
      </c>
      <c r="BZ565" t="n">
        <v>26</v>
      </c>
      <c r="CA565" t="inlineStr">
        <is>
          <t>13/08/2026 10:02</t>
        </is>
      </c>
      <c r="CB565" t="n">
        <v>0</v>
      </c>
      <c r="CF565" t="inlineStr">
        <is>
          <t>Cobranzas_2026.csv</t>
        </is>
      </c>
      <c r="CG565" t="n">
        <v>2026</v>
      </c>
      <c r="CH565" t="inlineStr">
        <is>
          <t>01/01/2024</t>
        </is>
      </c>
      <c r="CI565" t="inlineStr">
        <is>
          <t>24/08/2031</t>
        </is>
      </c>
    </row>
    <row r="566">
      <c r="A566" t="inlineStr">
        <is>
          <t>RESIDENCIAL BEYOND</t>
        </is>
      </c>
      <c r="B566" t="inlineStr">
        <is>
          <t>Etapa 1</t>
        </is>
      </c>
      <c r="C566" t="inlineStr">
        <is>
          <t>Edificio</t>
        </is>
      </c>
      <c r="D566" t="inlineStr">
        <is>
          <t>A</t>
        </is>
      </c>
      <c r="E566" t="inlineStr">
        <is>
          <t>Departamento</t>
        </is>
      </c>
      <c r="F566" t="inlineStr">
        <is>
          <t>401</t>
        </is>
      </c>
      <c r="G566" t="n">
        <v>70</v>
      </c>
      <c r="H566" t="n">
        <v>0</v>
      </c>
      <c r="I566" s="39" t="n">
        <v>518500</v>
      </c>
      <c r="J566" s="39" t="n">
        <v>470000</v>
      </c>
      <c r="Q566" s="39" t="n"/>
      <c r="R566" s="39" t="n"/>
      <c r="Y566" s="39" t="n"/>
      <c r="Z566" s="39" t="n"/>
      <c r="AG566" s="39" t="n"/>
      <c r="AH566" s="39" t="n"/>
      <c r="AI566" t="inlineStr">
        <is>
          <t>Luis Alberto Vargas Chacaltana</t>
        </is>
      </c>
      <c r="AJ566" t="inlineStr">
        <is>
          <t>09389936</t>
        </is>
      </c>
      <c r="AK566" t="inlineStr">
        <is>
          <t>Los Tilos 388 – 392</t>
        </is>
      </c>
      <c r="AL566" t="n">
        <v>0</v>
      </c>
      <c r="AM566" t="inlineStr">
        <is>
          <t>946890596</t>
        </is>
      </c>
      <c r="AN566" t="inlineStr">
        <is>
          <t>nicolle1095@gmail.com</t>
        </is>
      </c>
      <c r="AO566" t="inlineStr">
        <is>
          <t>LIMA</t>
        </is>
      </c>
      <c r="AP566" t="inlineStr">
        <is>
          <t>SANTIAGO DE SURCO</t>
        </is>
      </c>
      <c r="AQ566" s="75" t="n">
        <v>46250.62986111111</v>
      </c>
      <c r="AR566" s="75" t="n">
        <v>46044</v>
      </c>
      <c r="AS566" t="inlineStr">
        <is>
          <t>CUOTA INICIAL</t>
        </is>
      </c>
      <c r="AT566" t="n">
        <v>1</v>
      </c>
      <c r="AU566" t="n">
        <v>148000</v>
      </c>
      <c r="AV566" t="n">
        <v>0</v>
      </c>
      <c r="AW566" t="n">
        <v>0</v>
      </c>
      <c r="AX566" s="39" t="n">
        <v>0</v>
      </c>
      <c r="AY566" s="39" t="n">
        <v>10000</v>
      </c>
      <c r="AZ566" s="39" t="n">
        <v>0</v>
      </c>
      <c r="BA566" t="n">
        <v>0</v>
      </c>
      <c r="BB566" t="inlineStr">
        <is>
          <t>Crédito Directo</t>
        </is>
      </c>
      <c r="BC566" t="inlineStr">
        <is>
          <t>Banco de Credito del Perú</t>
        </is>
      </c>
      <c r="BD566" t="inlineStr">
        <is>
          <t>194-7325779-0-65</t>
        </is>
      </c>
      <c r="BE566" t="inlineStr">
        <is>
          <t>CHEQUE DE GERENCIA</t>
        </is>
      </c>
      <c r="BF566" t="inlineStr">
        <is>
          <t>04172859</t>
        </is>
      </c>
      <c r="BH566" t="inlineStr">
        <is>
          <t>No</t>
        </is>
      </c>
      <c r="BJ566" t="n">
        <v>4</v>
      </c>
      <c r="BK566" t="inlineStr">
        <is>
          <t>CANCELADO</t>
        </is>
      </c>
      <c r="BV566" t="inlineStr">
        <is>
          <t>Si</t>
        </is>
      </c>
      <c r="BW566" s="76" t="n">
        <v>45932.42222222222</v>
      </c>
      <c r="BX566" t="inlineStr">
        <is>
          <t>Magaly Guevara Perez</t>
        </is>
      </c>
      <c r="BZ566" t="n">
        <v>26</v>
      </c>
      <c r="CA566" t="inlineStr">
        <is>
          <t>13/08/2026 10:08</t>
        </is>
      </c>
      <c r="CB566" t="n">
        <v>0</v>
      </c>
      <c r="CF566" t="inlineStr">
        <is>
          <t>Cobranzas_2026.csv</t>
        </is>
      </c>
      <c r="CG566" t="n">
        <v>2026</v>
      </c>
      <c r="CH566" t="inlineStr">
        <is>
          <t>01/01/2024</t>
        </is>
      </c>
      <c r="CI566" t="inlineStr">
        <is>
          <t>24/08/2031</t>
        </is>
      </c>
    </row>
    <row r="567">
      <c r="A567" t="inlineStr">
        <is>
          <t>RESIDENCIAL BEYOND</t>
        </is>
      </c>
      <c r="B567" t="inlineStr">
        <is>
          <t>Etapa 1</t>
        </is>
      </c>
      <c r="C567" t="inlineStr">
        <is>
          <t>Edificio</t>
        </is>
      </c>
      <c r="D567" t="inlineStr">
        <is>
          <t>A</t>
        </is>
      </c>
      <c r="E567" t="inlineStr">
        <is>
          <t>Departamento</t>
        </is>
      </c>
      <c r="F567" t="inlineStr">
        <is>
          <t>401</t>
        </is>
      </c>
      <c r="G567" t="n">
        <v>70</v>
      </c>
      <c r="H567" t="n">
        <v>0</v>
      </c>
      <c r="I567" s="39" t="n">
        <v>518500</v>
      </c>
      <c r="J567" s="39" t="n">
        <v>470000</v>
      </c>
      <c r="Q567" s="39" t="n"/>
      <c r="R567" s="39" t="n"/>
      <c r="Y567" s="39" t="n"/>
      <c r="Z567" s="39" t="n"/>
      <c r="AG567" s="39" t="n"/>
      <c r="AH567" s="39" t="n"/>
      <c r="AI567" t="inlineStr">
        <is>
          <t>Luis Alberto Vargas Chacaltana</t>
        </is>
      </c>
      <c r="AJ567" t="inlineStr">
        <is>
          <t>09389936</t>
        </is>
      </c>
      <c r="AK567" t="inlineStr">
        <is>
          <t>Los Tilos 388 – 392</t>
        </is>
      </c>
      <c r="AL567" t="n">
        <v>0</v>
      </c>
      <c r="AM567" t="inlineStr">
        <is>
          <t>946890596</t>
        </is>
      </c>
      <c r="AN567" t="inlineStr">
        <is>
          <t>nicolle1095@gmail.com</t>
        </is>
      </c>
      <c r="AO567" t="inlineStr">
        <is>
          <t>LIMA</t>
        </is>
      </c>
      <c r="AP567" t="inlineStr">
        <is>
          <t>SANTIAGO DE SURCO</t>
        </is>
      </c>
      <c r="AQ567" s="75" t="n">
        <v>46281.62986111111</v>
      </c>
      <c r="AR567" s="75" t="n">
        <v>46044</v>
      </c>
      <c r="AS567" t="inlineStr">
        <is>
          <t>SALDO FINANCIAR</t>
        </is>
      </c>
      <c r="AT567" t="n">
        <v>1</v>
      </c>
      <c r="AU567" t="n">
        <v>319000</v>
      </c>
      <c r="AV567" t="n">
        <v>0</v>
      </c>
      <c r="AW567" t="n">
        <v>0</v>
      </c>
      <c r="AX567" s="39" t="n">
        <v>319000</v>
      </c>
      <c r="AY567" s="39" t="n">
        <v>37000</v>
      </c>
      <c r="AZ567" s="39" t="n">
        <v>282000</v>
      </c>
      <c r="BA567" t="n">
        <v>0</v>
      </c>
      <c r="BB567" t="inlineStr">
        <is>
          <t>Crédito Directo</t>
        </is>
      </c>
      <c r="BC567" t="inlineStr">
        <is>
          <t>Banco de Credito del Perú</t>
        </is>
      </c>
      <c r="BD567" t="inlineStr">
        <is>
          <t>194-7325779-0-65</t>
        </is>
      </c>
      <c r="BE567" t="inlineStr">
        <is>
          <t>CHEQUE DE GERENCIA</t>
        </is>
      </c>
      <c r="BF567" t="inlineStr">
        <is>
          <t>04172859</t>
        </is>
      </c>
      <c r="BG567" t="inlineStr">
        <is>
          <t>587896</t>
        </is>
      </c>
      <c r="BH567" t="inlineStr">
        <is>
          <t>No</t>
        </is>
      </c>
      <c r="BJ567" t="n">
        <v>4</v>
      </c>
      <c r="BK567" t="inlineStr">
        <is>
          <t>PENDIENTE - PARC. CANCELADO</t>
        </is>
      </c>
      <c r="BV567" t="inlineStr">
        <is>
          <t>Si</t>
        </is>
      </c>
      <c r="BW567" s="76" t="n">
        <v>45932.42222222222</v>
      </c>
      <c r="BX567" t="inlineStr">
        <is>
          <t>Magaly Guevara Perez</t>
        </is>
      </c>
      <c r="BZ567" t="n">
        <v>26</v>
      </c>
      <c r="CA567" t="inlineStr">
        <is>
          <t>13/08/2026 10:09</t>
        </is>
      </c>
      <c r="CB567" t="n">
        <v>0</v>
      </c>
      <c r="CF567" t="inlineStr">
        <is>
          <t>Cobranzas_2026.csv</t>
        </is>
      </c>
      <c r="CG567" t="n">
        <v>2026</v>
      </c>
      <c r="CH567" t="inlineStr">
        <is>
          <t>01/01/2024</t>
        </is>
      </c>
      <c r="CI567" t="inlineStr">
        <is>
          <t>24/08/2031</t>
        </is>
      </c>
    </row>
    <row r="568">
      <c r="A568" t="inlineStr">
        <is>
          <t>RESIDENCIAL VENECIA</t>
        </is>
      </c>
      <c r="B568" t="inlineStr">
        <is>
          <t>Etapa 1</t>
        </is>
      </c>
      <c r="C568" t="inlineStr">
        <is>
          <t>Edificio</t>
        </is>
      </c>
      <c r="D568" t="inlineStr">
        <is>
          <t>A</t>
        </is>
      </c>
      <c r="E568" t="inlineStr">
        <is>
          <t>Departamento</t>
        </is>
      </c>
      <c r="F568" t="inlineStr">
        <is>
          <t>104</t>
        </is>
      </c>
      <c r="G568" t="n">
        <v>67</v>
      </c>
      <c r="H568" t="n">
        <v>21</v>
      </c>
      <c r="I568" s="39" t="n">
        <v>553000</v>
      </c>
      <c r="J568" s="39" t="n">
        <v>497000</v>
      </c>
      <c r="Q568" s="39" t="n"/>
      <c r="R568" s="39" t="n"/>
      <c r="Y568" s="39" t="n"/>
      <c r="Z568" s="39" t="n"/>
      <c r="AG568" s="39" t="n"/>
      <c r="AH568" s="39" t="n"/>
      <c r="AI568" t="inlineStr">
        <is>
          <t>Luis Miguel Montero Monteza</t>
        </is>
      </c>
      <c r="AJ568" t="inlineStr">
        <is>
          <t>45611107</t>
        </is>
      </c>
      <c r="AK568" t="inlineStr">
        <is>
          <t>calle los rosales 128</t>
        </is>
      </c>
      <c r="AL568" t="n">
        <v>0</v>
      </c>
      <c r="AM568" t="inlineStr">
        <is>
          <t>970277190</t>
        </is>
      </c>
      <c r="AN568" t="inlineStr">
        <is>
          <t>monter25@hotmail.com</t>
        </is>
      </c>
      <c r="AO568" t="inlineStr">
        <is>
          <t>JAEN</t>
        </is>
      </c>
      <c r="AP568" t="inlineStr">
        <is>
          <t>JAEN</t>
        </is>
      </c>
      <c r="AQ568" s="75" t="n">
        <v>46203</v>
      </c>
      <c r="AR568" s="75" t="n">
        <v>46234</v>
      </c>
      <c r="AS568" t="inlineStr">
        <is>
          <t>CUOTA INICIAL</t>
        </is>
      </c>
      <c r="AT568" t="n">
        <v>2</v>
      </c>
      <c r="AU568" t="n">
        <v>5100</v>
      </c>
      <c r="AV568" t="n">
        <v>0</v>
      </c>
      <c r="AW568" t="n">
        <v>0</v>
      </c>
      <c r="AX568" s="39" t="n">
        <v>5100</v>
      </c>
      <c r="AY568" s="39" t="n">
        <v>5100</v>
      </c>
      <c r="AZ568" s="39" t="n">
        <v>0</v>
      </c>
      <c r="BA568" t="n">
        <v>0</v>
      </c>
      <c r="BB568" t="inlineStr">
        <is>
          <t>Ahorro</t>
        </is>
      </c>
      <c r="BC568" t="inlineStr">
        <is>
          <t>Scotiabank Perú</t>
        </is>
      </c>
      <c r="BD568" t="inlineStr">
        <is>
          <t>0004071419</t>
        </is>
      </c>
      <c r="BE568" t="inlineStr">
        <is>
          <t>TRANSFERENCIA BANCARIA</t>
        </is>
      </c>
      <c r="BG568" t="inlineStr">
        <is>
          <t>25718</t>
        </is>
      </c>
      <c r="BH568" t="inlineStr">
        <is>
          <t>No</t>
        </is>
      </c>
      <c r="BJ568" t="n">
        <v>4</v>
      </c>
      <c r="BK568" t="inlineStr">
        <is>
          <t>CANCELADO</t>
        </is>
      </c>
      <c r="BV568" t="inlineStr">
        <is>
          <t>Si</t>
        </is>
      </c>
      <c r="BW568" s="76" t="n">
        <v>45988.33333333334</v>
      </c>
      <c r="BX568" t="inlineStr">
        <is>
          <t>Magaly Guevara Perez</t>
        </is>
      </c>
      <c r="BZ568" t="n">
        <v>3</v>
      </c>
      <c r="CA568" t="inlineStr">
        <is>
          <t>18/08/2026 10:50</t>
        </is>
      </c>
      <c r="CB568" t="n">
        <v>0</v>
      </c>
      <c r="CF568" t="inlineStr">
        <is>
          <t>Cobranzas_2026.csv</t>
        </is>
      </c>
      <c r="CG568" t="n">
        <v>2026</v>
      </c>
      <c r="CH568" t="inlineStr">
        <is>
          <t>01/01/2024</t>
        </is>
      </c>
      <c r="CI568" t="inlineStr">
        <is>
          <t>24/08/2031</t>
        </is>
      </c>
    </row>
    <row r="569">
      <c r="A569" t="inlineStr">
        <is>
          <t>RESIDENCIAL VENECIA</t>
        </is>
      </c>
      <c r="B569" t="inlineStr">
        <is>
          <t>Etapa 1</t>
        </is>
      </c>
      <c r="C569" t="inlineStr">
        <is>
          <t>Edificio</t>
        </is>
      </c>
      <c r="D569" t="inlineStr">
        <is>
          <t>A</t>
        </is>
      </c>
      <c r="E569" t="inlineStr">
        <is>
          <t>Departamento</t>
        </is>
      </c>
      <c r="F569" t="inlineStr">
        <is>
          <t>104</t>
        </is>
      </c>
      <c r="G569" t="n">
        <v>67</v>
      </c>
      <c r="H569" t="n">
        <v>21</v>
      </c>
      <c r="I569" s="39" t="n">
        <v>553000</v>
      </c>
      <c r="J569" s="39" t="n">
        <v>497000</v>
      </c>
      <c r="Q569" s="39" t="n"/>
      <c r="R569" s="39" t="n"/>
      <c r="Y569" s="39" t="n"/>
      <c r="Z569" s="39" t="n"/>
      <c r="AG569" s="39" t="n"/>
      <c r="AH569" s="39" t="n"/>
      <c r="AI569" t="inlineStr">
        <is>
          <t>Luis Miguel Montero Monteza</t>
        </is>
      </c>
      <c r="AJ569" t="inlineStr">
        <is>
          <t>45611107</t>
        </is>
      </c>
      <c r="AK569" t="inlineStr">
        <is>
          <t>calle los rosales 128</t>
        </is>
      </c>
      <c r="AL569" t="n">
        <v>0</v>
      </c>
      <c r="AM569" t="inlineStr">
        <is>
          <t>970277190</t>
        </is>
      </c>
      <c r="AN569" t="inlineStr">
        <is>
          <t>monter25@hotmail.com</t>
        </is>
      </c>
      <c r="AO569" t="inlineStr">
        <is>
          <t>JAEN</t>
        </is>
      </c>
      <c r="AP569" t="inlineStr">
        <is>
          <t>JAEN</t>
        </is>
      </c>
      <c r="AQ569" s="75" t="n">
        <v>46295</v>
      </c>
      <c r="AR569" s="75" t="n"/>
      <c r="AS569" t="inlineStr">
        <is>
          <t>AHORRO CASA</t>
        </is>
      </c>
      <c r="AT569" t="n">
        <v>3</v>
      </c>
      <c r="AU569" t="n">
        <v>24600</v>
      </c>
      <c r="AV569" t="n">
        <v>0</v>
      </c>
      <c r="AW569" t="n">
        <v>0</v>
      </c>
      <c r="AX569" s="39" t="n">
        <v>24600</v>
      </c>
      <c r="AY569" s="39" t="n">
        <v>0</v>
      </c>
      <c r="AZ569" s="39" t="n">
        <v>24600</v>
      </c>
      <c r="BB569" t="inlineStr">
        <is>
          <t>Ahorro</t>
        </is>
      </c>
      <c r="BH569" t="inlineStr">
        <is>
          <t>No</t>
        </is>
      </c>
      <c r="BK569" t="inlineStr">
        <is>
          <t>PENDIENTE</t>
        </is>
      </c>
      <c r="BV569" t="inlineStr">
        <is>
          <t>No</t>
        </is>
      </c>
      <c r="BW569" s="76" t="n">
        <v>45988.33333333334</v>
      </c>
      <c r="BX569" t="inlineStr">
        <is>
          <t>Magaly Guevara Perez</t>
        </is>
      </c>
      <c r="BZ569" t="n">
        <v>3</v>
      </c>
      <c r="CB569" t="n">
        <v>0</v>
      </c>
      <c r="CF569" t="inlineStr">
        <is>
          <t>Cobranzas_2026.csv</t>
        </is>
      </c>
      <c r="CG569" t="n">
        <v>2026</v>
      </c>
      <c r="CH569" t="inlineStr">
        <is>
          <t>01/01/2024</t>
        </is>
      </c>
      <c r="CI569" t="inlineStr">
        <is>
          <t>24/08/2031</t>
        </is>
      </c>
    </row>
    <row r="570">
      <c r="A570" t="inlineStr">
        <is>
          <t>RESIDENCIAL VENECIA</t>
        </is>
      </c>
      <c r="B570" t="inlineStr">
        <is>
          <t>Etapa 1</t>
        </is>
      </c>
      <c r="C570" t="inlineStr">
        <is>
          <t>Edificio</t>
        </is>
      </c>
      <c r="D570" t="inlineStr">
        <is>
          <t>A</t>
        </is>
      </c>
      <c r="E570" t="inlineStr">
        <is>
          <t>Departamento</t>
        </is>
      </c>
      <c r="F570" t="inlineStr">
        <is>
          <t>104</t>
        </is>
      </c>
      <c r="G570" t="n">
        <v>67</v>
      </c>
      <c r="H570" t="n">
        <v>21</v>
      </c>
      <c r="I570" s="39" t="n">
        <v>553000</v>
      </c>
      <c r="J570" s="39" t="n">
        <v>497000</v>
      </c>
      <c r="Q570" s="39" t="n"/>
      <c r="R570" s="39" t="n"/>
      <c r="Y570" s="39" t="n"/>
      <c r="Z570" s="39" t="n"/>
      <c r="AG570" s="39" t="n"/>
      <c r="AH570" s="39" t="n"/>
      <c r="AI570" t="inlineStr">
        <is>
          <t>Luis Miguel Montero Monteza</t>
        </is>
      </c>
      <c r="AJ570" t="inlineStr">
        <is>
          <t>45611107</t>
        </is>
      </c>
      <c r="AK570" t="inlineStr">
        <is>
          <t>calle los rosales 128</t>
        </is>
      </c>
      <c r="AL570" t="n">
        <v>0</v>
      </c>
      <c r="AM570" t="inlineStr">
        <is>
          <t>970277190</t>
        </is>
      </c>
      <c r="AN570" t="inlineStr">
        <is>
          <t>monter25@hotmail.com</t>
        </is>
      </c>
      <c r="AO570" t="inlineStr">
        <is>
          <t>JAEN</t>
        </is>
      </c>
      <c r="AP570" t="inlineStr">
        <is>
          <t>JAEN</t>
        </is>
      </c>
      <c r="AQ570" s="75" t="n">
        <v>46356</v>
      </c>
      <c r="AR570" s="75" t="n"/>
      <c r="AS570" t="inlineStr">
        <is>
          <t>SALDO FINANCIAR</t>
        </is>
      </c>
      <c r="AT570" t="n">
        <v>1</v>
      </c>
      <c r="AU570" t="n">
        <v>447300</v>
      </c>
      <c r="AV570" t="n">
        <v>0</v>
      </c>
      <c r="AW570" t="n">
        <v>0</v>
      </c>
      <c r="AX570" s="39" t="n">
        <v>447300</v>
      </c>
      <c r="AY570" s="39" t="n">
        <v>0</v>
      </c>
      <c r="AZ570" s="39" t="n">
        <v>447300</v>
      </c>
      <c r="BB570" t="inlineStr">
        <is>
          <t>Ahorro</t>
        </is>
      </c>
      <c r="BH570" t="inlineStr">
        <is>
          <t>No</t>
        </is>
      </c>
      <c r="BK570" t="inlineStr">
        <is>
          <t>PENDIENTE</t>
        </is>
      </c>
      <c r="BV570" t="inlineStr">
        <is>
          <t>No</t>
        </is>
      </c>
      <c r="BW570" s="76" t="n">
        <v>45988.33333333334</v>
      </c>
      <c r="BX570" t="inlineStr">
        <is>
          <t>Magaly Guevara Perez</t>
        </is>
      </c>
      <c r="BZ570" t="n">
        <v>3</v>
      </c>
      <c r="CB570" t="n">
        <v>0</v>
      </c>
      <c r="CF570" t="inlineStr">
        <is>
          <t>Cobranzas_2026.csv</t>
        </is>
      </c>
      <c r="CG570" t="n">
        <v>2026</v>
      </c>
      <c r="CH570" t="inlineStr">
        <is>
          <t>01/01/2024</t>
        </is>
      </c>
      <c r="CI570" t="inlineStr">
        <is>
          <t>24/08/2031</t>
        </is>
      </c>
    </row>
    <row r="571">
      <c r="A571" t="inlineStr">
        <is>
          <t>RESIDENCIAL BEYOND</t>
        </is>
      </c>
      <c r="B571" t="inlineStr">
        <is>
          <t>Etapa 1</t>
        </is>
      </c>
      <c r="C571" t="inlineStr">
        <is>
          <t>Edificio</t>
        </is>
      </c>
      <c r="D571" t="inlineStr">
        <is>
          <t>A</t>
        </is>
      </c>
      <c r="E571" t="inlineStr">
        <is>
          <t>Departamento</t>
        </is>
      </c>
      <c r="F571" t="inlineStr">
        <is>
          <t>602</t>
        </is>
      </c>
      <c r="G571" t="n">
        <v>57</v>
      </c>
      <c r="H571" t="n">
        <v>0</v>
      </c>
      <c r="I571" s="39" t="n">
        <v>430000</v>
      </c>
      <c r="J571" s="39" t="n">
        <v>400000</v>
      </c>
      <c r="Q571" s="39" t="n"/>
      <c r="R571" s="39" t="n"/>
      <c r="Y571" s="39" t="n"/>
      <c r="Z571" s="39" t="n"/>
      <c r="AG571" s="39" t="n"/>
      <c r="AH571" s="39" t="n"/>
      <c r="AI571" t="inlineStr">
        <is>
          <t>Luisa Liliana Esther Erazo Medina</t>
        </is>
      </c>
      <c r="AJ571" t="inlineStr">
        <is>
          <t>74477120</t>
        </is>
      </c>
      <c r="AK571" t="inlineStr">
        <is>
          <t>Jr. Lastenia Larriva Se Llona 526 Urb. Esmeralda</t>
        </is>
      </c>
      <c r="AL571" t="n">
        <v>0</v>
      </c>
      <c r="AM571" t="inlineStr">
        <is>
          <t>922975710</t>
        </is>
      </c>
      <c r="AN571" t="inlineStr">
        <is>
          <t>lulleem95@gmail.com</t>
        </is>
      </c>
      <c r="AO571" t="inlineStr">
        <is>
          <t>LIMA</t>
        </is>
      </c>
      <c r="AP571" t="inlineStr">
        <is>
          <t>BREÑA</t>
        </is>
      </c>
      <c r="AQ571" s="75" t="n">
        <v>46101</v>
      </c>
      <c r="AR571" s="75" t="n">
        <v>46104</v>
      </c>
      <c r="AS571" t="inlineStr">
        <is>
          <t>SEPARACION</t>
        </is>
      </c>
      <c r="AT571" t="n">
        <v>1</v>
      </c>
      <c r="AU571" t="n">
        <v>3000</v>
      </c>
      <c r="AV571" t="n">
        <v>0</v>
      </c>
      <c r="AW571" t="n">
        <v>0</v>
      </c>
      <c r="AX571" s="39" t="n">
        <v>3000</v>
      </c>
      <c r="AY571" s="39" t="n">
        <v>3000</v>
      </c>
      <c r="AZ571" s="39" t="n">
        <v>0</v>
      </c>
      <c r="BA571" t="n">
        <v>0</v>
      </c>
      <c r="BB571" t="inlineStr">
        <is>
          <t>Ahorro</t>
        </is>
      </c>
      <c r="BC571" t="inlineStr">
        <is>
          <t>Banco de Credito del Perú</t>
        </is>
      </c>
      <c r="BD571" t="inlineStr">
        <is>
          <t>194-7325779-0-65</t>
        </is>
      </c>
      <c r="BE571" t="inlineStr">
        <is>
          <t>TRANSFERENCIA BANCARIA</t>
        </is>
      </c>
      <c r="BG571" t="inlineStr">
        <is>
          <t>4280825</t>
        </is>
      </c>
      <c r="BH571" t="inlineStr">
        <is>
          <t>Si</t>
        </is>
      </c>
      <c r="BJ571" t="n">
        <v>4</v>
      </c>
      <c r="BK571" t="inlineStr">
        <is>
          <t>CANCELADO</t>
        </is>
      </c>
      <c r="BV571" t="inlineStr">
        <is>
          <t>Si</t>
        </is>
      </c>
      <c r="BW571" s="76" t="n">
        <v>46122.40486111111</v>
      </c>
      <c r="BX571" t="inlineStr">
        <is>
          <t>Magaly Guevara Perez</t>
        </is>
      </c>
      <c r="BZ571" t="n">
        <v>24</v>
      </c>
      <c r="CA571" t="inlineStr">
        <is>
          <t>01/05/2026 20:15</t>
        </is>
      </c>
      <c r="CB571" t="n">
        <v>0</v>
      </c>
      <c r="CF571" t="inlineStr">
        <is>
          <t>Cobranzas_2026.csv</t>
        </is>
      </c>
      <c r="CG571" t="n">
        <v>2026</v>
      </c>
      <c r="CH571" t="inlineStr">
        <is>
          <t>01/01/2024</t>
        </is>
      </c>
      <c r="CI571" t="inlineStr">
        <is>
          <t>24/08/2031</t>
        </is>
      </c>
    </row>
    <row r="572">
      <c r="A572" t="inlineStr">
        <is>
          <t>RESIDENCIAL BEYOND</t>
        </is>
      </c>
      <c r="B572" t="inlineStr">
        <is>
          <t>Etapa 1</t>
        </is>
      </c>
      <c r="C572" t="inlineStr">
        <is>
          <t>Edificio</t>
        </is>
      </c>
      <c r="D572" t="inlineStr">
        <is>
          <t>A</t>
        </is>
      </c>
      <c r="E572" t="inlineStr">
        <is>
          <t>Departamento</t>
        </is>
      </c>
      <c r="F572" t="inlineStr">
        <is>
          <t>602</t>
        </is>
      </c>
      <c r="G572" t="n">
        <v>57</v>
      </c>
      <c r="H572" t="n">
        <v>0</v>
      </c>
      <c r="I572" s="39" t="n">
        <v>430000</v>
      </c>
      <c r="J572" s="39" t="n">
        <v>400000</v>
      </c>
      <c r="Q572" s="39" t="n"/>
      <c r="R572" s="39" t="n"/>
      <c r="Y572" s="39" t="n"/>
      <c r="Z572" s="39" t="n"/>
      <c r="AG572" s="39" t="n"/>
      <c r="AH572" s="39" t="n"/>
      <c r="AI572" t="inlineStr">
        <is>
          <t>Luisa Liliana Esther Erazo Medina</t>
        </is>
      </c>
      <c r="AJ572" t="inlineStr">
        <is>
          <t>74477120</t>
        </is>
      </c>
      <c r="AK572" t="inlineStr">
        <is>
          <t>Jr. Lastenia Larriva Se Llona 526 Urb. Esmeralda</t>
        </is>
      </c>
      <c r="AL572" t="n">
        <v>0</v>
      </c>
      <c r="AM572" t="inlineStr">
        <is>
          <t>922975710</t>
        </is>
      </c>
      <c r="AN572" t="inlineStr">
        <is>
          <t>lulleem95@gmail.com</t>
        </is>
      </c>
      <c r="AO572" t="inlineStr">
        <is>
          <t>LIMA</t>
        </is>
      </c>
      <c r="AP572" t="inlineStr">
        <is>
          <t>BREÑA</t>
        </is>
      </c>
      <c r="AQ572" s="75" t="n">
        <v>46122</v>
      </c>
      <c r="AR572" s="75" t="n">
        <v>46122</v>
      </c>
      <c r="AS572" t="inlineStr">
        <is>
          <t>CUOTA INICIAL</t>
        </is>
      </c>
      <c r="AT572" t="n">
        <v>1</v>
      </c>
      <c r="AU572" t="n">
        <v>20000</v>
      </c>
      <c r="AV572" t="n">
        <v>0</v>
      </c>
      <c r="AW572" t="n">
        <v>0</v>
      </c>
      <c r="AX572" s="39" t="n">
        <v>20000</v>
      </c>
      <c r="AY572" s="39" t="n">
        <v>20000</v>
      </c>
      <c r="AZ572" s="39" t="n">
        <v>0</v>
      </c>
      <c r="BA572" t="n">
        <v>0</v>
      </c>
      <c r="BB572" t="inlineStr">
        <is>
          <t>Ahorro</t>
        </is>
      </c>
      <c r="BC572" t="inlineStr">
        <is>
          <t>Banco de Credito del Perú</t>
        </is>
      </c>
      <c r="BD572" t="inlineStr">
        <is>
          <t>194-7325779-0-65</t>
        </is>
      </c>
      <c r="BE572" t="inlineStr">
        <is>
          <t>TRANSFERENCIA BANCARIA</t>
        </is>
      </c>
      <c r="BG572" t="inlineStr">
        <is>
          <t>03954028</t>
        </is>
      </c>
      <c r="BH572" t="inlineStr">
        <is>
          <t>No</t>
        </is>
      </c>
      <c r="BJ572" t="n">
        <v>4</v>
      </c>
      <c r="BK572" t="inlineStr">
        <is>
          <t>CANCELADO</t>
        </is>
      </c>
      <c r="BV572" t="inlineStr">
        <is>
          <t>Si</t>
        </is>
      </c>
      <c r="BW572" s="76" t="n">
        <v>46122.40486111111</v>
      </c>
      <c r="BX572" t="inlineStr">
        <is>
          <t>Magaly Guevara Perez</t>
        </is>
      </c>
      <c r="BZ572" t="n">
        <v>24</v>
      </c>
      <c r="CA572" t="inlineStr">
        <is>
          <t>24/05/2026 14:32</t>
        </is>
      </c>
      <c r="CB572" t="n">
        <v>0</v>
      </c>
      <c r="CF572" t="inlineStr">
        <is>
          <t>Cobranzas_2026.csv</t>
        </is>
      </c>
      <c r="CG572" t="n">
        <v>2026</v>
      </c>
      <c r="CH572" t="inlineStr">
        <is>
          <t>01/01/2024</t>
        </is>
      </c>
      <c r="CI572" t="inlineStr">
        <is>
          <t>24/08/2031</t>
        </is>
      </c>
    </row>
    <row r="573">
      <c r="A573" t="inlineStr">
        <is>
          <t>RESIDENCIAL BEYOND</t>
        </is>
      </c>
      <c r="B573" t="inlineStr">
        <is>
          <t>Etapa 1</t>
        </is>
      </c>
      <c r="C573" t="inlineStr">
        <is>
          <t>Edificio</t>
        </is>
      </c>
      <c r="D573" t="inlineStr">
        <is>
          <t>A</t>
        </is>
      </c>
      <c r="E573" t="inlineStr">
        <is>
          <t>Departamento</t>
        </is>
      </c>
      <c r="F573" t="inlineStr">
        <is>
          <t>602</t>
        </is>
      </c>
      <c r="G573" t="n">
        <v>57</v>
      </c>
      <c r="H573" t="n">
        <v>0</v>
      </c>
      <c r="I573" s="39" t="n">
        <v>430000</v>
      </c>
      <c r="J573" s="39" t="n">
        <v>400000</v>
      </c>
      <c r="Q573" s="39" t="n"/>
      <c r="R573" s="39" t="n"/>
      <c r="Y573" s="39" t="n"/>
      <c r="Z573" s="39" t="n"/>
      <c r="AG573" s="39" t="n"/>
      <c r="AH573" s="39" t="n"/>
      <c r="AI573" t="inlineStr">
        <is>
          <t>Luisa Liliana Esther Erazo Medina</t>
        </is>
      </c>
      <c r="AJ573" t="inlineStr">
        <is>
          <t>74477120</t>
        </is>
      </c>
      <c r="AK573" t="inlineStr">
        <is>
          <t>Jr. Lastenia Larriva Se Llona 526 Urb. Esmeralda</t>
        </is>
      </c>
      <c r="AL573" t="n">
        <v>0</v>
      </c>
      <c r="AM573" t="inlineStr">
        <is>
          <t>922975710</t>
        </is>
      </c>
      <c r="AN573" t="inlineStr">
        <is>
          <t>lulleem95@gmail.com</t>
        </is>
      </c>
      <c r="AO573" t="inlineStr">
        <is>
          <t>LIMA</t>
        </is>
      </c>
      <c r="AP573" t="inlineStr">
        <is>
          <t>BREÑA</t>
        </is>
      </c>
      <c r="AQ573" s="75" t="n">
        <v>46234</v>
      </c>
      <c r="AR573" s="75" t="n"/>
      <c r="AS573" t="inlineStr">
        <is>
          <t>CUOTA INICIAL</t>
        </is>
      </c>
      <c r="AT573" t="n">
        <v>2</v>
      </c>
      <c r="AU573" t="n">
        <v>30000</v>
      </c>
      <c r="AV573" t="n">
        <v>0</v>
      </c>
      <c r="AW573" t="n">
        <v>0</v>
      </c>
      <c r="AX573" s="39" t="n">
        <v>30000</v>
      </c>
      <c r="AY573" s="39" t="n">
        <v>0</v>
      </c>
      <c r="AZ573" s="39" t="n">
        <v>30000</v>
      </c>
      <c r="BB573" t="inlineStr">
        <is>
          <t>Ahorro</t>
        </is>
      </c>
      <c r="BH573" t="inlineStr">
        <is>
          <t>No</t>
        </is>
      </c>
      <c r="BK573" t="inlineStr">
        <is>
          <t>VENCIDO</t>
        </is>
      </c>
      <c r="BV573" t="inlineStr">
        <is>
          <t>No</t>
        </is>
      </c>
      <c r="BW573" s="76" t="n">
        <v>46122.40486111111</v>
      </c>
      <c r="BX573" t="inlineStr">
        <is>
          <t>Magaly Guevara Perez</t>
        </is>
      </c>
      <c r="BZ573" t="n">
        <v>24</v>
      </c>
      <c r="CB573" t="n">
        <v>0</v>
      </c>
      <c r="CF573" t="inlineStr">
        <is>
          <t>Cobranzas_2026.csv</t>
        </is>
      </c>
      <c r="CG573" t="n">
        <v>2026</v>
      </c>
      <c r="CH573" t="inlineStr">
        <is>
          <t>01/01/2024</t>
        </is>
      </c>
      <c r="CI573" t="inlineStr">
        <is>
          <t>24/08/2031</t>
        </is>
      </c>
    </row>
    <row r="574">
      <c r="A574" t="inlineStr">
        <is>
          <t>RESIDENCIAL BEYOND</t>
        </is>
      </c>
      <c r="B574" t="inlineStr">
        <is>
          <t>Etapa 1</t>
        </is>
      </c>
      <c r="C574" t="inlineStr">
        <is>
          <t>Edificio</t>
        </is>
      </c>
      <c r="D574" t="inlineStr">
        <is>
          <t>A</t>
        </is>
      </c>
      <c r="E574" t="inlineStr">
        <is>
          <t>Departamento</t>
        </is>
      </c>
      <c r="F574" t="inlineStr">
        <is>
          <t>602</t>
        </is>
      </c>
      <c r="G574" t="n">
        <v>57</v>
      </c>
      <c r="H574" t="n">
        <v>0</v>
      </c>
      <c r="I574" s="39" t="n">
        <v>430000</v>
      </c>
      <c r="J574" s="39" t="n">
        <v>400000</v>
      </c>
      <c r="Q574" s="39" t="n"/>
      <c r="R574" s="39" t="n"/>
      <c r="Y574" s="39" t="n"/>
      <c r="Z574" s="39" t="n"/>
      <c r="AG574" s="39" t="n"/>
      <c r="AH574" s="39" t="n"/>
      <c r="AI574" t="inlineStr">
        <is>
          <t>Luisa Liliana Esther Erazo Medina</t>
        </is>
      </c>
      <c r="AJ574" t="inlineStr">
        <is>
          <t>74477120</t>
        </is>
      </c>
      <c r="AK574" t="inlineStr">
        <is>
          <t>Jr. Lastenia Larriva Se Llona 526 Urb. Esmeralda</t>
        </is>
      </c>
      <c r="AL574" t="n">
        <v>0</v>
      </c>
      <c r="AM574" t="inlineStr">
        <is>
          <t>922975710</t>
        </is>
      </c>
      <c r="AN574" t="inlineStr">
        <is>
          <t>lulleem95@gmail.com</t>
        </is>
      </c>
      <c r="AO574" t="inlineStr">
        <is>
          <t>LIMA</t>
        </is>
      </c>
      <c r="AP574" t="inlineStr">
        <is>
          <t>BREÑA</t>
        </is>
      </c>
      <c r="AQ574" s="75" t="n">
        <v>46265</v>
      </c>
      <c r="AR574" s="75" t="n"/>
      <c r="AS574" t="inlineStr">
        <is>
          <t>SALDO FINANCIAR</t>
        </is>
      </c>
      <c r="AT574" t="n">
        <v>1</v>
      </c>
      <c r="AU574" t="n">
        <v>347000</v>
      </c>
      <c r="AV574" t="n">
        <v>0</v>
      </c>
      <c r="AW574" t="n">
        <v>0</v>
      </c>
      <c r="AX574" s="39" t="n">
        <v>347000</v>
      </c>
      <c r="AY574" s="39" t="n">
        <v>0</v>
      </c>
      <c r="AZ574" s="39" t="n">
        <v>347000</v>
      </c>
      <c r="BB574" t="inlineStr">
        <is>
          <t>Ahorro</t>
        </is>
      </c>
      <c r="BH574" t="inlineStr">
        <is>
          <t>No</t>
        </is>
      </c>
      <c r="BK574" t="inlineStr">
        <is>
          <t>PENDIENTE</t>
        </is>
      </c>
      <c r="BV574" t="inlineStr">
        <is>
          <t>No</t>
        </is>
      </c>
      <c r="BW574" s="76" t="n">
        <v>46122.40486111111</v>
      </c>
      <c r="BX574" t="inlineStr">
        <is>
          <t>Magaly Guevara Perez</t>
        </is>
      </c>
      <c r="BZ574" t="n">
        <v>24</v>
      </c>
      <c r="CB574" t="n">
        <v>0</v>
      </c>
      <c r="CF574" t="inlineStr">
        <is>
          <t>Cobranzas_2026.csv</t>
        </is>
      </c>
      <c r="CG574" t="n">
        <v>2026</v>
      </c>
      <c r="CH574" t="inlineStr">
        <is>
          <t>01/01/2024</t>
        </is>
      </c>
      <c r="CI574" t="inlineStr">
        <is>
          <t>24/08/2031</t>
        </is>
      </c>
    </row>
    <row r="575">
      <c r="A575" t="inlineStr">
        <is>
          <t>RESIDENCIAL BEYOND</t>
        </is>
      </c>
      <c r="B575" t="inlineStr">
        <is>
          <t>Etapa 1</t>
        </is>
      </c>
      <c r="C575" t="inlineStr">
        <is>
          <t>Edificio</t>
        </is>
      </c>
      <c r="D575" t="inlineStr">
        <is>
          <t>A</t>
        </is>
      </c>
      <c r="E575" t="inlineStr">
        <is>
          <t>Departamento</t>
        </is>
      </c>
      <c r="F575" t="inlineStr">
        <is>
          <t>201</t>
        </is>
      </c>
      <c r="G575" t="n">
        <v>70</v>
      </c>
      <c r="H575" t="n">
        <v>0</v>
      </c>
      <c r="I575" s="39" t="n">
        <v>518500</v>
      </c>
      <c r="J575" s="39" t="n">
        <v>469500</v>
      </c>
      <c r="K575" t="inlineStr">
        <is>
          <t>Edificio</t>
        </is>
      </c>
      <c r="L575" t="inlineStr">
        <is>
          <t>A</t>
        </is>
      </c>
      <c r="M575" t="inlineStr">
        <is>
          <t>Estacionamiento</t>
        </is>
      </c>
      <c r="N575" t="inlineStr">
        <is>
          <t>E 16</t>
        </is>
      </c>
      <c r="O575" t="n">
        <v>12.5</v>
      </c>
      <c r="P575" t="n">
        <v>0</v>
      </c>
      <c r="Q575" s="39" t="n">
        <v>50400</v>
      </c>
      <c r="R575" s="39" t="n">
        <v>50400</v>
      </c>
      <c r="Y575" s="39" t="n"/>
      <c r="Z575" s="39" t="n"/>
      <c r="AG575" s="39" t="n"/>
      <c r="AH575" s="39" t="n"/>
      <c r="AI575" t="inlineStr">
        <is>
          <t>Marco Antonio Cordova Oropeza</t>
        </is>
      </c>
      <c r="AJ575" t="inlineStr">
        <is>
          <t>22079563</t>
        </is>
      </c>
      <c r="AK575" t="inlineStr">
        <is>
          <t>Av.Cayetano Heredia 435 Int.1 Urb Fundo Oyague</t>
        </is>
      </c>
      <c r="AL575" t="n">
        <v>0</v>
      </c>
      <c r="AM575" t="inlineStr">
        <is>
          <t>1513-257-6062</t>
        </is>
      </c>
      <c r="AN575" t="inlineStr">
        <is>
          <t>maancoor@gmail.com</t>
        </is>
      </c>
      <c r="AO575" t="inlineStr">
        <is>
          <t>LIMA</t>
        </is>
      </c>
      <c r="AP575" t="inlineStr">
        <is>
          <t>JESUS MARIA</t>
        </is>
      </c>
      <c r="AQ575" s="75" t="n">
        <v>46134</v>
      </c>
      <c r="AR575" s="75" t="n">
        <v>46134</v>
      </c>
      <c r="AS575" t="inlineStr">
        <is>
          <t>CUOTA INICIAL</t>
        </is>
      </c>
      <c r="AT575" t="n">
        <v>1</v>
      </c>
      <c r="AU575" t="n">
        <v>89920</v>
      </c>
      <c r="AV575" t="n">
        <v>0</v>
      </c>
      <c r="AW575" t="n">
        <v>0</v>
      </c>
      <c r="AX575" s="39" t="n">
        <v>89920</v>
      </c>
      <c r="AY575" s="39" t="n">
        <v>89920</v>
      </c>
      <c r="AZ575" s="39" t="n">
        <v>0</v>
      </c>
      <c r="BA575" t="n">
        <v>0</v>
      </c>
      <c r="BB575" t="inlineStr">
        <is>
          <t>Crédito Directo</t>
        </is>
      </c>
      <c r="BC575" t="inlineStr">
        <is>
          <t>Banco de Credito del Perú</t>
        </is>
      </c>
      <c r="BD575" t="inlineStr">
        <is>
          <t>194-7325779-0-65</t>
        </is>
      </c>
      <c r="BE575" t="inlineStr">
        <is>
          <t>TRANSFERENCIA BANCARIA</t>
        </is>
      </c>
      <c r="BF575" t="inlineStr">
        <is>
          <t>22079563</t>
        </is>
      </c>
      <c r="BG575" t="inlineStr">
        <is>
          <t>0697429</t>
        </is>
      </c>
      <c r="BH575" t="inlineStr">
        <is>
          <t>No</t>
        </is>
      </c>
      <c r="BI575" t="inlineStr">
        <is>
          <t>AHORROS PERSONALES</t>
        </is>
      </c>
      <c r="BJ575" t="n">
        <v>4</v>
      </c>
      <c r="BK575" t="inlineStr">
        <is>
          <t>CANCELADO</t>
        </is>
      </c>
      <c r="BP575" t="inlineStr">
        <is>
          <t>18/05/2026 00:00</t>
        </is>
      </c>
      <c r="BQ575" t="n">
        <v>89920</v>
      </c>
      <c r="BR575" t="n">
        <v>100</v>
      </c>
      <c r="BT575" t="inlineStr">
        <is>
          <t>18/05/2026 03:48</t>
        </is>
      </c>
      <c r="BU575" t="inlineStr">
        <is>
          <t>Magaly Guevara Perez</t>
        </is>
      </c>
      <c r="BV575" t="inlineStr">
        <is>
          <t>Si</t>
        </is>
      </c>
      <c r="BW575" s="76" t="n">
        <v>45986.54513888889</v>
      </c>
      <c r="BX575" t="inlineStr">
        <is>
          <t>Magaly Guevara Perez</t>
        </is>
      </c>
      <c r="BZ575" t="n">
        <v>1</v>
      </c>
      <c r="CA575" t="inlineStr">
        <is>
          <t>18/05/2026 03:51</t>
        </is>
      </c>
      <c r="CB575" t="n">
        <v>0</v>
      </c>
      <c r="CF575" t="inlineStr">
        <is>
          <t>Cobranzas_2026.csv</t>
        </is>
      </c>
      <c r="CG575" t="n">
        <v>2026</v>
      </c>
      <c r="CH575" t="inlineStr">
        <is>
          <t>01/01/2024</t>
        </is>
      </c>
      <c r="CI575" t="inlineStr">
        <is>
          <t>24/08/2031</t>
        </is>
      </c>
    </row>
    <row r="576">
      <c r="A576" t="inlineStr">
        <is>
          <t>RESIDENCIAL BEYOND</t>
        </is>
      </c>
      <c r="B576" t="inlineStr">
        <is>
          <t>Etapa 1</t>
        </is>
      </c>
      <c r="C576" t="inlineStr">
        <is>
          <t>Edificio</t>
        </is>
      </c>
      <c r="D576" t="inlineStr">
        <is>
          <t>A</t>
        </is>
      </c>
      <c r="E576" t="inlineStr">
        <is>
          <t>Departamento</t>
        </is>
      </c>
      <c r="F576" t="inlineStr">
        <is>
          <t>201</t>
        </is>
      </c>
      <c r="G576" t="n">
        <v>70</v>
      </c>
      <c r="H576" t="n">
        <v>0</v>
      </c>
      <c r="I576" s="39" t="n">
        <v>518500</v>
      </c>
      <c r="J576" s="39" t="n">
        <v>469500</v>
      </c>
      <c r="K576" t="inlineStr">
        <is>
          <t>Edificio</t>
        </is>
      </c>
      <c r="L576" t="inlineStr">
        <is>
          <t>A</t>
        </is>
      </c>
      <c r="M576" t="inlineStr">
        <is>
          <t>Estacionamiento</t>
        </is>
      </c>
      <c r="N576" t="inlineStr">
        <is>
          <t>E 16</t>
        </is>
      </c>
      <c r="O576" t="n">
        <v>12.5</v>
      </c>
      <c r="P576" t="n">
        <v>0</v>
      </c>
      <c r="Q576" s="39" t="n">
        <v>50400</v>
      </c>
      <c r="R576" s="39" t="n">
        <v>50400</v>
      </c>
      <c r="Y576" s="39" t="n"/>
      <c r="Z576" s="39" t="n"/>
      <c r="AG576" s="39" t="n"/>
      <c r="AH576" s="39" t="n"/>
      <c r="AI576" t="inlineStr">
        <is>
          <t>Marco Antonio Cordova Oropeza</t>
        </is>
      </c>
      <c r="AJ576" t="inlineStr">
        <is>
          <t>22079563</t>
        </is>
      </c>
      <c r="AK576" t="inlineStr">
        <is>
          <t>Av.Cayetano Heredia 435 Int.1 Urb Fundo Oyague</t>
        </is>
      </c>
      <c r="AL576" t="n">
        <v>0</v>
      </c>
      <c r="AM576" t="inlineStr">
        <is>
          <t>1513-257-6062</t>
        </is>
      </c>
      <c r="AN576" t="inlineStr">
        <is>
          <t>maancoor@gmail.com</t>
        </is>
      </c>
      <c r="AO576" t="inlineStr">
        <is>
          <t>LIMA</t>
        </is>
      </c>
      <c r="AP576" t="inlineStr">
        <is>
          <t>JESUS MARIA</t>
        </is>
      </c>
      <c r="AQ576" s="75" t="n">
        <v>46231</v>
      </c>
      <c r="AR576" s="75" t="n">
        <v>46224</v>
      </c>
      <c r="AS576" t="inlineStr">
        <is>
          <t>SALDO FINANCIAR</t>
        </is>
      </c>
      <c r="AT576" t="n">
        <v>1</v>
      </c>
      <c r="AU576" t="n">
        <v>37270.91</v>
      </c>
      <c r="AV576" t="n">
        <v>0</v>
      </c>
      <c r="AW576" t="n">
        <v>0</v>
      </c>
      <c r="AX576" s="39" t="n">
        <v>37270.91</v>
      </c>
      <c r="AY576" s="39" t="n">
        <v>37270.91</v>
      </c>
      <c r="AZ576" s="39" t="n">
        <v>0</v>
      </c>
      <c r="BA576" t="n">
        <v>0</v>
      </c>
      <c r="BB576" t="inlineStr">
        <is>
          <t>Crédito Directo</t>
        </is>
      </c>
      <c r="BC576" t="inlineStr">
        <is>
          <t>Banco de Credito del Perú</t>
        </is>
      </c>
      <c r="BD576" t="inlineStr">
        <is>
          <t>194-7325779-0-65</t>
        </is>
      </c>
      <c r="BE576" t="inlineStr">
        <is>
          <t>TRANSFERENCIA BANCARIA</t>
        </is>
      </c>
      <c r="BG576" t="inlineStr">
        <is>
          <t>0683287</t>
        </is>
      </c>
      <c r="BH576" t="inlineStr">
        <is>
          <t>No</t>
        </is>
      </c>
      <c r="BI576" t="inlineStr">
        <is>
          <t>AHORROS PERSONALES</t>
        </is>
      </c>
      <c r="BJ576" t="n">
        <v>4</v>
      </c>
      <c r="BK576" t="inlineStr">
        <is>
          <t>CANCELADO</t>
        </is>
      </c>
      <c r="BV576" t="inlineStr">
        <is>
          <t>Si</t>
        </is>
      </c>
      <c r="BW576" s="76" t="n">
        <v>45986.54513888889</v>
      </c>
      <c r="BX576" t="inlineStr">
        <is>
          <t>Magaly Guevara Perez</t>
        </is>
      </c>
      <c r="BZ576" t="n">
        <v>1</v>
      </c>
      <c r="CA576" t="inlineStr">
        <is>
          <t>12/08/2026 15:09</t>
        </is>
      </c>
      <c r="CB576" t="n">
        <v>0</v>
      </c>
      <c r="CF576" t="inlineStr">
        <is>
          <t>Cobranzas_2026.csv</t>
        </is>
      </c>
      <c r="CG576" t="n">
        <v>2026</v>
      </c>
      <c r="CH576" t="inlineStr">
        <is>
          <t>01/01/2024</t>
        </is>
      </c>
      <c r="CI576" t="inlineStr">
        <is>
          <t>24/08/2031</t>
        </is>
      </c>
    </row>
    <row r="577">
      <c r="A577" t="inlineStr">
        <is>
          <t>RESIDENCIAL BEYOND</t>
        </is>
      </c>
      <c r="B577" t="inlineStr">
        <is>
          <t>Etapa 1</t>
        </is>
      </c>
      <c r="C577" t="inlineStr">
        <is>
          <t>Edificio</t>
        </is>
      </c>
      <c r="D577" t="inlineStr">
        <is>
          <t>A</t>
        </is>
      </c>
      <c r="E577" t="inlineStr">
        <is>
          <t>Departamento</t>
        </is>
      </c>
      <c r="F577" t="inlineStr">
        <is>
          <t>201</t>
        </is>
      </c>
      <c r="G577" t="n">
        <v>70</v>
      </c>
      <c r="H577" t="n">
        <v>0</v>
      </c>
      <c r="I577" s="39" t="n">
        <v>518500</v>
      </c>
      <c r="J577" s="39" t="n">
        <v>469500</v>
      </c>
      <c r="K577" t="inlineStr">
        <is>
          <t>Edificio</t>
        </is>
      </c>
      <c r="L577" t="inlineStr">
        <is>
          <t>A</t>
        </is>
      </c>
      <c r="M577" t="inlineStr">
        <is>
          <t>Estacionamiento</t>
        </is>
      </c>
      <c r="N577" t="inlineStr">
        <is>
          <t>E 16</t>
        </is>
      </c>
      <c r="O577" t="n">
        <v>12.5</v>
      </c>
      <c r="P577" t="n">
        <v>0</v>
      </c>
      <c r="Q577" s="39" t="n">
        <v>50400</v>
      </c>
      <c r="R577" s="39" t="n">
        <v>50400</v>
      </c>
      <c r="Y577" s="39" t="n"/>
      <c r="Z577" s="39" t="n"/>
      <c r="AG577" s="39" t="n"/>
      <c r="AH577" s="39" t="n"/>
      <c r="AI577" t="inlineStr">
        <is>
          <t>Marco Antonio Cordova Oropeza</t>
        </is>
      </c>
      <c r="AJ577" t="inlineStr">
        <is>
          <t>22079563</t>
        </is>
      </c>
      <c r="AK577" t="inlineStr">
        <is>
          <t>Av.Cayetano Heredia 435 Int.1 Urb Fundo Oyague</t>
        </is>
      </c>
      <c r="AL577" t="n">
        <v>0</v>
      </c>
      <c r="AM577" t="inlineStr">
        <is>
          <t>1513-257-6062</t>
        </is>
      </c>
      <c r="AN577" t="inlineStr">
        <is>
          <t>maancoor@gmail.com</t>
        </is>
      </c>
      <c r="AO577" t="inlineStr">
        <is>
          <t>LIMA</t>
        </is>
      </c>
      <c r="AP577" t="inlineStr">
        <is>
          <t>JESUS MARIA</t>
        </is>
      </c>
      <c r="AQ577" s="75" t="n">
        <v>46262</v>
      </c>
      <c r="AR577" s="75" t="n">
        <v>46258</v>
      </c>
      <c r="AS577" t="inlineStr">
        <is>
          <t>SALDO FINANCIAR</t>
        </is>
      </c>
      <c r="AT577" t="n">
        <v>2</v>
      </c>
      <c r="AU577" t="n">
        <v>37270.91</v>
      </c>
      <c r="AV577" t="n">
        <v>0</v>
      </c>
      <c r="AW577" t="n">
        <v>0</v>
      </c>
      <c r="AX577" s="39" t="n">
        <v>37270.91</v>
      </c>
      <c r="AY577" s="39" t="n">
        <v>37270.91</v>
      </c>
      <c r="AZ577" s="39" t="n">
        <v>0</v>
      </c>
      <c r="BA577" t="n">
        <v>0</v>
      </c>
      <c r="BB577" t="inlineStr">
        <is>
          <t>Crédito Directo</t>
        </is>
      </c>
      <c r="BC577" t="inlineStr">
        <is>
          <t>Banco de Credito del Perú</t>
        </is>
      </c>
      <c r="BD577" t="inlineStr">
        <is>
          <t>194-7325779-0-65</t>
        </is>
      </c>
      <c r="BE577" t="inlineStr">
        <is>
          <t>DEPOSITO EN CUENTA</t>
        </is>
      </c>
      <c r="BG577" t="inlineStr">
        <is>
          <t>1930178170153624</t>
        </is>
      </c>
      <c r="BH577" t="inlineStr">
        <is>
          <t>No</t>
        </is>
      </c>
      <c r="BI577" t="inlineStr">
        <is>
          <t>AHORROS PERSONALES</t>
        </is>
      </c>
      <c r="BJ577" t="n">
        <v>4</v>
      </c>
      <c r="BK577" t="inlineStr">
        <is>
          <t>CANCELADO</t>
        </is>
      </c>
      <c r="BV577" t="inlineStr">
        <is>
          <t>Si</t>
        </is>
      </c>
      <c r="BW577" s="76" t="n">
        <v>45986.54513888889</v>
      </c>
      <c r="BX577" t="inlineStr">
        <is>
          <t>Magaly Guevara Perez</t>
        </is>
      </c>
      <c r="BZ577" t="n">
        <v>1</v>
      </c>
      <c r="CA577" t="inlineStr">
        <is>
          <t>24/08/2026 15:27</t>
        </is>
      </c>
      <c r="CB577" t="n">
        <v>0</v>
      </c>
      <c r="CF577" t="inlineStr">
        <is>
          <t>Cobranzas_2026.csv</t>
        </is>
      </c>
      <c r="CG577" t="n">
        <v>2026</v>
      </c>
      <c r="CH577" t="inlineStr">
        <is>
          <t>01/01/2024</t>
        </is>
      </c>
      <c r="CI577" t="inlineStr">
        <is>
          <t>24/08/2031</t>
        </is>
      </c>
    </row>
    <row r="578">
      <c r="A578" t="inlineStr">
        <is>
          <t>RESIDENCIAL BEYOND</t>
        </is>
      </c>
      <c r="B578" t="inlineStr">
        <is>
          <t>Etapa 1</t>
        </is>
      </c>
      <c r="C578" t="inlineStr">
        <is>
          <t>Edificio</t>
        </is>
      </c>
      <c r="D578" t="inlineStr">
        <is>
          <t>A</t>
        </is>
      </c>
      <c r="E578" t="inlineStr">
        <is>
          <t>Departamento</t>
        </is>
      </c>
      <c r="F578" t="inlineStr">
        <is>
          <t>201</t>
        </is>
      </c>
      <c r="G578" t="n">
        <v>70</v>
      </c>
      <c r="H578" t="n">
        <v>0</v>
      </c>
      <c r="I578" s="39" t="n">
        <v>518500</v>
      </c>
      <c r="J578" s="39" t="n">
        <v>469500</v>
      </c>
      <c r="K578" t="inlineStr">
        <is>
          <t>Edificio</t>
        </is>
      </c>
      <c r="L578" t="inlineStr">
        <is>
          <t>A</t>
        </is>
      </c>
      <c r="M578" t="inlineStr">
        <is>
          <t>Estacionamiento</t>
        </is>
      </c>
      <c r="N578" t="inlineStr">
        <is>
          <t>E 16</t>
        </is>
      </c>
      <c r="O578" t="n">
        <v>12.5</v>
      </c>
      <c r="P578" t="n">
        <v>0</v>
      </c>
      <c r="Q578" s="39" t="n">
        <v>50400</v>
      </c>
      <c r="R578" s="39" t="n">
        <v>50400</v>
      </c>
      <c r="Y578" s="39" t="n"/>
      <c r="Z578" s="39" t="n"/>
      <c r="AG578" s="39" t="n"/>
      <c r="AH578" s="39" t="n"/>
      <c r="AI578" t="inlineStr">
        <is>
          <t>Marco Antonio Cordova Oropeza</t>
        </is>
      </c>
      <c r="AJ578" t="inlineStr">
        <is>
          <t>22079563</t>
        </is>
      </c>
      <c r="AK578" t="inlineStr">
        <is>
          <t>Av.Cayetano Heredia 435 Int.1 Urb Fundo Oyague</t>
        </is>
      </c>
      <c r="AL578" t="n">
        <v>0</v>
      </c>
      <c r="AM578" t="inlineStr">
        <is>
          <t>1513-257-6062</t>
        </is>
      </c>
      <c r="AN578" t="inlineStr">
        <is>
          <t>maancoor@gmail.com</t>
        </is>
      </c>
      <c r="AO578" t="inlineStr">
        <is>
          <t>LIMA</t>
        </is>
      </c>
      <c r="AP578" t="inlineStr">
        <is>
          <t>JESUS MARIA</t>
        </is>
      </c>
      <c r="AQ578" s="75" t="n">
        <v>46293</v>
      </c>
      <c r="AR578" s="75" t="n"/>
      <c r="AS578" t="inlineStr">
        <is>
          <t>SALDO FINANCIAR</t>
        </is>
      </c>
      <c r="AT578" t="n">
        <v>3</v>
      </c>
      <c r="AU578" t="n">
        <v>37270.91</v>
      </c>
      <c r="AV578" t="n">
        <v>0</v>
      </c>
      <c r="AW578" t="n">
        <v>0</v>
      </c>
      <c r="AX578" s="39" t="n">
        <v>37270.91</v>
      </c>
      <c r="AY578" s="39" t="n">
        <v>0</v>
      </c>
      <c r="AZ578" s="39" t="n">
        <v>37270.91</v>
      </c>
      <c r="BB578" t="inlineStr">
        <is>
          <t>Crédito Directo</t>
        </is>
      </c>
      <c r="BH578" t="inlineStr">
        <is>
          <t>No</t>
        </is>
      </c>
      <c r="BK578" t="inlineStr">
        <is>
          <t>PENDIENTE</t>
        </is>
      </c>
      <c r="BV578" t="inlineStr">
        <is>
          <t>No</t>
        </is>
      </c>
      <c r="BW578" s="76" t="n">
        <v>45986.54513888889</v>
      </c>
      <c r="BX578" t="inlineStr">
        <is>
          <t>Magaly Guevara Perez</t>
        </is>
      </c>
      <c r="BZ578" t="n">
        <v>1</v>
      </c>
      <c r="CB578" t="n">
        <v>0</v>
      </c>
      <c r="CF578" t="inlineStr">
        <is>
          <t>Cobranzas_2026.csv</t>
        </is>
      </c>
      <c r="CG578" t="n">
        <v>2026</v>
      </c>
      <c r="CH578" t="inlineStr">
        <is>
          <t>01/01/2024</t>
        </is>
      </c>
      <c r="CI578" t="inlineStr">
        <is>
          <t>24/08/2031</t>
        </is>
      </c>
    </row>
    <row r="579">
      <c r="A579" t="inlineStr">
        <is>
          <t>RESIDENCIAL BEYOND</t>
        </is>
      </c>
      <c r="B579" t="inlineStr">
        <is>
          <t>Etapa 1</t>
        </is>
      </c>
      <c r="C579" t="inlineStr">
        <is>
          <t>Edificio</t>
        </is>
      </c>
      <c r="D579" t="inlineStr">
        <is>
          <t>A</t>
        </is>
      </c>
      <c r="E579" t="inlineStr">
        <is>
          <t>Departamento</t>
        </is>
      </c>
      <c r="F579" t="inlineStr">
        <is>
          <t>201</t>
        </is>
      </c>
      <c r="G579" t="n">
        <v>70</v>
      </c>
      <c r="H579" t="n">
        <v>0</v>
      </c>
      <c r="I579" s="39" t="n">
        <v>518500</v>
      </c>
      <c r="J579" s="39" t="n">
        <v>469500</v>
      </c>
      <c r="K579" t="inlineStr">
        <is>
          <t>Edificio</t>
        </is>
      </c>
      <c r="L579" t="inlineStr">
        <is>
          <t>A</t>
        </is>
      </c>
      <c r="M579" t="inlineStr">
        <is>
          <t>Estacionamiento</t>
        </is>
      </c>
      <c r="N579" t="inlineStr">
        <is>
          <t>E 16</t>
        </is>
      </c>
      <c r="O579" t="n">
        <v>12.5</v>
      </c>
      <c r="P579" t="n">
        <v>0</v>
      </c>
      <c r="Q579" s="39" t="n">
        <v>50400</v>
      </c>
      <c r="R579" s="39" t="n">
        <v>50400</v>
      </c>
      <c r="Y579" s="39" t="n"/>
      <c r="Z579" s="39" t="n"/>
      <c r="AG579" s="39" t="n"/>
      <c r="AH579" s="39" t="n"/>
      <c r="AI579" t="inlineStr">
        <is>
          <t>Marco Antonio Cordova Oropeza</t>
        </is>
      </c>
      <c r="AJ579" t="inlineStr">
        <is>
          <t>22079563</t>
        </is>
      </c>
      <c r="AK579" t="inlineStr">
        <is>
          <t>Av.Cayetano Heredia 435 Int.1 Urb Fundo Oyague</t>
        </is>
      </c>
      <c r="AL579" t="n">
        <v>0</v>
      </c>
      <c r="AM579" t="inlineStr">
        <is>
          <t>1513-257-6062</t>
        </is>
      </c>
      <c r="AN579" t="inlineStr">
        <is>
          <t>maancoor@gmail.com</t>
        </is>
      </c>
      <c r="AO579" t="inlineStr">
        <is>
          <t>LIMA</t>
        </is>
      </c>
      <c r="AP579" t="inlineStr">
        <is>
          <t>JESUS MARIA</t>
        </is>
      </c>
      <c r="AQ579" s="75" t="n">
        <v>46323</v>
      </c>
      <c r="AR579" s="75" t="n"/>
      <c r="AS579" t="inlineStr">
        <is>
          <t>SALDO FINANCIAR</t>
        </is>
      </c>
      <c r="AT579" t="n">
        <v>4</v>
      </c>
      <c r="AU579" t="n">
        <v>37270.91</v>
      </c>
      <c r="AV579" t="n">
        <v>0</v>
      </c>
      <c r="AW579" t="n">
        <v>0</v>
      </c>
      <c r="AX579" s="39" t="n">
        <v>37270.91</v>
      </c>
      <c r="AY579" s="39" t="n">
        <v>0</v>
      </c>
      <c r="AZ579" s="39" t="n">
        <v>37270.91</v>
      </c>
      <c r="BB579" t="inlineStr">
        <is>
          <t>Crédito Directo</t>
        </is>
      </c>
      <c r="BH579" t="inlineStr">
        <is>
          <t>No</t>
        </is>
      </c>
      <c r="BK579" t="inlineStr">
        <is>
          <t>PENDIENTE</t>
        </is>
      </c>
      <c r="BV579" t="inlineStr">
        <is>
          <t>No</t>
        </is>
      </c>
      <c r="BW579" s="76" t="n">
        <v>45986.54513888889</v>
      </c>
      <c r="BX579" t="inlineStr">
        <is>
          <t>Magaly Guevara Perez</t>
        </is>
      </c>
      <c r="BZ579" t="n">
        <v>1</v>
      </c>
      <c r="CB579" t="n">
        <v>0</v>
      </c>
      <c r="CF579" t="inlineStr">
        <is>
          <t>Cobranzas_2026.csv</t>
        </is>
      </c>
      <c r="CG579" t="n">
        <v>2026</v>
      </c>
      <c r="CH579" t="inlineStr">
        <is>
          <t>01/01/2024</t>
        </is>
      </c>
      <c r="CI579" t="inlineStr">
        <is>
          <t>24/08/2031</t>
        </is>
      </c>
    </row>
    <row r="580">
      <c r="A580" t="inlineStr">
        <is>
          <t>RESIDENCIAL BEYOND</t>
        </is>
      </c>
      <c r="B580" t="inlineStr">
        <is>
          <t>Etapa 1</t>
        </is>
      </c>
      <c r="C580" t="inlineStr">
        <is>
          <t>Edificio</t>
        </is>
      </c>
      <c r="D580" t="inlineStr">
        <is>
          <t>A</t>
        </is>
      </c>
      <c r="E580" t="inlineStr">
        <is>
          <t>Departamento</t>
        </is>
      </c>
      <c r="F580" t="inlineStr">
        <is>
          <t>201</t>
        </is>
      </c>
      <c r="G580" t="n">
        <v>70</v>
      </c>
      <c r="H580" t="n">
        <v>0</v>
      </c>
      <c r="I580" s="39" t="n">
        <v>518500</v>
      </c>
      <c r="J580" s="39" t="n">
        <v>469500</v>
      </c>
      <c r="K580" t="inlineStr">
        <is>
          <t>Edificio</t>
        </is>
      </c>
      <c r="L580" t="inlineStr">
        <is>
          <t>A</t>
        </is>
      </c>
      <c r="M580" t="inlineStr">
        <is>
          <t>Estacionamiento</t>
        </is>
      </c>
      <c r="N580" t="inlineStr">
        <is>
          <t>E 16</t>
        </is>
      </c>
      <c r="O580" t="n">
        <v>12.5</v>
      </c>
      <c r="P580" t="n">
        <v>0</v>
      </c>
      <c r="Q580" s="39" t="n">
        <v>50400</v>
      </c>
      <c r="R580" s="39" t="n">
        <v>50400</v>
      </c>
      <c r="Y580" s="39" t="n"/>
      <c r="Z580" s="39" t="n"/>
      <c r="AG580" s="39" t="n"/>
      <c r="AH580" s="39" t="n"/>
      <c r="AI580" t="inlineStr">
        <is>
          <t>Marco Antonio Cordova Oropeza</t>
        </is>
      </c>
      <c r="AJ580" t="inlineStr">
        <is>
          <t>22079563</t>
        </is>
      </c>
      <c r="AK580" t="inlineStr">
        <is>
          <t>Av.Cayetano Heredia 435 Int.1 Urb Fundo Oyague</t>
        </is>
      </c>
      <c r="AL580" t="n">
        <v>0</v>
      </c>
      <c r="AM580" t="inlineStr">
        <is>
          <t>1513-257-6062</t>
        </is>
      </c>
      <c r="AN580" t="inlineStr">
        <is>
          <t>maancoor@gmail.com</t>
        </is>
      </c>
      <c r="AO580" t="inlineStr">
        <is>
          <t>LIMA</t>
        </is>
      </c>
      <c r="AP580" t="inlineStr">
        <is>
          <t>JESUS MARIA</t>
        </is>
      </c>
      <c r="AQ580" s="75" t="n">
        <v>46354</v>
      </c>
      <c r="AR580" s="75" t="n"/>
      <c r="AS580" t="inlineStr">
        <is>
          <t>SALDO FINANCIAR</t>
        </is>
      </c>
      <c r="AT580" t="n">
        <v>5</v>
      </c>
      <c r="AU580" t="n">
        <v>37270.91</v>
      </c>
      <c r="AV580" t="n">
        <v>0</v>
      </c>
      <c r="AW580" t="n">
        <v>0</v>
      </c>
      <c r="AX580" s="39" t="n">
        <v>37270.91</v>
      </c>
      <c r="AY580" s="39" t="n">
        <v>0</v>
      </c>
      <c r="AZ580" s="39" t="n">
        <v>37270.91</v>
      </c>
      <c r="BB580" t="inlineStr">
        <is>
          <t>Crédito Directo</t>
        </is>
      </c>
      <c r="BH580" t="inlineStr">
        <is>
          <t>No</t>
        </is>
      </c>
      <c r="BK580" t="inlineStr">
        <is>
          <t>PENDIENTE</t>
        </is>
      </c>
      <c r="BV580" t="inlineStr">
        <is>
          <t>No</t>
        </is>
      </c>
      <c r="BW580" s="76" t="n">
        <v>45986.54513888889</v>
      </c>
      <c r="BX580" t="inlineStr">
        <is>
          <t>Magaly Guevara Perez</t>
        </is>
      </c>
      <c r="BZ580" t="n">
        <v>1</v>
      </c>
      <c r="CB580" t="n">
        <v>0</v>
      </c>
      <c r="CF580" t="inlineStr">
        <is>
          <t>Cobranzas_2026.csv</t>
        </is>
      </c>
      <c r="CG580" t="n">
        <v>2026</v>
      </c>
      <c r="CH580" t="inlineStr">
        <is>
          <t>01/01/2024</t>
        </is>
      </c>
      <c r="CI580" t="inlineStr">
        <is>
          <t>24/08/2031</t>
        </is>
      </c>
    </row>
    <row r="581">
      <c r="A581" t="inlineStr">
        <is>
          <t>RESIDENCIAL BEYOND</t>
        </is>
      </c>
      <c r="B581" t="inlineStr">
        <is>
          <t>Etapa 1</t>
        </is>
      </c>
      <c r="C581" t="inlineStr">
        <is>
          <t>Edificio</t>
        </is>
      </c>
      <c r="D581" t="inlineStr">
        <is>
          <t>A</t>
        </is>
      </c>
      <c r="E581" t="inlineStr">
        <is>
          <t>Departamento</t>
        </is>
      </c>
      <c r="F581" t="inlineStr">
        <is>
          <t>201</t>
        </is>
      </c>
      <c r="G581" t="n">
        <v>70</v>
      </c>
      <c r="H581" t="n">
        <v>0</v>
      </c>
      <c r="I581" s="39" t="n">
        <v>518500</v>
      </c>
      <c r="J581" s="39" t="n">
        <v>469500</v>
      </c>
      <c r="K581" t="inlineStr">
        <is>
          <t>Edificio</t>
        </is>
      </c>
      <c r="L581" t="inlineStr">
        <is>
          <t>A</t>
        </is>
      </c>
      <c r="M581" t="inlineStr">
        <is>
          <t>Estacionamiento</t>
        </is>
      </c>
      <c r="N581" t="inlineStr">
        <is>
          <t>E 16</t>
        </is>
      </c>
      <c r="O581" t="n">
        <v>12.5</v>
      </c>
      <c r="P581" t="n">
        <v>0</v>
      </c>
      <c r="Q581" s="39" t="n">
        <v>50400</v>
      </c>
      <c r="R581" s="39" t="n">
        <v>50400</v>
      </c>
      <c r="Y581" s="39" t="n"/>
      <c r="Z581" s="39" t="n"/>
      <c r="AG581" s="39" t="n"/>
      <c r="AH581" s="39" t="n"/>
      <c r="AI581" t="inlineStr">
        <is>
          <t>Marco Antonio Cordova Oropeza</t>
        </is>
      </c>
      <c r="AJ581" t="inlineStr">
        <is>
          <t>22079563</t>
        </is>
      </c>
      <c r="AK581" t="inlineStr">
        <is>
          <t>Av.Cayetano Heredia 435 Int.1 Urb Fundo Oyague</t>
        </is>
      </c>
      <c r="AL581" t="n">
        <v>0</v>
      </c>
      <c r="AM581" t="inlineStr">
        <is>
          <t>1513-257-6062</t>
        </is>
      </c>
      <c r="AN581" t="inlineStr">
        <is>
          <t>maancoor@gmail.com</t>
        </is>
      </c>
      <c r="AO581" t="inlineStr">
        <is>
          <t>LIMA</t>
        </is>
      </c>
      <c r="AP581" t="inlineStr">
        <is>
          <t>JESUS MARIA</t>
        </is>
      </c>
      <c r="AQ581" s="75" t="n">
        <v>46384</v>
      </c>
      <c r="AR581" s="75" t="n"/>
      <c r="AS581" t="inlineStr">
        <is>
          <t>SALDO FINANCIAR</t>
        </is>
      </c>
      <c r="AT581" t="n">
        <v>6</v>
      </c>
      <c r="AU581" t="n">
        <v>37270.91</v>
      </c>
      <c r="AV581" t="n">
        <v>0</v>
      </c>
      <c r="AW581" t="n">
        <v>0</v>
      </c>
      <c r="AX581" s="39" t="n">
        <v>37270.91</v>
      </c>
      <c r="AY581" s="39" t="n">
        <v>0</v>
      </c>
      <c r="AZ581" s="39" t="n">
        <v>37270.91</v>
      </c>
      <c r="BB581" t="inlineStr">
        <is>
          <t>Crédito Directo</t>
        </is>
      </c>
      <c r="BH581" t="inlineStr">
        <is>
          <t>No</t>
        </is>
      </c>
      <c r="BK581" t="inlineStr">
        <is>
          <t>PENDIENTE</t>
        </is>
      </c>
      <c r="BV581" t="inlineStr">
        <is>
          <t>No</t>
        </is>
      </c>
      <c r="BW581" s="76" t="n">
        <v>45986.54513888889</v>
      </c>
      <c r="BX581" t="inlineStr">
        <is>
          <t>Magaly Guevara Perez</t>
        </is>
      </c>
      <c r="BZ581" t="n">
        <v>1</v>
      </c>
      <c r="CB581" t="n">
        <v>0</v>
      </c>
      <c r="CF581" t="inlineStr">
        <is>
          <t>Cobranzas_2026.csv</t>
        </is>
      </c>
      <c r="CG581" t="n">
        <v>2026</v>
      </c>
      <c r="CH581" t="inlineStr">
        <is>
          <t>01/01/2024</t>
        </is>
      </c>
      <c r="CI581" t="inlineStr">
        <is>
          <t>24/08/2031</t>
        </is>
      </c>
    </row>
    <row r="582">
      <c r="A582" t="inlineStr">
        <is>
          <t>RESIDENCIAL PRADA</t>
        </is>
      </c>
      <c r="B582" t="inlineStr">
        <is>
          <t>Etapa 1</t>
        </is>
      </c>
      <c r="C582" t="inlineStr">
        <is>
          <t>Edificio</t>
        </is>
      </c>
      <c r="D582" t="inlineStr">
        <is>
          <t>A</t>
        </is>
      </c>
      <c r="E582" t="inlineStr">
        <is>
          <t>Departamento</t>
        </is>
      </c>
      <c r="F582" t="inlineStr">
        <is>
          <t>803</t>
        </is>
      </c>
      <c r="G582" t="n">
        <v>88.27</v>
      </c>
      <c r="H582" t="n">
        <v>0</v>
      </c>
      <c r="I582" s="39" t="n">
        <v>654000</v>
      </c>
      <c r="J582" s="39" t="n">
        <v>654000</v>
      </c>
      <c r="K582" t="inlineStr">
        <is>
          <t>Edificio</t>
        </is>
      </c>
      <c r="L582" t="inlineStr">
        <is>
          <t>A</t>
        </is>
      </c>
      <c r="M582" t="inlineStr">
        <is>
          <t>Estacionamiento</t>
        </is>
      </c>
      <c r="N582" t="inlineStr">
        <is>
          <t>E 32 - D 24</t>
        </is>
      </c>
      <c r="O582" t="n">
        <v>13.5</v>
      </c>
      <c r="P582" t="n">
        <v>1.82</v>
      </c>
      <c r="Q582" s="39" t="n">
        <v>55800</v>
      </c>
      <c r="R582" s="39" t="n">
        <v>55800</v>
      </c>
      <c r="S582" t="inlineStr">
        <is>
          <t>Edificio</t>
        </is>
      </c>
      <c r="T582" t="inlineStr">
        <is>
          <t>A</t>
        </is>
      </c>
      <c r="U582" t="inlineStr">
        <is>
          <t>Estacionamiento</t>
        </is>
      </c>
      <c r="V582" t="inlineStr">
        <is>
          <t>E 33 - D 25</t>
        </is>
      </c>
      <c r="W582" t="n">
        <v>17.1</v>
      </c>
      <c r="X582" t="n">
        <v>2.43</v>
      </c>
      <c r="Y582" s="39" t="n">
        <v>60000</v>
      </c>
      <c r="Z582" s="39" t="n">
        <v>60000</v>
      </c>
      <c r="AG582" s="39" t="n"/>
      <c r="AH582" s="39" t="n"/>
      <c r="AI582" t="inlineStr">
        <is>
          <t>Marco Antonio Cordova Oropeza</t>
        </is>
      </c>
      <c r="AJ582" t="inlineStr">
        <is>
          <t>22079563</t>
        </is>
      </c>
      <c r="AK582" t="inlineStr">
        <is>
          <t>Av.Cayetano Heredia 435 Int.1 Urb Fundo Oyague</t>
        </is>
      </c>
      <c r="AL582" t="n">
        <v>0</v>
      </c>
      <c r="AM582" t="inlineStr">
        <is>
          <t>1513-257-6062</t>
        </is>
      </c>
      <c r="AN582" t="inlineStr">
        <is>
          <t>maancoor@gmail.com</t>
        </is>
      </c>
      <c r="AO582" t="inlineStr">
        <is>
          <t>LIMA</t>
        </is>
      </c>
      <c r="AP582" t="inlineStr">
        <is>
          <t>JESUS MARIA</t>
        </is>
      </c>
      <c r="AQ582" s="75" t="n">
        <v>46037</v>
      </c>
      <c r="AR582" s="75" t="n">
        <v>45964</v>
      </c>
      <c r="AS582" t="inlineStr">
        <is>
          <t>SALDO FINANCIAR</t>
        </is>
      </c>
      <c r="AT582" t="n">
        <v>5</v>
      </c>
      <c r="AU582" t="n">
        <v>65982.86</v>
      </c>
      <c r="AV582" t="n">
        <v>0</v>
      </c>
      <c r="AW582" t="n">
        <v>0</v>
      </c>
      <c r="AX582" s="39" t="n">
        <v>65982.86</v>
      </c>
      <c r="AY582" s="39" t="n">
        <v>65982.86</v>
      </c>
      <c r="AZ582" s="39" t="n">
        <v>0</v>
      </c>
      <c r="BA582" t="n">
        <v>0</v>
      </c>
      <c r="BB582" t="inlineStr">
        <is>
          <t>Crédito Directo</t>
        </is>
      </c>
      <c r="BC582" t="inlineStr">
        <is>
          <t>Scotiabank Perú</t>
        </is>
      </c>
      <c r="BD582" t="inlineStr">
        <is>
          <t>000-2768484</t>
        </is>
      </c>
      <c r="BE582" t="inlineStr">
        <is>
          <t>TRANSFERENCIA BANCARIA</t>
        </is>
      </c>
      <c r="BG582" t="inlineStr">
        <is>
          <t>0210772</t>
        </is>
      </c>
      <c r="BH582" t="inlineStr">
        <is>
          <t>No</t>
        </is>
      </c>
      <c r="BJ582" t="n">
        <v>4</v>
      </c>
      <c r="BK582" t="inlineStr">
        <is>
          <t>CANCELADO</t>
        </is>
      </c>
      <c r="BV582" t="inlineStr">
        <is>
          <t>Si</t>
        </is>
      </c>
      <c r="BW582" s="76" t="n">
        <v>45863.7375</v>
      </c>
      <c r="BX582" t="inlineStr">
        <is>
          <t>Magaly Guevara Perez</t>
        </is>
      </c>
      <c r="BZ582" t="n">
        <v>40</v>
      </c>
      <c r="CA582" t="inlineStr">
        <is>
          <t>03/07/2026 17:38</t>
        </is>
      </c>
      <c r="CB582" t="n">
        <v>0</v>
      </c>
      <c r="CF582" t="inlineStr">
        <is>
          <t>Cobranzas_2026.csv</t>
        </is>
      </c>
      <c r="CG582" t="n">
        <v>2026</v>
      </c>
      <c r="CH582" t="inlineStr">
        <is>
          <t>01/01/2024</t>
        </is>
      </c>
      <c r="CI582" t="inlineStr">
        <is>
          <t>24/08/2031</t>
        </is>
      </c>
    </row>
    <row r="583">
      <c r="A583" t="inlineStr">
        <is>
          <t>RESIDENCIAL PRADA</t>
        </is>
      </c>
      <c r="B583" t="inlineStr">
        <is>
          <t>Etapa 1</t>
        </is>
      </c>
      <c r="C583" t="inlineStr">
        <is>
          <t>Edificio</t>
        </is>
      </c>
      <c r="D583" t="inlineStr">
        <is>
          <t>A</t>
        </is>
      </c>
      <c r="E583" t="inlineStr">
        <is>
          <t>Departamento</t>
        </is>
      </c>
      <c r="F583" t="inlineStr">
        <is>
          <t>803</t>
        </is>
      </c>
      <c r="G583" t="n">
        <v>88.27</v>
      </c>
      <c r="H583" t="n">
        <v>0</v>
      </c>
      <c r="I583" s="39" t="n">
        <v>654000</v>
      </c>
      <c r="J583" s="39" t="n">
        <v>654000</v>
      </c>
      <c r="K583" t="inlineStr">
        <is>
          <t>Edificio</t>
        </is>
      </c>
      <c r="L583" t="inlineStr">
        <is>
          <t>A</t>
        </is>
      </c>
      <c r="M583" t="inlineStr">
        <is>
          <t>Estacionamiento</t>
        </is>
      </c>
      <c r="N583" t="inlineStr">
        <is>
          <t>E 32 - D 24</t>
        </is>
      </c>
      <c r="O583" t="n">
        <v>13.5</v>
      </c>
      <c r="P583" t="n">
        <v>1.82</v>
      </c>
      <c r="Q583" s="39" t="n">
        <v>55800</v>
      </c>
      <c r="R583" s="39" t="n">
        <v>55800</v>
      </c>
      <c r="S583" t="inlineStr">
        <is>
          <t>Edificio</t>
        </is>
      </c>
      <c r="T583" t="inlineStr">
        <is>
          <t>A</t>
        </is>
      </c>
      <c r="U583" t="inlineStr">
        <is>
          <t>Estacionamiento</t>
        </is>
      </c>
      <c r="V583" t="inlineStr">
        <is>
          <t>E 33 - D 25</t>
        </is>
      </c>
      <c r="W583" t="n">
        <v>17.1</v>
      </c>
      <c r="X583" t="n">
        <v>2.43</v>
      </c>
      <c r="Y583" s="39" t="n">
        <v>60000</v>
      </c>
      <c r="Z583" s="39" t="n">
        <v>60000</v>
      </c>
      <c r="AG583" s="39" t="n"/>
      <c r="AH583" s="39" t="n"/>
      <c r="AI583" t="inlineStr">
        <is>
          <t>Marco Antonio Cordova Oropeza</t>
        </is>
      </c>
      <c r="AJ583" t="inlineStr">
        <is>
          <t>22079563</t>
        </is>
      </c>
      <c r="AK583" t="inlineStr">
        <is>
          <t>Av.Cayetano Heredia 435 Int.1 Urb Fundo Oyague</t>
        </is>
      </c>
      <c r="AL583" t="n">
        <v>0</v>
      </c>
      <c r="AM583" t="inlineStr">
        <is>
          <t>1513-257-6062</t>
        </is>
      </c>
      <c r="AN583" t="inlineStr">
        <is>
          <t>maancoor@gmail.com</t>
        </is>
      </c>
      <c r="AO583" t="inlineStr">
        <is>
          <t>LIMA</t>
        </is>
      </c>
      <c r="AP583" t="inlineStr">
        <is>
          <t>JESUS MARIA</t>
        </is>
      </c>
      <c r="AQ583" s="75" t="n">
        <v>46068</v>
      </c>
      <c r="AR583" s="75" t="n">
        <v>46059</v>
      </c>
      <c r="AS583" t="inlineStr">
        <is>
          <t>SALDO FINANCIAR</t>
        </is>
      </c>
      <c r="AT583" t="n">
        <v>6</v>
      </c>
      <c r="AU583" t="n">
        <v>65982.86</v>
      </c>
      <c r="AV583" t="n">
        <v>0</v>
      </c>
      <c r="AW583" t="n">
        <v>0</v>
      </c>
      <c r="AX583" s="39" t="n">
        <v>65982.86</v>
      </c>
      <c r="AY583" s="39" t="n">
        <v>65982.86</v>
      </c>
      <c r="AZ583" s="39" t="n">
        <v>0</v>
      </c>
      <c r="BA583" t="n">
        <v>0</v>
      </c>
      <c r="BB583" t="inlineStr">
        <is>
          <t>Crédito Directo</t>
        </is>
      </c>
      <c r="BC583" t="inlineStr">
        <is>
          <t>Scotiabank Perú</t>
        </is>
      </c>
      <c r="BD583" t="inlineStr">
        <is>
          <t>000-2768484</t>
        </is>
      </c>
      <c r="BE583" t="inlineStr">
        <is>
          <t>TRANSFERENCIA BANCARIA</t>
        </is>
      </c>
      <c r="BG583" t="inlineStr">
        <is>
          <t>0914981</t>
        </is>
      </c>
      <c r="BH583" t="inlineStr">
        <is>
          <t>No</t>
        </is>
      </c>
      <c r="BJ583" t="n">
        <v>4</v>
      </c>
      <c r="BK583" t="inlineStr">
        <is>
          <t>CANCELADO</t>
        </is>
      </c>
      <c r="BV583" t="inlineStr">
        <is>
          <t>Si</t>
        </is>
      </c>
      <c r="BW583" s="76" t="n">
        <v>45863.7375</v>
      </c>
      <c r="BX583" t="inlineStr">
        <is>
          <t>Magaly Guevara Perez</t>
        </is>
      </c>
      <c r="BZ583" t="n">
        <v>40</v>
      </c>
      <c r="CA583" t="inlineStr">
        <is>
          <t>03/07/2026 17:41</t>
        </is>
      </c>
      <c r="CB583" t="n">
        <v>0</v>
      </c>
      <c r="CF583" t="inlineStr">
        <is>
          <t>Cobranzas_2026.csv</t>
        </is>
      </c>
      <c r="CG583" t="n">
        <v>2026</v>
      </c>
      <c r="CH583" t="inlineStr">
        <is>
          <t>01/01/2024</t>
        </is>
      </c>
      <c r="CI583" t="inlineStr">
        <is>
          <t>24/08/2031</t>
        </is>
      </c>
    </row>
    <row r="584">
      <c r="A584" t="inlineStr">
        <is>
          <t>RESIDENCIAL PRADA</t>
        </is>
      </c>
      <c r="B584" t="inlineStr">
        <is>
          <t>Etapa 1</t>
        </is>
      </c>
      <c r="C584" t="inlineStr">
        <is>
          <t>Edificio</t>
        </is>
      </c>
      <c r="D584" t="inlineStr">
        <is>
          <t>A</t>
        </is>
      </c>
      <c r="E584" t="inlineStr">
        <is>
          <t>Departamento</t>
        </is>
      </c>
      <c r="F584" t="inlineStr">
        <is>
          <t>803</t>
        </is>
      </c>
      <c r="G584" t="n">
        <v>88.27</v>
      </c>
      <c r="H584" t="n">
        <v>0</v>
      </c>
      <c r="I584" s="39" t="n">
        <v>654000</v>
      </c>
      <c r="J584" s="39" t="n">
        <v>654000</v>
      </c>
      <c r="K584" t="inlineStr">
        <is>
          <t>Edificio</t>
        </is>
      </c>
      <c r="L584" t="inlineStr">
        <is>
          <t>A</t>
        </is>
      </c>
      <c r="M584" t="inlineStr">
        <is>
          <t>Estacionamiento</t>
        </is>
      </c>
      <c r="N584" t="inlineStr">
        <is>
          <t>E 32 - D 24</t>
        </is>
      </c>
      <c r="O584" t="n">
        <v>13.5</v>
      </c>
      <c r="P584" t="n">
        <v>1.82</v>
      </c>
      <c r="Q584" s="39" t="n">
        <v>55800</v>
      </c>
      <c r="R584" s="39" t="n">
        <v>55800</v>
      </c>
      <c r="S584" t="inlineStr">
        <is>
          <t>Edificio</t>
        </is>
      </c>
      <c r="T584" t="inlineStr">
        <is>
          <t>A</t>
        </is>
      </c>
      <c r="U584" t="inlineStr">
        <is>
          <t>Estacionamiento</t>
        </is>
      </c>
      <c r="V584" t="inlineStr">
        <is>
          <t>E 33 - D 25</t>
        </is>
      </c>
      <c r="W584" t="n">
        <v>17.1</v>
      </c>
      <c r="X584" t="n">
        <v>2.43</v>
      </c>
      <c r="Y584" s="39" t="n">
        <v>60000</v>
      </c>
      <c r="Z584" s="39" t="n">
        <v>60000</v>
      </c>
      <c r="AG584" s="39" t="n"/>
      <c r="AH584" s="39" t="n"/>
      <c r="AI584" t="inlineStr">
        <is>
          <t>Marco Antonio Cordova Oropeza</t>
        </is>
      </c>
      <c r="AJ584" t="inlineStr">
        <is>
          <t>22079563</t>
        </is>
      </c>
      <c r="AK584" t="inlineStr">
        <is>
          <t>Av.Cayetano Heredia 435 Int.1 Urb Fundo Oyague</t>
        </is>
      </c>
      <c r="AL584" t="n">
        <v>0</v>
      </c>
      <c r="AM584" t="inlineStr">
        <is>
          <t>1513-257-6062</t>
        </is>
      </c>
      <c r="AN584" t="inlineStr">
        <is>
          <t>maancoor@gmail.com</t>
        </is>
      </c>
      <c r="AO584" t="inlineStr">
        <is>
          <t>LIMA</t>
        </is>
      </c>
      <c r="AP584" t="inlineStr">
        <is>
          <t>JESUS MARIA</t>
        </is>
      </c>
      <c r="AQ584" s="75" t="n">
        <v>46096</v>
      </c>
      <c r="AR584" s="75" t="n">
        <v>46059</v>
      </c>
      <c r="AS584" t="inlineStr">
        <is>
          <t>SALDO FINANCIAR</t>
        </is>
      </c>
      <c r="AT584" t="n">
        <v>7</v>
      </c>
      <c r="AU584" t="n">
        <v>65982.84</v>
      </c>
      <c r="AV584" t="n">
        <v>0</v>
      </c>
      <c r="AW584" t="n">
        <v>0</v>
      </c>
      <c r="AX584" s="39" t="n">
        <v>65982.84</v>
      </c>
      <c r="AY584" s="39" t="n">
        <v>65982.84</v>
      </c>
      <c r="AZ584" s="39" t="n">
        <v>0</v>
      </c>
      <c r="BA584" t="n">
        <v>0</v>
      </c>
      <c r="BB584" t="inlineStr">
        <is>
          <t>Crédito Directo</t>
        </is>
      </c>
      <c r="BC584" t="inlineStr">
        <is>
          <t>Scotiabank Perú</t>
        </is>
      </c>
      <c r="BD584" t="inlineStr">
        <is>
          <t>000-2768484</t>
        </is>
      </c>
      <c r="BE584" t="inlineStr">
        <is>
          <t>TRANSFERENCIA BANCARIA</t>
        </is>
      </c>
      <c r="BG584" t="inlineStr">
        <is>
          <t>0914981</t>
        </is>
      </c>
      <c r="BH584" t="inlineStr">
        <is>
          <t>No</t>
        </is>
      </c>
      <c r="BJ584" t="n">
        <v>4</v>
      </c>
      <c r="BK584" t="inlineStr">
        <is>
          <t>CANCELADO</t>
        </is>
      </c>
      <c r="BV584" t="inlineStr">
        <is>
          <t>Si</t>
        </is>
      </c>
      <c r="BW584" s="76" t="n">
        <v>45863.7375</v>
      </c>
      <c r="BX584" t="inlineStr">
        <is>
          <t>Magaly Guevara Perez</t>
        </is>
      </c>
      <c r="BZ584" t="n">
        <v>40</v>
      </c>
      <c r="CA584" t="inlineStr">
        <is>
          <t>03/07/2026 17:41</t>
        </is>
      </c>
      <c r="CB584" t="n">
        <v>0</v>
      </c>
      <c r="CF584" t="inlineStr">
        <is>
          <t>Cobranzas_2026.csv</t>
        </is>
      </c>
      <c r="CG584" t="n">
        <v>2026</v>
      </c>
      <c r="CH584" t="inlineStr">
        <is>
          <t>01/01/2024</t>
        </is>
      </c>
      <c r="CI584" t="inlineStr">
        <is>
          <t>24/08/2031</t>
        </is>
      </c>
    </row>
    <row r="585">
      <c r="A585" t="inlineStr">
        <is>
          <t>RESIDENCIAL PRADA</t>
        </is>
      </c>
      <c r="B585" t="inlineStr">
        <is>
          <t>Etapa 1</t>
        </is>
      </c>
      <c r="C585" t="inlineStr">
        <is>
          <t>Edificio</t>
        </is>
      </c>
      <c r="D585" t="inlineStr">
        <is>
          <t>A</t>
        </is>
      </c>
      <c r="E585" t="inlineStr">
        <is>
          <t>Estacionamiento</t>
        </is>
      </c>
      <c r="F585" t="inlineStr">
        <is>
          <t>E 03 - D 01</t>
        </is>
      </c>
      <c r="G585" t="n">
        <v>12.5</v>
      </c>
      <c r="H585" t="n">
        <v>1.3</v>
      </c>
      <c r="I585" s="39" t="n">
        <v>52500</v>
      </c>
      <c r="J585" s="39" t="n">
        <v>52500</v>
      </c>
      <c r="Q585" s="39" t="n"/>
      <c r="R585" s="39" t="n"/>
      <c r="Y585" s="39" t="n"/>
      <c r="Z585" s="39" t="n"/>
      <c r="AG585" s="39" t="n"/>
      <c r="AH585" s="39" t="n"/>
      <c r="AI585" t="inlineStr">
        <is>
          <t>Marco Antonio Cordova Oropeza</t>
        </is>
      </c>
      <c r="AJ585" t="inlineStr">
        <is>
          <t>22079563</t>
        </is>
      </c>
      <c r="AK585" t="inlineStr">
        <is>
          <t>Av.Cayetano Heredia 435 Int.1 Urb Fundo Oyague</t>
        </is>
      </c>
      <c r="AL585" t="n">
        <v>0</v>
      </c>
      <c r="AM585" t="inlineStr">
        <is>
          <t>1513-257-6062</t>
        </is>
      </c>
      <c r="AN585" t="inlineStr">
        <is>
          <t>maancoor@gmail.com</t>
        </is>
      </c>
      <c r="AO585" t="inlineStr">
        <is>
          <t>LIMA</t>
        </is>
      </c>
      <c r="AP585" t="inlineStr">
        <is>
          <t>JESUS MARIA</t>
        </is>
      </c>
      <c r="AQ585" s="75" t="n">
        <v>46192</v>
      </c>
      <c r="AR585" s="75" t="n">
        <v>46192</v>
      </c>
      <c r="AS585" t="inlineStr">
        <is>
          <t>SEPARACION</t>
        </is>
      </c>
      <c r="AT585" t="n">
        <v>1</v>
      </c>
      <c r="AU585" t="n">
        <v>1</v>
      </c>
      <c r="AV585" t="n">
        <v>0</v>
      </c>
      <c r="AW585" t="n">
        <v>0</v>
      </c>
      <c r="AX585" s="39" t="n">
        <v>1</v>
      </c>
      <c r="AY585" s="39" t="n">
        <v>1</v>
      </c>
      <c r="AZ585" s="39" t="n">
        <v>0</v>
      </c>
      <c r="BA585" t="n">
        <v>0</v>
      </c>
      <c r="BB585" t="inlineStr">
        <is>
          <t>Crédito Directo</t>
        </is>
      </c>
      <c r="BC585" t="inlineStr">
        <is>
          <t>Scotiabank Perú</t>
        </is>
      </c>
      <c r="BD585" t="inlineStr">
        <is>
          <t>000-2768484</t>
        </is>
      </c>
      <c r="BE585" t="inlineStr">
        <is>
          <t>TRANSFERENCIA BANCARIA</t>
        </is>
      </c>
      <c r="BG585" t="inlineStr">
        <is>
          <t>05225356</t>
        </is>
      </c>
      <c r="BH585" t="inlineStr">
        <is>
          <t>No</t>
        </is>
      </c>
      <c r="BJ585" t="n">
        <v>4</v>
      </c>
      <c r="BK585" t="inlineStr">
        <is>
          <t>CANCELADO</t>
        </is>
      </c>
      <c r="BV585" t="inlineStr">
        <is>
          <t>Si</t>
        </is>
      </c>
      <c r="BW585" s="76" t="n">
        <v>45989.74652777778</v>
      </c>
      <c r="BX585" t="inlineStr">
        <is>
          <t>Magaly Guevara Perez</t>
        </is>
      </c>
      <c r="BZ585" t="n">
        <v>39</v>
      </c>
      <c r="CA585" t="inlineStr">
        <is>
          <t>24/06/2026 17:40</t>
        </is>
      </c>
      <c r="CB585" t="n">
        <v>0</v>
      </c>
      <c r="CF585" t="inlineStr">
        <is>
          <t>Cobranzas_2026.csv</t>
        </is>
      </c>
      <c r="CG585" t="n">
        <v>2026</v>
      </c>
      <c r="CH585" t="inlineStr">
        <is>
          <t>01/01/2024</t>
        </is>
      </c>
      <c r="CI585" t="inlineStr">
        <is>
          <t>24/08/2031</t>
        </is>
      </c>
    </row>
    <row r="586">
      <c r="A586" t="inlineStr">
        <is>
          <t>RESIDENCIAL PRADA</t>
        </is>
      </c>
      <c r="B586" t="inlineStr">
        <is>
          <t>Etapa 1</t>
        </is>
      </c>
      <c r="C586" t="inlineStr">
        <is>
          <t>Edificio</t>
        </is>
      </c>
      <c r="D586" t="inlineStr">
        <is>
          <t>A</t>
        </is>
      </c>
      <c r="E586" t="inlineStr">
        <is>
          <t>Estacionamiento</t>
        </is>
      </c>
      <c r="F586" t="inlineStr">
        <is>
          <t>E 03 - D 01</t>
        </is>
      </c>
      <c r="G586" t="n">
        <v>12.5</v>
      </c>
      <c r="H586" t="n">
        <v>1.3</v>
      </c>
      <c r="I586" s="39" t="n">
        <v>52500</v>
      </c>
      <c r="J586" s="39" t="n">
        <v>52500</v>
      </c>
      <c r="Q586" s="39" t="n"/>
      <c r="R586" s="39" t="n"/>
      <c r="Y586" s="39" t="n"/>
      <c r="Z586" s="39" t="n"/>
      <c r="AG586" s="39" t="n"/>
      <c r="AH586" s="39" t="n"/>
      <c r="AI586" t="inlineStr">
        <is>
          <t>Marco Antonio Cordova Oropeza</t>
        </is>
      </c>
      <c r="AJ586" t="inlineStr">
        <is>
          <t>22079563</t>
        </is>
      </c>
      <c r="AK586" t="inlineStr">
        <is>
          <t>Av.Cayetano Heredia 435 Int.1 Urb Fundo Oyague</t>
        </is>
      </c>
      <c r="AL586" t="n">
        <v>0</v>
      </c>
      <c r="AM586" t="inlineStr">
        <is>
          <t>1513-257-6062</t>
        </is>
      </c>
      <c r="AN586" t="inlineStr">
        <is>
          <t>maancoor@gmail.com</t>
        </is>
      </c>
      <c r="AO586" t="inlineStr">
        <is>
          <t>LIMA</t>
        </is>
      </c>
      <c r="AP586" t="inlineStr">
        <is>
          <t>JESUS MARIA</t>
        </is>
      </c>
      <c r="AQ586" s="75" t="n">
        <v>46197</v>
      </c>
      <c r="AR586" s="75" t="n">
        <v>46197</v>
      </c>
      <c r="AS586" t="inlineStr">
        <is>
          <t>CUOTA INICIAL</t>
        </is>
      </c>
      <c r="AT586" t="n">
        <v>1</v>
      </c>
      <c r="AU586" t="n">
        <v>29000</v>
      </c>
      <c r="AV586" t="n">
        <v>0</v>
      </c>
      <c r="AW586" t="n">
        <v>0</v>
      </c>
      <c r="AX586" s="39" t="n">
        <v>29000</v>
      </c>
      <c r="AY586" s="39" t="n">
        <v>29000</v>
      </c>
      <c r="AZ586" s="39" t="n">
        <v>0</v>
      </c>
      <c r="BA586" t="n">
        <v>0</v>
      </c>
      <c r="BB586" t="inlineStr">
        <is>
          <t>Crédito Directo</t>
        </is>
      </c>
      <c r="BC586" t="inlineStr">
        <is>
          <t>Scotiabank Perú</t>
        </is>
      </c>
      <c r="BD586" t="inlineStr">
        <is>
          <t>000-2768484</t>
        </is>
      </c>
      <c r="BE586" t="inlineStr">
        <is>
          <t>TRANSFERENCIA BANCARIA</t>
        </is>
      </c>
      <c r="BG586" t="inlineStr">
        <is>
          <t>01886785</t>
        </is>
      </c>
      <c r="BH586" t="inlineStr">
        <is>
          <t>Si</t>
        </is>
      </c>
      <c r="BJ586" t="n">
        <v>4</v>
      </c>
      <c r="BK586" t="inlineStr">
        <is>
          <t>CANCELADO</t>
        </is>
      </c>
      <c r="BV586" t="inlineStr">
        <is>
          <t>Si</t>
        </is>
      </c>
      <c r="BW586" s="76" t="n">
        <v>45989.74652777778</v>
      </c>
      <c r="BX586" t="inlineStr">
        <is>
          <t>Magaly Guevara Perez</t>
        </is>
      </c>
      <c r="BZ586" t="n">
        <v>39</v>
      </c>
      <c r="CA586" t="inlineStr">
        <is>
          <t>24/06/2026 17:47</t>
        </is>
      </c>
      <c r="CB586" t="n">
        <v>0</v>
      </c>
      <c r="CF586" t="inlineStr">
        <is>
          <t>Cobranzas_2026.csv</t>
        </is>
      </c>
      <c r="CG586" t="n">
        <v>2026</v>
      </c>
      <c r="CH586" t="inlineStr">
        <is>
          <t>01/01/2024</t>
        </is>
      </c>
      <c r="CI586" t="inlineStr">
        <is>
          <t>24/08/2031</t>
        </is>
      </c>
    </row>
    <row r="587">
      <c r="A587" t="inlineStr">
        <is>
          <t>RESIDENCIAL PRADA</t>
        </is>
      </c>
      <c r="B587" t="inlineStr">
        <is>
          <t>Etapa 1</t>
        </is>
      </c>
      <c r="C587" t="inlineStr">
        <is>
          <t>Edificio</t>
        </is>
      </c>
      <c r="D587" t="inlineStr">
        <is>
          <t>A</t>
        </is>
      </c>
      <c r="E587" t="inlineStr">
        <is>
          <t>Estacionamiento</t>
        </is>
      </c>
      <c r="F587" t="inlineStr">
        <is>
          <t>E 03 - D 01</t>
        </is>
      </c>
      <c r="G587" t="n">
        <v>12.5</v>
      </c>
      <c r="H587" t="n">
        <v>1.3</v>
      </c>
      <c r="I587" s="39" t="n">
        <v>52500</v>
      </c>
      <c r="J587" s="39" t="n">
        <v>52500</v>
      </c>
      <c r="Q587" s="39" t="n"/>
      <c r="R587" s="39" t="n"/>
      <c r="Y587" s="39" t="n"/>
      <c r="Z587" s="39" t="n"/>
      <c r="AG587" s="39" t="n"/>
      <c r="AH587" s="39" t="n"/>
      <c r="AI587" t="inlineStr">
        <is>
          <t>Marco Antonio Cordova Oropeza</t>
        </is>
      </c>
      <c r="AJ587" t="inlineStr">
        <is>
          <t>22079563</t>
        </is>
      </c>
      <c r="AK587" t="inlineStr">
        <is>
          <t>Av.Cayetano Heredia 435 Int.1 Urb Fundo Oyague</t>
        </is>
      </c>
      <c r="AL587" t="n">
        <v>0</v>
      </c>
      <c r="AM587" t="inlineStr">
        <is>
          <t>1513-257-6062</t>
        </is>
      </c>
      <c r="AN587" t="inlineStr">
        <is>
          <t>maancoor@gmail.com</t>
        </is>
      </c>
      <c r="AO587" t="inlineStr">
        <is>
          <t>LIMA</t>
        </is>
      </c>
      <c r="AP587" t="inlineStr">
        <is>
          <t>JESUS MARIA</t>
        </is>
      </c>
      <c r="AQ587" s="75" t="n">
        <v>46203</v>
      </c>
      <c r="AR587" s="75" t="n">
        <v>46198</v>
      </c>
      <c r="AS587" t="inlineStr">
        <is>
          <t>SALDO FINANCIAR</t>
        </is>
      </c>
      <c r="AT587" t="n">
        <v>1</v>
      </c>
      <c r="AU587" t="n">
        <v>23499</v>
      </c>
      <c r="AV587" t="n">
        <v>0</v>
      </c>
      <c r="AW587" t="n">
        <v>0</v>
      </c>
      <c r="AX587" s="39" t="n">
        <v>23499</v>
      </c>
      <c r="AY587" s="39" t="n">
        <v>23499</v>
      </c>
      <c r="AZ587" s="39" t="n">
        <v>0</v>
      </c>
      <c r="BA587" t="n">
        <v>0</v>
      </c>
      <c r="BB587" t="inlineStr">
        <is>
          <t>Crédito Directo</t>
        </is>
      </c>
      <c r="BC587" t="inlineStr">
        <is>
          <t>Scotiabank Perú</t>
        </is>
      </c>
      <c r="BD587" t="inlineStr">
        <is>
          <t>000-2768484</t>
        </is>
      </c>
      <c r="BE587" t="inlineStr">
        <is>
          <t>TRANSFERENCIA BANCARIA</t>
        </is>
      </c>
      <c r="BG587" t="inlineStr">
        <is>
          <t>02381234</t>
        </is>
      </c>
      <c r="BH587" t="inlineStr">
        <is>
          <t>No</t>
        </is>
      </c>
      <c r="BJ587" t="n">
        <v>4</v>
      </c>
      <c r="BK587" t="inlineStr">
        <is>
          <t>CANCELADO</t>
        </is>
      </c>
      <c r="BV587" t="inlineStr">
        <is>
          <t>Si</t>
        </is>
      </c>
      <c r="BW587" s="76" t="n">
        <v>45989.74652777778</v>
      </c>
      <c r="BX587" t="inlineStr">
        <is>
          <t>Magaly Guevara Perez</t>
        </is>
      </c>
      <c r="BZ587" t="n">
        <v>39</v>
      </c>
      <c r="CA587" t="inlineStr">
        <is>
          <t>26/06/2026 11:33</t>
        </is>
      </c>
      <c r="CB587" t="n">
        <v>0</v>
      </c>
      <c r="CF587" t="inlineStr">
        <is>
          <t>Cobranzas_2026.csv</t>
        </is>
      </c>
      <c r="CG587" t="n">
        <v>2026</v>
      </c>
      <c r="CH587" t="inlineStr">
        <is>
          <t>01/01/2024</t>
        </is>
      </c>
      <c r="CI587" t="inlineStr">
        <is>
          <t>24/08/2031</t>
        </is>
      </c>
    </row>
    <row r="588">
      <c r="A588" t="inlineStr">
        <is>
          <t>RESIDENCIAL BEYOND</t>
        </is>
      </c>
      <c r="B588" t="inlineStr">
        <is>
          <t>Etapa 1</t>
        </is>
      </c>
      <c r="C588" t="inlineStr">
        <is>
          <t>Edificio</t>
        </is>
      </c>
      <c r="D588" t="inlineStr">
        <is>
          <t>A</t>
        </is>
      </c>
      <c r="E588" t="inlineStr">
        <is>
          <t>Departamento</t>
        </is>
      </c>
      <c r="F588" t="inlineStr">
        <is>
          <t>202</t>
        </is>
      </c>
      <c r="G588" t="n">
        <v>57</v>
      </c>
      <c r="H588" t="n">
        <v>0</v>
      </c>
      <c r="I588" s="39" t="n">
        <v>430000</v>
      </c>
      <c r="J588" s="39" t="n">
        <v>430000</v>
      </c>
      <c r="Q588" s="39" t="n"/>
      <c r="R588" s="39" t="n"/>
      <c r="Y588" s="39" t="n"/>
      <c r="Z588" s="39" t="n"/>
      <c r="AG588" s="39" t="n"/>
      <c r="AH588" s="39" t="n"/>
      <c r="AI588" t="inlineStr">
        <is>
          <t>Margarita Mercedes Lujas Paredes</t>
        </is>
      </c>
      <c r="AJ588" t="inlineStr">
        <is>
          <t>06772294</t>
        </is>
      </c>
      <c r="AK588" t="inlineStr">
        <is>
          <t>Jr. Aguarico 1412 Dpto. 202</t>
        </is>
      </c>
      <c r="AL588" t="n">
        <v>0</v>
      </c>
      <c r="AM588" t="inlineStr">
        <is>
          <t>949196249</t>
        </is>
      </c>
      <c r="AN588" t="inlineStr">
        <is>
          <t>maggilujan@hotmail.com</t>
        </is>
      </c>
      <c r="AO588" t="inlineStr">
        <is>
          <t>LIMA</t>
        </is>
      </c>
      <c r="AP588" t="inlineStr">
        <is>
          <t>BREÑA</t>
        </is>
      </c>
      <c r="AQ588" s="75" t="n">
        <v>46081</v>
      </c>
      <c r="AR588" s="75" t="n">
        <v>46122</v>
      </c>
      <c r="AS588" t="inlineStr">
        <is>
          <t>CUOTA INICIAL</t>
        </is>
      </c>
      <c r="AT588" t="n">
        <v>2</v>
      </c>
      <c r="AU588" t="n">
        <v>20000</v>
      </c>
      <c r="AV588" t="n">
        <v>0</v>
      </c>
      <c r="AW588" t="n">
        <v>0</v>
      </c>
      <c r="AX588" s="39" t="n">
        <v>20000</v>
      </c>
      <c r="AY588" s="39" t="n">
        <v>20000</v>
      </c>
      <c r="AZ588" s="39" t="n">
        <v>0</v>
      </c>
      <c r="BA588" t="n">
        <v>0</v>
      </c>
      <c r="BB588" t="inlineStr">
        <is>
          <t>Ahorro</t>
        </is>
      </c>
      <c r="BC588" t="inlineStr">
        <is>
          <t>Banco de Credito del Perú</t>
        </is>
      </c>
      <c r="BD588" t="inlineStr">
        <is>
          <t>194-7325779-0-65</t>
        </is>
      </c>
      <c r="BE588" t="inlineStr">
        <is>
          <t>TRANSFERENCIA BANCARIA</t>
        </is>
      </c>
      <c r="BF588" t="inlineStr">
        <is>
          <t>06772294</t>
        </is>
      </c>
      <c r="BG588" t="inlineStr">
        <is>
          <t>01282313</t>
        </is>
      </c>
      <c r="BH588" t="inlineStr">
        <is>
          <t>No</t>
        </is>
      </c>
      <c r="BI588" t="inlineStr">
        <is>
          <t>NO PRECISA</t>
        </is>
      </c>
      <c r="BJ588" t="n">
        <v>4</v>
      </c>
      <c r="BK588" t="inlineStr">
        <is>
          <t>CANCELADO</t>
        </is>
      </c>
      <c r="BV588" t="inlineStr">
        <is>
          <t>Si</t>
        </is>
      </c>
      <c r="BW588" s="76" t="n">
        <v>45917.17222222222</v>
      </c>
      <c r="BX588" t="inlineStr">
        <is>
          <t>Carla Michue M</t>
        </is>
      </c>
      <c r="BZ588" t="n">
        <v>2</v>
      </c>
      <c r="CA588" t="inlineStr">
        <is>
          <t>18/05/2026 04:20</t>
        </is>
      </c>
      <c r="CB588" t="n">
        <v>0</v>
      </c>
      <c r="CF588" t="inlineStr">
        <is>
          <t>Cobranzas_2026.csv</t>
        </is>
      </c>
      <c r="CG588" t="n">
        <v>2026</v>
      </c>
      <c r="CH588" t="inlineStr">
        <is>
          <t>01/01/2024</t>
        </is>
      </c>
      <c r="CI588" t="inlineStr">
        <is>
          <t>24/08/2031</t>
        </is>
      </c>
    </row>
    <row r="589">
      <c r="A589" t="inlineStr">
        <is>
          <t>RESIDENCIAL BEYOND</t>
        </is>
      </c>
      <c r="B589" t="inlineStr">
        <is>
          <t>Etapa 1</t>
        </is>
      </c>
      <c r="C589" t="inlineStr">
        <is>
          <t>Edificio</t>
        </is>
      </c>
      <c r="D589" t="inlineStr">
        <is>
          <t>A</t>
        </is>
      </c>
      <c r="E589" t="inlineStr">
        <is>
          <t>Departamento</t>
        </is>
      </c>
      <c r="F589" t="inlineStr">
        <is>
          <t>202</t>
        </is>
      </c>
      <c r="G589" t="n">
        <v>57</v>
      </c>
      <c r="H589" t="n">
        <v>0</v>
      </c>
      <c r="I589" s="39" t="n">
        <v>430000</v>
      </c>
      <c r="J589" s="39" t="n">
        <v>430000</v>
      </c>
      <c r="Q589" s="39" t="n"/>
      <c r="R589" s="39" t="n"/>
      <c r="Y589" s="39" t="n"/>
      <c r="Z589" s="39" t="n"/>
      <c r="AG589" s="39" t="n"/>
      <c r="AH589" s="39" t="n"/>
      <c r="AI589" t="inlineStr">
        <is>
          <t>Margarita Mercedes Lujas Paredes</t>
        </is>
      </c>
      <c r="AJ589" t="inlineStr">
        <is>
          <t>06772294</t>
        </is>
      </c>
      <c r="AK589" t="inlineStr">
        <is>
          <t>Jr. Aguarico 1412 Dpto. 202</t>
        </is>
      </c>
      <c r="AL589" t="n">
        <v>0</v>
      </c>
      <c r="AM589" t="inlineStr">
        <is>
          <t>949196249</t>
        </is>
      </c>
      <c r="AN589" t="inlineStr">
        <is>
          <t>maggilujan@hotmail.com</t>
        </is>
      </c>
      <c r="AO589" t="inlineStr">
        <is>
          <t>LIMA</t>
        </is>
      </c>
      <c r="AP589" t="inlineStr">
        <is>
          <t>BREÑA</t>
        </is>
      </c>
      <c r="AQ589" s="75" t="n">
        <v>46234</v>
      </c>
      <c r="AR589" s="75" t="n"/>
      <c r="AS589" t="inlineStr">
        <is>
          <t>SALDO FINANCIAR</t>
        </is>
      </c>
      <c r="AT589" t="n">
        <v>1</v>
      </c>
      <c r="AU589" t="n">
        <v>387000</v>
      </c>
      <c r="AV589" t="n">
        <v>0</v>
      </c>
      <c r="AW589" t="n">
        <v>0</v>
      </c>
      <c r="AX589" s="39" t="n">
        <v>387000</v>
      </c>
      <c r="AY589" s="39" t="n">
        <v>0</v>
      </c>
      <c r="AZ589" s="39" t="n">
        <v>387000</v>
      </c>
      <c r="BB589" t="inlineStr">
        <is>
          <t>Ahorro</t>
        </is>
      </c>
      <c r="BH589" t="inlineStr">
        <is>
          <t>No</t>
        </is>
      </c>
      <c r="BK589" t="inlineStr">
        <is>
          <t>VENCIDO</t>
        </is>
      </c>
      <c r="BV589" t="inlineStr">
        <is>
          <t>No</t>
        </is>
      </c>
      <c r="BW589" s="76" t="n">
        <v>45917.17222222222</v>
      </c>
      <c r="BX589" t="inlineStr">
        <is>
          <t>Carla Michue M</t>
        </is>
      </c>
      <c r="BZ589" t="n">
        <v>2</v>
      </c>
      <c r="CB589" t="n">
        <v>0</v>
      </c>
      <c r="CF589" t="inlineStr">
        <is>
          <t>Cobranzas_2026.csv</t>
        </is>
      </c>
      <c r="CG589" t="n">
        <v>2026</v>
      </c>
      <c r="CH589" t="inlineStr">
        <is>
          <t>01/01/2024</t>
        </is>
      </c>
      <c r="CI589" t="inlineStr">
        <is>
          <t>24/08/2031</t>
        </is>
      </c>
    </row>
    <row r="590">
      <c r="A590" t="inlineStr">
        <is>
          <t>RESIDENCIAL PRADA</t>
        </is>
      </c>
      <c r="B590" t="inlineStr">
        <is>
          <t>Etapa 1</t>
        </is>
      </c>
      <c r="C590" t="inlineStr">
        <is>
          <t>Edificio</t>
        </is>
      </c>
      <c r="D590" t="inlineStr">
        <is>
          <t>A</t>
        </is>
      </c>
      <c r="E590" t="inlineStr">
        <is>
          <t>Departamento</t>
        </is>
      </c>
      <c r="F590" t="inlineStr">
        <is>
          <t>1002</t>
        </is>
      </c>
      <c r="G590" t="n">
        <v>56</v>
      </c>
      <c r="H590" t="n">
        <v>0</v>
      </c>
      <c r="I590" s="39" t="n">
        <v>415000</v>
      </c>
      <c r="J590" s="39" t="n">
        <v>415000</v>
      </c>
      <c r="Q590" s="39" t="n"/>
      <c r="R590" s="39" t="n"/>
      <c r="Y590" s="39" t="n"/>
      <c r="Z590" s="39" t="n"/>
      <c r="AG590" s="39" t="n"/>
      <c r="AH590" s="39" t="n"/>
      <c r="AI590" t="inlineStr">
        <is>
          <t>Maria de los Angeles Ibañez Mogrovejo</t>
        </is>
      </c>
      <c r="AJ590" t="inlineStr">
        <is>
          <t>72190258</t>
        </is>
      </c>
      <c r="AK590" t="inlineStr">
        <is>
          <t xml:space="preserve">Coop.Colegio de Abogados Mz.ELT.1 </t>
        </is>
      </c>
      <c r="AM590" t="inlineStr">
        <is>
          <t>982570759</t>
        </is>
      </c>
      <c r="AN590" t="inlineStr">
        <is>
          <t>maria.benezmogrovejo@gmail.com</t>
        </is>
      </c>
      <c r="AO590" t="inlineStr">
        <is>
          <t>AREQUIPA</t>
        </is>
      </c>
      <c r="AP590" t="inlineStr">
        <is>
          <t>YANAHUARA</t>
        </is>
      </c>
      <c r="AQ590" s="75" t="n">
        <v>46081</v>
      </c>
      <c r="AR590" s="75" t="n">
        <v>46133</v>
      </c>
      <c r="AS590" t="inlineStr">
        <is>
          <t>CUOTA INICIAL</t>
        </is>
      </c>
      <c r="AT590" t="n">
        <v>2</v>
      </c>
      <c r="AU590" t="n">
        <v>129500</v>
      </c>
      <c r="AV590" t="n">
        <v>0</v>
      </c>
      <c r="AW590" t="n">
        <v>0</v>
      </c>
      <c r="AX590" s="39" t="n">
        <v>129500</v>
      </c>
      <c r="AY590" s="39" t="n">
        <v>129500</v>
      </c>
      <c r="AZ590" s="39" t="n">
        <v>0</v>
      </c>
      <c r="BA590" t="n">
        <v>0</v>
      </c>
      <c r="BB590" t="inlineStr">
        <is>
          <t>Ahorro</t>
        </is>
      </c>
      <c r="BC590" t="inlineStr">
        <is>
          <t>Scotiabank Perú</t>
        </is>
      </c>
      <c r="BD590" t="inlineStr">
        <is>
          <t>000-2768484</t>
        </is>
      </c>
      <c r="BE590" t="inlineStr">
        <is>
          <t>TRANSFERENCIA BANCARIA</t>
        </is>
      </c>
      <c r="BG590" t="inlineStr">
        <is>
          <t>004006999</t>
        </is>
      </c>
      <c r="BH590" t="inlineStr">
        <is>
          <t>No</t>
        </is>
      </c>
      <c r="BJ590" t="n">
        <v>4</v>
      </c>
      <c r="BK590" t="inlineStr">
        <is>
          <t>CANCELADO</t>
        </is>
      </c>
      <c r="BV590" t="inlineStr">
        <is>
          <t>Si</t>
        </is>
      </c>
      <c r="BW590" s="76" t="n">
        <v>45993.73611111111</v>
      </c>
      <c r="BX590" t="inlineStr">
        <is>
          <t>Carla Michue M</t>
        </is>
      </c>
      <c r="BZ590" t="n">
        <v>16</v>
      </c>
      <c r="CA590" t="inlineStr">
        <is>
          <t>03/07/2026 19:11</t>
        </is>
      </c>
      <c r="CB590" t="n">
        <v>0</v>
      </c>
      <c r="CF590" t="inlineStr">
        <is>
          <t>Cobranzas_2026.csv</t>
        </is>
      </c>
      <c r="CG590" t="n">
        <v>2026</v>
      </c>
      <c r="CH590" t="inlineStr">
        <is>
          <t>01/01/2024</t>
        </is>
      </c>
      <c r="CI590" t="inlineStr">
        <is>
          <t>24/08/2031</t>
        </is>
      </c>
    </row>
    <row r="591">
      <c r="A591" t="inlineStr">
        <is>
          <t>RESIDENCIAL VENECIA</t>
        </is>
      </c>
      <c r="B591" t="inlineStr">
        <is>
          <t>Etapa 1</t>
        </is>
      </c>
      <c r="C591" t="inlineStr">
        <is>
          <t>Edificio</t>
        </is>
      </c>
      <c r="D591" t="inlineStr">
        <is>
          <t>A</t>
        </is>
      </c>
      <c r="E591" t="inlineStr">
        <is>
          <t>Departamento</t>
        </is>
      </c>
      <c r="F591" t="inlineStr">
        <is>
          <t>205</t>
        </is>
      </c>
      <c r="G591" t="n">
        <v>61</v>
      </c>
      <c r="H591" t="n">
        <v>0</v>
      </c>
      <c r="I591" s="39" t="n">
        <v>386000</v>
      </c>
      <c r="J591" s="39" t="n">
        <v>386000</v>
      </c>
      <c r="K591" t="inlineStr">
        <is>
          <t>Edificio</t>
        </is>
      </c>
      <c r="L591" t="inlineStr">
        <is>
          <t>A</t>
        </is>
      </c>
      <c r="M591" t="inlineStr">
        <is>
          <t>Estacionamiento</t>
        </is>
      </c>
      <c r="N591" t="inlineStr">
        <is>
          <t>E 20</t>
        </is>
      </c>
      <c r="O591" t="n">
        <v>13.5</v>
      </c>
      <c r="P591" t="n">
        <v>0</v>
      </c>
      <c r="Q591" s="39" t="n">
        <v>46800</v>
      </c>
      <c r="R591" s="39" t="n">
        <v>46800</v>
      </c>
      <c r="Y591" s="39" t="n"/>
      <c r="Z591" s="39" t="n"/>
      <c r="AG591" s="39" t="n"/>
      <c r="AH591" s="39" t="n"/>
      <c r="AI591" t="inlineStr">
        <is>
          <t>Mariela Gabriela Zapata Santivañez</t>
        </is>
      </c>
      <c r="AJ591" t="inlineStr">
        <is>
          <t>47172559</t>
        </is>
      </c>
      <c r="AK591" t="inlineStr">
        <is>
          <t>Calle Manuel de Falla 233 - 237 Dpto. 102</t>
        </is>
      </c>
      <c r="AL591" t="n">
        <v>0</v>
      </c>
      <c r="AM591" t="inlineStr">
        <is>
          <t>998346460</t>
        </is>
      </c>
      <c r="AN591" t="inlineStr">
        <is>
          <t>g.zapata.santivanez@gmail.com</t>
        </is>
      </c>
      <c r="AO591" t="inlineStr">
        <is>
          <t>LIMA</t>
        </is>
      </c>
      <c r="AP591" t="inlineStr">
        <is>
          <t>SAN BORJA</t>
        </is>
      </c>
      <c r="AQ591" s="75" t="n">
        <v>46031</v>
      </c>
      <c r="AR591" s="75" t="n">
        <v>46031</v>
      </c>
      <c r="AS591" t="inlineStr">
        <is>
          <t>CUOTA INICIAL</t>
        </is>
      </c>
      <c r="AT591" t="n">
        <v>1</v>
      </c>
      <c r="AU591" t="n">
        <v>18640</v>
      </c>
      <c r="AV591" t="n">
        <v>0</v>
      </c>
      <c r="AW591" t="n">
        <v>0</v>
      </c>
      <c r="AX591" s="39" t="n">
        <v>18640</v>
      </c>
      <c r="AY591" s="39" t="n">
        <v>18640</v>
      </c>
      <c r="AZ591" s="39" t="n">
        <v>0</v>
      </c>
      <c r="BA591" t="n">
        <v>0</v>
      </c>
      <c r="BB591" t="inlineStr">
        <is>
          <t>Crédito Hipotecario</t>
        </is>
      </c>
      <c r="BC591" t="inlineStr">
        <is>
          <t>Scotiabank Perú</t>
        </is>
      </c>
      <c r="BD591" t="inlineStr">
        <is>
          <t>0004071419</t>
        </is>
      </c>
      <c r="BE591" t="inlineStr">
        <is>
          <t>TRANSFERENCIA BANCARIA</t>
        </is>
      </c>
      <c r="BG591" t="inlineStr">
        <is>
          <t>06084927</t>
        </is>
      </c>
      <c r="BH591" t="inlineStr">
        <is>
          <t>No</t>
        </is>
      </c>
      <c r="BJ591" t="n">
        <v>4</v>
      </c>
      <c r="BK591" t="inlineStr">
        <is>
          <t>CANCELADO</t>
        </is>
      </c>
      <c r="BV591" t="inlineStr">
        <is>
          <t>Si</t>
        </is>
      </c>
      <c r="BW591" s="76" t="n">
        <v>46032.38194444445</v>
      </c>
      <c r="BX591" t="inlineStr">
        <is>
          <t>Magaly Guevara Perez</t>
        </is>
      </c>
      <c r="BZ591" t="n">
        <v>4</v>
      </c>
      <c r="CA591" t="inlineStr">
        <is>
          <t>14/07/2026 16:54</t>
        </is>
      </c>
      <c r="CB591" t="n">
        <v>0</v>
      </c>
      <c r="CF591" t="inlineStr">
        <is>
          <t>Cobranzas_2026.csv</t>
        </is>
      </c>
      <c r="CG591" t="n">
        <v>2026</v>
      </c>
      <c r="CH591" t="inlineStr">
        <is>
          <t>01/01/2024</t>
        </is>
      </c>
      <c r="CI591" t="inlineStr">
        <is>
          <t>24/08/2031</t>
        </is>
      </c>
    </row>
    <row r="592">
      <c r="A592" t="inlineStr">
        <is>
          <t>RESIDENCIAL VENECIA</t>
        </is>
      </c>
      <c r="B592" t="inlineStr">
        <is>
          <t>Etapa 1</t>
        </is>
      </c>
      <c r="C592" t="inlineStr">
        <is>
          <t>Edificio</t>
        </is>
      </c>
      <c r="D592" t="inlineStr">
        <is>
          <t>A</t>
        </is>
      </c>
      <c r="E592" t="inlineStr">
        <is>
          <t>Departamento</t>
        </is>
      </c>
      <c r="F592" t="inlineStr">
        <is>
          <t>205</t>
        </is>
      </c>
      <c r="G592" t="n">
        <v>61</v>
      </c>
      <c r="H592" t="n">
        <v>0</v>
      </c>
      <c r="I592" s="39" t="n">
        <v>386000</v>
      </c>
      <c r="J592" s="39" t="n">
        <v>386000</v>
      </c>
      <c r="K592" t="inlineStr">
        <is>
          <t>Edificio</t>
        </is>
      </c>
      <c r="L592" t="inlineStr">
        <is>
          <t>A</t>
        </is>
      </c>
      <c r="M592" t="inlineStr">
        <is>
          <t>Estacionamiento</t>
        </is>
      </c>
      <c r="N592" t="inlineStr">
        <is>
          <t>E 20</t>
        </is>
      </c>
      <c r="O592" t="n">
        <v>13.5</v>
      </c>
      <c r="P592" t="n">
        <v>0</v>
      </c>
      <c r="Q592" s="39" t="n">
        <v>46800</v>
      </c>
      <c r="R592" s="39" t="n">
        <v>46800</v>
      </c>
      <c r="Y592" s="39" t="n"/>
      <c r="Z592" s="39" t="n"/>
      <c r="AG592" s="39" t="n"/>
      <c r="AH592" s="39" t="n"/>
      <c r="AI592" t="inlineStr">
        <is>
          <t>Mariela Gabriela Zapata Santivañez</t>
        </is>
      </c>
      <c r="AJ592" t="inlineStr">
        <is>
          <t>47172559</t>
        </is>
      </c>
      <c r="AK592" t="inlineStr">
        <is>
          <t>Calle Manuel de Falla 233 - 237 Dpto. 102</t>
        </is>
      </c>
      <c r="AL592" t="n">
        <v>0</v>
      </c>
      <c r="AM592" t="inlineStr">
        <is>
          <t>998346460</t>
        </is>
      </c>
      <c r="AN592" t="inlineStr">
        <is>
          <t>g.zapata.santivanez@gmail.com</t>
        </is>
      </c>
      <c r="AO592" t="inlineStr">
        <is>
          <t>LIMA</t>
        </is>
      </c>
      <c r="AP592" t="inlineStr">
        <is>
          <t>SAN BORJA</t>
        </is>
      </c>
      <c r="AQ592" s="75" t="n">
        <v>46172</v>
      </c>
      <c r="AR592" s="75" t="n">
        <v>46210</v>
      </c>
      <c r="AS592" t="inlineStr">
        <is>
          <t>CUOTA INICIAL</t>
        </is>
      </c>
      <c r="AT592" t="n">
        <v>2</v>
      </c>
      <c r="AU592" t="n">
        <v>21640</v>
      </c>
      <c r="AV592" t="n">
        <v>0</v>
      </c>
      <c r="AW592" t="n">
        <v>0</v>
      </c>
      <c r="AX592" s="39" t="n">
        <v>21640</v>
      </c>
      <c r="AY592" s="39" t="n">
        <v>21640</v>
      </c>
      <c r="AZ592" s="39" t="n">
        <v>0</v>
      </c>
      <c r="BA592" t="n">
        <v>0</v>
      </c>
      <c r="BB592" t="inlineStr">
        <is>
          <t>Crédito Hipotecario</t>
        </is>
      </c>
      <c r="BC592" t="inlineStr">
        <is>
          <t>Scotiabank Perú</t>
        </is>
      </c>
      <c r="BD592" t="inlineStr">
        <is>
          <t>0004071419</t>
        </is>
      </c>
      <c r="BE592" t="inlineStr">
        <is>
          <t>TRANSFERENCIA BANCARIA</t>
        </is>
      </c>
      <c r="BG592" t="inlineStr">
        <is>
          <t>06101897</t>
        </is>
      </c>
      <c r="BH592" t="inlineStr">
        <is>
          <t>No</t>
        </is>
      </c>
      <c r="BJ592" t="n">
        <v>4</v>
      </c>
      <c r="BK592" t="inlineStr">
        <is>
          <t>CANCELADO</t>
        </is>
      </c>
      <c r="BV592" t="inlineStr">
        <is>
          <t>Si</t>
        </is>
      </c>
      <c r="BW592" s="76" t="n">
        <v>46032.38194444445</v>
      </c>
      <c r="BX592" t="inlineStr">
        <is>
          <t>Magaly Guevara Perez</t>
        </is>
      </c>
      <c r="BZ592" t="n">
        <v>4</v>
      </c>
      <c r="CA592" t="inlineStr">
        <is>
          <t>14/07/2026 16:55</t>
        </is>
      </c>
      <c r="CB592" t="n">
        <v>0</v>
      </c>
      <c r="CF592" t="inlineStr">
        <is>
          <t>Cobranzas_2026.csv</t>
        </is>
      </c>
      <c r="CG592" t="n">
        <v>2026</v>
      </c>
      <c r="CH592" t="inlineStr">
        <is>
          <t>01/01/2024</t>
        </is>
      </c>
      <c r="CI592" t="inlineStr">
        <is>
          <t>24/08/2031</t>
        </is>
      </c>
    </row>
    <row r="593">
      <c r="A593" t="inlineStr">
        <is>
          <t>RESIDENCIAL VENECIA</t>
        </is>
      </c>
      <c r="B593" t="inlineStr">
        <is>
          <t>Etapa 1</t>
        </is>
      </c>
      <c r="C593" t="inlineStr">
        <is>
          <t>Edificio</t>
        </is>
      </c>
      <c r="D593" t="inlineStr">
        <is>
          <t>A</t>
        </is>
      </c>
      <c r="E593" t="inlineStr">
        <is>
          <t>Departamento</t>
        </is>
      </c>
      <c r="F593" t="inlineStr">
        <is>
          <t>205</t>
        </is>
      </c>
      <c r="G593" t="n">
        <v>61</v>
      </c>
      <c r="H593" t="n">
        <v>0</v>
      </c>
      <c r="I593" s="39" t="n">
        <v>386000</v>
      </c>
      <c r="J593" s="39" t="n">
        <v>386000</v>
      </c>
      <c r="K593" t="inlineStr">
        <is>
          <t>Edificio</t>
        </is>
      </c>
      <c r="L593" t="inlineStr">
        <is>
          <t>A</t>
        </is>
      </c>
      <c r="M593" t="inlineStr">
        <is>
          <t>Estacionamiento</t>
        </is>
      </c>
      <c r="N593" t="inlineStr">
        <is>
          <t>E 20</t>
        </is>
      </c>
      <c r="O593" t="n">
        <v>13.5</v>
      </c>
      <c r="P593" t="n">
        <v>0</v>
      </c>
      <c r="Q593" s="39" t="n">
        <v>46800</v>
      </c>
      <c r="R593" s="39" t="n">
        <v>46800</v>
      </c>
      <c r="Y593" s="39" t="n"/>
      <c r="Z593" s="39" t="n"/>
      <c r="AG593" s="39" t="n"/>
      <c r="AH593" s="39" t="n"/>
      <c r="AI593" t="inlineStr">
        <is>
          <t>Mariela Gabriela Zapata Santivañez</t>
        </is>
      </c>
      <c r="AJ593" t="inlineStr">
        <is>
          <t>47172559</t>
        </is>
      </c>
      <c r="AK593" t="inlineStr">
        <is>
          <t>Calle Manuel de Falla 233 - 237 Dpto. 102</t>
        </is>
      </c>
      <c r="AL593" t="n">
        <v>0</v>
      </c>
      <c r="AM593" t="inlineStr">
        <is>
          <t>998346460</t>
        </is>
      </c>
      <c r="AN593" t="inlineStr">
        <is>
          <t>g.zapata.santivanez@gmail.com</t>
        </is>
      </c>
      <c r="AO593" t="inlineStr">
        <is>
          <t>LIMA</t>
        </is>
      </c>
      <c r="AP593" t="inlineStr">
        <is>
          <t>SAN BORJA</t>
        </is>
      </c>
      <c r="AQ593" s="75" t="n">
        <v>46217</v>
      </c>
      <c r="AR593" s="75" t="n">
        <v>46217</v>
      </c>
      <c r="AS593" t="inlineStr">
        <is>
          <t>CUOTA INICIAL</t>
        </is>
      </c>
      <c r="AT593" t="n">
        <v>3</v>
      </c>
      <c r="AU593" t="n">
        <v>30000</v>
      </c>
      <c r="AV593" t="n">
        <v>0</v>
      </c>
      <c r="AW593" t="n">
        <v>0</v>
      </c>
      <c r="AX593" s="39" t="n">
        <v>30000</v>
      </c>
      <c r="AY593" s="39" t="n">
        <v>30000</v>
      </c>
      <c r="AZ593" s="39" t="n">
        <v>0</v>
      </c>
      <c r="BA593" t="n">
        <v>0</v>
      </c>
      <c r="BB593" t="inlineStr">
        <is>
          <t>Crédito Hipotecario</t>
        </is>
      </c>
      <c r="BC593" t="inlineStr">
        <is>
          <t>Scotiabank Perú</t>
        </is>
      </c>
      <c r="BD593" t="inlineStr">
        <is>
          <t>0004071419</t>
        </is>
      </c>
      <c r="BE593" t="inlineStr">
        <is>
          <t>TRANSFERENCIA BANCARIA</t>
        </is>
      </c>
      <c r="BG593" t="inlineStr">
        <is>
          <t>5529685</t>
        </is>
      </c>
      <c r="BH593" t="inlineStr">
        <is>
          <t>No</t>
        </is>
      </c>
      <c r="BJ593" t="n">
        <v>4</v>
      </c>
      <c r="BK593" t="inlineStr">
        <is>
          <t>CANCELADO</t>
        </is>
      </c>
      <c r="BV593" t="inlineStr">
        <is>
          <t>Si</t>
        </is>
      </c>
      <c r="BW593" s="76" t="n">
        <v>46032.38194444445</v>
      </c>
      <c r="BX593" t="inlineStr">
        <is>
          <t>Magaly Guevara Perez</t>
        </is>
      </c>
      <c r="BZ593" t="n">
        <v>4</v>
      </c>
      <c r="CA593" t="inlineStr">
        <is>
          <t>18/08/2026 13:34</t>
        </is>
      </c>
      <c r="CB593" t="n">
        <v>0</v>
      </c>
      <c r="CF593" t="inlineStr">
        <is>
          <t>Cobranzas_2026.csv</t>
        </is>
      </c>
      <c r="CG593" t="n">
        <v>2026</v>
      </c>
      <c r="CH593" t="inlineStr">
        <is>
          <t>01/01/2024</t>
        </is>
      </c>
      <c r="CI593" t="inlineStr">
        <is>
          <t>24/08/2031</t>
        </is>
      </c>
    </row>
    <row r="594">
      <c r="A594" t="inlineStr">
        <is>
          <t>RESIDENCIAL VENECIA</t>
        </is>
      </c>
      <c r="B594" t="inlineStr">
        <is>
          <t>Etapa 1</t>
        </is>
      </c>
      <c r="C594" t="inlineStr">
        <is>
          <t>Edificio</t>
        </is>
      </c>
      <c r="D594" t="inlineStr">
        <is>
          <t>A</t>
        </is>
      </c>
      <c r="E594" t="inlineStr">
        <is>
          <t>Departamento</t>
        </is>
      </c>
      <c r="F594" t="inlineStr">
        <is>
          <t>205</t>
        </is>
      </c>
      <c r="G594" t="n">
        <v>61</v>
      </c>
      <c r="H594" t="n">
        <v>0</v>
      </c>
      <c r="I594" s="39" t="n">
        <v>386000</v>
      </c>
      <c r="J594" s="39" t="n">
        <v>386000</v>
      </c>
      <c r="K594" t="inlineStr">
        <is>
          <t>Edificio</t>
        </is>
      </c>
      <c r="L594" t="inlineStr">
        <is>
          <t>A</t>
        </is>
      </c>
      <c r="M594" t="inlineStr">
        <is>
          <t>Estacionamiento</t>
        </is>
      </c>
      <c r="N594" t="inlineStr">
        <is>
          <t>E 20</t>
        </is>
      </c>
      <c r="O594" t="n">
        <v>13.5</v>
      </c>
      <c r="P594" t="n">
        <v>0</v>
      </c>
      <c r="Q594" s="39" t="n">
        <v>46800</v>
      </c>
      <c r="R594" s="39" t="n">
        <v>46800</v>
      </c>
      <c r="Y594" s="39" t="n"/>
      <c r="Z594" s="39" t="n"/>
      <c r="AG594" s="39" t="n"/>
      <c r="AH594" s="39" t="n"/>
      <c r="AI594" t="inlineStr">
        <is>
          <t>Mariela Gabriela Zapata Santivañez</t>
        </is>
      </c>
      <c r="AJ594" t="inlineStr">
        <is>
          <t>47172559</t>
        </is>
      </c>
      <c r="AK594" t="inlineStr">
        <is>
          <t>Calle Manuel de Falla 233 - 237 Dpto. 102</t>
        </is>
      </c>
      <c r="AL594" t="n">
        <v>0</v>
      </c>
      <c r="AM594" t="inlineStr">
        <is>
          <t>998346460</t>
        </is>
      </c>
      <c r="AN594" t="inlineStr">
        <is>
          <t>g.zapata.santivanez@gmail.com</t>
        </is>
      </c>
      <c r="AO594" t="inlineStr">
        <is>
          <t>LIMA</t>
        </is>
      </c>
      <c r="AP594" t="inlineStr">
        <is>
          <t>SAN BORJA</t>
        </is>
      </c>
      <c r="AQ594" s="75" t="n">
        <v>46224</v>
      </c>
      <c r="AR594" s="75" t="n">
        <v>45859</v>
      </c>
      <c r="AS594" t="inlineStr">
        <is>
          <t>CUOTA INICIAL</t>
        </is>
      </c>
      <c r="AT594" t="n">
        <v>4</v>
      </c>
      <c r="AU594" t="n">
        <v>13280</v>
      </c>
      <c r="AV594" t="n">
        <v>0</v>
      </c>
      <c r="AW594" t="n">
        <v>0</v>
      </c>
      <c r="AX594" s="39" t="n">
        <v>13280</v>
      </c>
      <c r="AY594" s="39" t="n">
        <v>13280</v>
      </c>
      <c r="AZ594" s="39" t="n">
        <v>0</v>
      </c>
      <c r="BA594" t="n">
        <v>0</v>
      </c>
      <c r="BB594" t="inlineStr">
        <is>
          <t>Crédito Hipotecario</t>
        </is>
      </c>
      <c r="BC594" t="inlineStr">
        <is>
          <t>Scotiabank Perú</t>
        </is>
      </c>
      <c r="BD594" t="inlineStr">
        <is>
          <t>0004071419</t>
        </is>
      </c>
      <c r="BE594" t="inlineStr">
        <is>
          <t>TRANSFERENCIA BANCARIA</t>
        </is>
      </c>
      <c r="BG594" t="inlineStr">
        <is>
          <t>06093252</t>
        </is>
      </c>
      <c r="BH594" t="inlineStr">
        <is>
          <t>No</t>
        </is>
      </c>
      <c r="BJ594" t="n">
        <v>4</v>
      </c>
      <c r="BK594" t="inlineStr">
        <is>
          <t>CANCELADO</t>
        </is>
      </c>
      <c r="BV594" t="inlineStr">
        <is>
          <t>Si</t>
        </is>
      </c>
      <c r="BW594" s="76" t="n">
        <v>46032.38194444445</v>
      </c>
      <c r="BX594" t="inlineStr">
        <is>
          <t>Magaly Guevara Perez</t>
        </is>
      </c>
      <c r="BZ594" t="n">
        <v>4</v>
      </c>
      <c r="CA594" t="inlineStr">
        <is>
          <t>20/08/2026 14:20</t>
        </is>
      </c>
      <c r="CB594" t="n">
        <v>0</v>
      </c>
      <c r="CF594" t="inlineStr">
        <is>
          <t>Cobranzas_2026.csv</t>
        </is>
      </c>
      <c r="CG594" t="n">
        <v>2026</v>
      </c>
      <c r="CH594" t="inlineStr">
        <is>
          <t>01/01/2024</t>
        </is>
      </c>
      <c r="CI594" t="inlineStr">
        <is>
          <t>24/08/2031</t>
        </is>
      </c>
    </row>
    <row r="595">
      <c r="A595" t="inlineStr">
        <is>
          <t>RESIDENCIAL VENECIA</t>
        </is>
      </c>
      <c r="B595" t="inlineStr">
        <is>
          <t>Etapa 1</t>
        </is>
      </c>
      <c r="C595" t="inlineStr">
        <is>
          <t>Edificio</t>
        </is>
      </c>
      <c r="D595" t="inlineStr">
        <is>
          <t>A</t>
        </is>
      </c>
      <c r="E595" t="inlineStr">
        <is>
          <t>Departamento</t>
        </is>
      </c>
      <c r="F595" t="inlineStr">
        <is>
          <t>205</t>
        </is>
      </c>
      <c r="G595" t="n">
        <v>61</v>
      </c>
      <c r="H595" t="n">
        <v>0</v>
      </c>
      <c r="I595" s="39" t="n">
        <v>386000</v>
      </c>
      <c r="J595" s="39" t="n">
        <v>386000</v>
      </c>
      <c r="K595" t="inlineStr">
        <is>
          <t>Edificio</t>
        </is>
      </c>
      <c r="L595" t="inlineStr">
        <is>
          <t>A</t>
        </is>
      </c>
      <c r="M595" t="inlineStr">
        <is>
          <t>Estacionamiento</t>
        </is>
      </c>
      <c r="N595" t="inlineStr">
        <is>
          <t>E 20</t>
        </is>
      </c>
      <c r="O595" t="n">
        <v>13.5</v>
      </c>
      <c r="P595" t="n">
        <v>0</v>
      </c>
      <c r="Q595" s="39" t="n">
        <v>46800</v>
      </c>
      <c r="R595" s="39" t="n">
        <v>46800</v>
      </c>
      <c r="Y595" s="39" t="n"/>
      <c r="Z595" s="39" t="n"/>
      <c r="AG595" s="39" t="n"/>
      <c r="AH595" s="39" t="n"/>
      <c r="AI595" t="inlineStr">
        <is>
          <t>Mariela Gabriela Zapata Santivañez</t>
        </is>
      </c>
      <c r="AJ595" t="inlineStr">
        <is>
          <t>47172559</t>
        </is>
      </c>
      <c r="AK595" t="inlineStr">
        <is>
          <t>Calle Manuel de Falla 233 - 237 Dpto. 102</t>
        </is>
      </c>
      <c r="AL595" t="n">
        <v>0</v>
      </c>
      <c r="AM595" t="inlineStr">
        <is>
          <t>998346460</t>
        </is>
      </c>
      <c r="AN595" t="inlineStr">
        <is>
          <t>g.zapata.santivanez@gmail.com</t>
        </is>
      </c>
      <c r="AO595" t="inlineStr">
        <is>
          <t>LIMA</t>
        </is>
      </c>
      <c r="AP595" t="inlineStr">
        <is>
          <t>SAN BORJA</t>
        </is>
      </c>
      <c r="AQ595" s="75" t="n">
        <v>46264</v>
      </c>
      <c r="AR595" s="75" t="n"/>
      <c r="AS595" t="inlineStr">
        <is>
          <t>SALDO FINANCIAR</t>
        </is>
      </c>
      <c r="AT595" t="n">
        <v>1</v>
      </c>
      <c r="AU595" t="n">
        <v>346240</v>
      </c>
      <c r="AV595" t="n">
        <v>0</v>
      </c>
      <c r="AW595" t="n">
        <v>0</v>
      </c>
      <c r="AX595" s="39" t="n">
        <v>346240</v>
      </c>
      <c r="AY595" s="39" t="n">
        <v>0</v>
      </c>
      <c r="AZ595" s="39" t="n">
        <v>346240</v>
      </c>
      <c r="BB595" t="inlineStr">
        <is>
          <t>Crédito Hipotecario</t>
        </is>
      </c>
      <c r="BH595" t="inlineStr">
        <is>
          <t>No</t>
        </is>
      </c>
      <c r="BK595" t="inlineStr">
        <is>
          <t>PENDIENTE</t>
        </is>
      </c>
      <c r="BV595" t="inlineStr">
        <is>
          <t>No</t>
        </is>
      </c>
      <c r="BW595" s="76" t="n">
        <v>46032.38194444445</v>
      </c>
      <c r="BX595" t="inlineStr">
        <is>
          <t>Magaly Guevara Perez</t>
        </is>
      </c>
      <c r="BZ595" t="n">
        <v>4</v>
      </c>
      <c r="CB595" t="n">
        <v>0</v>
      </c>
      <c r="CF595" t="inlineStr">
        <is>
          <t>Cobranzas_2026.csv</t>
        </is>
      </c>
      <c r="CG595" t="n">
        <v>2026</v>
      </c>
      <c r="CH595" t="inlineStr">
        <is>
          <t>01/01/2024</t>
        </is>
      </c>
      <c r="CI595" t="inlineStr">
        <is>
          <t>24/08/2031</t>
        </is>
      </c>
    </row>
    <row r="596">
      <c r="A596" t="inlineStr">
        <is>
          <t>RESIDENCIAL PRADA</t>
        </is>
      </c>
      <c r="B596" t="inlineStr">
        <is>
          <t>Etapa 1</t>
        </is>
      </c>
      <c r="C596" t="inlineStr">
        <is>
          <t>Edificio</t>
        </is>
      </c>
      <c r="D596" t="inlineStr">
        <is>
          <t>A</t>
        </is>
      </c>
      <c r="E596" t="inlineStr">
        <is>
          <t>Departamento</t>
        </is>
      </c>
      <c r="F596" t="inlineStr">
        <is>
          <t>1004</t>
        </is>
      </c>
      <c r="G596" t="n">
        <v>60.93</v>
      </c>
      <c r="H596" t="n">
        <v>0</v>
      </c>
      <c r="I596" s="39" t="n">
        <v>417700</v>
      </c>
      <c r="J596" s="39" t="n">
        <v>417700</v>
      </c>
      <c r="Q596" s="39" t="n"/>
      <c r="R596" s="39" t="n"/>
      <c r="Y596" s="39" t="n"/>
      <c r="Z596" s="39" t="n"/>
      <c r="AG596" s="39" t="n"/>
      <c r="AH596" s="39" t="n"/>
      <c r="AI596" t="inlineStr">
        <is>
          <t>Marita Angeles Milla</t>
        </is>
      </c>
      <c r="AJ596" t="inlineStr">
        <is>
          <t>09096071</t>
        </is>
      </c>
      <c r="AK596" t="inlineStr">
        <is>
          <t>Av. Olavegoya 1879 Dpto. 301</t>
        </is>
      </c>
      <c r="AM596" t="inlineStr">
        <is>
          <t>997627864</t>
        </is>
      </c>
      <c r="AN596" t="inlineStr">
        <is>
          <t>marita.angeles.milla@gmail.com</t>
        </is>
      </c>
      <c r="AO596" t="inlineStr">
        <is>
          <t>LIMA</t>
        </is>
      </c>
      <c r="AP596" t="inlineStr">
        <is>
          <t>JESUS MARIA</t>
        </is>
      </c>
      <c r="AQ596" s="75" t="n">
        <v>46090</v>
      </c>
      <c r="AR596" s="75" t="n">
        <v>46090</v>
      </c>
      <c r="AS596" t="inlineStr">
        <is>
          <t>SEPARACION</t>
        </is>
      </c>
      <c r="AT596" t="n">
        <v>1</v>
      </c>
      <c r="AU596" t="n">
        <v>3000</v>
      </c>
      <c r="AV596" t="n">
        <v>0</v>
      </c>
      <c r="AW596" t="n">
        <v>0</v>
      </c>
      <c r="AX596" s="39" t="n">
        <v>3000</v>
      </c>
      <c r="AY596" s="39" t="n">
        <v>3000</v>
      </c>
      <c r="AZ596" s="39" t="n">
        <v>0</v>
      </c>
      <c r="BA596" t="n">
        <v>0</v>
      </c>
      <c r="BB596" t="inlineStr">
        <is>
          <t>Ahorro</t>
        </is>
      </c>
      <c r="BC596" t="inlineStr">
        <is>
          <t>Scotiabank Perú</t>
        </is>
      </c>
      <c r="BD596" t="inlineStr">
        <is>
          <t>000-2768484</t>
        </is>
      </c>
      <c r="BE596" t="inlineStr">
        <is>
          <t>TRANSFERENCIA BANCARIA</t>
        </is>
      </c>
      <c r="BF596" t="inlineStr">
        <is>
          <t>09096071</t>
        </is>
      </c>
      <c r="BG596" t="inlineStr">
        <is>
          <t>002909488</t>
        </is>
      </c>
      <c r="BH596" t="inlineStr">
        <is>
          <t>No</t>
        </is>
      </c>
      <c r="BI596" t="inlineStr">
        <is>
          <t>NO PRECISA</t>
        </is>
      </c>
      <c r="BJ596" t="n">
        <v>1</v>
      </c>
      <c r="BK596" t="inlineStr">
        <is>
          <t>CANCELADO</t>
        </is>
      </c>
      <c r="BV596" t="inlineStr">
        <is>
          <t>Si</t>
        </is>
      </c>
      <c r="BW596" s="76" t="n">
        <v>46139.73958333334</v>
      </c>
      <c r="BX596" t="inlineStr">
        <is>
          <t>Carla Michue M</t>
        </is>
      </c>
      <c r="BZ596" t="n">
        <v>20</v>
      </c>
      <c r="CA596" t="inlineStr">
        <is>
          <t>29/05/2026 12:21</t>
        </is>
      </c>
      <c r="CB596" t="n">
        <v>0</v>
      </c>
      <c r="CF596" t="inlineStr">
        <is>
          <t>Cobranzas_2026.csv</t>
        </is>
      </c>
      <c r="CG596" t="n">
        <v>2026</v>
      </c>
      <c r="CH596" t="inlineStr">
        <is>
          <t>01/01/2024</t>
        </is>
      </c>
      <c r="CI596" t="inlineStr">
        <is>
          <t>24/08/2031</t>
        </is>
      </c>
    </row>
    <row r="597">
      <c r="A597" t="inlineStr">
        <is>
          <t>RESIDENCIAL PRADA</t>
        </is>
      </c>
      <c r="B597" t="inlineStr">
        <is>
          <t>Etapa 1</t>
        </is>
      </c>
      <c r="C597" t="inlineStr">
        <is>
          <t>Edificio</t>
        </is>
      </c>
      <c r="D597" t="inlineStr">
        <is>
          <t>A</t>
        </is>
      </c>
      <c r="E597" t="inlineStr">
        <is>
          <t>Departamento</t>
        </is>
      </c>
      <c r="F597" t="inlineStr">
        <is>
          <t>1004</t>
        </is>
      </c>
      <c r="G597" t="n">
        <v>60.93</v>
      </c>
      <c r="H597" t="n">
        <v>0</v>
      </c>
      <c r="I597" s="39" t="n">
        <v>417700</v>
      </c>
      <c r="J597" s="39" t="n">
        <v>417700</v>
      </c>
      <c r="Q597" s="39" t="n"/>
      <c r="R597" s="39" t="n"/>
      <c r="Y597" s="39" t="n"/>
      <c r="Z597" s="39" t="n"/>
      <c r="AG597" s="39" t="n"/>
      <c r="AH597" s="39" t="n"/>
      <c r="AI597" t="inlineStr">
        <is>
          <t>Marita Angeles Milla</t>
        </is>
      </c>
      <c r="AJ597" t="inlineStr">
        <is>
          <t>09096071</t>
        </is>
      </c>
      <c r="AK597" t="inlineStr">
        <is>
          <t>Av. Olavegoya 1879 Dpto. 301</t>
        </is>
      </c>
      <c r="AM597" t="inlineStr">
        <is>
          <t>997627864</t>
        </is>
      </c>
      <c r="AN597" t="inlineStr">
        <is>
          <t>marita.angeles.milla@gmail.com</t>
        </is>
      </c>
      <c r="AO597" t="inlineStr">
        <is>
          <t>LIMA</t>
        </is>
      </c>
      <c r="AP597" t="inlineStr">
        <is>
          <t>JESUS MARIA</t>
        </is>
      </c>
      <c r="AQ597" s="75" t="n">
        <v>46233</v>
      </c>
      <c r="AR597" s="75" t="n">
        <v>46139</v>
      </c>
      <c r="AS597" t="inlineStr">
        <is>
          <t>CUOTA INICIAL</t>
        </is>
      </c>
      <c r="AT597" t="n">
        <v>2</v>
      </c>
      <c r="AU597" t="n">
        <v>40770</v>
      </c>
      <c r="AV597" t="n">
        <v>0</v>
      </c>
      <c r="AW597" t="n">
        <v>0</v>
      </c>
      <c r="AX597" s="39" t="n">
        <v>40770</v>
      </c>
      <c r="AY597" s="39" t="n">
        <v>20770</v>
      </c>
      <c r="AZ597" s="39" t="n">
        <v>20000</v>
      </c>
      <c r="BA597" t="n">
        <v>0</v>
      </c>
      <c r="BB597" t="inlineStr">
        <is>
          <t>Ahorro</t>
        </is>
      </c>
      <c r="BC597" t="inlineStr">
        <is>
          <t>Scotiabank Perú</t>
        </is>
      </c>
      <c r="BD597" t="inlineStr">
        <is>
          <t>000-2768484</t>
        </is>
      </c>
      <c r="BE597" t="inlineStr">
        <is>
          <t>TRANSFERENCIA BANCARIA</t>
        </is>
      </c>
      <c r="BF597" t="inlineStr">
        <is>
          <t>09096071</t>
        </is>
      </c>
      <c r="BG597" t="inlineStr">
        <is>
          <t>01633221410</t>
        </is>
      </c>
      <c r="BH597" t="inlineStr">
        <is>
          <t>No</t>
        </is>
      </c>
      <c r="BI597" t="inlineStr">
        <is>
          <t>NO PRECISA</t>
        </is>
      </c>
      <c r="BJ597" t="n">
        <v>4</v>
      </c>
      <c r="BK597" t="inlineStr">
        <is>
          <t>VENCIDO - PARC. CANCELADO</t>
        </is>
      </c>
      <c r="BV597" t="inlineStr">
        <is>
          <t>Si</t>
        </is>
      </c>
      <c r="BW597" s="76" t="n">
        <v>46139.73958333334</v>
      </c>
      <c r="BX597" t="inlineStr">
        <is>
          <t>Carla Michue M</t>
        </is>
      </c>
      <c r="BZ597" t="n">
        <v>20</v>
      </c>
      <c r="CA597" t="inlineStr">
        <is>
          <t>05/06/2026 14:47</t>
        </is>
      </c>
      <c r="CB597" t="n">
        <v>0</v>
      </c>
      <c r="CF597" t="inlineStr">
        <is>
          <t>Cobranzas_2026.csv</t>
        </is>
      </c>
      <c r="CG597" t="n">
        <v>2026</v>
      </c>
      <c r="CH597" t="inlineStr">
        <is>
          <t>01/01/2024</t>
        </is>
      </c>
      <c r="CI597" t="inlineStr">
        <is>
          <t>24/08/2031</t>
        </is>
      </c>
    </row>
    <row r="598">
      <c r="A598" t="inlineStr">
        <is>
          <t>RESIDENCIAL PRADA</t>
        </is>
      </c>
      <c r="B598" t="inlineStr">
        <is>
          <t>Etapa 1</t>
        </is>
      </c>
      <c r="C598" t="inlineStr">
        <is>
          <t>Edificio</t>
        </is>
      </c>
      <c r="D598" t="inlineStr">
        <is>
          <t>A</t>
        </is>
      </c>
      <c r="E598" t="inlineStr">
        <is>
          <t>Departamento</t>
        </is>
      </c>
      <c r="F598" t="inlineStr">
        <is>
          <t>1004</t>
        </is>
      </c>
      <c r="G598" t="n">
        <v>60.93</v>
      </c>
      <c r="H598" t="n">
        <v>0</v>
      </c>
      <c r="I598" s="39" t="n">
        <v>417700</v>
      </c>
      <c r="J598" s="39" t="n">
        <v>417700</v>
      </c>
      <c r="Q598" s="39" t="n"/>
      <c r="R598" s="39" t="n"/>
      <c r="Y598" s="39" t="n"/>
      <c r="Z598" s="39" t="n"/>
      <c r="AG598" s="39" t="n"/>
      <c r="AH598" s="39" t="n"/>
      <c r="AI598" t="inlineStr">
        <is>
          <t>Marita Angeles Milla</t>
        </is>
      </c>
      <c r="AJ598" t="inlineStr">
        <is>
          <t>09096071</t>
        </is>
      </c>
      <c r="AK598" t="inlineStr">
        <is>
          <t>Av. Olavegoya 1879 Dpto. 301</t>
        </is>
      </c>
      <c r="AM598" t="inlineStr">
        <is>
          <t>997627864</t>
        </is>
      </c>
      <c r="AN598" t="inlineStr">
        <is>
          <t>marita.angeles.milla@gmail.com</t>
        </is>
      </c>
      <c r="AO598" t="inlineStr">
        <is>
          <t>LIMA</t>
        </is>
      </c>
      <c r="AP598" t="inlineStr">
        <is>
          <t>JESUS MARIA</t>
        </is>
      </c>
      <c r="AQ598" s="75" t="n">
        <v>46264</v>
      </c>
      <c r="AR598" s="75" t="n"/>
      <c r="AS598" t="inlineStr">
        <is>
          <t>SALDO FINANCIAR</t>
        </is>
      </c>
      <c r="AT598" t="n">
        <v>3</v>
      </c>
      <c r="AU598" t="n">
        <v>373930</v>
      </c>
      <c r="AV598" t="n">
        <v>0</v>
      </c>
      <c r="AW598" t="n">
        <v>0</v>
      </c>
      <c r="AX598" s="39" t="n">
        <v>373930</v>
      </c>
      <c r="AY598" s="39" t="n">
        <v>0</v>
      </c>
      <c r="AZ598" s="39" t="n">
        <v>373930</v>
      </c>
      <c r="BB598" t="inlineStr">
        <is>
          <t>Ahorro</t>
        </is>
      </c>
      <c r="BH598" t="inlineStr">
        <is>
          <t>No</t>
        </is>
      </c>
      <c r="BK598" t="inlineStr">
        <is>
          <t>PENDIENTE</t>
        </is>
      </c>
      <c r="BV598" t="inlineStr">
        <is>
          <t>No</t>
        </is>
      </c>
      <c r="BW598" s="76" t="n">
        <v>46139.73958333334</v>
      </c>
      <c r="BX598" t="inlineStr">
        <is>
          <t>Carla Michue M</t>
        </is>
      </c>
      <c r="BZ598" t="n">
        <v>20</v>
      </c>
      <c r="CB598" t="n">
        <v>0</v>
      </c>
      <c r="CF598" t="inlineStr">
        <is>
          <t>Cobranzas_2026.csv</t>
        </is>
      </c>
      <c r="CG598" t="n">
        <v>2026</v>
      </c>
      <c r="CH598" t="inlineStr">
        <is>
          <t>01/01/2024</t>
        </is>
      </c>
      <c r="CI598" t="inlineStr">
        <is>
          <t>24/08/2031</t>
        </is>
      </c>
    </row>
    <row r="599">
      <c r="A599" t="inlineStr">
        <is>
          <t>RESIDENCIAL BEYOND</t>
        </is>
      </c>
      <c r="B599" t="inlineStr">
        <is>
          <t>Etapa 1</t>
        </is>
      </c>
      <c r="C599" t="inlineStr">
        <is>
          <t>Edificio</t>
        </is>
      </c>
      <c r="D599" t="inlineStr">
        <is>
          <t>A</t>
        </is>
      </c>
      <c r="E599" t="inlineStr">
        <is>
          <t>Estacionamiento</t>
        </is>
      </c>
      <c r="F599" t="inlineStr">
        <is>
          <t>E 18</t>
        </is>
      </c>
      <c r="G599" t="n">
        <v>12.5</v>
      </c>
      <c r="H599" t="n">
        <v>0</v>
      </c>
      <c r="I599" s="39" t="n">
        <v>50500</v>
      </c>
      <c r="J599" s="39" t="n">
        <v>50500</v>
      </c>
      <c r="Q599" s="39" t="n"/>
      <c r="R599" s="39" t="n"/>
      <c r="Y599" s="39" t="n"/>
      <c r="Z599" s="39" t="n"/>
      <c r="AG599" s="39" t="n"/>
      <c r="AH599" s="39" t="n"/>
      <c r="AI599" t="inlineStr">
        <is>
          <t>Marynn Yahara Minetto Peralta</t>
        </is>
      </c>
      <c r="AJ599" t="inlineStr">
        <is>
          <t>40846697</t>
        </is>
      </c>
      <c r="AK599" t="inlineStr">
        <is>
          <t>Mz E2 lote 10 Urb Coovitiomar - Ancón</t>
        </is>
      </c>
      <c r="AM599" t="inlineStr">
        <is>
          <t>954133712</t>
        </is>
      </c>
      <c r="AN599" t="inlineStr">
        <is>
          <t>marynn.minetto.mimi@hotmail.com</t>
        </is>
      </c>
      <c r="AO599" t="inlineStr">
        <is>
          <t>LIMA</t>
        </is>
      </c>
      <c r="AP599" t="inlineStr">
        <is>
          <t>SANTA ROSA</t>
        </is>
      </c>
      <c r="AQ599" s="75" t="n">
        <v>46044</v>
      </c>
      <c r="AR599" s="75" t="n">
        <v>46044</v>
      </c>
      <c r="AS599" t="inlineStr">
        <is>
          <t>SEPARACION</t>
        </is>
      </c>
      <c r="AT599" t="n">
        <v>1</v>
      </c>
      <c r="AU599" t="n">
        <v>3000</v>
      </c>
      <c r="AV599" t="n">
        <v>0</v>
      </c>
      <c r="AW599" t="n">
        <v>0</v>
      </c>
      <c r="AX599" s="39" t="n">
        <v>3000</v>
      </c>
      <c r="AY599" s="39" t="n">
        <v>3000</v>
      </c>
      <c r="AZ599" s="39" t="n">
        <v>0</v>
      </c>
      <c r="BA599" t="n">
        <v>0</v>
      </c>
      <c r="BB599" t="inlineStr">
        <is>
          <t>Crédito Directo</t>
        </is>
      </c>
      <c r="BC599" t="inlineStr">
        <is>
          <t>Banco de Credito del Perú</t>
        </is>
      </c>
      <c r="BD599" t="inlineStr">
        <is>
          <t>194-7325779-0-65</t>
        </is>
      </c>
      <c r="BE599" t="inlineStr">
        <is>
          <t>TRANSFERENCIA BANCARIA</t>
        </is>
      </c>
      <c r="BG599" t="inlineStr">
        <is>
          <t>01506294</t>
        </is>
      </c>
      <c r="BH599" t="inlineStr">
        <is>
          <t>No</t>
        </is>
      </c>
      <c r="BJ599" t="n">
        <v>1</v>
      </c>
      <c r="BK599" t="inlineStr">
        <is>
          <t>CANCELADO</t>
        </is>
      </c>
      <c r="BV599" t="inlineStr">
        <is>
          <t>No</t>
        </is>
      </c>
      <c r="BW599" s="76" t="n">
        <v>46044</v>
      </c>
      <c r="BX599" t="inlineStr">
        <is>
          <t>Carla Michue M</t>
        </is>
      </c>
      <c r="BZ599" t="n">
        <v>36</v>
      </c>
      <c r="CA599" t="inlineStr">
        <is>
          <t>29/05/2026 02:48</t>
        </is>
      </c>
      <c r="CB599" t="n">
        <v>0</v>
      </c>
      <c r="CF599" t="inlineStr">
        <is>
          <t>Cobranzas_2026.csv</t>
        </is>
      </c>
      <c r="CG599" t="n">
        <v>2026</v>
      </c>
      <c r="CH599" t="inlineStr">
        <is>
          <t>01/01/2024</t>
        </is>
      </c>
      <c r="CI599" t="inlineStr">
        <is>
          <t>24/08/2031</t>
        </is>
      </c>
    </row>
    <row r="600">
      <c r="A600" t="inlineStr">
        <is>
          <t>RESIDENCIAL BEYOND</t>
        </is>
      </c>
      <c r="B600" t="inlineStr">
        <is>
          <t>Etapa 1</t>
        </is>
      </c>
      <c r="C600" t="inlineStr">
        <is>
          <t>Edificio</t>
        </is>
      </c>
      <c r="D600" t="inlineStr">
        <is>
          <t>A</t>
        </is>
      </c>
      <c r="E600" t="inlineStr">
        <is>
          <t>Estacionamiento</t>
        </is>
      </c>
      <c r="F600" t="inlineStr">
        <is>
          <t>E 18</t>
        </is>
      </c>
      <c r="G600" t="n">
        <v>12.5</v>
      </c>
      <c r="H600" t="n">
        <v>0</v>
      </c>
      <c r="I600" s="39" t="n">
        <v>50500</v>
      </c>
      <c r="J600" s="39" t="n">
        <v>50500</v>
      </c>
      <c r="Q600" s="39" t="n"/>
      <c r="R600" s="39" t="n"/>
      <c r="Y600" s="39" t="n"/>
      <c r="Z600" s="39" t="n"/>
      <c r="AG600" s="39" t="n"/>
      <c r="AH600" s="39" t="n"/>
      <c r="AI600" t="inlineStr">
        <is>
          <t>Marynn Yahara Minetto Peralta</t>
        </is>
      </c>
      <c r="AJ600" t="inlineStr">
        <is>
          <t>40846697</t>
        </is>
      </c>
      <c r="AK600" t="inlineStr">
        <is>
          <t>Mz E2 lote 10 Urb Coovitiomar - Ancón</t>
        </is>
      </c>
      <c r="AM600" t="inlineStr">
        <is>
          <t>954133712</t>
        </is>
      </c>
      <c r="AN600" t="inlineStr">
        <is>
          <t>marynn.minetto.mimi@hotmail.com</t>
        </is>
      </c>
      <c r="AO600" t="inlineStr">
        <is>
          <t>LIMA</t>
        </is>
      </c>
      <c r="AP600" t="inlineStr">
        <is>
          <t>SANTA ROSA</t>
        </is>
      </c>
      <c r="AQ600" s="75" t="n">
        <v>46172</v>
      </c>
      <c r="AR600" s="75" t="n"/>
      <c r="AS600" t="inlineStr">
        <is>
          <t>CUOTA INICIAL</t>
        </is>
      </c>
      <c r="AT600" t="n">
        <v>2</v>
      </c>
      <c r="AU600" t="n">
        <v>9000</v>
      </c>
      <c r="AV600" t="n">
        <v>0</v>
      </c>
      <c r="AW600" t="n">
        <v>0</v>
      </c>
      <c r="AX600" s="39" t="n">
        <v>9000</v>
      </c>
      <c r="AY600" s="39" t="n">
        <v>0</v>
      </c>
      <c r="AZ600" s="39" t="n">
        <v>9000</v>
      </c>
      <c r="BB600" t="inlineStr">
        <is>
          <t>Crédito Directo</t>
        </is>
      </c>
      <c r="BH600" t="inlineStr">
        <is>
          <t>No</t>
        </is>
      </c>
      <c r="BK600" t="inlineStr">
        <is>
          <t>VENCIDO</t>
        </is>
      </c>
      <c r="BV600" t="inlineStr">
        <is>
          <t>No</t>
        </is>
      </c>
      <c r="BW600" s="76" t="n">
        <v>46044</v>
      </c>
      <c r="BX600" t="inlineStr">
        <is>
          <t>Carla Michue M</t>
        </is>
      </c>
      <c r="BZ600" t="n">
        <v>36</v>
      </c>
      <c r="CB600" t="n">
        <v>0</v>
      </c>
      <c r="CF600" t="inlineStr">
        <is>
          <t>Cobranzas_2026.csv</t>
        </is>
      </c>
      <c r="CG600" t="n">
        <v>2026</v>
      </c>
      <c r="CH600" t="inlineStr">
        <is>
          <t>01/01/2024</t>
        </is>
      </c>
      <c r="CI600" t="inlineStr">
        <is>
          <t>24/08/2031</t>
        </is>
      </c>
    </row>
    <row r="601">
      <c r="A601" t="inlineStr">
        <is>
          <t>RESIDENCIAL BEYOND</t>
        </is>
      </c>
      <c r="B601" t="inlineStr">
        <is>
          <t>Etapa 1</t>
        </is>
      </c>
      <c r="C601" t="inlineStr">
        <is>
          <t>Edificio</t>
        </is>
      </c>
      <c r="D601" t="inlineStr">
        <is>
          <t>A</t>
        </is>
      </c>
      <c r="E601" t="inlineStr">
        <is>
          <t>Estacionamiento</t>
        </is>
      </c>
      <c r="F601" t="inlineStr">
        <is>
          <t>E 18</t>
        </is>
      </c>
      <c r="G601" t="n">
        <v>12.5</v>
      </c>
      <c r="H601" t="n">
        <v>0</v>
      </c>
      <c r="I601" s="39" t="n">
        <v>50500</v>
      </c>
      <c r="J601" s="39" t="n">
        <v>50500</v>
      </c>
      <c r="Q601" s="39" t="n"/>
      <c r="R601" s="39" t="n"/>
      <c r="Y601" s="39" t="n"/>
      <c r="Z601" s="39" t="n"/>
      <c r="AG601" s="39" t="n"/>
      <c r="AH601" s="39" t="n"/>
      <c r="AI601" t="inlineStr">
        <is>
          <t>Marynn Yahara Minetto Peralta</t>
        </is>
      </c>
      <c r="AJ601" t="inlineStr">
        <is>
          <t>40846697</t>
        </is>
      </c>
      <c r="AK601" t="inlineStr">
        <is>
          <t>Mz E2 lote 10 Urb Coovitiomar - Ancón</t>
        </is>
      </c>
      <c r="AM601" t="inlineStr">
        <is>
          <t>954133712</t>
        </is>
      </c>
      <c r="AN601" t="inlineStr">
        <is>
          <t>marynn.minetto.mimi@hotmail.com</t>
        </is>
      </c>
      <c r="AO601" t="inlineStr">
        <is>
          <t>LIMA</t>
        </is>
      </c>
      <c r="AP601" t="inlineStr">
        <is>
          <t>SANTA ROSA</t>
        </is>
      </c>
      <c r="AQ601" s="75" t="n">
        <v>46188</v>
      </c>
      <c r="AR601" s="75" t="n"/>
      <c r="AS601" t="inlineStr">
        <is>
          <t>CUOTA INICIAL</t>
        </is>
      </c>
      <c r="AT601" t="n">
        <v>3</v>
      </c>
      <c r="AU601" t="n">
        <v>3000</v>
      </c>
      <c r="AV601" t="n">
        <v>0</v>
      </c>
      <c r="AW601" t="n">
        <v>0</v>
      </c>
      <c r="AX601" s="39" t="n">
        <v>3000</v>
      </c>
      <c r="AY601" s="39" t="n">
        <v>0</v>
      </c>
      <c r="AZ601" s="39" t="n">
        <v>3000</v>
      </c>
      <c r="BB601" t="inlineStr">
        <is>
          <t>Crédito Directo</t>
        </is>
      </c>
      <c r="BH601" t="inlineStr">
        <is>
          <t>No</t>
        </is>
      </c>
      <c r="BK601" t="inlineStr">
        <is>
          <t>VENCIDO</t>
        </is>
      </c>
      <c r="BV601" t="inlineStr">
        <is>
          <t>No</t>
        </is>
      </c>
      <c r="BW601" s="76" t="n">
        <v>46044</v>
      </c>
      <c r="BX601" t="inlineStr">
        <is>
          <t>Carla Michue M</t>
        </is>
      </c>
      <c r="BZ601" t="n">
        <v>36</v>
      </c>
      <c r="CB601" t="n">
        <v>0</v>
      </c>
      <c r="CF601" t="inlineStr">
        <is>
          <t>Cobranzas_2026.csv</t>
        </is>
      </c>
      <c r="CG601" t="n">
        <v>2026</v>
      </c>
      <c r="CH601" t="inlineStr">
        <is>
          <t>01/01/2024</t>
        </is>
      </c>
      <c r="CI601" t="inlineStr">
        <is>
          <t>24/08/2031</t>
        </is>
      </c>
    </row>
    <row r="602">
      <c r="A602" t="inlineStr">
        <is>
          <t>RESIDENCIAL BEYOND</t>
        </is>
      </c>
      <c r="B602" t="inlineStr">
        <is>
          <t>Etapa 1</t>
        </is>
      </c>
      <c r="C602" t="inlineStr">
        <is>
          <t>Edificio</t>
        </is>
      </c>
      <c r="D602" t="inlineStr">
        <is>
          <t>A</t>
        </is>
      </c>
      <c r="E602" t="inlineStr">
        <is>
          <t>Estacionamiento</t>
        </is>
      </c>
      <c r="F602" t="inlineStr">
        <is>
          <t>E 18</t>
        </is>
      </c>
      <c r="G602" t="n">
        <v>12.5</v>
      </c>
      <c r="H602" t="n">
        <v>0</v>
      </c>
      <c r="I602" s="39" t="n">
        <v>50500</v>
      </c>
      <c r="J602" s="39" t="n">
        <v>50500</v>
      </c>
      <c r="Q602" s="39" t="n"/>
      <c r="R602" s="39" t="n"/>
      <c r="Y602" s="39" t="n"/>
      <c r="Z602" s="39" t="n"/>
      <c r="AG602" s="39" t="n"/>
      <c r="AH602" s="39" t="n"/>
      <c r="AI602" t="inlineStr">
        <is>
          <t>Marynn Yahara Minetto Peralta</t>
        </is>
      </c>
      <c r="AJ602" t="inlineStr">
        <is>
          <t>40846697</t>
        </is>
      </c>
      <c r="AK602" t="inlineStr">
        <is>
          <t>Mz E2 lote 10 Urb Coovitiomar - Ancón</t>
        </is>
      </c>
      <c r="AM602" t="inlineStr">
        <is>
          <t>954133712</t>
        </is>
      </c>
      <c r="AN602" t="inlineStr">
        <is>
          <t>marynn.minetto.mimi@hotmail.com</t>
        </is>
      </c>
      <c r="AO602" t="inlineStr">
        <is>
          <t>LIMA</t>
        </is>
      </c>
      <c r="AP602" t="inlineStr">
        <is>
          <t>SANTA ROSA</t>
        </is>
      </c>
      <c r="AQ602" s="75" t="n">
        <v>46202</v>
      </c>
      <c r="AR602" s="75" t="n"/>
      <c r="AS602" t="inlineStr">
        <is>
          <t>SALDO FINANCIAR</t>
        </is>
      </c>
      <c r="AT602" t="n">
        <v>4</v>
      </c>
      <c r="AU602" t="n">
        <v>27000</v>
      </c>
      <c r="AV602" t="n">
        <v>0</v>
      </c>
      <c r="AW602" t="n">
        <v>0</v>
      </c>
      <c r="AX602" s="39" t="n">
        <v>27000</v>
      </c>
      <c r="AY602" s="39" t="n">
        <v>0</v>
      </c>
      <c r="AZ602" s="39" t="n">
        <v>27000</v>
      </c>
      <c r="BB602" t="inlineStr">
        <is>
          <t>Crédito Directo</t>
        </is>
      </c>
      <c r="BH602" t="inlineStr">
        <is>
          <t>No</t>
        </is>
      </c>
      <c r="BK602" t="inlineStr">
        <is>
          <t>VENCIDO</t>
        </is>
      </c>
      <c r="BV602" t="inlineStr">
        <is>
          <t>No</t>
        </is>
      </c>
      <c r="BW602" s="76" t="n">
        <v>46044</v>
      </c>
      <c r="BX602" t="inlineStr">
        <is>
          <t>Carla Michue M</t>
        </is>
      </c>
      <c r="BZ602" t="n">
        <v>36</v>
      </c>
      <c r="CB602" t="n">
        <v>0</v>
      </c>
      <c r="CF602" t="inlineStr">
        <is>
          <t>Cobranzas_2026.csv</t>
        </is>
      </c>
      <c r="CG602" t="n">
        <v>2026</v>
      </c>
      <c r="CH602" t="inlineStr">
        <is>
          <t>01/01/2024</t>
        </is>
      </c>
      <c r="CI602" t="inlineStr">
        <is>
          <t>24/08/2031</t>
        </is>
      </c>
    </row>
    <row r="603">
      <c r="A603" t="inlineStr">
        <is>
          <t>RESIDENCIAL BEYOND</t>
        </is>
      </c>
      <c r="B603" t="inlineStr">
        <is>
          <t>Etapa 1</t>
        </is>
      </c>
      <c r="C603" t="inlineStr">
        <is>
          <t>Edificio</t>
        </is>
      </c>
      <c r="D603" t="inlineStr">
        <is>
          <t>A</t>
        </is>
      </c>
      <c r="E603" t="inlineStr">
        <is>
          <t>Estacionamiento</t>
        </is>
      </c>
      <c r="F603" t="inlineStr">
        <is>
          <t>E 18</t>
        </is>
      </c>
      <c r="G603" t="n">
        <v>12.5</v>
      </c>
      <c r="H603" t="n">
        <v>0</v>
      </c>
      <c r="I603" s="39" t="n">
        <v>50500</v>
      </c>
      <c r="J603" s="39" t="n">
        <v>50500</v>
      </c>
      <c r="Q603" s="39" t="n"/>
      <c r="R603" s="39" t="n"/>
      <c r="Y603" s="39" t="n"/>
      <c r="Z603" s="39" t="n"/>
      <c r="AG603" s="39" t="n"/>
      <c r="AH603" s="39" t="n"/>
      <c r="AI603" t="inlineStr">
        <is>
          <t>Marynn Yahara Minetto Peralta</t>
        </is>
      </c>
      <c r="AJ603" t="inlineStr">
        <is>
          <t>40846697</t>
        </is>
      </c>
      <c r="AK603" t="inlineStr">
        <is>
          <t>Mz E2 lote 10 Urb Coovitiomar - Ancón</t>
        </is>
      </c>
      <c r="AM603" t="inlineStr">
        <is>
          <t>954133712</t>
        </is>
      </c>
      <c r="AN603" t="inlineStr">
        <is>
          <t>marynn.minetto.mimi@hotmail.com</t>
        </is>
      </c>
      <c r="AO603" t="inlineStr">
        <is>
          <t>LIMA</t>
        </is>
      </c>
      <c r="AP603" t="inlineStr">
        <is>
          <t>SANTA ROSA</t>
        </is>
      </c>
      <c r="AQ603" s="75" t="n">
        <v>46230</v>
      </c>
      <c r="AR603" s="75" t="n"/>
      <c r="AS603" t="inlineStr">
        <is>
          <t>SALDO FINANCIAR</t>
        </is>
      </c>
      <c r="AT603" t="n">
        <v>5</v>
      </c>
      <c r="AU603" t="n">
        <v>8500</v>
      </c>
      <c r="AV603" t="n">
        <v>0</v>
      </c>
      <c r="AW603" t="n">
        <v>0</v>
      </c>
      <c r="AX603" s="39" t="n">
        <v>8500</v>
      </c>
      <c r="AY603" s="39" t="n">
        <v>0</v>
      </c>
      <c r="AZ603" s="39" t="n">
        <v>8500</v>
      </c>
      <c r="BB603" t="inlineStr">
        <is>
          <t>Crédito Directo</t>
        </is>
      </c>
      <c r="BH603" t="inlineStr">
        <is>
          <t>No</t>
        </is>
      </c>
      <c r="BK603" t="inlineStr">
        <is>
          <t>VENCIDO</t>
        </is>
      </c>
      <c r="BV603" t="inlineStr">
        <is>
          <t>No</t>
        </is>
      </c>
      <c r="BW603" s="76" t="n">
        <v>46044</v>
      </c>
      <c r="BX603" t="inlineStr">
        <is>
          <t>Carla Michue M</t>
        </is>
      </c>
      <c r="BZ603" t="n">
        <v>36</v>
      </c>
      <c r="CB603" t="n">
        <v>0</v>
      </c>
      <c r="CF603" t="inlineStr">
        <is>
          <t>Cobranzas_2026.csv</t>
        </is>
      </c>
      <c r="CG603" t="n">
        <v>2026</v>
      </c>
      <c r="CH603" t="inlineStr">
        <is>
          <t>01/01/2024</t>
        </is>
      </c>
      <c r="CI603" t="inlineStr">
        <is>
          <t>24/08/2031</t>
        </is>
      </c>
    </row>
    <row r="604">
      <c r="A604" t="inlineStr">
        <is>
          <t>RESIDENCIAL BEYOND</t>
        </is>
      </c>
      <c r="B604" t="inlineStr">
        <is>
          <t>Etapa 1</t>
        </is>
      </c>
      <c r="C604" t="inlineStr">
        <is>
          <t>Edificio</t>
        </is>
      </c>
      <c r="D604" t="inlineStr">
        <is>
          <t>A</t>
        </is>
      </c>
      <c r="E604" t="inlineStr">
        <is>
          <t>Departamento</t>
        </is>
      </c>
      <c r="F604" t="inlineStr">
        <is>
          <t>605</t>
        </is>
      </c>
      <c r="G604" t="n">
        <v>72</v>
      </c>
      <c r="H604" t="n">
        <v>0</v>
      </c>
      <c r="I604" s="39" t="n">
        <v>532100</v>
      </c>
      <c r="J604" s="39" t="n">
        <v>495000</v>
      </c>
      <c r="Q604" s="39" t="n"/>
      <c r="R604" s="39" t="n"/>
      <c r="Y604" s="39" t="n"/>
      <c r="Z604" s="39" t="n"/>
      <c r="AG604" s="39" t="n"/>
      <c r="AH604" s="39" t="n"/>
      <c r="AI604" t="inlineStr">
        <is>
          <t>Mayra Andrea Montenegro Gomez</t>
        </is>
      </c>
      <c r="AJ604" t="inlineStr">
        <is>
          <t>73214647</t>
        </is>
      </c>
      <c r="AK604" t="inlineStr">
        <is>
          <t>Jr. Huiracocha 1740 Dpto. 202 Edif Maldonado</t>
        </is>
      </c>
      <c r="AL604" t="n">
        <v>0</v>
      </c>
      <c r="AM604" t="inlineStr">
        <is>
          <t>987505094</t>
        </is>
      </c>
      <c r="AN604" t="inlineStr">
        <is>
          <t>maya.monte18@hotmail.com</t>
        </is>
      </c>
      <c r="AO604" t="inlineStr">
        <is>
          <t>LIMA</t>
        </is>
      </c>
      <c r="AP604" t="inlineStr">
        <is>
          <t>JESUS MARIA</t>
        </is>
      </c>
      <c r="AQ604" s="75" t="n">
        <v>46158</v>
      </c>
      <c r="AR604" s="75" t="n">
        <v>45868</v>
      </c>
      <c r="AS604" t="inlineStr">
        <is>
          <t>CUOTA INICIAL</t>
        </is>
      </c>
      <c r="AT604" t="n">
        <v>1</v>
      </c>
      <c r="AU604" t="n">
        <v>50000</v>
      </c>
      <c r="AV604" t="n">
        <v>0</v>
      </c>
      <c r="AW604" t="n">
        <v>0</v>
      </c>
      <c r="AX604" s="39" t="n">
        <v>50000</v>
      </c>
      <c r="AY604" s="39" t="n">
        <v>50000</v>
      </c>
      <c r="AZ604" s="39" t="n">
        <v>0</v>
      </c>
      <c r="BA604" t="n">
        <v>0</v>
      </c>
      <c r="BB604" t="inlineStr">
        <is>
          <t>Crédito Hipotecario</t>
        </is>
      </c>
      <c r="BC604" t="inlineStr">
        <is>
          <t>Banco de Credito del Perú</t>
        </is>
      </c>
      <c r="BD604" t="inlineStr">
        <is>
          <t>194-7325779-0-65</t>
        </is>
      </c>
      <c r="BE604" t="inlineStr">
        <is>
          <t>TRANSFERENCIA BANCARIA</t>
        </is>
      </c>
      <c r="BG604" t="inlineStr">
        <is>
          <t>0857979</t>
        </is>
      </c>
      <c r="BH604" t="inlineStr">
        <is>
          <t>No</t>
        </is>
      </c>
      <c r="BJ604" t="n">
        <v>4</v>
      </c>
      <c r="BK604" t="inlineStr">
        <is>
          <t>CANCELADO</t>
        </is>
      </c>
      <c r="BV604" t="inlineStr">
        <is>
          <t>Si</t>
        </is>
      </c>
      <c r="BW604" s="76" t="n">
        <v>45868.40763888889</v>
      </c>
      <c r="BX604" t="inlineStr">
        <is>
          <t>Carla Michue M</t>
        </is>
      </c>
      <c r="BZ604" t="n">
        <v>22</v>
      </c>
      <c r="CA604" t="inlineStr">
        <is>
          <t>24/05/2026 08:51</t>
        </is>
      </c>
      <c r="CB604" t="n">
        <v>0</v>
      </c>
      <c r="CF604" t="inlineStr">
        <is>
          <t>Cobranzas_2026.csv</t>
        </is>
      </c>
      <c r="CG604" t="n">
        <v>2026</v>
      </c>
      <c r="CH604" t="inlineStr">
        <is>
          <t>01/01/2024</t>
        </is>
      </c>
      <c r="CI604" t="inlineStr">
        <is>
          <t>24/08/2031</t>
        </is>
      </c>
    </row>
    <row r="605">
      <c r="A605" t="inlineStr">
        <is>
          <t>RESIDENCIAL BEYOND</t>
        </is>
      </c>
      <c r="B605" t="inlineStr">
        <is>
          <t>Etapa 1</t>
        </is>
      </c>
      <c r="C605" t="inlineStr">
        <is>
          <t>Edificio</t>
        </is>
      </c>
      <c r="D605" t="inlineStr">
        <is>
          <t>A</t>
        </is>
      </c>
      <c r="E605" t="inlineStr">
        <is>
          <t>Departamento</t>
        </is>
      </c>
      <c r="F605" t="inlineStr">
        <is>
          <t>605</t>
        </is>
      </c>
      <c r="G605" t="n">
        <v>72</v>
      </c>
      <c r="H605" t="n">
        <v>0</v>
      </c>
      <c r="I605" s="39" t="n">
        <v>532100</v>
      </c>
      <c r="J605" s="39" t="n">
        <v>495000</v>
      </c>
      <c r="Q605" s="39" t="n"/>
      <c r="R605" s="39" t="n"/>
      <c r="Y605" s="39" t="n"/>
      <c r="Z605" s="39" t="n"/>
      <c r="AG605" s="39" t="n"/>
      <c r="AH605" s="39" t="n"/>
      <c r="AI605" t="inlineStr">
        <is>
          <t>Mayra Andrea Montenegro Gomez</t>
        </is>
      </c>
      <c r="AJ605" t="inlineStr">
        <is>
          <t>73214647</t>
        </is>
      </c>
      <c r="AK605" t="inlineStr">
        <is>
          <t>Jr. Huiracocha 1740 Dpto. 202 Edif Maldonado</t>
        </is>
      </c>
      <c r="AL605" t="n">
        <v>0</v>
      </c>
      <c r="AM605" t="inlineStr">
        <is>
          <t>987505094</t>
        </is>
      </c>
      <c r="AN605" t="inlineStr">
        <is>
          <t>maya.monte18@hotmail.com</t>
        </is>
      </c>
      <c r="AO605" t="inlineStr">
        <is>
          <t>LIMA</t>
        </is>
      </c>
      <c r="AP605" t="inlineStr">
        <is>
          <t>JESUS MARIA</t>
        </is>
      </c>
      <c r="AQ605" s="75" t="n">
        <v>46253</v>
      </c>
      <c r="AR605" s="75" t="n">
        <v>46253</v>
      </c>
      <c r="AS605" t="inlineStr">
        <is>
          <t>CUOTA INICIAL</t>
        </is>
      </c>
      <c r="AT605" t="n">
        <v>2</v>
      </c>
      <c r="AU605" t="n">
        <v>37000</v>
      </c>
      <c r="AV605" t="n">
        <v>0</v>
      </c>
      <c r="AW605" t="n">
        <v>0</v>
      </c>
      <c r="AX605" s="39" t="n">
        <v>37000</v>
      </c>
      <c r="AY605" s="39" t="n">
        <v>37000</v>
      </c>
      <c r="AZ605" s="39" t="n">
        <v>0</v>
      </c>
      <c r="BA605" t="n">
        <v>0</v>
      </c>
      <c r="BB605" t="inlineStr">
        <is>
          <t>Crédito Hipotecario</t>
        </is>
      </c>
      <c r="BC605" t="inlineStr">
        <is>
          <t>Banco de Credito del Perú</t>
        </is>
      </c>
      <c r="BD605" t="inlineStr">
        <is>
          <t>194-7325779-0-65</t>
        </is>
      </c>
      <c r="BE605" t="inlineStr">
        <is>
          <t>TRANSFERENCIA BANCARIA</t>
        </is>
      </c>
      <c r="BG605" t="inlineStr">
        <is>
          <t>09718908</t>
        </is>
      </c>
      <c r="BH605" t="inlineStr">
        <is>
          <t>No</t>
        </is>
      </c>
      <c r="BI605" t="inlineStr">
        <is>
          <t>AHORROS PERSONALES</t>
        </is>
      </c>
      <c r="BJ605" t="n">
        <v>4</v>
      </c>
      <c r="BK605" t="inlineStr">
        <is>
          <t>CANCELADO</t>
        </is>
      </c>
      <c r="BV605" t="inlineStr">
        <is>
          <t>Si</t>
        </is>
      </c>
      <c r="BW605" s="76" t="n">
        <v>45868.40763888889</v>
      </c>
      <c r="BX605" t="inlineStr">
        <is>
          <t>Carla Michue M</t>
        </is>
      </c>
      <c r="BZ605" t="n">
        <v>22</v>
      </c>
      <c r="CA605" t="inlineStr">
        <is>
          <t>20/08/2026 11:49</t>
        </is>
      </c>
      <c r="CB605" t="n">
        <v>0</v>
      </c>
      <c r="CF605" t="inlineStr">
        <is>
          <t>Cobranzas_2026.csv</t>
        </is>
      </c>
      <c r="CG605" t="n">
        <v>2026</v>
      </c>
      <c r="CH605" t="inlineStr">
        <is>
          <t>01/01/2024</t>
        </is>
      </c>
      <c r="CI605" t="inlineStr">
        <is>
          <t>24/08/2031</t>
        </is>
      </c>
    </row>
    <row r="606">
      <c r="A606" t="inlineStr">
        <is>
          <t>RESIDENCIAL BEYOND</t>
        </is>
      </c>
      <c r="B606" t="inlineStr">
        <is>
          <t>Etapa 1</t>
        </is>
      </c>
      <c r="C606" t="inlineStr">
        <is>
          <t>Edificio</t>
        </is>
      </c>
      <c r="D606" t="inlineStr">
        <is>
          <t>A</t>
        </is>
      </c>
      <c r="E606" t="inlineStr">
        <is>
          <t>Departamento</t>
        </is>
      </c>
      <c r="F606" t="inlineStr">
        <is>
          <t>605</t>
        </is>
      </c>
      <c r="G606" t="n">
        <v>72</v>
      </c>
      <c r="H606" t="n">
        <v>0</v>
      </c>
      <c r="I606" s="39" t="n">
        <v>532100</v>
      </c>
      <c r="J606" s="39" t="n">
        <v>495000</v>
      </c>
      <c r="Q606" s="39" t="n"/>
      <c r="R606" s="39" t="n"/>
      <c r="Y606" s="39" t="n"/>
      <c r="Z606" s="39" t="n"/>
      <c r="AG606" s="39" t="n"/>
      <c r="AH606" s="39" t="n"/>
      <c r="AI606" t="inlineStr">
        <is>
          <t>Mayra Andrea Montenegro Gomez</t>
        </is>
      </c>
      <c r="AJ606" t="inlineStr">
        <is>
          <t>73214647</t>
        </is>
      </c>
      <c r="AK606" t="inlineStr">
        <is>
          <t>Jr. Huiracocha 1740 Dpto. 202 Edif Maldonado</t>
        </is>
      </c>
      <c r="AL606" t="n">
        <v>0</v>
      </c>
      <c r="AM606" t="inlineStr">
        <is>
          <t>987505094</t>
        </is>
      </c>
      <c r="AN606" t="inlineStr">
        <is>
          <t>maya.monte18@hotmail.com</t>
        </is>
      </c>
      <c r="AO606" t="inlineStr">
        <is>
          <t>LIMA</t>
        </is>
      </c>
      <c r="AP606" t="inlineStr">
        <is>
          <t>JESUS MARIA</t>
        </is>
      </c>
      <c r="AQ606" s="75" t="n">
        <v>46253</v>
      </c>
      <c r="AR606" s="75" t="n">
        <v>46253</v>
      </c>
      <c r="AS606" t="inlineStr">
        <is>
          <t>CUOTA INICIAL</t>
        </is>
      </c>
      <c r="AT606" t="n">
        <v>3</v>
      </c>
      <c r="AU606" t="n">
        <v>9000</v>
      </c>
      <c r="AV606" t="n">
        <v>0</v>
      </c>
      <c r="AW606" t="n">
        <v>0</v>
      </c>
      <c r="AX606" s="39" t="n">
        <v>9000</v>
      </c>
      <c r="AY606" s="39" t="n">
        <v>9000</v>
      </c>
      <c r="AZ606" s="39" t="n">
        <v>0</v>
      </c>
      <c r="BA606" t="n">
        <v>0</v>
      </c>
      <c r="BB606" t="inlineStr">
        <is>
          <t>Crédito Hipotecario</t>
        </is>
      </c>
      <c r="BC606" t="inlineStr">
        <is>
          <t>Banco de Credito del Perú</t>
        </is>
      </c>
      <c r="BD606" t="inlineStr">
        <is>
          <t>194-7325779-0-65</t>
        </is>
      </c>
      <c r="BE606" t="inlineStr">
        <is>
          <t>TRANSFERENCIA BANCARIA</t>
        </is>
      </c>
      <c r="BG606" t="inlineStr">
        <is>
          <t>09750977</t>
        </is>
      </c>
      <c r="BH606" t="inlineStr">
        <is>
          <t>No</t>
        </is>
      </c>
      <c r="BJ606" t="n">
        <v>4</v>
      </c>
      <c r="BK606" t="inlineStr">
        <is>
          <t>CANCELADO</t>
        </is>
      </c>
      <c r="BV606" t="inlineStr">
        <is>
          <t>Si</t>
        </is>
      </c>
      <c r="BW606" s="76" t="n">
        <v>45868.40763888889</v>
      </c>
      <c r="BX606" t="inlineStr">
        <is>
          <t>Carla Michue M</t>
        </is>
      </c>
      <c r="BZ606" t="n">
        <v>22</v>
      </c>
      <c r="CA606" t="inlineStr">
        <is>
          <t>19/08/2026 12:07</t>
        </is>
      </c>
      <c r="CB606" t="n">
        <v>0</v>
      </c>
      <c r="CF606" t="inlineStr">
        <is>
          <t>Cobranzas_2026.csv</t>
        </is>
      </c>
      <c r="CG606" t="n">
        <v>2026</v>
      </c>
      <c r="CH606" t="inlineStr">
        <is>
          <t>01/01/2024</t>
        </is>
      </c>
      <c r="CI606" t="inlineStr">
        <is>
          <t>24/08/2031</t>
        </is>
      </c>
    </row>
    <row r="607">
      <c r="A607" t="inlineStr">
        <is>
          <t>RESIDENCIAL BEYOND</t>
        </is>
      </c>
      <c r="B607" t="inlineStr">
        <is>
          <t>Etapa 1</t>
        </is>
      </c>
      <c r="C607" t="inlineStr">
        <is>
          <t>Edificio</t>
        </is>
      </c>
      <c r="D607" t="inlineStr">
        <is>
          <t>A</t>
        </is>
      </c>
      <c r="E607" t="inlineStr">
        <is>
          <t>Departamento</t>
        </is>
      </c>
      <c r="F607" t="inlineStr">
        <is>
          <t>605</t>
        </is>
      </c>
      <c r="G607" t="n">
        <v>72</v>
      </c>
      <c r="H607" t="n">
        <v>0</v>
      </c>
      <c r="I607" s="39" t="n">
        <v>532100</v>
      </c>
      <c r="J607" s="39" t="n">
        <v>495000</v>
      </c>
      <c r="Q607" s="39" t="n"/>
      <c r="R607" s="39" t="n"/>
      <c r="Y607" s="39" t="n"/>
      <c r="Z607" s="39" t="n"/>
      <c r="AG607" s="39" t="n"/>
      <c r="AH607" s="39" t="n"/>
      <c r="AI607" t="inlineStr">
        <is>
          <t>Mayra Andrea Montenegro Gomez</t>
        </is>
      </c>
      <c r="AJ607" t="inlineStr">
        <is>
          <t>73214647</t>
        </is>
      </c>
      <c r="AK607" t="inlineStr">
        <is>
          <t>Jr. Huiracocha 1740 Dpto. 202 Edif Maldonado</t>
        </is>
      </c>
      <c r="AL607" t="n">
        <v>0</v>
      </c>
      <c r="AM607" t="inlineStr">
        <is>
          <t>987505094</t>
        </is>
      </c>
      <c r="AN607" t="inlineStr">
        <is>
          <t>maya.monte18@hotmail.com</t>
        </is>
      </c>
      <c r="AO607" t="inlineStr">
        <is>
          <t>LIMA</t>
        </is>
      </c>
      <c r="AP607" t="inlineStr">
        <is>
          <t>JESUS MARIA</t>
        </is>
      </c>
      <c r="AQ607" s="75" t="n">
        <v>46234</v>
      </c>
      <c r="AR607" s="75" t="n"/>
      <c r="AS607" t="inlineStr">
        <is>
          <t>SALDO FINANCIAR</t>
        </is>
      </c>
      <c r="AT607" t="n">
        <v>1</v>
      </c>
      <c r="AU607" t="n">
        <v>396000</v>
      </c>
      <c r="AV607" t="n">
        <v>0</v>
      </c>
      <c r="AW607" t="n">
        <v>0</v>
      </c>
      <c r="AX607" s="39" t="n">
        <v>396000</v>
      </c>
      <c r="AY607" s="39" t="n">
        <v>0</v>
      </c>
      <c r="AZ607" s="39" t="n">
        <v>396000</v>
      </c>
      <c r="BB607" t="inlineStr">
        <is>
          <t>Crédito Hipotecario</t>
        </is>
      </c>
      <c r="BH607" t="inlineStr">
        <is>
          <t>No</t>
        </is>
      </c>
      <c r="BK607" t="inlineStr">
        <is>
          <t>VENCIDO</t>
        </is>
      </c>
      <c r="BV607" t="inlineStr">
        <is>
          <t>No</t>
        </is>
      </c>
      <c r="BW607" s="76" t="n">
        <v>45868.40763888889</v>
      </c>
      <c r="BX607" t="inlineStr">
        <is>
          <t>Carla Michue M</t>
        </is>
      </c>
      <c r="BZ607" t="n">
        <v>22</v>
      </c>
      <c r="CB607" t="n">
        <v>0</v>
      </c>
      <c r="CF607" t="inlineStr">
        <is>
          <t>Cobranzas_2026.csv</t>
        </is>
      </c>
      <c r="CG607" t="n">
        <v>2026</v>
      </c>
      <c r="CH607" t="inlineStr">
        <is>
          <t>01/01/2024</t>
        </is>
      </c>
      <c r="CI607" t="inlineStr">
        <is>
          <t>24/08/2031</t>
        </is>
      </c>
    </row>
    <row r="608">
      <c r="A608" t="inlineStr">
        <is>
          <t>RESIDENCIAL BEYOND</t>
        </is>
      </c>
      <c r="B608" t="inlineStr">
        <is>
          <t>Etapa 1</t>
        </is>
      </c>
      <c r="C608" t="inlineStr">
        <is>
          <t>Edificio</t>
        </is>
      </c>
      <c r="D608" t="inlineStr">
        <is>
          <t>A</t>
        </is>
      </c>
      <c r="E608" t="inlineStr">
        <is>
          <t>Departamento</t>
        </is>
      </c>
      <c r="F608" t="inlineStr">
        <is>
          <t>902</t>
        </is>
      </c>
      <c r="G608" t="n">
        <v>57</v>
      </c>
      <c r="H608" t="n">
        <v>0</v>
      </c>
      <c r="I608" s="39" t="n">
        <v>469000</v>
      </c>
      <c r="J608" s="39" t="n">
        <v>429000</v>
      </c>
      <c r="Q608" s="39" t="n"/>
      <c r="R608" s="39" t="n"/>
      <c r="Y608" s="39" t="n"/>
      <c r="Z608" s="39" t="n"/>
      <c r="AG608" s="39" t="n"/>
      <c r="AH608" s="39" t="n"/>
      <c r="AI608" t="inlineStr">
        <is>
          <t>Medaly Mendoza .</t>
        </is>
      </c>
      <c r="AJ608" t="inlineStr">
        <is>
          <t>75197073</t>
        </is>
      </c>
      <c r="AK608" t="inlineStr">
        <is>
          <t>.</t>
        </is>
      </c>
      <c r="AL608" t="n">
        <v>0</v>
      </c>
      <c r="AM608" t="inlineStr">
        <is>
          <t>979218897</t>
        </is>
      </c>
      <c r="AN608" t="inlineStr">
        <is>
          <t>medalymendoza223@gmail.com</t>
        </is>
      </c>
      <c r="AO608" t="inlineStr">
        <is>
          <t>LIMA</t>
        </is>
      </c>
      <c r="AP608" t="inlineStr">
        <is>
          <t>JESUS MARIA</t>
        </is>
      </c>
      <c r="AQ608" s="75" t="n">
        <v>46174</v>
      </c>
      <c r="AR608" s="75" t="n">
        <v>46174</v>
      </c>
      <c r="AS608" t="inlineStr">
        <is>
          <t>SEPARACION</t>
        </is>
      </c>
      <c r="AT608" t="n">
        <v>1</v>
      </c>
      <c r="AU608" t="n">
        <v>3000</v>
      </c>
      <c r="AV608" t="n">
        <v>0</v>
      </c>
      <c r="AW608" t="n">
        <v>0</v>
      </c>
      <c r="AX608" s="39" t="n">
        <v>3000</v>
      </c>
      <c r="AY608" s="39" t="n">
        <v>3000</v>
      </c>
      <c r="AZ608" s="39" t="n">
        <v>0</v>
      </c>
      <c r="BA608" t="n">
        <v>0</v>
      </c>
      <c r="BB608" t="inlineStr">
        <is>
          <t>Ahorro</t>
        </is>
      </c>
      <c r="BC608" t="inlineStr">
        <is>
          <t>Banco de Credito del Perú</t>
        </is>
      </c>
      <c r="BD608" t="inlineStr">
        <is>
          <t>194-7325779-0-65</t>
        </is>
      </c>
      <c r="BE608" t="inlineStr">
        <is>
          <t>TRANSFERENCIA BANCARIA</t>
        </is>
      </c>
      <c r="BG608" t="inlineStr">
        <is>
          <t>05001718</t>
        </is>
      </c>
      <c r="BH608" t="inlineStr">
        <is>
          <t>No</t>
        </is>
      </c>
      <c r="BJ608" t="n">
        <v>4</v>
      </c>
      <c r="BK608" t="inlineStr">
        <is>
          <t>CANCELADO</t>
        </is>
      </c>
      <c r="BV608" t="inlineStr">
        <is>
          <t>Si</t>
        </is>
      </c>
      <c r="BW608" s="76" t="n">
        <v>46191.39652777778</v>
      </c>
      <c r="BX608" t="inlineStr">
        <is>
          <t>Kenny Salazar S</t>
        </is>
      </c>
      <c r="BZ608" t="n">
        <v>45</v>
      </c>
      <c r="CA608" t="inlineStr">
        <is>
          <t>11/07/2026 08:51</t>
        </is>
      </c>
      <c r="CB608" t="n">
        <v>0</v>
      </c>
      <c r="CF608" t="inlineStr">
        <is>
          <t>Cobranzas_2026.csv</t>
        </is>
      </c>
      <c r="CG608" t="n">
        <v>2026</v>
      </c>
      <c r="CH608" t="inlineStr">
        <is>
          <t>01/01/2024</t>
        </is>
      </c>
      <c r="CI608" t="inlineStr">
        <is>
          <t>24/08/2031</t>
        </is>
      </c>
    </row>
    <row r="609">
      <c r="A609" t="inlineStr">
        <is>
          <t>RESIDENCIAL BEYOND</t>
        </is>
      </c>
      <c r="B609" t="inlineStr">
        <is>
          <t>Etapa 1</t>
        </is>
      </c>
      <c r="C609" t="inlineStr">
        <is>
          <t>Edificio</t>
        </is>
      </c>
      <c r="D609" t="inlineStr">
        <is>
          <t>A</t>
        </is>
      </c>
      <c r="E609" t="inlineStr">
        <is>
          <t>Departamento</t>
        </is>
      </c>
      <c r="F609" t="inlineStr">
        <is>
          <t>902</t>
        </is>
      </c>
      <c r="G609" t="n">
        <v>57</v>
      </c>
      <c r="H609" t="n">
        <v>0</v>
      </c>
      <c r="I609" s="39" t="n">
        <v>469000</v>
      </c>
      <c r="J609" s="39" t="n">
        <v>429000</v>
      </c>
      <c r="Q609" s="39" t="n"/>
      <c r="R609" s="39" t="n"/>
      <c r="Y609" s="39" t="n"/>
      <c r="Z609" s="39" t="n"/>
      <c r="AG609" s="39" t="n"/>
      <c r="AH609" s="39" t="n"/>
      <c r="AI609" t="inlineStr">
        <is>
          <t>Medaly Mendoza .</t>
        </is>
      </c>
      <c r="AJ609" t="inlineStr">
        <is>
          <t>75197073</t>
        </is>
      </c>
      <c r="AK609" t="inlineStr">
        <is>
          <t>.</t>
        </is>
      </c>
      <c r="AL609" t="n">
        <v>0</v>
      </c>
      <c r="AM609" t="inlineStr">
        <is>
          <t>979218897</t>
        </is>
      </c>
      <c r="AN609" t="inlineStr">
        <is>
          <t>medalymendoza223@gmail.com</t>
        </is>
      </c>
      <c r="AO609" t="inlineStr">
        <is>
          <t>LIMA</t>
        </is>
      </c>
      <c r="AP609" t="inlineStr">
        <is>
          <t>JESUS MARIA</t>
        </is>
      </c>
      <c r="AQ609" s="75" t="n">
        <v>46181</v>
      </c>
      <c r="AR609" s="75" t="n">
        <v>46181</v>
      </c>
      <c r="AS609" t="inlineStr">
        <is>
          <t>CUOTA INICIAL</t>
        </is>
      </c>
      <c r="AT609" t="n">
        <v>1</v>
      </c>
      <c r="AU609" t="n">
        <v>18450</v>
      </c>
      <c r="AV609" t="n">
        <v>0</v>
      </c>
      <c r="AW609" t="n">
        <v>0</v>
      </c>
      <c r="AX609" s="39" t="n">
        <v>18450</v>
      </c>
      <c r="AY609" s="39" t="n">
        <v>18450</v>
      </c>
      <c r="AZ609" s="39" t="n">
        <v>0</v>
      </c>
      <c r="BA609" t="n">
        <v>0</v>
      </c>
      <c r="BB609" t="inlineStr">
        <is>
          <t>Ahorro</t>
        </is>
      </c>
      <c r="BC609" t="inlineStr">
        <is>
          <t>Banco de Credito del Perú</t>
        </is>
      </c>
      <c r="BD609" t="inlineStr">
        <is>
          <t>194-7325779-0-65</t>
        </is>
      </c>
      <c r="BE609" t="inlineStr">
        <is>
          <t>TRANSFERENCIA BANCARIA</t>
        </is>
      </c>
      <c r="BG609" t="inlineStr">
        <is>
          <t>04992682</t>
        </is>
      </c>
      <c r="BH609" t="inlineStr">
        <is>
          <t>No</t>
        </is>
      </c>
      <c r="BJ609" t="n">
        <v>4</v>
      </c>
      <c r="BK609" t="inlineStr">
        <is>
          <t>CANCELADO</t>
        </is>
      </c>
      <c r="BV609" t="inlineStr">
        <is>
          <t>Si</t>
        </is>
      </c>
      <c r="BW609" s="76" t="n">
        <v>46191.39652777778</v>
      </c>
      <c r="BX609" t="inlineStr">
        <is>
          <t>Kenny Salazar S</t>
        </is>
      </c>
      <c r="BZ609" t="n">
        <v>45</v>
      </c>
      <c r="CA609" t="inlineStr">
        <is>
          <t>11/07/2026 09:30</t>
        </is>
      </c>
      <c r="CB609" t="n">
        <v>0</v>
      </c>
      <c r="CF609" t="inlineStr">
        <is>
          <t>Cobranzas_2026.csv</t>
        </is>
      </c>
      <c r="CG609" t="n">
        <v>2026</v>
      </c>
      <c r="CH609" t="inlineStr">
        <is>
          <t>01/01/2024</t>
        </is>
      </c>
      <c r="CI609" t="inlineStr">
        <is>
          <t>24/08/2031</t>
        </is>
      </c>
    </row>
    <row r="610">
      <c r="A610" t="inlineStr">
        <is>
          <t>RESIDENCIAL BEYOND</t>
        </is>
      </c>
      <c r="B610" t="inlineStr">
        <is>
          <t>Etapa 1</t>
        </is>
      </c>
      <c r="C610" t="inlineStr">
        <is>
          <t>Edificio</t>
        </is>
      </c>
      <c r="D610" t="inlineStr">
        <is>
          <t>A</t>
        </is>
      </c>
      <c r="E610" t="inlineStr">
        <is>
          <t>Departamento</t>
        </is>
      </c>
      <c r="F610" t="inlineStr">
        <is>
          <t>902</t>
        </is>
      </c>
      <c r="G610" t="n">
        <v>57</v>
      </c>
      <c r="H610" t="n">
        <v>0</v>
      </c>
      <c r="I610" s="39" t="n">
        <v>469000</v>
      </c>
      <c r="J610" s="39" t="n">
        <v>429000</v>
      </c>
      <c r="Q610" s="39" t="n"/>
      <c r="R610" s="39" t="n"/>
      <c r="Y610" s="39" t="n"/>
      <c r="Z610" s="39" t="n"/>
      <c r="AG610" s="39" t="n"/>
      <c r="AH610" s="39" t="n"/>
      <c r="AI610" t="inlineStr">
        <is>
          <t>Medaly Mendoza .</t>
        </is>
      </c>
      <c r="AJ610" t="inlineStr">
        <is>
          <t>75197073</t>
        </is>
      </c>
      <c r="AK610" t="inlineStr">
        <is>
          <t>.</t>
        </is>
      </c>
      <c r="AL610" t="n">
        <v>0</v>
      </c>
      <c r="AM610" t="inlineStr">
        <is>
          <t>979218897</t>
        </is>
      </c>
      <c r="AN610" t="inlineStr">
        <is>
          <t>medalymendoza223@gmail.com</t>
        </is>
      </c>
      <c r="AO610" t="inlineStr">
        <is>
          <t>LIMA</t>
        </is>
      </c>
      <c r="AP610" t="inlineStr">
        <is>
          <t>JESUS MARIA</t>
        </is>
      </c>
      <c r="AQ610" s="75" t="n">
        <v>46356</v>
      </c>
      <c r="AR610" s="75" t="n"/>
      <c r="AS610" t="inlineStr">
        <is>
          <t>CUOTA INICIAL</t>
        </is>
      </c>
      <c r="AT610" t="n">
        <v>2</v>
      </c>
      <c r="AU610" t="n">
        <v>21450</v>
      </c>
      <c r="AV610" t="n">
        <v>0</v>
      </c>
      <c r="AW610" t="n">
        <v>0</v>
      </c>
      <c r="AX610" s="39" t="n">
        <v>21450</v>
      </c>
      <c r="AY610" s="39" t="n">
        <v>0</v>
      </c>
      <c r="AZ610" s="39" t="n">
        <v>21450</v>
      </c>
      <c r="BB610" t="inlineStr">
        <is>
          <t>Ahorro</t>
        </is>
      </c>
      <c r="BH610" t="inlineStr">
        <is>
          <t>No</t>
        </is>
      </c>
      <c r="BK610" t="inlineStr">
        <is>
          <t>PENDIENTE</t>
        </is>
      </c>
      <c r="BV610" t="inlineStr">
        <is>
          <t>No</t>
        </is>
      </c>
      <c r="BW610" s="76" t="n">
        <v>46191.39652777778</v>
      </c>
      <c r="BX610" t="inlineStr">
        <is>
          <t>Kenny Salazar S</t>
        </is>
      </c>
      <c r="BZ610" t="n">
        <v>45</v>
      </c>
      <c r="CB610" t="n">
        <v>0</v>
      </c>
      <c r="CF610" t="inlineStr">
        <is>
          <t>Cobranzas_2026.csv</t>
        </is>
      </c>
      <c r="CG610" t="n">
        <v>2026</v>
      </c>
      <c r="CH610" t="inlineStr">
        <is>
          <t>01/01/2024</t>
        </is>
      </c>
      <c r="CI610" t="inlineStr">
        <is>
          <t>24/08/2031</t>
        </is>
      </c>
    </row>
    <row r="611">
      <c r="A611" t="inlineStr">
        <is>
          <t>RESIDENCIAL BEYOND</t>
        </is>
      </c>
      <c r="B611" t="inlineStr">
        <is>
          <t>Etapa 1</t>
        </is>
      </c>
      <c r="C611" t="inlineStr">
        <is>
          <t>Edificio</t>
        </is>
      </c>
      <c r="D611" t="inlineStr">
        <is>
          <t>A</t>
        </is>
      </c>
      <c r="E611" t="inlineStr">
        <is>
          <t>Departamento</t>
        </is>
      </c>
      <c r="F611" t="inlineStr">
        <is>
          <t>1502</t>
        </is>
      </c>
      <c r="G611" t="n">
        <v>57</v>
      </c>
      <c r="H611" t="n">
        <v>0</v>
      </c>
      <c r="I611" s="39" t="n">
        <v>430000</v>
      </c>
      <c r="J611" s="39" t="n">
        <v>369000</v>
      </c>
      <c r="K611" t="inlineStr">
        <is>
          <t>Edificio</t>
        </is>
      </c>
      <c r="L611" t="inlineStr">
        <is>
          <t>A</t>
        </is>
      </c>
      <c r="M611" t="inlineStr">
        <is>
          <t>Estacionamiento</t>
        </is>
      </c>
      <c r="N611" t="inlineStr">
        <is>
          <t>E 39</t>
        </is>
      </c>
      <c r="O611" t="n">
        <v>12.5</v>
      </c>
      <c r="P611" t="n">
        <v>0</v>
      </c>
      <c r="Q611" s="39" t="n">
        <v>43200</v>
      </c>
      <c r="R611" s="39" t="n">
        <v>43200</v>
      </c>
      <c r="Y611" s="39" t="n"/>
      <c r="Z611" s="39" t="n"/>
      <c r="AG611" s="39" t="n"/>
      <c r="AH611" s="39" t="n"/>
      <c r="AI611" t="inlineStr">
        <is>
          <t>Melanny Dayanna Flores Blas</t>
        </is>
      </c>
      <c r="AJ611" t="inlineStr">
        <is>
          <t>75334346</t>
        </is>
      </c>
      <c r="AK611" t="inlineStr">
        <is>
          <t xml:space="preserve">Av. Los Alisos Urb. Naranjal MZ Ñ-1 LT 27 </t>
        </is>
      </c>
      <c r="AL611" t="n">
        <v>0</v>
      </c>
      <c r="AM611" t="inlineStr">
        <is>
          <t>979775301</t>
        </is>
      </c>
      <c r="AN611" t="inlineStr">
        <is>
          <t>flores.d19958@gmail.com</t>
        </is>
      </c>
      <c r="AO611" t="inlineStr">
        <is>
          <t>LIMA</t>
        </is>
      </c>
      <c r="AP611" t="inlineStr">
        <is>
          <t>SAN MARTIN DE PORRES</t>
        </is>
      </c>
      <c r="AQ611" s="75" t="n">
        <v>46036</v>
      </c>
      <c r="AR611" s="75" t="n">
        <v>46036</v>
      </c>
      <c r="AS611" t="inlineStr">
        <is>
          <t>SEPARACION</t>
        </is>
      </c>
      <c r="AT611" t="n">
        <v>1</v>
      </c>
      <c r="AU611" t="n">
        <v>3000</v>
      </c>
      <c r="AV611" t="n">
        <v>0</v>
      </c>
      <c r="AW611" t="n">
        <v>0</v>
      </c>
      <c r="AX611" s="39" t="n">
        <v>3000</v>
      </c>
      <c r="AY611" s="39" t="n">
        <v>3000</v>
      </c>
      <c r="AZ611" s="39" t="n">
        <v>0</v>
      </c>
      <c r="BA611" t="n">
        <v>0</v>
      </c>
      <c r="BB611" t="inlineStr">
        <is>
          <t>Crédito Directo</t>
        </is>
      </c>
      <c r="BC611" t="inlineStr">
        <is>
          <t>Banco de Credito del Perú</t>
        </is>
      </c>
      <c r="BD611" t="inlineStr">
        <is>
          <t>194-7325779-0-65</t>
        </is>
      </c>
      <c r="BE611" t="inlineStr">
        <is>
          <t>TRANSFERENCIA BANCARIA</t>
        </is>
      </c>
      <c r="BG611" t="inlineStr">
        <is>
          <t>02463717</t>
        </is>
      </c>
      <c r="BH611" t="inlineStr">
        <is>
          <t>No</t>
        </is>
      </c>
      <c r="BJ611" t="n">
        <v>4</v>
      </c>
      <c r="BK611" t="inlineStr">
        <is>
          <t>CANCELADO</t>
        </is>
      </c>
      <c r="BV611" t="inlineStr">
        <is>
          <t>Si</t>
        </is>
      </c>
      <c r="BW611" s="76" t="n">
        <v>46046.47361111111</v>
      </c>
      <c r="BX611" t="inlineStr">
        <is>
          <t>Carla Michue M</t>
        </is>
      </c>
      <c r="BZ611" t="n">
        <v>10</v>
      </c>
      <c r="CA611" t="inlineStr">
        <is>
          <t>23/05/2026 18:42</t>
        </is>
      </c>
      <c r="CB611" t="n">
        <v>0</v>
      </c>
      <c r="CF611" t="inlineStr">
        <is>
          <t>Cobranzas_2026.csv</t>
        </is>
      </c>
      <c r="CG611" t="n">
        <v>2026</v>
      </c>
      <c r="CH611" t="inlineStr">
        <is>
          <t>01/01/2024</t>
        </is>
      </c>
      <c r="CI611" t="inlineStr">
        <is>
          <t>24/08/2031</t>
        </is>
      </c>
    </row>
    <row r="612">
      <c r="A612" t="inlineStr">
        <is>
          <t>RESIDENCIAL BEYOND</t>
        </is>
      </c>
      <c r="B612" t="inlineStr">
        <is>
          <t>Etapa 1</t>
        </is>
      </c>
      <c r="C612" t="inlineStr">
        <is>
          <t>Edificio</t>
        </is>
      </c>
      <c r="D612" t="inlineStr">
        <is>
          <t>A</t>
        </is>
      </c>
      <c r="E612" t="inlineStr">
        <is>
          <t>Departamento</t>
        </is>
      </c>
      <c r="F612" t="inlineStr">
        <is>
          <t>1502</t>
        </is>
      </c>
      <c r="G612" t="n">
        <v>57</v>
      </c>
      <c r="H612" t="n">
        <v>0</v>
      </c>
      <c r="I612" s="39" t="n">
        <v>430000</v>
      </c>
      <c r="J612" s="39" t="n">
        <v>369000</v>
      </c>
      <c r="K612" t="inlineStr">
        <is>
          <t>Edificio</t>
        </is>
      </c>
      <c r="L612" t="inlineStr">
        <is>
          <t>A</t>
        </is>
      </c>
      <c r="M612" t="inlineStr">
        <is>
          <t>Estacionamiento</t>
        </is>
      </c>
      <c r="N612" t="inlineStr">
        <is>
          <t>E 39</t>
        </is>
      </c>
      <c r="O612" t="n">
        <v>12.5</v>
      </c>
      <c r="P612" t="n">
        <v>0</v>
      </c>
      <c r="Q612" s="39" t="n">
        <v>43200</v>
      </c>
      <c r="R612" s="39" t="n">
        <v>43200</v>
      </c>
      <c r="Y612" s="39" t="n"/>
      <c r="Z612" s="39" t="n"/>
      <c r="AG612" s="39" t="n"/>
      <c r="AH612" s="39" t="n"/>
      <c r="AI612" t="inlineStr">
        <is>
          <t>Melanny Dayanna Flores Blas</t>
        </is>
      </c>
      <c r="AJ612" t="inlineStr">
        <is>
          <t>75334346</t>
        </is>
      </c>
      <c r="AK612" t="inlineStr">
        <is>
          <t xml:space="preserve">Av. Los Alisos Urb. Naranjal MZ Ñ-1 LT 27 </t>
        </is>
      </c>
      <c r="AL612" t="n">
        <v>0</v>
      </c>
      <c r="AM612" t="inlineStr">
        <is>
          <t>979775301</t>
        </is>
      </c>
      <c r="AN612" t="inlineStr">
        <is>
          <t>flores.d19958@gmail.com</t>
        </is>
      </c>
      <c r="AO612" t="inlineStr">
        <is>
          <t>LIMA</t>
        </is>
      </c>
      <c r="AP612" t="inlineStr">
        <is>
          <t>SAN MARTIN DE PORRES</t>
        </is>
      </c>
      <c r="AQ612" s="75" t="n">
        <v>46046</v>
      </c>
      <c r="AR612" s="75" t="n">
        <v>46046</v>
      </c>
      <c r="AS612" t="inlineStr">
        <is>
          <t>CUOTA INICIAL</t>
        </is>
      </c>
      <c r="AT612" t="n">
        <v>1</v>
      </c>
      <c r="AU612" t="n">
        <v>30000</v>
      </c>
      <c r="AV612" t="n">
        <v>0</v>
      </c>
      <c r="AW612" t="n">
        <v>0</v>
      </c>
      <c r="AX612" s="39" t="n">
        <v>30000</v>
      </c>
      <c r="AY612" s="39" t="n">
        <v>30000</v>
      </c>
      <c r="AZ612" s="39" t="n">
        <v>0</v>
      </c>
      <c r="BA612" t="n">
        <v>0</v>
      </c>
      <c r="BB612" t="inlineStr">
        <is>
          <t>Crédito Directo</t>
        </is>
      </c>
      <c r="BC612" t="inlineStr">
        <is>
          <t>Banco de Credito del Perú</t>
        </is>
      </c>
      <c r="BD612" t="inlineStr">
        <is>
          <t>194-7325779-0-65</t>
        </is>
      </c>
      <c r="BE612" t="inlineStr">
        <is>
          <t>TRANSFERENCIA BANCARIA</t>
        </is>
      </c>
      <c r="BG612" t="inlineStr">
        <is>
          <t>00676390</t>
        </is>
      </c>
      <c r="BH612" t="inlineStr">
        <is>
          <t>No</t>
        </is>
      </c>
      <c r="BJ612" t="n">
        <v>4</v>
      </c>
      <c r="BK612" t="inlineStr">
        <is>
          <t>CANCELADO</t>
        </is>
      </c>
      <c r="BV612" t="inlineStr">
        <is>
          <t>Si</t>
        </is>
      </c>
      <c r="BW612" s="76" t="n">
        <v>46046.47361111111</v>
      </c>
      <c r="BX612" t="inlineStr">
        <is>
          <t>Carla Michue M</t>
        </is>
      </c>
      <c r="BZ612" t="n">
        <v>10</v>
      </c>
      <c r="CA612" t="inlineStr">
        <is>
          <t>23/05/2026 18:50</t>
        </is>
      </c>
      <c r="CB612" t="n">
        <v>0</v>
      </c>
      <c r="CF612" t="inlineStr">
        <is>
          <t>Cobranzas_2026.csv</t>
        </is>
      </c>
      <c r="CG612" t="n">
        <v>2026</v>
      </c>
      <c r="CH612" t="inlineStr">
        <is>
          <t>01/01/2024</t>
        </is>
      </c>
      <c r="CI612" t="inlineStr">
        <is>
          <t>24/08/2031</t>
        </is>
      </c>
    </row>
    <row r="613">
      <c r="A613" t="inlineStr">
        <is>
          <t>RESIDENCIAL BEYOND</t>
        </is>
      </c>
      <c r="B613" t="inlineStr">
        <is>
          <t>Etapa 1</t>
        </is>
      </c>
      <c r="C613" t="inlineStr">
        <is>
          <t>Edificio</t>
        </is>
      </c>
      <c r="D613" t="inlineStr">
        <is>
          <t>A</t>
        </is>
      </c>
      <c r="E613" t="inlineStr">
        <is>
          <t>Departamento</t>
        </is>
      </c>
      <c r="F613" t="inlineStr">
        <is>
          <t>1502</t>
        </is>
      </c>
      <c r="G613" t="n">
        <v>57</v>
      </c>
      <c r="H613" t="n">
        <v>0</v>
      </c>
      <c r="I613" s="39" t="n">
        <v>430000</v>
      </c>
      <c r="J613" s="39" t="n">
        <v>369000</v>
      </c>
      <c r="K613" t="inlineStr">
        <is>
          <t>Edificio</t>
        </is>
      </c>
      <c r="L613" t="inlineStr">
        <is>
          <t>A</t>
        </is>
      </c>
      <c r="M613" t="inlineStr">
        <is>
          <t>Estacionamiento</t>
        </is>
      </c>
      <c r="N613" t="inlineStr">
        <is>
          <t>E 39</t>
        </is>
      </c>
      <c r="O613" t="n">
        <v>12.5</v>
      </c>
      <c r="P613" t="n">
        <v>0</v>
      </c>
      <c r="Q613" s="39" t="n">
        <v>43200</v>
      </c>
      <c r="R613" s="39" t="n">
        <v>43200</v>
      </c>
      <c r="Y613" s="39" t="n"/>
      <c r="Z613" s="39" t="n"/>
      <c r="AG613" s="39" t="n"/>
      <c r="AH613" s="39" t="n"/>
      <c r="AI613" t="inlineStr">
        <is>
          <t>Melanny Dayanna Flores Blas</t>
        </is>
      </c>
      <c r="AJ613" t="inlineStr">
        <is>
          <t>75334346</t>
        </is>
      </c>
      <c r="AK613" t="inlineStr">
        <is>
          <t xml:space="preserve">Av. Los Alisos Urb. Naranjal MZ Ñ-1 LT 27 </t>
        </is>
      </c>
      <c r="AL613" t="n">
        <v>0</v>
      </c>
      <c r="AM613" t="inlineStr">
        <is>
          <t>979775301</t>
        </is>
      </c>
      <c r="AN613" t="inlineStr">
        <is>
          <t>flores.d19958@gmail.com</t>
        </is>
      </c>
      <c r="AO613" t="inlineStr">
        <is>
          <t>LIMA</t>
        </is>
      </c>
      <c r="AP613" t="inlineStr">
        <is>
          <t>SAN MARTIN DE PORRES</t>
        </is>
      </c>
      <c r="AQ613" s="75" t="n">
        <v>46048</v>
      </c>
      <c r="AR613" s="75" t="n">
        <v>46048</v>
      </c>
      <c r="AS613" t="inlineStr">
        <is>
          <t>CUOTA INICIAL</t>
        </is>
      </c>
      <c r="AT613" t="n">
        <v>2</v>
      </c>
      <c r="AU613" t="n">
        <v>70000</v>
      </c>
      <c r="AV613" t="n">
        <v>0</v>
      </c>
      <c r="AW613" t="n">
        <v>0</v>
      </c>
      <c r="AX613" s="39" t="n">
        <v>70000</v>
      </c>
      <c r="AY613" s="39" t="n">
        <v>70000</v>
      </c>
      <c r="AZ613" s="39" t="n">
        <v>0</v>
      </c>
      <c r="BA613" t="n">
        <v>0</v>
      </c>
      <c r="BB613" t="inlineStr">
        <is>
          <t>Crédito Directo</t>
        </is>
      </c>
      <c r="BC613" t="inlineStr">
        <is>
          <t>Banco de Credito del Perú</t>
        </is>
      </c>
      <c r="BD613" t="inlineStr">
        <is>
          <t>194-7325779-0-65</t>
        </is>
      </c>
      <c r="BE613" t="inlineStr">
        <is>
          <t>TRANSFERENCIA BANCARIA</t>
        </is>
      </c>
      <c r="BG613" t="inlineStr">
        <is>
          <t>0062</t>
        </is>
      </c>
      <c r="BH613" t="inlineStr">
        <is>
          <t>No</t>
        </is>
      </c>
      <c r="BJ613" t="n">
        <v>4</v>
      </c>
      <c r="BK613" t="inlineStr">
        <is>
          <t>CANCELADO</t>
        </is>
      </c>
      <c r="BV613" t="inlineStr">
        <is>
          <t>Si</t>
        </is>
      </c>
      <c r="BW613" s="76" t="n">
        <v>46046.47361111111</v>
      </c>
      <c r="BX613" t="inlineStr">
        <is>
          <t>Carla Michue M</t>
        </is>
      </c>
      <c r="BZ613" t="n">
        <v>10</v>
      </c>
      <c r="CA613" t="inlineStr">
        <is>
          <t>23/05/2026 18:50</t>
        </is>
      </c>
      <c r="CB613" t="n">
        <v>0</v>
      </c>
      <c r="CF613" t="inlineStr">
        <is>
          <t>Cobranzas_2026.csv</t>
        </is>
      </c>
      <c r="CG613" t="n">
        <v>2026</v>
      </c>
      <c r="CH613" t="inlineStr">
        <is>
          <t>01/01/2024</t>
        </is>
      </c>
      <c r="CI613" t="inlineStr">
        <is>
          <t>24/08/2031</t>
        </is>
      </c>
    </row>
    <row r="614">
      <c r="A614" t="inlineStr">
        <is>
          <t>RESIDENCIAL BEYOND</t>
        </is>
      </c>
      <c r="B614" t="inlineStr">
        <is>
          <t>Etapa 1</t>
        </is>
      </c>
      <c r="C614" t="inlineStr">
        <is>
          <t>Edificio</t>
        </is>
      </c>
      <c r="D614" t="inlineStr">
        <is>
          <t>A</t>
        </is>
      </c>
      <c r="E614" t="inlineStr">
        <is>
          <t>Departamento</t>
        </is>
      </c>
      <c r="F614" t="inlineStr">
        <is>
          <t>1502</t>
        </is>
      </c>
      <c r="G614" t="n">
        <v>57</v>
      </c>
      <c r="H614" t="n">
        <v>0</v>
      </c>
      <c r="I614" s="39" t="n">
        <v>430000</v>
      </c>
      <c r="J614" s="39" t="n">
        <v>369000</v>
      </c>
      <c r="K614" t="inlineStr">
        <is>
          <t>Edificio</t>
        </is>
      </c>
      <c r="L614" t="inlineStr">
        <is>
          <t>A</t>
        </is>
      </c>
      <c r="M614" t="inlineStr">
        <is>
          <t>Estacionamiento</t>
        </is>
      </c>
      <c r="N614" t="inlineStr">
        <is>
          <t>E 39</t>
        </is>
      </c>
      <c r="O614" t="n">
        <v>12.5</v>
      </c>
      <c r="P614" t="n">
        <v>0</v>
      </c>
      <c r="Q614" s="39" t="n">
        <v>43200</v>
      </c>
      <c r="R614" s="39" t="n">
        <v>43200</v>
      </c>
      <c r="Y614" s="39" t="n"/>
      <c r="Z614" s="39" t="n"/>
      <c r="AG614" s="39" t="n"/>
      <c r="AH614" s="39" t="n"/>
      <c r="AI614" t="inlineStr">
        <is>
          <t>Melanny Dayanna Flores Blas</t>
        </is>
      </c>
      <c r="AJ614" t="inlineStr">
        <is>
          <t>75334346</t>
        </is>
      </c>
      <c r="AK614" t="inlineStr">
        <is>
          <t xml:space="preserve">Av. Los Alisos Urb. Naranjal MZ Ñ-1 LT 27 </t>
        </is>
      </c>
      <c r="AL614" t="n">
        <v>0</v>
      </c>
      <c r="AM614" t="inlineStr">
        <is>
          <t>979775301</t>
        </is>
      </c>
      <c r="AN614" t="inlineStr">
        <is>
          <t>flores.d19958@gmail.com</t>
        </is>
      </c>
      <c r="AO614" t="inlineStr">
        <is>
          <t>LIMA</t>
        </is>
      </c>
      <c r="AP614" t="inlineStr">
        <is>
          <t>SAN MARTIN DE PORRES</t>
        </is>
      </c>
      <c r="AQ614" s="75" t="n">
        <v>46142</v>
      </c>
      <c r="AR614" s="75" t="n">
        <v>46142</v>
      </c>
      <c r="AS614" t="inlineStr">
        <is>
          <t>CUOTA INICIAL</t>
        </is>
      </c>
      <c r="AT614" t="n">
        <v>3</v>
      </c>
      <c r="AU614" t="n">
        <v>41270</v>
      </c>
      <c r="AV614" t="n">
        <v>0</v>
      </c>
      <c r="AW614" t="n">
        <v>0</v>
      </c>
      <c r="AX614" s="39" t="n">
        <v>41270</v>
      </c>
      <c r="AY614" s="39" t="n">
        <v>41270</v>
      </c>
      <c r="AZ614" s="39" t="n">
        <v>0</v>
      </c>
      <c r="BA614" t="n">
        <v>0</v>
      </c>
      <c r="BB614" t="inlineStr">
        <is>
          <t>Crédito Directo</t>
        </is>
      </c>
      <c r="BC614" t="inlineStr">
        <is>
          <t>Banco de Credito del Perú</t>
        </is>
      </c>
      <c r="BD614" t="inlineStr">
        <is>
          <t>194-7325779-0-65</t>
        </is>
      </c>
      <c r="BE614" t="inlineStr">
        <is>
          <t>TRANSFERENCIA BANCARIA</t>
        </is>
      </c>
      <c r="BG614" t="inlineStr">
        <is>
          <t>0724405</t>
        </is>
      </c>
      <c r="BH614" t="inlineStr">
        <is>
          <t>No</t>
        </is>
      </c>
      <c r="BJ614" t="n">
        <v>4</v>
      </c>
      <c r="BK614" t="inlineStr">
        <is>
          <t>CANCELADO</t>
        </is>
      </c>
      <c r="BV614" t="inlineStr">
        <is>
          <t>Si</t>
        </is>
      </c>
      <c r="BW614" s="76" t="n">
        <v>46046.47361111111</v>
      </c>
      <c r="BX614" t="inlineStr">
        <is>
          <t>Carla Michue M</t>
        </is>
      </c>
      <c r="BZ614" t="n">
        <v>10</v>
      </c>
      <c r="CA614" t="inlineStr">
        <is>
          <t>27/07/2026 16:50</t>
        </is>
      </c>
      <c r="CB614" t="n">
        <v>0</v>
      </c>
      <c r="CF614" t="inlineStr">
        <is>
          <t>Cobranzas_2026.csv</t>
        </is>
      </c>
      <c r="CG614" t="n">
        <v>2026</v>
      </c>
      <c r="CH614" t="inlineStr">
        <is>
          <t>01/01/2024</t>
        </is>
      </c>
      <c r="CI614" t="inlineStr">
        <is>
          <t>24/08/2031</t>
        </is>
      </c>
    </row>
    <row r="615">
      <c r="A615" t="inlineStr">
        <is>
          <t>RESIDENCIAL BEYOND</t>
        </is>
      </c>
      <c r="B615" t="inlineStr">
        <is>
          <t>Etapa 1</t>
        </is>
      </c>
      <c r="C615" t="inlineStr">
        <is>
          <t>Edificio</t>
        </is>
      </c>
      <c r="D615" t="inlineStr">
        <is>
          <t>A</t>
        </is>
      </c>
      <c r="E615" t="inlineStr">
        <is>
          <t>Departamento</t>
        </is>
      </c>
      <c r="F615" t="inlineStr">
        <is>
          <t>1502</t>
        </is>
      </c>
      <c r="G615" t="n">
        <v>57</v>
      </c>
      <c r="H615" t="n">
        <v>0</v>
      </c>
      <c r="I615" s="39" t="n">
        <v>430000</v>
      </c>
      <c r="J615" s="39" t="n">
        <v>369000</v>
      </c>
      <c r="K615" t="inlineStr">
        <is>
          <t>Edificio</t>
        </is>
      </c>
      <c r="L615" t="inlineStr">
        <is>
          <t>A</t>
        </is>
      </c>
      <c r="M615" t="inlineStr">
        <is>
          <t>Estacionamiento</t>
        </is>
      </c>
      <c r="N615" t="inlineStr">
        <is>
          <t>E 39</t>
        </is>
      </c>
      <c r="O615" t="n">
        <v>12.5</v>
      </c>
      <c r="P615" t="n">
        <v>0</v>
      </c>
      <c r="Q615" s="39" t="n">
        <v>43200</v>
      </c>
      <c r="R615" s="39" t="n">
        <v>43200</v>
      </c>
      <c r="Y615" s="39" t="n"/>
      <c r="Z615" s="39" t="n"/>
      <c r="AG615" s="39" t="n"/>
      <c r="AH615" s="39" t="n"/>
      <c r="AI615" t="inlineStr">
        <is>
          <t>Melanny Dayanna Flores Blas</t>
        </is>
      </c>
      <c r="AJ615" t="inlineStr">
        <is>
          <t>75334346</t>
        </is>
      </c>
      <c r="AK615" t="inlineStr">
        <is>
          <t xml:space="preserve">Av. Los Alisos Urb. Naranjal MZ Ñ-1 LT 27 </t>
        </is>
      </c>
      <c r="AL615" t="n">
        <v>0</v>
      </c>
      <c r="AM615" t="inlineStr">
        <is>
          <t>979775301</t>
        </is>
      </c>
      <c r="AN615" t="inlineStr">
        <is>
          <t>flores.d19958@gmail.com</t>
        </is>
      </c>
      <c r="AO615" t="inlineStr">
        <is>
          <t>LIMA</t>
        </is>
      </c>
      <c r="AP615" t="inlineStr">
        <is>
          <t>SAN MARTIN DE PORRES</t>
        </is>
      </c>
      <c r="AQ615" s="75" t="n">
        <v>46172</v>
      </c>
      <c r="AR615" s="75" t="n">
        <v>46171</v>
      </c>
      <c r="AS615" t="inlineStr">
        <is>
          <t>SALDO FINANCIAR</t>
        </is>
      </c>
      <c r="AT615" t="n">
        <v>1</v>
      </c>
      <c r="AU615" t="n">
        <v>12000</v>
      </c>
      <c r="AV615" t="n">
        <v>0</v>
      </c>
      <c r="AW615" t="n">
        <v>0</v>
      </c>
      <c r="AX615" s="39" t="n">
        <v>12000</v>
      </c>
      <c r="AY615" s="39" t="n">
        <v>12000</v>
      </c>
      <c r="AZ615" s="39" t="n">
        <v>0</v>
      </c>
      <c r="BA615" t="n">
        <v>0</v>
      </c>
      <c r="BB615" t="inlineStr">
        <is>
          <t>Crédito Directo</t>
        </is>
      </c>
      <c r="BC615" t="inlineStr">
        <is>
          <t>Banco de Credito del Perú</t>
        </is>
      </c>
      <c r="BD615" t="inlineStr">
        <is>
          <t>194-7325779-0-65</t>
        </is>
      </c>
      <c r="BE615" t="inlineStr">
        <is>
          <t>TRANSFERENCIA BANCARIA</t>
        </is>
      </c>
      <c r="BG615" t="inlineStr">
        <is>
          <t>02742529</t>
        </is>
      </c>
      <c r="BH615" t="inlineStr">
        <is>
          <t>No</t>
        </is>
      </c>
      <c r="BJ615" t="n">
        <v>4</v>
      </c>
      <c r="BK615" t="inlineStr">
        <is>
          <t>CANCELADO</t>
        </is>
      </c>
      <c r="BV615" t="inlineStr">
        <is>
          <t>Si</t>
        </is>
      </c>
      <c r="BW615" s="76" t="n">
        <v>46046.47361111111</v>
      </c>
      <c r="BX615" t="inlineStr">
        <is>
          <t>Carla Michue M</t>
        </is>
      </c>
      <c r="BZ615" t="n">
        <v>10</v>
      </c>
      <c r="CA615" t="inlineStr">
        <is>
          <t>27/07/2026 16:51</t>
        </is>
      </c>
      <c r="CB615" t="n">
        <v>0</v>
      </c>
      <c r="CF615" t="inlineStr">
        <is>
          <t>Cobranzas_2026.csv</t>
        </is>
      </c>
      <c r="CG615" t="n">
        <v>2026</v>
      </c>
      <c r="CH615" t="inlineStr">
        <is>
          <t>01/01/2024</t>
        </is>
      </c>
      <c r="CI615" t="inlineStr">
        <is>
          <t>24/08/2031</t>
        </is>
      </c>
    </row>
    <row r="616">
      <c r="A616" t="inlineStr">
        <is>
          <t>RESIDENCIAL BEYOND</t>
        </is>
      </c>
      <c r="B616" t="inlineStr">
        <is>
          <t>Etapa 1</t>
        </is>
      </c>
      <c r="C616" t="inlineStr">
        <is>
          <t>Edificio</t>
        </is>
      </c>
      <c r="D616" t="inlineStr">
        <is>
          <t>A</t>
        </is>
      </c>
      <c r="E616" t="inlineStr">
        <is>
          <t>Departamento</t>
        </is>
      </c>
      <c r="F616" t="inlineStr">
        <is>
          <t>1502</t>
        </is>
      </c>
      <c r="G616" t="n">
        <v>57</v>
      </c>
      <c r="H616" t="n">
        <v>0</v>
      </c>
      <c r="I616" s="39" t="n">
        <v>430000</v>
      </c>
      <c r="J616" s="39" t="n">
        <v>369000</v>
      </c>
      <c r="K616" t="inlineStr">
        <is>
          <t>Edificio</t>
        </is>
      </c>
      <c r="L616" t="inlineStr">
        <is>
          <t>A</t>
        </is>
      </c>
      <c r="M616" t="inlineStr">
        <is>
          <t>Estacionamiento</t>
        </is>
      </c>
      <c r="N616" t="inlineStr">
        <is>
          <t>E 39</t>
        </is>
      </c>
      <c r="O616" t="n">
        <v>12.5</v>
      </c>
      <c r="P616" t="n">
        <v>0</v>
      </c>
      <c r="Q616" s="39" t="n">
        <v>43200</v>
      </c>
      <c r="R616" s="39" t="n">
        <v>43200</v>
      </c>
      <c r="Y616" s="39" t="n"/>
      <c r="Z616" s="39" t="n"/>
      <c r="AG616" s="39" t="n"/>
      <c r="AH616" s="39" t="n"/>
      <c r="AI616" t="inlineStr">
        <is>
          <t>Melanny Dayanna Flores Blas</t>
        </is>
      </c>
      <c r="AJ616" t="inlineStr">
        <is>
          <t>75334346</t>
        </is>
      </c>
      <c r="AK616" t="inlineStr">
        <is>
          <t xml:space="preserve">Av. Los Alisos Urb. Naranjal MZ Ñ-1 LT 27 </t>
        </is>
      </c>
      <c r="AL616" t="n">
        <v>0</v>
      </c>
      <c r="AM616" t="inlineStr">
        <is>
          <t>979775301</t>
        </is>
      </c>
      <c r="AN616" t="inlineStr">
        <is>
          <t>flores.d19958@gmail.com</t>
        </is>
      </c>
      <c r="AO616" t="inlineStr">
        <is>
          <t>LIMA</t>
        </is>
      </c>
      <c r="AP616" t="inlineStr">
        <is>
          <t>SAN MARTIN DE PORRES</t>
        </is>
      </c>
      <c r="AQ616" s="75" t="n">
        <v>46203</v>
      </c>
      <c r="AR616" s="75" t="n">
        <v>46202</v>
      </c>
      <c r="AS616" t="inlineStr">
        <is>
          <t>SALDO FINANCIAR</t>
        </is>
      </c>
      <c r="AT616" t="n">
        <v>2</v>
      </c>
      <c r="AU616" t="n">
        <v>12000</v>
      </c>
      <c r="AV616" t="n">
        <v>0</v>
      </c>
      <c r="AW616" t="n">
        <v>0</v>
      </c>
      <c r="AX616" s="39" t="n">
        <v>12000</v>
      </c>
      <c r="AY616" s="39" t="n">
        <v>12000</v>
      </c>
      <c r="AZ616" s="39" t="n">
        <v>0</v>
      </c>
      <c r="BA616" t="n">
        <v>0</v>
      </c>
      <c r="BB616" t="inlineStr">
        <is>
          <t>Crédito Directo</t>
        </is>
      </c>
      <c r="BC616" t="inlineStr">
        <is>
          <t>Banco de Credito del Perú</t>
        </is>
      </c>
      <c r="BD616" t="inlineStr">
        <is>
          <t>194-7325779-0-65</t>
        </is>
      </c>
      <c r="BE616" t="inlineStr">
        <is>
          <t>TRANSFERENCIA BANCARIA</t>
        </is>
      </c>
      <c r="BG616" t="inlineStr">
        <is>
          <t>02149551</t>
        </is>
      </c>
      <c r="BH616" t="inlineStr">
        <is>
          <t>No</t>
        </is>
      </c>
      <c r="BJ616" t="n">
        <v>4</v>
      </c>
      <c r="BK616" t="inlineStr">
        <is>
          <t>CANCELADO</t>
        </is>
      </c>
      <c r="BV616" t="inlineStr">
        <is>
          <t>Si</t>
        </is>
      </c>
      <c r="BW616" s="76" t="n">
        <v>46046.47361111111</v>
      </c>
      <c r="BX616" t="inlineStr">
        <is>
          <t>Carla Michue M</t>
        </is>
      </c>
      <c r="BZ616" t="n">
        <v>10</v>
      </c>
      <c r="CA616" t="inlineStr">
        <is>
          <t>17/08/2026 18:10</t>
        </is>
      </c>
      <c r="CB616" t="n">
        <v>0</v>
      </c>
      <c r="CF616" t="inlineStr">
        <is>
          <t>Cobranzas_2026.csv</t>
        </is>
      </c>
      <c r="CG616" t="n">
        <v>2026</v>
      </c>
      <c r="CH616" t="inlineStr">
        <is>
          <t>01/01/2024</t>
        </is>
      </c>
      <c r="CI616" t="inlineStr">
        <is>
          <t>24/08/2031</t>
        </is>
      </c>
    </row>
    <row r="617">
      <c r="A617" t="inlineStr">
        <is>
          <t>RESIDENCIAL BEYOND</t>
        </is>
      </c>
      <c r="B617" t="inlineStr">
        <is>
          <t>Etapa 1</t>
        </is>
      </c>
      <c r="C617" t="inlineStr">
        <is>
          <t>Edificio</t>
        </is>
      </c>
      <c r="D617" t="inlineStr">
        <is>
          <t>A</t>
        </is>
      </c>
      <c r="E617" t="inlineStr">
        <is>
          <t>Departamento</t>
        </is>
      </c>
      <c r="F617" t="inlineStr">
        <is>
          <t>1502</t>
        </is>
      </c>
      <c r="G617" t="n">
        <v>57</v>
      </c>
      <c r="H617" t="n">
        <v>0</v>
      </c>
      <c r="I617" s="39" t="n">
        <v>430000</v>
      </c>
      <c r="J617" s="39" t="n">
        <v>369000</v>
      </c>
      <c r="K617" t="inlineStr">
        <is>
          <t>Edificio</t>
        </is>
      </c>
      <c r="L617" t="inlineStr">
        <is>
          <t>A</t>
        </is>
      </c>
      <c r="M617" t="inlineStr">
        <is>
          <t>Estacionamiento</t>
        </is>
      </c>
      <c r="N617" t="inlineStr">
        <is>
          <t>E 39</t>
        </is>
      </c>
      <c r="O617" t="n">
        <v>12.5</v>
      </c>
      <c r="P617" t="n">
        <v>0</v>
      </c>
      <c r="Q617" s="39" t="n">
        <v>43200</v>
      </c>
      <c r="R617" s="39" t="n">
        <v>43200</v>
      </c>
      <c r="Y617" s="39" t="n"/>
      <c r="Z617" s="39" t="n"/>
      <c r="AG617" s="39" t="n"/>
      <c r="AH617" s="39" t="n"/>
      <c r="AI617" t="inlineStr">
        <is>
          <t>Melanny Dayanna Flores Blas</t>
        </is>
      </c>
      <c r="AJ617" t="inlineStr">
        <is>
          <t>75334346</t>
        </is>
      </c>
      <c r="AK617" t="inlineStr">
        <is>
          <t xml:space="preserve">Av. Los Alisos Urb. Naranjal MZ Ñ-1 LT 27 </t>
        </is>
      </c>
      <c r="AL617" t="n">
        <v>0</v>
      </c>
      <c r="AM617" t="inlineStr">
        <is>
          <t>979775301</t>
        </is>
      </c>
      <c r="AN617" t="inlineStr">
        <is>
          <t>flores.d19958@gmail.com</t>
        </is>
      </c>
      <c r="AO617" t="inlineStr">
        <is>
          <t>LIMA</t>
        </is>
      </c>
      <c r="AP617" t="inlineStr">
        <is>
          <t>SAN MARTIN DE PORRES</t>
        </is>
      </c>
      <c r="AQ617" s="75" t="n">
        <v>46233</v>
      </c>
      <c r="AR617" s="75" t="n">
        <v>46234</v>
      </c>
      <c r="AS617" t="inlineStr">
        <is>
          <t>SALDO FINANCIAR</t>
        </is>
      </c>
      <c r="AT617" t="n">
        <v>3</v>
      </c>
      <c r="AU617" t="n">
        <v>12000</v>
      </c>
      <c r="AV617" t="n">
        <v>0</v>
      </c>
      <c r="AW617" t="n">
        <v>0</v>
      </c>
      <c r="AX617" s="39" t="n">
        <v>12000</v>
      </c>
      <c r="AY617" s="39" t="n">
        <v>12000</v>
      </c>
      <c r="AZ617" s="39" t="n">
        <v>0</v>
      </c>
      <c r="BA617" t="n">
        <v>0</v>
      </c>
      <c r="BB617" t="inlineStr">
        <is>
          <t>Crédito Directo</t>
        </is>
      </c>
      <c r="BC617" t="inlineStr">
        <is>
          <t>Banco de Credito del Perú</t>
        </is>
      </c>
      <c r="BD617" t="inlineStr">
        <is>
          <t>194-7325779-0-65</t>
        </is>
      </c>
      <c r="BE617" t="inlineStr">
        <is>
          <t>TRANSFERENCIA BANCARIA</t>
        </is>
      </c>
      <c r="BG617" t="inlineStr">
        <is>
          <t>07550624</t>
        </is>
      </c>
      <c r="BH617" t="inlineStr">
        <is>
          <t>No</t>
        </is>
      </c>
      <c r="BJ617" t="n">
        <v>4</v>
      </c>
      <c r="BK617" t="inlineStr">
        <is>
          <t>CANCELADO</t>
        </is>
      </c>
      <c r="BV617" t="inlineStr">
        <is>
          <t>Si</t>
        </is>
      </c>
      <c r="BW617" s="76" t="n">
        <v>46046.47361111111</v>
      </c>
      <c r="BX617" t="inlineStr">
        <is>
          <t>Carla Michue M</t>
        </is>
      </c>
      <c r="BZ617" t="n">
        <v>10</v>
      </c>
      <c r="CA617" t="inlineStr">
        <is>
          <t>17/08/2026 18:10</t>
        </is>
      </c>
      <c r="CB617" t="n">
        <v>0</v>
      </c>
      <c r="CF617" t="inlineStr">
        <is>
          <t>Cobranzas_2026.csv</t>
        </is>
      </c>
      <c r="CG617" t="n">
        <v>2026</v>
      </c>
      <c r="CH617" t="inlineStr">
        <is>
          <t>01/01/2024</t>
        </is>
      </c>
      <c r="CI617" t="inlineStr">
        <is>
          <t>24/08/2031</t>
        </is>
      </c>
    </row>
    <row r="618">
      <c r="A618" t="inlineStr">
        <is>
          <t>RESIDENCIAL BEYOND</t>
        </is>
      </c>
      <c r="B618" t="inlineStr">
        <is>
          <t>Etapa 1</t>
        </is>
      </c>
      <c r="C618" t="inlineStr">
        <is>
          <t>Edificio</t>
        </is>
      </c>
      <c r="D618" t="inlineStr">
        <is>
          <t>A</t>
        </is>
      </c>
      <c r="E618" t="inlineStr">
        <is>
          <t>Departamento</t>
        </is>
      </c>
      <c r="F618" t="inlineStr">
        <is>
          <t>1502</t>
        </is>
      </c>
      <c r="G618" t="n">
        <v>57</v>
      </c>
      <c r="H618" t="n">
        <v>0</v>
      </c>
      <c r="I618" s="39" t="n">
        <v>430000</v>
      </c>
      <c r="J618" s="39" t="n">
        <v>369000</v>
      </c>
      <c r="K618" t="inlineStr">
        <is>
          <t>Edificio</t>
        </is>
      </c>
      <c r="L618" t="inlineStr">
        <is>
          <t>A</t>
        </is>
      </c>
      <c r="M618" t="inlineStr">
        <is>
          <t>Estacionamiento</t>
        </is>
      </c>
      <c r="N618" t="inlineStr">
        <is>
          <t>E 39</t>
        </is>
      </c>
      <c r="O618" t="n">
        <v>12.5</v>
      </c>
      <c r="P618" t="n">
        <v>0</v>
      </c>
      <c r="Q618" s="39" t="n">
        <v>43200</v>
      </c>
      <c r="R618" s="39" t="n">
        <v>43200</v>
      </c>
      <c r="Y618" s="39" t="n"/>
      <c r="Z618" s="39" t="n"/>
      <c r="AG618" s="39" t="n"/>
      <c r="AH618" s="39" t="n"/>
      <c r="AI618" t="inlineStr">
        <is>
          <t>Melanny Dayanna Flores Blas</t>
        </is>
      </c>
      <c r="AJ618" t="inlineStr">
        <is>
          <t>75334346</t>
        </is>
      </c>
      <c r="AK618" t="inlineStr">
        <is>
          <t xml:space="preserve">Av. Los Alisos Urb. Naranjal MZ Ñ-1 LT 27 </t>
        </is>
      </c>
      <c r="AL618" t="n">
        <v>0</v>
      </c>
      <c r="AM618" t="inlineStr">
        <is>
          <t>979775301</t>
        </is>
      </c>
      <c r="AN618" t="inlineStr">
        <is>
          <t>flores.d19958@gmail.com</t>
        </is>
      </c>
      <c r="AO618" t="inlineStr">
        <is>
          <t>LIMA</t>
        </is>
      </c>
      <c r="AP618" t="inlineStr">
        <is>
          <t>SAN MARTIN DE PORRES</t>
        </is>
      </c>
      <c r="AQ618" s="75" t="n">
        <v>46264</v>
      </c>
      <c r="AR618" s="75" t="n"/>
      <c r="AS618" t="inlineStr">
        <is>
          <t>SALDO FINANCIAR</t>
        </is>
      </c>
      <c r="AT618" t="n">
        <v>4</v>
      </c>
      <c r="AU618" t="n">
        <v>12000</v>
      </c>
      <c r="AV618" t="n">
        <v>0</v>
      </c>
      <c r="AW618" t="n">
        <v>0</v>
      </c>
      <c r="AX618" s="39" t="n">
        <v>12000</v>
      </c>
      <c r="AY618" s="39" t="n">
        <v>0</v>
      </c>
      <c r="AZ618" s="39" t="n">
        <v>12000</v>
      </c>
      <c r="BB618" t="inlineStr">
        <is>
          <t>Crédito Directo</t>
        </is>
      </c>
      <c r="BH618" t="inlineStr">
        <is>
          <t>No</t>
        </is>
      </c>
      <c r="BK618" t="inlineStr">
        <is>
          <t>PENDIENTE</t>
        </is>
      </c>
      <c r="BV618" t="inlineStr">
        <is>
          <t>No</t>
        </is>
      </c>
      <c r="BW618" s="76" t="n">
        <v>46046.47361111111</v>
      </c>
      <c r="BX618" t="inlineStr">
        <is>
          <t>Carla Michue M</t>
        </is>
      </c>
      <c r="BZ618" t="n">
        <v>10</v>
      </c>
      <c r="CB618" t="n">
        <v>0</v>
      </c>
      <c r="CF618" t="inlineStr">
        <is>
          <t>Cobranzas_2026.csv</t>
        </is>
      </c>
      <c r="CG618" t="n">
        <v>2026</v>
      </c>
      <c r="CH618" t="inlineStr">
        <is>
          <t>01/01/2024</t>
        </is>
      </c>
      <c r="CI618" t="inlineStr">
        <is>
          <t>24/08/2031</t>
        </is>
      </c>
    </row>
    <row r="619">
      <c r="A619" t="inlineStr">
        <is>
          <t>RESIDENCIAL BEYOND</t>
        </is>
      </c>
      <c r="B619" t="inlineStr">
        <is>
          <t>Etapa 1</t>
        </is>
      </c>
      <c r="C619" t="inlineStr">
        <is>
          <t>Edificio</t>
        </is>
      </c>
      <c r="D619" t="inlineStr">
        <is>
          <t>A</t>
        </is>
      </c>
      <c r="E619" t="inlineStr">
        <is>
          <t>Departamento</t>
        </is>
      </c>
      <c r="F619" t="inlineStr">
        <is>
          <t>1502</t>
        </is>
      </c>
      <c r="G619" t="n">
        <v>57</v>
      </c>
      <c r="H619" t="n">
        <v>0</v>
      </c>
      <c r="I619" s="39" t="n">
        <v>430000</v>
      </c>
      <c r="J619" s="39" t="n">
        <v>369000</v>
      </c>
      <c r="K619" t="inlineStr">
        <is>
          <t>Edificio</t>
        </is>
      </c>
      <c r="L619" t="inlineStr">
        <is>
          <t>A</t>
        </is>
      </c>
      <c r="M619" t="inlineStr">
        <is>
          <t>Estacionamiento</t>
        </is>
      </c>
      <c r="N619" t="inlineStr">
        <is>
          <t>E 39</t>
        </is>
      </c>
      <c r="O619" t="n">
        <v>12.5</v>
      </c>
      <c r="P619" t="n">
        <v>0</v>
      </c>
      <c r="Q619" s="39" t="n">
        <v>43200</v>
      </c>
      <c r="R619" s="39" t="n">
        <v>43200</v>
      </c>
      <c r="Y619" s="39" t="n"/>
      <c r="Z619" s="39" t="n"/>
      <c r="AG619" s="39" t="n"/>
      <c r="AH619" s="39" t="n"/>
      <c r="AI619" t="inlineStr">
        <is>
          <t>Melanny Dayanna Flores Blas</t>
        </is>
      </c>
      <c r="AJ619" t="inlineStr">
        <is>
          <t>75334346</t>
        </is>
      </c>
      <c r="AK619" t="inlineStr">
        <is>
          <t xml:space="preserve">Av. Los Alisos Urb. Naranjal MZ Ñ-1 LT 27 </t>
        </is>
      </c>
      <c r="AL619" t="n">
        <v>0</v>
      </c>
      <c r="AM619" t="inlineStr">
        <is>
          <t>979775301</t>
        </is>
      </c>
      <c r="AN619" t="inlineStr">
        <is>
          <t>flores.d19958@gmail.com</t>
        </is>
      </c>
      <c r="AO619" t="inlineStr">
        <is>
          <t>LIMA</t>
        </is>
      </c>
      <c r="AP619" t="inlineStr">
        <is>
          <t>SAN MARTIN DE PORRES</t>
        </is>
      </c>
      <c r="AQ619" s="75" t="n">
        <v>46295</v>
      </c>
      <c r="AR619" s="75" t="n"/>
      <c r="AS619" t="inlineStr">
        <is>
          <t>SALDO FINANCIAR</t>
        </is>
      </c>
      <c r="AT619" t="n">
        <v>5</v>
      </c>
      <c r="AU619" t="n">
        <v>12000</v>
      </c>
      <c r="AV619" t="n">
        <v>0</v>
      </c>
      <c r="AW619" t="n">
        <v>0</v>
      </c>
      <c r="AX619" s="39" t="n">
        <v>12000</v>
      </c>
      <c r="AY619" s="39" t="n">
        <v>0</v>
      </c>
      <c r="AZ619" s="39" t="n">
        <v>12000</v>
      </c>
      <c r="BB619" t="inlineStr">
        <is>
          <t>Crédito Directo</t>
        </is>
      </c>
      <c r="BH619" t="inlineStr">
        <is>
          <t>No</t>
        </is>
      </c>
      <c r="BK619" t="inlineStr">
        <is>
          <t>PENDIENTE</t>
        </is>
      </c>
      <c r="BV619" t="inlineStr">
        <is>
          <t>No</t>
        </is>
      </c>
      <c r="BW619" s="76" t="n">
        <v>46046.47361111111</v>
      </c>
      <c r="BX619" t="inlineStr">
        <is>
          <t>Carla Michue M</t>
        </is>
      </c>
      <c r="BZ619" t="n">
        <v>10</v>
      </c>
      <c r="CB619" t="n">
        <v>0</v>
      </c>
      <c r="CF619" t="inlineStr">
        <is>
          <t>Cobranzas_2026.csv</t>
        </is>
      </c>
      <c r="CG619" t="n">
        <v>2026</v>
      </c>
      <c r="CH619" t="inlineStr">
        <is>
          <t>01/01/2024</t>
        </is>
      </c>
      <c r="CI619" t="inlineStr">
        <is>
          <t>24/08/2031</t>
        </is>
      </c>
    </row>
    <row r="620">
      <c r="A620" t="inlineStr">
        <is>
          <t>RESIDENCIAL BEYOND</t>
        </is>
      </c>
      <c r="B620" t="inlineStr">
        <is>
          <t>Etapa 1</t>
        </is>
      </c>
      <c r="C620" t="inlineStr">
        <is>
          <t>Edificio</t>
        </is>
      </c>
      <c r="D620" t="inlineStr">
        <is>
          <t>A</t>
        </is>
      </c>
      <c r="E620" t="inlineStr">
        <is>
          <t>Departamento</t>
        </is>
      </c>
      <c r="F620" t="inlineStr">
        <is>
          <t>1502</t>
        </is>
      </c>
      <c r="G620" t="n">
        <v>57</v>
      </c>
      <c r="H620" t="n">
        <v>0</v>
      </c>
      <c r="I620" s="39" t="n">
        <v>430000</v>
      </c>
      <c r="J620" s="39" t="n">
        <v>369000</v>
      </c>
      <c r="K620" t="inlineStr">
        <is>
          <t>Edificio</t>
        </is>
      </c>
      <c r="L620" t="inlineStr">
        <is>
          <t>A</t>
        </is>
      </c>
      <c r="M620" t="inlineStr">
        <is>
          <t>Estacionamiento</t>
        </is>
      </c>
      <c r="N620" t="inlineStr">
        <is>
          <t>E 39</t>
        </is>
      </c>
      <c r="O620" t="n">
        <v>12.5</v>
      </c>
      <c r="P620" t="n">
        <v>0</v>
      </c>
      <c r="Q620" s="39" t="n">
        <v>43200</v>
      </c>
      <c r="R620" s="39" t="n">
        <v>43200</v>
      </c>
      <c r="Y620" s="39" t="n"/>
      <c r="Z620" s="39" t="n"/>
      <c r="AG620" s="39" t="n"/>
      <c r="AH620" s="39" t="n"/>
      <c r="AI620" t="inlineStr">
        <is>
          <t>Melanny Dayanna Flores Blas</t>
        </is>
      </c>
      <c r="AJ620" t="inlineStr">
        <is>
          <t>75334346</t>
        </is>
      </c>
      <c r="AK620" t="inlineStr">
        <is>
          <t xml:space="preserve">Av. Los Alisos Urb. Naranjal MZ Ñ-1 LT 27 </t>
        </is>
      </c>
      <c r="AL620" t="n">
        <v>0</v>
      </c>
      <c r="AM620" t="inlineStr">
        <is>
          <t>979775301</t>
        </is>
      </c>
      <c r="AN620" t="inlineStr">
        <is>
          <t>flores.d19958@gmail.com</t>
        </is>
      </c>
      <c r="AO620" t="inlineStr">
        <is>
          <t>LIMA</t>
        </is>
      </c>
      <c r="AP620" t="inlineStr">
        <is>
          <t>SAN MARTIN DE PORRES</t>
        </is>
      </c>
      <c r="AQ620" s="75" t="n">
        <v>46325</v>
      </c>
      <c r="AR620" s="75" t="n"/>
      <c r="AS620" t="inlineStr">
        <is>
          <t>SALDO FINANCIAR</t>
        </is>
      </c>
      <c r="AT620" t="n">
        <v>6</v>
      </c>
      <c r="AU620" t="n">
        <v>12000</v>
      </c>
      <c r="AV620" t="n">
        <v>0</v>
      </c>
      <c r="AW620" t="n">
        <v>0</v>
      </c>
      <c r="AX620" s="39" t="n">
        <v>12000</v>
      </c>
      <c r="AY620" s="39" t="n">
        <v>0</v>
      </c>
      <c r="AZ620" s="39" t="n">
        <v>12000</v>
      </c>
      <c r="BB620" t="inlineStr">
        <is>
          <t>Crédito Directo</t>
        </is>
      </c>
      <c r="BH620" t="inlineStr">
        <is>
          <t>No</t>
        </is>
      </c>
      <c r="BK620" t="inlineStr">
        <is>
          <t>PENDIENTE</t>
        </is>
      </c>
      <c r="BV620" t="inlineStr">
        <is>
          <t>No</t>
        </is>
      </c>
      <c r="BW620" s="76" t="n">
        <v>46046.47361111111</v>
      </c>
      <c r="BX620" t="inlineStr">
        <is>
          <t>Carla Michue M</t>
        </is>
      </c>
      <c r="BZ620" t="n">
        <v>10</v>
      </c>
      <c r="CB620" t="n">
        <v>0</v>
      </c>
      <c r="CF620" t="inlineStr">
        <is>
          <t>Cobranzas_2026.csv</t>
        </is>
      </c>
      <c r="CG620" t="n">
        <v>2026</v>
      </c>
      <c r="CH620" t="inlineStr">
        <is>
          <t>01/01/2024</t>
        </is>
      </c>
      <c r="CI620" t="inlineStr">
        <is>
          <t>24/08/2031</t>
        </is>
      </c>
    </row>
    <row r="621">
      <c r="A621" t="inlineStr">
        <is>
          <t>RESIDENCIAL BEYOND</t>
        </is>
      </c>
      <c r="B621" t="inlineStr">
        <is>
          <t>Etapa 1</t>
        </is>
      </c>
      <c r="C621" t="inlineStr">
        <is>
          <t>Edificio</t>
        </is>
      </c>
      <c r="D621" t="inlineStr">
        <is>
          <t>A</t>
        </is>
      </c>
      <c r="E621" t="inlineStr">
        <is>
          <t>Departamento</t>
        </is>
      </c>
      <c r="F621" t="inlineStr">
        <is>
          <t>1502</t>
        </is>
      </c>
      <c r="G621" t="n">
        <v>57</v>
      </c>
      <c r="H621" t="n">
        <v>0</v>
      </c>
      <c r="I621" s="39" t="n">
        <v>430000</v>
      </c>
      <c r="J621" s="39" t="n">
        <v>369000</v>
      </c>
      <c r="K621" t="inlineStr">
        <is>
          <t>Edificio</t>
        </is>
      </c>
      <c r="L621" t="inlineStr">
        <is>
          <t>A</t>
        </is>
      </c>
      <c r="M621" t="inlineStr">
        <is>
          <t>Estacionamiento</t>
        </is>
      </c>
      <c r="N621" t="inlineStr">
        <is>
          <t>E 39</t>
        </is>
      </c>
      <c r="O621" t="n">
        <v>12.5</v>
      </c>
      <c r="P621" t="n">
        <v>0</v>
      </c>
      <c r="Q621" s="39" t="n">
        <v>43200</v>
      </c>
      <c r="R621" s="39" t="n">
        <v>43200</v>
      </c>
      <c r="Y621" s="39" t="n"/>
      <c r="Z621" s="39" t="n"/>
      <c r="AG621" s="39" t="n"/>
      <c r="AH621" s="39" t="n"/>
      <c r="AI621" t="inlineStr">
        <is>
          <t>Melanny Dayanna Flores Blas</t>
        </is>
      </c>
      <c r="AJ621" t="inlineStr">
        <is>
          <t>75334346</t>
        </is>
      </c>
      <c r="AK621" t="inlineStr">
        <is>
          <t xml:space="preserve">Av. Los Alisos Urb. Naranjal MZ Ñ-1 LT 27 </t>
        </is>
      </c>
      <c r="AL621" t="n">
        <v>0</v>
      </c>
      <c r="AM621" t="inlineStr">
        <is>
          <t>979775301</t>
        </is>
      </c>
      <c r="AN621" t="inlineStr">
        <is>
          <t>flores.d19958@gmail.com</t>
        </is>
      </c>
      <c r="AO621" t="inlineStr">
        <is>
          <t>LIMA</t>
        </is>
      </c>
      <c r="AP621" t="inlineStr">
        <is>
          <t>SAN MARTIN DE PORRES</t>
        </is>
      </c>
      <c r="AQ621" s="75" t="n">
        <v>46356</v>
      </c>
      <c r="AR621" s="75" t="n"/>
      <c r="AS621" t="inlineStr">
        <is>
          <t>SALDO FINANCIAR</t>
        </is>
      </c>
      <c r="AT621" t="n">
        <v>7</v>
      </c>
      <c r="AU621" t="n">
        <v>12000</v>
      </c>
      <c r="AV621" t="n">
        <v>0</v>
      </c>
      <c r="AW621" t="n">
        <v>0</v>
      </c>
      <c r="AX621" s="39" t="n">
        <v>12000</v>
      </c>
      <c r="AY621" s="39" t="n">
        <v>0</v>
      </c>
      <c r="AZ621" s="39" t="n">
        <v>12000</v>
      </c>
      <c r="BB621" t="inlineStr">
        <is>
          <t>Crédito Directo</t>
        </is>
      </c>
      <c r="BH621" t="inlineStr">
        <is>
          <t>No</t>
        </is>
      </c>
      <c r="BK621" t="inlineStr">
        <is>
          <t>PENDIENTE</t>
        </is>
      </c>
      <c r="BV621" t="inlineStr">
        <is>
          <t>No</t>
        </is>
      </c>
      <c r="BW621" s="76" t="n">
        <v>46046.47361111111</v>
      </c>
      <c r="BX621" t="inlineStr">
        <is>
          <t>Carla Michue M</t>
        </is>
      </c>
      <c r="BZ621" t="n">
        <v>10</v>
      </c>
      <c r="CB621" t="n">
        <v>0</v>
      </c>
      <c r="CF621" t="inlineStr">
        <is>
          <t>Cobranzas_2026.csv</t>
        </is>
      </c>
      <c r="CG621" t="n">
        <v>2026</v>
      </c>
      <c r="CH621" t="inlineStr">
        <is>
          <t>01/01/2024</t>
        </is>
      </c>
      <c r="CI621" t="inlineStr">
        <is>
          <t>24/08/2031</t>
        </is>
      </c>
    </row>
    <row r="622">
      <c r="A622" t="inlineStr">
        <is>
          <t>RESIDENCIAL BEYOND</t>
        </is>
      </c>
      <c r="B622" t="inlineStr">
        <is>
          <t>Etapa 1</t>
        </is>
      </c>
      <c r="C622" t="inlineStr">
        <is>
          <t>Edificio</t>
        </is>
      </c>
      <c r="D622" t="inlineStr">
        <is>
          <t>A</t>
        </is>
      </c>
      <c r="E622" t="inlineStr">
        <is>
          <t>Departamento</t>
        </is>
      </c>
      <c r="F622" t="inlineStr">
        <is>
          <t>1502</t>
        </is>
      </c>
      <c r="G622" t="n">
        <v>57</v>
      </c>
      <c r="H622" t="n">
        <v>0</v>
      </c>
      <c r="I622" s="39" t="n">
        <v>430000</v>
      </c>
      <c r="J622" s="39" t="n">
        <v>369000</v>
      </c>
      <c r="K622" t="inlineStr">
        <is>
          <t>Edificio</t>
        </is>
      </c>
      <c r="L622" t="inlineStr">
        <is>
          <t>A</t>
        </is>
      </c>
      <c r="M622" t="inlineStr">
        <is>
          <t>Estacionamiento</t>
        </is>
      </c>
      <c r="N622" t="inlineStr">
        <is>
          <t>E 39</t>
        </is>
      </c>
      <c r="O622" t="n">
        <v>12.5</v>
      </c>
      <c r="P622" t="n">
        <v>0</v>
      </c>
      <c r="Q622" s="39" t="n">
        <v>43200</v>
      </c>
      <c r="R622" s="39" t="n">
        <v>43200</v>
      </c>
      <c r="Y622" s="39" t="n"/>
      <c r="Z622" s="39" t="n"/>
      <c r="AG622" s="39" t="n"/>
      <c r="AH622" s="39" t="n"/>
      <c r="AI622" t="inlineStr">
        <is>
          <t>Melanny Dayanna Flores Blas</t>
        </is>
      </c>
      <c r="AJ622" t="inlineStr">
        <is>
          <t>75334346</t>
        </is>
      </c>
      <c r="AK622" t="inlineStr">
        <is>
          <t xml:space="preserve">Av. Los Alisos Urb. Naranjal MZ Ñ-1 LT 27 </t>
        </is>
      </c>
      <c r="AL622" t="n">
        <v>0</v>
      </c>
      <c r="AM622" t="inlineStr">
        <is>
          <t>979775301</t>
        </is>
      </c>
      <c r="AN622" t="inlineStr">
        <is>
          <t>flores.d19958@gmail.com</t>
        </is>
      </c>
      <c r="AO622" t="inlineStr">
        <is>
          <t>LIMA</t>
        </is>
      </c>
      <c r="AP622" t="inlineStr">
        <is>
          <t>SAN MARTIN DE PORRES</t>
        </is>
      </c>
      <c r="AQ622" s="75" t="n">
        <v>46386</v>
      </c>
      <c r="AR622" s="75" t="n"/>
      <c r="AS622" t="inlineStr">
        <is>
          <t>SALDO FINANCIAR</t>
        </is>
      </c>
      <c r="AT622" t="n">
        <v>8</v>
      </c>
      <c r="AU622" t="n">
        <v>12000</v>
      </c>
      <c r="AV622" t="n">
        <v>0</v>
      </c>
      <c r="AW622" t="n">
        <v>0</v>
      </c>
      <c r="AX622" s="39" t="n">
        <v>12000</v>
      </c>
      <c r="AY622" s="39" t="n">
        <v>0</v>
      </c>
      <c r="AZ622" s="39" t="n">
        <v>12000</v>
      </c>
      <c r="BB622" t="inlineStr">
        <is>
          <t>Crédito Directo</t>
        </is>
      </c>
      <c r="BH622" t="inlineStr">
        <is>
          <t>No</t>
        </is>
      </c>
      <c r="BK622" t="inlineStr">
        <is>
          <t>PENDIENTE</t>
        </is>
      </c>
      <c r="BV622" t="inlineStr">
        <is>
          <t>No</t>
        </is>
      </c>
      <c r="BW622" s="76" t="n">
        <v>46046.47361111111</v>
      </c>
      <c r="BX622" t="inlineStr">
        <is>
          <t>Carla Michue M</t>
        </is>
      </c>
      <c r="BZ622" t="n">
        <v>10</v>
      </c>
      <c r="CB622" t="n">
        <v>0</v>
      </c>
      <c r="CF622" t="inlineStr">
        <is>
          <t>Cobranzas_2026.csv</t>
        </is>
      </c>
      <c r="CG622" t="n">
        <v>2026</v>
      </c>
      <c r="CH622" t="inlineStr">
        <is>
          <t>01/01/2024</t>
        </is>
      </c>
      <c r="CI622" t="inlineStr">
        <is>
          <t>24/08/2031</t>
        </is>
      </c>
    </row>
    <row r="623">
      <c r="A623" t="inlineStr">
        <is>
          <t>RESIDENCIAL BEYOND</t>
        </is>
      </c>
      <c r="B623" t="inlineStr">
        <is>
          <t>Etapa 1</t>
        </is>
      </c>
      <c r="C623" t="inlineStr">
        <is>
          <t>Edificio</t>
        </is>
      </c>
      <c r="D623" t="inlineStr">
        <is>
          <t>A</t>
        </is>
      </c>
      <c r="E623" t="inlineStr">
        <is>
          <t>Departamento</t>
        </is>
      </c>
      <c r="F623" t="inlineStr">
        <is>
          <t>1603</t>
        </is>
      </c>
      <c r="G623" t="n">
        <v>68</v>
      </c>
      <c r="H623" t="n">
        <v>0</v>
      </c>
      <c r="I623" s="39" t="n">
        <v>493700</v>
      </c>
      <c r="J623" s="39" t="n">
        <v>436200</v>
      </c>
      <c r="K623" t="inlineStr">
        <is>
          <t>Edificio</t>
        </is>
      </c>
      <c r="L623" t="inlineStr">
        <is>
          <t>A</t>
        </is>
      </c>
      <c r="M623" t="inlineStr">
        <is>
          <t>Estacionamiento</t>
        </is>
      </c>
      <c r="N623" t="inlineStr">
        <is>
          <t>E 08 - D 08</t>
        </is>
      </c>
      <c r="O623" t="n">
        <v>12.5</v>
      </c>
      <c r="P623" t="n">
        <v>2.4</v>
      </c>
      <c r="Q623" s="39" t="n">
        <v>53800</v>
      </c>
      <c r="R623" s="39" t="n">
        <v>53800</v>
      </c>
      <c r="Y623" s="39" t="n"/>
      <c r="Z623" s="39" t="n"/>
      <c r="AG623" s="39" t="n"/>
      <c r="AH623" s="39" t="n"/>
      <c r="AI623" t="inlineStr">
        <is>
          <t>Mohammed Belhaj b</t>
        </is>
      </c>
      <c r="AJ623" t="inlineStr">
        <is>
          <t>NUoF6KHK3</t>
        </is>
      </c>
      <c r="AK623" t="inlineStr">
        <is>
          <t>Jr. Los Aromos Coop. Las Flores Mz 21LT. 31</t>
        </is>
      </c>
      <c r="AL623" t="n">
        <v>0</v>
      </c>
      <c r="AM623" t="inlineStr">
        <is>
          <t>922412765</t>
        </is>
      </c>
      <c r="AN623" t="inlineStr">
        <is>
          <t>mo.belhaj@outlook.com</t>
        </is>
      </c>
      <c r="AO623" t="inlineStr">
        <is>
          <t>LIMA</t>
        </is>
      </c>
      <c r="AP623" t="inlineStr">
        <is>
          <t>SAN JUAN DE LURIGANCHO</t>
        </is>
      </c>
      <c r="AQ623" s="75" t="n">
        <v>46132</v>
      </c>
      <c r="AR623" s="75" t="n">
        <v>46132</v>
      </c>
      <c r="AS623" t="inlineStr">
        <is>
          <t>SEPARACION</t>
        </is>
      </c>
      <c r="AT623" t="n">
        <v>1</v>
      </c>
      <c r="AU623" t="n">
        <v>3000</v>
      </c>
      <c r="AV623" t="n">
        <v>0</v>
      </c>
      <c r="AW623" t="n">
        <v>0</v>
      </c>
      <c r="AX623" s="39" t="n">
        <v>3000</v>
      </c>
      <c r="AY623" s="39" t="n">
        <v>3000</v>
      </c>
      <c r="AZ623" s="39" t="n">
        <v>0</v>
      </c>
      <c r="BA623" t="n">
        <v>0</v>
      </c>
      <c r="BB623" t="inlineStr">
        <is>
          <t>Crédito Directo</t>
        </is>
      </c>
      <c r="BC623" t="inlineStr">
        <is>
          <t>Banco de Credito del Perú</t>
        </is>
      </c>
      <c r="BD623" t="inlineStr">
        <is>
          <t>194-7325779-0-65</t>
        </is>
      </c>
      <c r="BE623" t="inlineStr">
        <is>
          <t>POS VISA</t>
        </is>
      </c>
      <c r="BG623" t="inlineStr">
        <is>
          <t>559275</t>
        </is>
      </c>
      <c r="BH623" t="inlineStr">
        <is>
          <t>No</t>
        </is>
      </c>
      <c r="BJ623" t="n">
        <v>4</v>
      </c>
      <c r="BK623" t="inlineStr">
        <is>
          <t>CANCELADO</t>
        </is>
      </c>
      <c r="BV623" t="inlineStr">
        <is>
          <t>Si</t>
        </is>
      </c>
      <c r="BW623" s="76" t="n">
        <v>46181.47777777778</v>
      </c>
      <c r="BX623" t="inlineStr">
        <is>
          <t>Carla Michue M</t>
        </is>
      </c>
      <c r="BZ623" t="n">
        <v>9</v>
      </c>
      <c r="CA623" t="inlineStr">
        <is>
          <t>23/05/2026 17:54</t>
        </is>
      </c>
      <c r="CB623" t="n">
        <v>0</v>
      </c>
      <c r="CF623" t="inlineStr">
        <is>
          <t>Cobranzas_2026.csv</t>
        </is>
      </c>
      <c r="CG623" t="n">
        <v>2026</v>
      </c>
      <c r="CH623" t="inlineStr">
        <is>
          <t>01/01/2024</t>
        </is>
      </c>
      <c r="CI623" t="inlineStr">
        <is>
          <t>24/08/2031</t>
        </is>
      </c>
    </row>
    <row r="624">
      <c r="A624" t="inlineStr">
        <is>
          <t>RESIDENCIAL BEYOND</t>
        </is>
      </c>
      <c r="B624" t="inlineStr">
        <is>
          <t>Etapa 1</t>
        </is>
      </c>
      <c r="C624" t="inlineStr">
        <is>
          <t>Edificio</t>
        </is>
      </c>
      <c r="D624" t="inlineStr">
        <is>
          <t>A</t>
        </is>
      </c>
      <c r="E624" t="inlineStr">
        <is>
          <t>Departamento</t>
        </is>
      </c>
      <c r="F624" t="inlineStr">
        <is>
          <t>1603</t>
        </is>
      </c>
      <c r="G624" t="n">
        <v>68</v>
      </c>
      <c r="H624" t="n">
        <v>0</v>
      </c>
      <c r="I624" s="39" t="n">
        <v>493700</v>
      </c>
      <c r="J624" s="39" t="n">
        <v>436200</v>
      </c>
      <c r="K624" t="inlineStr">
        <is>
          <t>Edificio</t>
        </is>
      </c>
      <c r="L624" t="inlineStr">
        <is>
          <t>A</t>
        </is>
      </c>
      <c r="M624" t="inlineStr">
        <is>
          <t>Estacionamiento</t>
        </is>
      </c>
      <c r="N624" t="inlineStr">
        <is>
          <t>E 08 - D 08</t>
        </is>
      </c>
      <c r="O624" t="n">
        <v>12.5</v>
      </c>
      <c r="P624" t="n">
        <v>2.4</v>
      </c>
      <c r="Q624" s="39" t="n">
        <v>53800</v>
      </c>
      <c r="R624" s="39" t="n">
        <v>53800</v>
      </c>
      <c r="Y624" s="39" t="n"/>
      <c r="Z624" s="39" t="n"/>
      <c r="AG624" s="39" t="n"/>
      <c r="AH624" s="39" t="n"/>
      <c r="AI624" t="inlineStr">
        <is>
          <t>Mohammed Belhaj b</t>
        </is>
      </c>
      <c r="AJ624" t="inlineStr">
        <is>
          <t>NUoF6KHK3</t>
        </is>
      </c>
      <c r="AK624" t="inlineStr">
        <is>
          <t>Jr. Los Aromos Coop. Las Flores Mz 21LT. 31</t>
        </is>
      </c>
      <c r="AL624" t="n">
        <v>0</v>
      </c>
      <c r="AM624" t="inlineStr">
        <is>
          <t>922412765</t>
        </is>
      </c>
      <c r="AN624" t="inlineStr">
        <is>
          <t>mo.belhaj@outlook.com</t>
        </is>
      </c>
      <c r="AO624" t="inlineStr">
        <is>
          <t>LIMA</t>
        </is>
      </c>
      <c r="AP624" t="inlineStr">
        <is>
          <t>SAN JUAN DE LURIGANCHO</t>
        </is>
      </c>
      <c r="AQ624" s="75" t="n">
        <v>46135</v>
      </c>
      <c r="AR624" s="75" t="n">
        <v>46135</v>
      </c>
      <c r="AS624" t="inlineStr">
        <is>
          <t>CUOTA INICIAL</t>
        </is>
      </c>
      <c r="AT624" t="n">
        <v>1</v>
      </c>
      <c r="AU624" t="n">
        <v>175.5</v>
      </c>
      <c r="AV624" t="n">
        <v>0</v>
      </c>
      <c r="AW624" t="n">
        <v>0</v>
      </c>
      <c r="AX624" s="39" t="n">
        <v>175.5</v>
      </c>
      <c r="AY624" s="39" t="n">
        <v>175.5</v>
      </c>
      <c r="AZ624" s="39" t="n">
        <v>0</v>
      </c>
      <c r="BA624" t="n">
        <v>0</v>
      </c>
      <c r="BB624" t="inlineStr">
        <is>
          <t>Crédito Directo</t>
        </is>
      </c>
      <c r="BC624" t="inlineStr">
        <is>
          <t>Banco de Credito del Perú</t>
        </is>
      </c>
      <c r="BD624" t="inlineStr">
        <is>
          <t>194-7325779-0-65</t>
        </is>
      </c>
      <c r="BE624" t="inlineStr">
        <is>
          <t>TRANSFERENCIA BANCARIA</t>
        </is>
      </c>
      <c r="BG624" t="inlineStr">
        <is>
          <t>9872572</t>
        </is>
      </c>
      <c r="BH624" t="inlineStr">
        <is>
          <t>No</t>
        </is>
      </c>
      <c r="BJ624" t="n">
        <v>3.51</v>
      </c>
      <c r="BK624" t="inlineStr">
        <is>
          <t>CANCELADO</t>
        </is>
      </c>
      <c r="BV624" t="inlineStr">
        <is>
          <t>Si</t>
        </is>
      </c>
      <c r="BW624" s="76" t="n">
        <v>46181.47777777778</v>
      </c>
      <c r="BX624" t="inlineStr">
        <is>
          <t>Carla Michue M</t>
        </is>
      </c>
      <c r="BZ624" t="n">
        <v>9</v>
      </c>
      <c r="CA624" t="inlineStr">
        <is>
          <t>18/08/2026 09:05</t>
        </is>
      </c>
      <c r="CB624" t="n">
        <v>0</v>
      </c>
      <c r="CF624" t="inlineStr">
        <is>
          <t>Cobranzas_2026.csv</t>
        </is>
      </c>
      <c r="CG624" t="n">
        <v>2026</v>
      </c>
      <c r="CH624" t="inlineStr">
        <is>
          <t>01/01/2024</t>
        </is>
      </c>
      <c r="CI624" t="inlineStr">
        <is>
          <t>24/08/2031</t>
        </is>
      </c>
    </row>
    <row r="625">
      <c r="A625" t="inlineStr">
        <is>
          <t>RESIDENCIAL BEYOND</t>
        </is>
      </c>
      <c r="B625" t="inlineStr">
        <is>
          <t>Etapa 1</t>
        </is>
      </c>
      <c r="C625" t="inlineStr">
        <is>
          <t>Edificio</t>
        </is>
      </c>
      <c r="D625" t="inlineStr">
        <is>
          <t>A</t>
        </is>
      </c>
      <c r="E625" t="inlineStr">
        <is>
          <t>Departamento</t>
        </is>
      </c>
      <c r="F625" t="inlineStr">
        <is>
          <t>1603</t>
        </is>
      </c>
      <c r="G625" t="n">
        <v>68</v>
      </c>
      <c r="H625" t="n">
        <v>0</v>
      </c>
      <c r="I625" s="39" t="n">
        <v>493700</v>
      </c>
      <c r="J625" s="39" t="n">
        <v>436200</v>
      </c>
      <c r="K625" t="inlineStr">
        <is>
          <t>Edificio</t>
        </is>
      </c>
      <c r="L625" t="inlineStr">
        <is>
          <t>A</t>
        </is>
      </c>
      <c r="M625" t="inlineStr">
        <is>
          <t>Estacionamiento</t>
        </is>
      </c>
      <c r="N625" t="inlineStr">
        <is>
          <t>E 08 - D 08</t>
        </is>
      </c>
      <c r="O625" t="n">
        <v>12.5</v>
      </c>
      <c r="P625" t="n">
        <v>2.4</v>
      </c>
      <c r="Q625" s="39" t="n">
        <v>53800</v>
      </c>
      <c r="R625" s="39" t="n">
        <v>53800</v>
      </c>
      <c r="Y625" s="39" t="n"/>
      <c r="Z625" s="39" t="n"/>
      <c r="AG625" s="39" t="n"/>
      <c r="AH625" s="39" t="n"/>
      <c r="AI625" t="inlineStr">
        <is>
          <t>Mohammed Belhaj b</t>
        </is>
      </c>
      <c r="AJ625" t="inlineStr">
        <is>
          <t>NUoF6KHK3</t>
        </is>
      </c>
      <c r="AK625" t="inlineStr">
        <is>
          <t>Jr. Los Aromos Coop. Las Flores Mz 21LT. 31</t>
        </is>
      </c>
      <c r="AL625" t="n">
        <v>0</v>
      </c>
      <c r="AM625" t="inlineStr">
        <is>
          <t>922412765</t>
        </is>
      </c>
      <c r="AN625" t="inlineStr">
        <is>
          <t>mo.belhaj@outlook.com</t>
        </is>
      </c>
      <c r="AO625" t="inlineStr">
        <is>
          <t>LIMA</t>
        </is>
      </c>
      <c r="AP625" t="inlineStr">
        <is>
          <t>SAN JUAN DE LURIGANCHO</t>
        </is>
      </c>
      <c r="AQ625" s="75" t="n">
        <v>46172</v>
      </c>
      <c r="AR625" s="75" t="n">
        <v>46142</v>
      </c>
      <c r="AS625" t="inlineStr">
        <is>
          <t>CUOTA INICIAL</t>
        </is>
      </c>
      <c r="AT625" t="n">
        <v>2</v>
      </c>
      <c r="AU625" t="n">
        <v>306745.71</v>
      </c>
      <c r="AV625" t="n">
        <v>0</v>
      </c>
      <c r="AW625" t="n">
        <v>0</v>
      </c>
      <c r="AX625" s="39" t="n">
        <v>306745.71</v>
      </c>
      <c r="AY625" s="39" t="n">
        <v>306745.71</v>
      </c>
      <c r="AZ625" s="39" t="n">
        <v>0</v>
      </c>
      <c r="BA625" t="n">
        <v>0</v>
      </c>
      <c r="BB625" t="inlineStr">
        <is>
          <t>Crédito Directo</t>
        </is>
      </c>
      <c r="BC625" t="inlineStr">
        <is>
          <t>Banco de Credito del Perú</t>
        </is>
      </c>
      <c r="BD625" t="inlineStr">
        <is>
          <t>194-7325779-0-65</t>
        </is>
      </c>
      <c r="BE625" t="inlineStr">
        <is>
          <t>TRANSFERENCIA BANCARIA</t>
        </is>
      </c>
      <c r="BG625" t="inlineStr">
        <is>
          <t>9899803</t>
        </is>
      </c>
      <c r="BH625" t="inlineStr">
        <is>
          <t>No</t>
        </is>
      </c>
      <c r="BJ625" t="n">
        <v>3.51</v>
      </c>
      <c r="BK625" t="inlineStr">
        <is>
          <t>CANCELADO</t>
        </is>
      </c>
      <c r="BV625" t="inlineStr">
        <is>
          <t>Si</t>
        </is>
      </c>
      <c r="BW625" s="76" t="n">
        <v>46181.47777777778</v>
      </c>
      <c r="BX625" t="inlineStr">
        <is>
          <t>Carla Michue M</t>
        </is>
      </c>
      <c r="BZ625" t="n">
        <v>9</v>
      </c>
      <c r="CA625" t="inlineStr">
        <is>
          <t>18/08/2026 09:06</t>
        </is>
      </c>
      <c r="CB625" t="n">
        <v>0</v>
      </c>
      <c r="CF625" t="inlineStr">
        <is>
          <t>Cobranzas_2026.csv</t>
        </is>
      </c>
      <c r="CG625" t="n">
        <v>2026</v>
      </c>
      <c r="CH625" t="inlineStr">
        <is>
          <t>01/01/2024</t>
        </is>
      </c>
      <c r="CI625" t="inlineStr">
        <is>
          <t>24/08/2031</t>
        </is>
      </c>
    </row>
    <row r="626">
      <c r="A626" t="inlineStr">
        <is>
          <t>RESIDENCIAL BEYOND</t>
        </is>
      </c>
      <c r="B626" t="inlineStr">
        <is>
          <t>Etapa 1</t>
        </is>
      </c>
      <c r="C626" t="inlineStr">
        <is>
          <t>Edificio</t>
        </is>
      </c>
      <c r="D626" t="inlineStr">
        <is>
          <t>A</t>
        </is>
      </c>
      <c r="E626" t="inlineStr">
        <is>
          <t>Departamento</t>
        </is>
      </c>
      <c r="F626" t="inlineStr">
        <is>
          <t>1603</t>
        </is>
      </c>
      <c r="G626" t="n">
        <v>68</v>
      </c>
      <c r="H626" t="n">
        <v>0</v>
      </c>
      <c r="I626" s="39" t="n">
        <v>493700</v>
      </c>
      <c r="J626" s="39" t="n">
        <v>436200</v>
      </c>
      <c r="K626" t="inlineStr">
        <is>
          <t>Edificio</t>
        </is>
      </c>
      <c r="L626" t="inlineStr">
        <is>
          <t>A</t>
        </is>
      </c>
      <c r="M626" t="inlineStr">
        <is>
          <t>Estacionamiento</t>
        </is>
      </c>
      <c r="N626" t="inlineStr">
        <is>
          <t>E 08 - D 08</t>
        </is>
      </c>
      <c r="O626" t="n">
        <v>12.5</v>
      </c>
      <c r="P626" t="n">
        <v>2.4</v>
      </c>
      <c r="Q626" s="39" t="n">
        <v>53800</v>
      </c>
      <c r="R626" s="39" t="n">
        <v>53800</v>
      </c>
      <c r="Y626" s="39" t="n"/>
      <c r="Z626" s="39" t="n"/>
      <c r="AG626" s="39" t="n"/>
      <c r="AH626" s="39" t="n"/>
      <c r="AI626" t="inlineStr">
        <is>
          <t>Mohammed Belhaj b</t>
        </is>
      </c>
      <c r="AJ626" t="inlineStr">
        <is>
          <t>NUoF6KHK3</t>
        </is>
      </c>
      <c r="AK626" t="inlineStr">
        <is>
          <t>Jr. Los Aromos Coop. Las Flores Mz 21LT. 31</t>
        </is>
      </c>
      <c r="AL626" t="n">
        <v>0</v>
      </c>
      <c r="AM626" t="inlineStr">
        <is>
          <t>922412765</t>
        </is>
      </c>
      <c r="AN626" t="inlineStr">
        <is>
          <t>mo.belhaj@outlook.com</t>
        </is>
      </c>
      <c r="AO626" t="inlineStr">
        <is>
          <t>LIMA</t>
        </is>
      </c>
      <c r="AP626" t="inlineStr">
        <is>
          <t>SAN JUAN DE LURIGANCHO</t>
        </is>
      </c>
      <c r="AQ626" s="75" t="n">
        <v>46265</v>
      </c>
      <c r="AR626" s="75" t="n">
        <v>46244</v>
      </c>
      <c r="AS626" t="inlineStr">
        <is>
          <t>SALDO FINANCIAR</t>
        </is>
      </c>
      <c r="AT626" t="n">
        <v>1</v>
      </c>
      <c r="AU626" t="n">
        <v>20008.75</v>
      </c>
      <c r="AV626" t="n">
        <v>0</v>
      </c>
      <c r="AW626" t="n">
        <v>0</v>
      </c>
      <c r="AX626" s="39" t="n">
        <v>20008.75</v>
      </c>
      <c r="AY626" s="39" t="n">
        <v>20008.75</v>
      </c>
      <c r="AZ626" s="39" t="n">
        <v>0</v>
      </c>
      <c r="BA626" t="n">
        <v>0</v>
      </c>
      <c r="BB626" t="inlineStr">
        <is>
          <t>Crédito Directo</t>
        </is>
      </c>
      <c r="BC626" t="inlineStr">
        <is>
          <t>Banco de Credito del Perú</t>
        </is>
      </c>
      <c r="BD626" t="inlineStr">
        <is>
          <t>194-7325779-0-65</t>
        </is>
      </c>
      <c r="BE626" t="inlineStr">
        <is>
          <t>TRANSFERENCIA BANCARIA</t>
        </is>
      </c>
      <c r="BH626" t="inlineStr">
        <is>
          <t>No</t>
        </is>
      </c>
      <c r="BJ626" t="n">
        <v>3.51</v>
      </c>
      <c r="BK626" t="inlineStr">
        <is>
          <t>CANCELADO</t>
        </is>
      </c>
      <c r="BV626" t="inlineStr">
        <is>
          <t>Si</t>
        </is>
      </c>
      <c r="BW626" s="76" t="n">
        <v>46181.47777777778</v>
      </c>
      <c r="BX626" t="inlineStr">
        <is>
          <t>Carla Michue M</t>
        </is>
      </c>
      <c r="BZ626" t="n">
        <v>9</v>
      </c>
      <c r="CA626" t="inlineStr">
        <is>
          <t>18/08/2026 09:19</t>
        </is>
      </c>
      <c r="CB626" t="n">
        <v>0</v>
      </c>
      <c r="CF626" t="inlineStr">
        <is>
          <t>Cobranzas_2026.csv</t>
        </is>
      </c>
      <c r="CG626" t="n">
        <v>2026</v>
      </c>
      <c r="CH626" t="inlineStr">
        <is>
          <t>01/01/2024</t>
        </is>
      </c>
      <c r="CI626" t="inlineStr">
        <is>
          <t>24/08/2031</t>
        </is>
      </c>
    </row>
    <row r="627">
      <c r="A627" t="inlineStr">
        <is>
          <t>RESIDENCIAL BEYOND</t>
        </is>
      </c>
      <c r="B627" t="inlineStr">
        <is>
          <t>Etapa 1</t>
        </is>
      </c>
      <c r="C627" t="inlineStr">
        <is>
          <t>Edificio</t>
        </is>
      </c>
      <c r="D627" t="inlineStr">
        <is>
          <t>A</t>
        </is>
      </c>
      <c r="E627" t="inlineStr">
        <is>
          <t>Departamento</t>
        </is>
      </c>
      <c r="F627" t="inlineStr">
        <is>
          <t>1603</t>
        </is>
      </c>
      <c r="G627" t="n">
        <v>68</v>
      </c>
      <c r="H627" t="n">
        <v>0</v>
      </c>
      <c r="I627" s="39" t="n">
        <v>493700</v>
      </c>
      <c r="J627" s="39" t="n">
        <v>436200</v>
      </c>
      <c r="K627" t="inlineStr">
        <is>
          <t>Edificio</t>
        </is>
      </c>
      <c r="L627" t="inlineStr">
        <is>
          <t>A</t>
        </is>
      </c>
      <c r="M627" t="inlineStr">
        <is>
          <t>Estacionamiento</t>
        </is>
      </c>
      <c r="N627" t="inlineStr">
        <is>
          <t>E 08 - D 08</t>
        </is>
      </c>
      <c r="O627" t="n">
        <v>12.5</v>
      </c>
      <c r="P627" t="n">
        <v>2.4</v>
      </c>
      <c r="Q627" s="39" t="n">
        <v>53800</v>
      </c>
      <c r="R627" s="39" t="n">
        <v>53800</v>
      </c>
      <c r="Y627" s="39" t="n"/>
      <c r="Z627" s="39" t="n"/>
      <c r="AG627" s="39" t="n"/>
      <c r="AH627" s="39" t="n"/>
      <c r="AI627" t="inlineStr">
        <is>
          <t>Mohammed Belhaj b</t>
        </is>
      </c>
      <c r="AJ627" t="inlineStr">
        <is>
          <t>NUoF6KHK3</t>
        </is>
      </c>
      <c r="AK627" t="inlineStr">
        <is>
          <t>Jr. Los Aromos Coop. Las Flores Mz 21LT. 31</t>
        </is>
      </c>
      <c r="AL627" t="n">
        <v>0</v>
      </c>
      <c r="AM627" t="inlineStr">
        <is>
          <t>922412765</t>
        </is>
      </c>
      <c r="AN627" t="inlineStr">
        <is>
          <t>mo.belhaj@outlook.com</t>
        </is>
      </c>
      <c r="AO627" t="inlineStr">
        <is>
          <t>LIMA</t>
        </is>
      </c>
      <c r="AP627" t="inlineStr">
        <is>
          <t>SAN JUAN DE LURIGANCHO</t>
        </is>
      </c>
      <c r="AQ627" s="75" t="n">
        <v>46295</v>
      </c>
      <c r="AR627" s="75" t="n"/>
      <c r="AS627" t="inlineStr">
        <is>
          <t>SALDO FINANCIAR</t>
        </is>
      </c>
      <c r="AT627" t="n">
        <v>2</v>
      </c>
      <c r="AU627" t="n">
        <v>20008.75</v>
      </c>
      <c r="AV627" t="n">
        <v>0</v>
      </c>
      <c r="AW627" t="n">
        <v>0</v>
      </c>
      <c r="AX627" s="39" t="n">
        <v>20008.75</v>
      </c>
      <c r="AY627" s="39" t="n">
        <v>0</v>
      </c>
      <c r="AZ627" s="39" t="n">
        <v>20008.75</v>
      </c>
      <c r="BB627" t="inlineStr">
        <is>
          <t>Crédito Directo</t>
        </is>
      </c>
      <c r="BH627" t="inlineStr">
        <is>
          <t>No</t>
        </is>
      </c>
      <c r="BK627" t="inlineStr">
        <is>
          <t>PENDIENTE</t>
        </is>
      </c>
      <c r="BV627" t="inlineStr">
        <is>
          <t>No</t>
        </is>
      </c>
      <c r="BW627" s="76" t="n">
        <v>46181.47777777778</v>
      </c>
      <c r="BX627" t="inlineStr">
        <is>
          <t>Carla Michue M</t>
        </is>
      </c>
      <c r="BZ627" t="n">
        <v>9</v>
      </c>
      <c r="CB627" t="n">
        <v>0</v>
      </c>
      <c r="CF627" t="inlineStr">
        <is>
          <t>Cobranzas_2026.csv</t>
        </is>
      </c>
      <c r="CG627" t="n">
        <v>2026</v>
      </c>
      <c r="CH627" t="inlineStr">
        <is>
          <t>01/01/2024</t>
        </is>
      </c>
      <c r="CI627" t="inlineStr">
        <is>
          <t>24/08/2031</t>
        </is>
      </c>
    </row>
    <row r="628">
      <c r="A628" t="inlineStr">
        <is>
          <t>RESIDENCIAL BEYOND</t>
        </is>
      </c>
      <c r="B628" t="inlineStr">
        <is>
          <t>Etapa 1</t>
        </is>
      </c>
      <c r="C628" t="inlineStr">
        <is>
          <t>Edificio</t>
        </is>
      </c>
      <c r="D628" t="inlineStr">
        <is>
          <t>A</t>
        </is>
      </c>
      <c r="E628" t="inlineStr">
        <is>
          <t>Departamento</t>
        </is>
      </c>
      <c r="F628" t="inlineStr">
        <is>
          <t>1603</t>
        </is>
      </c>
      <c r="G628" t="n">
        <v>68</v>
      </c>
      <c r="H628" t="n">
        <v>0</v>
      </c>
      <c r="I628" s="39" t="n">
        <v>493700</v>
      </c>
      <c r="J628" s="39" t="n">
        <v>436200</v>
      </c>
      <c r="K628" t="inlineStr">
        <is>
          <t>Edificio</t>
        </is>
      </c>
      <c r="L628" t="inlineStr">
        <is>
          <t>A</t>
        </is>
      </c>
      <c r="M628" t="inlineStr">
        <is>
          <t>Estacionamiento</t>
        </is>
      </c>
      <c r="N628" t="inlineStr">
        <is>
          <t>E 08 - D 08</t>
        </is>
      </c>
      <c r="O628" t="n">
        <v>12.5</v>
      </c>
      <c r="P628" t="n">
        <v>2.4</v>
      </c>
      <c r="Q628" s="39" t="n">
        <v>53800</v>
      </c>
      <c r="R628" s="39" t="n">
        <v>53800</v>
      </c>
      <c r="Y628" s="39" t="n"/>
      <c r="Z628" s="39" t="n"/>
      <c r="AG628" s="39" t="n"/>
      <c r="AH628" s="39" t="n"/>
      <c r="AI628" t="inlineStr">
        <is>
          <t>Mohammed Belhaj b</t>
        </is>
      </c>
      <c r="AJ628" t="inlineStr">
        <is>
          <t>NUoF6KHK3</t>
        </is>
      </c>
      <c r="AK628" t="inlineStr">
        <is>
          <t>Jr. Los Aromos Coop. Las Flores Mz 21LT. 31</t>
        </is>
      </c>
      <c r="AL628" t="n">
        <v>0</v>
      </c>
      <c r="AM628" t="inlineStr">
        <is>
          <t>922412765</t>
        </is>
      </c>
      <c r="AN628" t="inlineStr">
        <is>
          <t>mo.belhaj@outlook.com</t>
        </is>
      </c>
      <c r="AO628" t="inlineStr">
        <is>
          <t>LIMA</t>
        </is>
      </c>
      <c r="AP628" t="inlineStr">
        <is>
          <t>SAN JUAN DE LURIGANCHO</t>
        </is>
      </c>
      <c r="AQ628" s="75" t="n">
        <v>46326</v>
      </c>
      <c r="AR628" s="75" t="n"/>
      <c r="AS628" t="inlineStr">
        <is>
          <t>SALDO FINANCIAR</t>
        </is>
      </c>
      <c r="AT628" t="n">
        <v>3</v>
      </c>
      <c r="AU628" t="n">
        <v>20008.75</v>
      </c>
      <c r="AV628" t="n">
        <v>0</v>
      </c>
      <c r="AW628" t="n">
        <v>0</v>
      </c>
      <c r="AX628" s="39" t="n">
        <v>20008.75</v>
      </c>
      <c r="AY628" s="39" t="n">
        <v>0</v>
      </c>
      <c r="AZ628" s="39" t="n">
        <v>20008.75</v>
      </c>
      <c r="BB628" t="inlineStr">
        <is>
          <t>Crédito Directo</t>
        </is>
      </c>
      <c r="BH628" t="inlineStr">
        <is>
          <t>No</t>
        </is>
      </c>
      <c r="BK628" t="inlineStr">
        <is>
          <t>PENDIENTE</t>
        </is>
      </c>
      <c r="BV628" t="inlineStr">
        <is>
          <t>No</t>
        </is>
      </c>
      <c r="BW628" s="76" t="n">
        <v>46181.47777777778</v>
      </c>
      <c r="BX628" t="inlineStr">
        <is>
          <t>Carla Michue M</t>
        </is>
      </c>
      <c r="BZ628" t="n">
        <v>9</v>
      </c>
      <c r="CB628" t="n">
        <v>0</v>
      </c>
      <c r="CF628" t="inlineStr">
        <is>
          <t>Cobranzas_2026.csv</t>
        </is>
      </c>
      <c r="CG628" t="n">
        <v>2026</v>
      </c>
      <c r="CH628" t="inlineStr">
        <is>
          <t>01/01/2024</t>
        </is>
      </c>
      <c r="CI628" t="inlineStr">
        <is>
          <t>24/08/2031</t>
        </is>
      </c>
    </row>
    <row r="629">
      <c r="A629" t="inlineStr">
        <is>
          <t>RESIDENCIAL BEYOND</t>
        </is>
      </c>
      <c r="B629" t="inlineStr">
        <is>
          <t>Etapa 1</t>
        </is>
      </c>
      <c r="C629" t="inlineStr">
        <is>
          <t>Edificio</t>
        </is>
      </c>
      <c r="D629" t="inlineStr">
        <is>
          <t>A</t>
        </is>
      </c>
      <c r="E629" t="inlineStr">
        <is>
          <t>Departamento</t>
        </is>
      </c>
      <c r="F629" t="inlineStr">
        <is>
          <t>1603</t>
        </is>
      </c>
      <c r="G629" t="n">
        <v>68</v>
      </c>
      <c r="H629" t="n">
        <v>0</v>
      </c>
      <c r="I629" s="39" t="n">
        <v>493700</v>
      </c>
      <c r="J629" s="39" t="n">
        <v>436200</v>
      </c>
      <c r="K629" t="inlineStr">
        <is>
          <t>Edificio</t>
        </is>
      </c>
      <c r="L629" t="inlineStr">
        <is>
          <t>A</t>
        </is>
      </c>
      <c r="M629" t="inlineStr">
        <is>
          <t>Estacionamiento</t>
        </is>
      </c>
      <c r="N629" t="inlineStr">
        <is>
          <t>E 08 - D 08</t>
        </is>
      </c>
      <c r="O629" t="n">
        <v>12.5</v>
      </c>
      <c r="P629" t="n">
        <v>2.4</v>
      </c>
      <c r="Q629" s="39" t="n">
        <v>53800</v>
      </c>
      <c r="R629" s="39" t="n">
        <v>53800</v>
      </c>
      <c r="Y629" s="39" t="n"/>
      <c r="Z629" s="39" t="n"/>
      <c r="AG629" s="39" t="n"/>
      <c r="AH629" s="39" t="n"/>
      <c r="AI629" t="inlineStr">
        <is>
          <t>Mohammed Belhaj b</t>
        </is>
      </c>
      <c r="AJ629" t="inlineStr">
        <is>
          <t>NUoF6KHK3</t>
        </is>
      </c>
      <c r="AK629" t="inlineStr">
        <is>
          <t>Jr. Los Aromos Coop. Las Flores Mz 21LT. 31</t>
        </is>
      </c>
      <c r="AL629" t="n">
        <v>0</v>
      </c>
      <c r="AM629" t="inlineStr">
        <is>
          <t>922412765</t>
        </is>
      </c>
      <c r="AN629" t="inlineStr">
        <is>
          <t>mo.belhaj@outlook.com</t>
        </is>
      </c>
      <c r="AO629" t="inlineStr">
        <is>
          <t>LIMA</t>
        </is>
      </c>
      <c r="AP629" t="inlineStr">
        <is>
          <t>SAN JUAN DE LURIGANCHO</t>
        </is>
      </c>
      <c r="AQ629" s="75" t="n">
        <v>46356</v>
      </c>
      <c r="AR629" s="75" t="n"/>
      <c r="AS629" t="inlineStr">
        <is>
          <t>SALDO FINANCIAR</t>
        </is>
      </c>
      <c r="AT629" t="n">
        <v>4</v>
      </c>
      <c r="AU629" t="n">
        <v>20008.75</v>
      </c>
      <c r="AV629" t="n">
        <v>0</v>
      </c>
      <c r="AW629" t="n">
        <v>0</v>
      </c>
      <c r="AX629" s="39" t="n">
        <v>20008.75</v>
      </c>
      <c r="AY629" s="39" t="n">
        <v>0</v>
      </c>
      <c r="AZ629" s="39" t="n">
        <v>20008.75</v>
      </c>
      <c r="BB629" t="inlineStr">
        <is>
          <t>Crédito Directo</t>
        </is>
      </c>
      <c r="BH629" t="inlineStr">
        <is>
          <t>No</t>
        </is>
      </c>
      <c r="BK629" t="inlineStr">
        <is>
          <t>PENDIENTE</t>
        </is>
      </c>
      <c r="BV629" t="inlineStr">
        <is>
          <t>No</t>
        </is>
      </c>
      <c r="BW629" s="76" t="n">
        <v>46181.47777777778</v>
      </c>
      <c r="BX629" t="inlineStr">
        <is>
          <t>Carla Michue M</t>
        </is>
      </c>
      <c r="BZ629" t="n">
        <v>9</v>
      </c>
      <c r="CB629" t="n">
        <v>0</v>
      </c>
      <c r="CF629" t="inlineStr">
        <is>
          <t>Cobranzas_2026.csv</t>
        </is>
      </c>
      <c r="CG629" t="n">
        <v>2026</v>
      </c>
      <c r="CH629" t="inlineStr">
        <is>
          <t>01/01/2024</t>
        </is>
      </c>
      <c r="CI629" t="inlineStr">
        <is>
          <t>24/08/2031</t>
        </is>
      </c>
    </row>
    <row r="630">
      <c r="A630" t="inlineStr">
        <is>
          <t>RESIDENCIAL BEYOND</t>
        </is>
      </c>
      <c r="B630" t="inlineStr">
        <is>
          <t>Etapa 1</t>
        </is>
      </c>
      <c r="C630" t="inlineStr">
        <is>
          <t>Edificio</t>
        </is>
      </c>
      <c r="D630" t="inlineStr">
        <is>
          <t>A</t>
        </is>
      </c>
      <c r="E630" t="inlineStr">
        <is>
          <t>Departamento</t>
        </is>
      </c>
      <c r="F630" t="inlineStr">
        <is>
          <t>1603</t>
        </is>
      </c>
      <c r="G630" t="n">
        <v>68</v>
      </c>
      <c r="H630" t="n">
        <v>0</v>
      </c>
      <c r="I630" s="39" t="n">
        <v>493700</v>
      </c>
      <c r="J630" s="39" t="n">
        <v>436200</v>
      </c>
      <c r="K630" t="inlineStr">
        <is>
          <t>Edificio</t>
        </is>
      </c>
      <c r="L630" t="inlineStr">
        <is>
          <t>A</t>
        </is>
      </c>
      <c r="M630" t="inlineStr">
        <is>
          <t>Estacionamiento</t>
        </is>
      </c>
      <c r="N630" t="inlineStr">
        <is>
          <t>E 08 - D 08</t>
        </is>
      </c>
      <c r="O630" t="n">
        <v>12.5</v>
      </c>
      <c r="P630" t="n">
        <v>2.4</v>
      </c>
      <c r="Q630" s="39" t="n">
        <v>53800</v>
      </c>
      <c r="R630" s="39" t="n">
        <v>53800</v>
      </c>
      <c r="Y630" s="39" t="n"/>
      <c r="Z630" s="39" t="n"/>
      <c r="AG630" s="39" t="n"/>
      <c r="AH630" s="39" t="n"/>
      <c r="AI630" t="inlineStr">
        <is>
          <t>Mohammed Belhaj b</t>
        </is>
      </c>
      <c r="AJ630" t="inlineStr">
        <is>
          <t>NUoF6KHK3</t>
        </is>
      </c>
      <c r="AK630" t="inlineStr">
        <is>
          <t>Jr. Los Aromos Coop. Las Flores Mz 21LT. 31</t>
        </is>
      </c>
      <c r="AL630" t="n">
        <v>0</v>
      </c>
      <c r="AM630" t="inlineStr">
        <is>
          <t>922412765</t>
        </is>
      </c>
      <c r="AN630" t="inlineStr">
        <is>
          <t>mo.belhaj@outlook.com</t>
        </is>
      </c>
      <c r="AO630" t="inlineStr">
        <is>
          <t>LIMA</t>
        </is>
      </c>
      <c r="AP630" t="inlineStr">
        <is>
          <t>SAN JUAN DE LURIGANCHO</t>
        </is>
      </c>
      <c r="AQ630" s="75" t="n">
        <v>46387</v>
      </c>
      <c r="AR630" s="75" t="n"/>
      <c r="AS630" t="inlineStr">
        <is>
          <t>SALDO FINANCIAR</t>
        </is>
      </c>
      <c r="AT630" t="n">
        <v>5</v>
      </c>
      <c r="AU630" t="n">
        <v>20008.75</v>
      </c>
      <c r="AV630" t="n">
        <v>0</v>
      </c>
      <c r="AW630" t="n">
        <v>0</v>
      </c>
      <c r="AX630" s="39" t="n">
        <v>20008.75</v>
      </c>
      <c r="AY630" s="39" t="n">
        <v>0</v>
      </c>
      <c r="AZ630" s="39" t="n">
        <v>20008.75</v>
      </c>
      <c r="BB630" t="inlineStr">
        <is>
          <t>Crédito Directo</t>
        </is>
      </c>
      <c r="BH630" t="inlineStr">
        <is>
          <t>No</t>
        </is>
      </c>
      <c r="BK630" t="inlineStr">
        <is>
          <t>PENDIENTE</t>
        </is>
      </c>
      <c r="BV630" t="inlineStr">
        <is>
          <t>No</t>
        </is>
      </c>
      <c r="BW630" s="76" t="n">
        <v>46181.47777777778</v>
      </c>
      <c r="BX630" t="inlineStr">
        <is>
          <t>Carla Michue M</t>
        </is>
      </c>
      <c r="BZ630" t="n">
        <v>9</v>
      </c>
      <c r="CB630" t="n">
        <v>0</v>
      </c>
      <c r="CF630" t="inlineStr">
        <is>
          <t>Cobranzas_2026.csv</t>
        </is>
      </c>
      <c r="CG630" t="n">
        <v>2026</v>
      </c>
      <c r="CH630" t="inlineStr">
        <is>
          <t>01/01/2024</t>
        </is>
      </c>
      <c r="CI630" t="inlineStr">
        <is>
          <t>24/08/2031</t>
        </is>
      </c>
    </row>
    <row r="631">
      <c r="A631" t="inlineStr">
        <is>
          <t>RESIDENCIAL VENECIA</t>
        </is>
      </c>
      <c r="B631" t="inlineStr">
        <is>
          <t>Etapa 1</t>
        </is>
      </c>
      <c r="C631" t="inlineStr">
        <is>
          <t>Edificio</t>
        </is>
      </c>
      <c r="D631" t="inlineStr">
        <is>
          <t>A</t>
        </is>
      </c>
      <c r="E631" t="inlineStr">
        <is>
          <t>Departamento</t>
        </is>
      </c>
      <c r="F631" t="inlineStr">
        <is>
          <t>1005</t>
        </is>
      </c>
      <c r="G631" t="n">
        <v>58</v>
      </c>
      <c r="H631" t="n">
        <v>0</v>
      </c>
      <c r="I631" s="39" t="n">
        <v>372000</v>
      </c>
      <c r="J631" s="39" t="n">
        <v>372000</v>
      </c>
      <c r="Q631" s="39" t="n"/>
      <c r="R631" s="39" t="n"/>
      <c r="Y631" s="39" t="n"/>
      <c r="Z631" s="39" t="n"/>
      <c r="AG631" s="39" t="n"/>
      <c r="AH631" s="39" t="n"/>
      <c r="AI631" t="inlineStr">
        <is>
          <t>Noelia Abarca Chavez</t>
        </is>
      </c>
      <c r="AJ631" t="inlineStr">
        <is>
          <t>74834392</t>
        </is>
      </c>
      <c r="AK631" t="inlineStr">
        <is>
          <t xml:space="preserve"> Juan  Dávalos 570 Piso Nº2  Urbanización Pamplona Baj</t>
        </is>
      </c>
      <c r="AL631" t="n">
        <v>0</v>
      </c>
      <c r="AM631" t="inlineStr">
        <is>
          <t>977162821</t>
        </is>
      </c>
      <c r="AN631" t="inlineStr">
        <is>
          <t>noeliaabarca@outlook.com</t>
        </is>
      </c>
      <c r="AO631" t="inlineStr">
        <is>
          <t>LIMA</t>
        </is>
      </c>
      <c r="AP631" t="inlineStr">
        <is>
          <t>SAN JUAN DE MIRAFLORES</t>
        </is>
      </c>
      <c r="AQ631" s="75" t="n">
        <v>46142</v>
      </c>
      <c r="AR631" s="75" t="n">
        <v>46116</v>
      </c>
      <c r="AS631" t="inlineStr">
        <is>
          <t>AHORRO CASA</t>
        </is>
      </c>
      <c r="AT631" t="n">
        <v>1</v>
      </c>
      <c r="AU631" t="n">
        <v>18600</v>
      </c>
      <c r="AV631" t="n">
        <v>0</v>
      </c>
      <c r="AW631" t="n">
        <v>0</v>
      </c>
      <c r="AX631" s="39" t="n">
        <v>18600</v>
      </c>
      <c r="AY631" s="39" t="n">
        <v>18600</v>
      </c>
      <c r="AZ631" s="39" t="n">
        <v>0</v>
      </c>
      <c r="BA631" t="n">
        <v>0</v>
      </c>
      <c r="BB631" t="inlineStr">
        <is>
          <t>Crédito Hipotecario</t>
        </is>
      </c>
      <c r="BC631" t="inlineStr">
        <is>
          <t>Scotiabank Perú</t>
        </is>
      </c>
      <c r="BD631" t="inlineStr">
        <is>
          <t>0004071419</t>
        </is>
      </c>
      <c r="BE631" t="inlineStr">
        <is>
          <t>TRANSFERENCIA BANCARIA</t>
        </is>
      </c>
      <c r="BG631" t="inlineStr">
        <is>
          <t>5526008</t>
        </is>
      </c>
      <c r="BH631" t="inlineStr">
        <is>
          <t>No</t>
        </is>
      </c>
      <c r="BJ631" t="n">
        <v>4</v>
      </c>
      <c r="BK631" t="inlineStr">
        <is>
          <t>CANCELADO</t>
        </is>
      </c>
      <c r="BV631" t="inlineStr">
        <is>
          <t>Si</t>
        </is>
      </c>
      <c r="BW631" s="76" t="n">
        <v>45878.92083333333</v>
      </c>
      <c r="BX631" t="inlineStr">
        <is>
          <t>Magaly Guevara Perez</t>
        </is>
      </c>
      <c r="BZ631" t="n">
        <v>15</v>
      </c>
      <c r="CA631" t="inlineStr">
        <is>
          <t>24/05/2026 22:05</t>
        </is>
      </c>
      <c r="CB631" t="n">
        <v>0</v>
      </c>
      <c r="CF631" t="inlineStr">
        <is>
          <t>Cobranzas_2026.csv</t>
        </is>
      </c>
      <c r="CG631" t="n">
        <v>2026</v>
      </c>
      <c r="CH631" t="inlineStr">
        <is>
          <t>01/01/2024</t>
        </is>
      </c>
      <c r="CI631" t="inlineStr">
        <is>
          <t>24/08/2031</t>
        </is>
      </c>
    </row>
    <row r="632">
      <c r="A632" t="inlineStr">
        <is>
          <t>RESIDENCIAL VENECIA</t>
        </is>
      </c>
      <c r="B632" t="inlineStr">
        <is>
          <t>Etapa 1</t>
        </is>
      </c>
      <c r="C632" t="inlineStr">
        <is>
          <t>Edificio</t>
        </is>
      </c>
      <c r="D632" t="inlineStr">
        <is>
          <t>A</t>
        </is>
      </c>
      <c r="E632" t="inlineStr">
        <is>
          <t>Departamento</t>
        </is>
      </c>
      <c r="F632" t="inlineStr">
        <is>
          <t>1005</t>
        </is>
      </c>
      <c r="G632" t="n">
        <v>58</v>
      </c>
      <c r="H632" t="n">
        <v>0</v>
      </c>
      <c r="I632" s="39" t="n">
        <v>372000</v>
      </c>
      <c r="J632" s="39" t="n">
        <v>372000</v>
      </c>
      <c r="Q632" s="39" t="n"/>
      <c r="R632" s="39" t="n"/>
      <c r="Y632" s="39" t="n"/>
      <c r="Z632" s="39" t="n"/>
      <c r="AG632" s="39" t="n"/>
      <c r="AH632" s="39" t="n"/>
      <c r="AI632" t="inlineStr">
        <is>
          <t>Noelia Abarca Chavez</t>
        </is>
      </c>
      <c r="AJ632" t="inlineStr">
        <is>
          <t>74834392</t>
        </is>
      </c>
      <c r="AK632" t="inlineStr">
        <is>
          <t xml:space="preserve"> Juan  Dávalos 570 Piso Nº2  Urbanización Pamplona Baj</t>
        </is>
      </c>
      <c r="AL632" t="n">
        <v>0</v>
      </c>
      <c r="AM632" t="inlineStr">
        <is>
          <t>977162821</t>
        </is>
      </c>
      <c r="AN632" t="inlineStr">
        <is>
          <t>noeliaabarca@outlook.com</t>
        </is>
      </c>
      <c r="AO632" t="inlineStr">
        <is>
          <t>LIMA</t>
        </is>
      </c>
      <c r="AP632" t="inlineStr">
        <is>
          <t>SAN JUAN DE MIRAFLORES</t>
        </is>
      </c>
      <c r="AQ632" s="75" t="n">
        <v>46203</v>
      </c>
      <c r="AR632" s="75" t="n">
        <v>46172</v>
      </c>
      <c r="AS632" t="inlineStr">
        <is>
          <t>SALDO FINANCIAR</t>
        </is>
      </c>
      <c r="AT632" t="n">
        <v>1</v>
      </c>
      <c r="AU632" t="n">
        <v>334800</v>
      </c>
      <c r="AV632" t="n">
        <v>0</v>
      </c>
      <c r="AW632" t="n">
        <v>0</v>
      </c>
      <c r="AX632" s="39" t="n">
        <v>334800</v>
      </c>
      <c r="AY632" s="39" t="n">
        <v>334800</v>
      </c>
      <c r="AZ632" s="39" t="n">
        <v>0</v>
      </c>
      <c r="BA632" t="n">
        <v>0</v>
      </c>
      <c r="BB632" t="inlineStr">
        <is>
          <t>Crédito Hipotecario</t>
        </is>
      </c>
      <c r="BC632" t="inlineStr">
        <is>
          <t>Scotiabank Perú</t>
        </is>
      </c>
      <c r="BD632" t="inlineStr">
        <is>
          <t>0004071419</t>
        </is>
      </c>
      <c r="BE632" t="inlineStr">
        <is>
          <t>TRANSFERENCIA BANCARIA</t>
        </is>
      </c>
      <c r="BH632" t="inlineStr">
        <is>
          <t>No</t>
        </is>
      </c>
      <c r="BJ632" t="n">
        <v>4</v>
      </c>
      <c r="BK632" t="inlineStr">
        <is>
          <t>CANCELADO</t>
        </is>
      </c>
      <c r="BV632" t="inlineStr">
        <is>
          <t>Si</t>
        </is>
      </c>
      <c r="BW632" s="76" t="n">
        <v>45878.92083333333</v>
      </c>
      <c r="BX632" t="inlineStr">
        <is>
          <t>Magaly Guevara Perez</t>
        </is>
      </c>
      <c r="BZ632" t="n">
        <v>15</v>
      </c>
      <c r="CA632" t="inlineStr">
        <is>
          <t>19/08/2026 13:58</t>
        </is>
      </c>
      <c r="CB632" t="n">
        <v>0</v>
      </c>
      <c r="CF632" t="inlineStr">
        <is>
          <t>Cobranzas_2026.csv</t>
        </is>
      </c>
      <c r="CG632" t="n">
        <v>2026</v>
      </c>
      <c r="CH632" t="inlineStr">
        <is>
          <t>01/01/2024</t>
        </is>
      </c>
      <c r="CI632" t="inlineStr">
        <is>
          <t>24/08/2031</t>
        </is>
      </c>
    </row>
    <row r="633">
      <c r="A633" t="inlineStr">
        <is>
          <t>RESIDENCIAL VENECIA</t>
        </is>
      </c>
      <c r="B633" t="inlineStr">
        <is>
          <t>Etapa 1</t>
        </is>
      </c>
      <c r="C633" t="inlineStr">
        <is>
          <t>Edificio</t>
        </is>
      </c>
      <c r="D633" t="inlineStr">
        <is>
          <t>A</t>
        </is>
      </c>
      <c r="E633" t="inlineStr">
        <is>
          <t>Departamento</t>
        </is>
      </c>
      <c r="F633" t="inlineStr">
        <is>
          <t>601</t>
        </is>
      </c>
      <c r="G633" t="n">
        <v>78</v>
      </c>
      <c r="H633" t="n">
        <v>0</v>
      </c>
      <c r="I633" s="39" t="n">
        <v>545000</v>
      </c>
      <c r="J633" s="39" t="n">
        <v>545000</v>
      </c>
      <c r="K633" t="inlineStr">
        <is>
          <t>Edificio</t>
        </is>
      </c>
      <c r="L633" t="inlineStr">
        <is>
          <t>A</t>
        </is>
      </c>
      <c r="M633" t="inlineStr">
        <is>
          <t>Estacionamiento</t>
        </is>
      </c>
      <c r="N633" t="inlineStr">
        <is>
          <t>E 11</t>
        </is>
      </c>
      <c r="O633" t="n">
        <v>14.25</v>
      </c>
      <c r="P633" t="n">
        <v>0</v>
      </c>
      <c r="Q633" s="39" t="n">
        <v>50800</v>
      </c>
      <c r="R633" s="39" t="n">
        <v>50800</v>
      </c>
      <c r="Y633" s="39" t="n"/>
      <c r="Z633" s="39" t="n"/>
      <c r="AG633" s="39" t="n"/>
      <c r="AH633" s="39" t="n"/>
      <c r="AI633" t="inlineStr">
        <is>
          <t>Norma Luz Tello Contreras</t>
        </is>
      </c>
      <c r="AJ633" t="inlineStr">
        <is>
          <t>04063971</t>
        </is>
      </c>
      <c r="AK633" t="inlineStr">
        <is>
          <t>Av. Militar 1745 - Dpto. 1202</t>
        </is>
      </c>
      <c r="AL633" t="n">
        <v>0</v>
      </c>
      <c r="AM633" t="inlineStr">
        <is>
          <t>952305311</t>
        </is>
      </c>
      <c r="AN633" t="inlineStr">
        <is>
          <t>normatello@gmail.com</t>
        </is>
      </c>
      <c r="AO633" t="inlineStr">
        <is>
          <t>LIMA</t>
        </is>
      </c>
      <c r="AP633" t="inlineStr">
        <is>
          <t>LA VICTORIA</t>
        </is>
      </c>
      <c r="AQ633" s="75" t="n">
        <v>46052</v>
      </c>
      <c r="AR633" s="75" t="n">
        <v>46021</v>
      </c>
      <c r="AS633" t="inlineStr">
        <is>
          <t>SALDO FINANCIAR</t>
        </is>
      </c>
      <c r="AT633" t="n">
        <v>5</v>
      </c>
      <c r="AU633" t="n">
        <v>6000</v>
      </c>
      <c r="AV633" t="n">
        <v>0</v>
      </c>
      <c r="AW633" t="n">
        <v>0</v>
      </c>
      <c r="AX633" s="39" t="n">
        <v>6000</v>
      </c>
      <c r="AY633" s="39" t="n">
        <v>6000</v>
      </c>
      <c r="AZ633" s="39" t="n">
        <v>0</v>
      </c>
      <c r="BA633" t="n">
        <v>0</v>
      </c>
      <c r="BB633" t="inlineStr">
        <is>
          <t>Crédito Directo</t>
        </is>
      </c>
      <c r="BC633" t="inlineStr">
        <is>
          <t>Scotiabank Perú</t>
        </is>
      </c>
      <c r="BD633" t="inlineStr">
        <is>
          <t>0004071419</t>
        </is>
      </c>
      <c r="BE633" t="inlineStr">
        <is>
          <t>DEPOSITO EN CUENTA</t>
        </is>
      </c>
      <c r="BG633" t="inlineStr">
        <is>
          <t>U28949</t>
        </is>
      </c>
      <c r="BH633" t="inlineStr">
        <is>
          <t>No</t>
        </is>
      </c>
      <c r="BJ633" t="n">
        <v>4</v>
      </c>
      <c r="BK633" t="inlineStr">
        <is>
          <t>CANCELADO</t>
        </is>
      </c>
      <c r="BV633" t="inlineStr">
        <is>
          <t>Si</t>
        </is>
      </c>
      <c r="BW633" s="76" t="n">
        <v>45857.51944444444</v>
      </c>
      <c r="BX633" t="inlineStr">
        <is>
          <t>Magaly Guevara Perez</t>
        </is>
      </c>
      <c r="BZ633" t="n">
        <v>11</v>
      </c>
      <c r="CA633" t="inlineStr">
        <is>
          <t>19/08/2026 08:43</t>
        </is>
      </c>
      <c r="CB633" t="n">
        <v>0</v>
      </c>
      <c r="CF633" t="inlineStr">
        <is>
          <t>Cobranzas_2026.csv</t>
        </is>
      </c>
      <c r="CG633" t="n">
        <v>2026</v>
      </c>
      <c r="CH633" t="inlineStr">
        <is>
          <t>01/01/2024</t>
        </is>
      </c>
      <c r="CI633" t="inlineStr">
        <is>
          <t>24/08/2031</t>
        </is>
      </c>
    </row>
    <row r="634">
      <c r="A634" t="inlineStr">
        <is>
          <t>RESIDENCIAL VENECIA</t>
        </is>
      </c>
      <c r="B634" t="inlineStr">
        <is>
          <t>Etapa 1</t>
        </is>
      </c>
      <c r="C634" t="inlineStr">
        <is>
          <t>Edificio</t>
        </is>
      </c>
      <c r="D634" t="inlineStr">
        <is>
          <t>A</t>
        </is>
      </c>
      <c r="E634" t="inlineStr">
        <is>
          <t>Departamento</t>
        </is>
      </c>
      <c r="F634" t="inlineStr">
        <is>
          <t>601</t>
        </is>
      </c>
      <c r="G634" t="n">
        <v>78</v>
      </c>
      <c r="H634" t="n">
        <v>0</v>
      </c>
      <c r="I634" s="39" t="n">
        <v>545000</v>
      </c>
      <c r="J634" s="39" t="n">
        <v>545000</v>
      </c>
      <c r="K634" t="inlineStr">
        <is>
          <t>Edificio</t>
        </is>
      </c>
      <c r="L634" t="inlineStr">
        <is>
          <t>A</t>
        </is>
      </c>
      <c r="M634" t="inlineStr">
        <is>
          <t>Estacionamiento</t>
        </is>
      </c>
      <c r="N634" t="inlineStr">
        <is>
          <t>E 11</t>
        </is>
      </c>
      <c r="O634" t="n">
        <v>14.25</v>
      </c>
      <c r="P634" t="n">
        <v>0</v>
      </c>
      <c r="Q634" s="39" t="n">
        <v>50800</v>
      </c>
      <c r="R634" s="39" t="n">
        <v>50800</v>
      </c>
      <c r="Y634" s="39" t="n"/>
      <c r="Z634" s="39" t="n"/>
      <c r="AG634" s="39" t="n"/>
      <c r="AH634" s="39" t="n"/>
      <c r="AI634" t="inlineStr">
        <is>
          <t>Norma Luz Tello Contreras</t>
        </is>
      </c>
      <c r="AJ634" t="inlineStr">
        <is>
          <t>04063971</t>
        </is>
      </c>
      <c r="AK634" t="inlineStr">
        <is>
          <t>Av. Militar 1745 - Dpto. 1202</t>
        </is>
      </c>
      <c r="AL634" t="n">
        <v>0</v>
      </c>
      <c r="AM634" t="inlineStr">
        <is>
          <t>952305311</t>
        </is>
      </c>
      <c r="AN634" t="inlineStr">
        <is>
          <t>normatello@gmail.com</t>
        </is>
      </c>
      <c r="AO634" t="inlineStr">
        <is>
          <t>LIMA</t>
        </is>
      </c>
      <c r="AP634" t="inlineStr">
        <is>
          <t>LA VICTORIA</t>
        </is>
      </c>
      <c r="AQ634" s="75" t="n">
        <v>46081</v>
      </c>
      <c r="AR634" s="75" t="n">
        <v>46050</v>
      </c>
      <c r="AS634" t="inlineStr">
        <is>
          <t>SALDO FINANCIAR</t>
        </is>
      </c>
      <c r="AT634" t="n">
        <v>6</v>
      </c>
      <c r="AU634" t="n">
        <v>6000</v>
      </c>
      <c r="AV634" t="n">
        <v>0</v>
      </c>
      <c r="AW634" t="n">
        <v>0</v>
      </c>
      <c r="AX634" s="39" t="n">
        <v>6000</v>
      </c>
      <c r="AY634" s="39" t="n">
        <v>6000</v>
      </c>
      <c r="AZ634" s="39" t="n">
        <v>0</v>
      </c>
      <c r="BA634" t="n">
        <v>0</v>
      </c>
      <c r="BB634" t="inlineStr">
        <is>
          <t>Crédito Directo</t>
        </is>
      </c>
      <c r="BC634" t="inlineStr">
        <is>
          <t>Scotiabank Perú</t>
        </is>
      </c>
      <c r="BD634" t="inlineStr">
        <is>
          <t>0004071419</t>
        </is>
      </c>
      <c r="BE634" t="inlineStr">
        <is>
          <t>DEPOSITO EN CUENTA</t>
        </is>
      </c>
      <c r="BG634" t="inlineStr">
        <is>
          <t>U100694</t>
        </is>
      </c>
      <c r="BH634" t="inlineStr">
        <is>
          <t>No</t>
        </is>
      </c>
      <c r="BJ634" t="n">
        <v>4</v>
      </c>
      <c r="BK634" t="inlineStr">
        <is>
          <t>CANCELADO</t>
        </is>
      </c>
      <c r="BV634" t="inlineStr">
        <is>
          <t>Si</t>
        </is>
      </c>
      <c r="BW634" s="76" t="n">
        <v>45857.51944444444</v>
      </c>
      <c r="BX634" t="inlineStr">
        <is>
          <t>Magaly Guevara Perez</t>
        </is>
      </c>
      <c r="BZ634" t="n">
        <v>11</v>
      </c>
      <c r="CA634" t="inlineStr">
        <is>
          <t>19/08/2026 08:44</t>
        </is>
      </c>
      <c r="CB634" t="n">
        <v>0</v>
      </c>
      <c r="CF634" t="inlineStr">
        <is>
          <t>Cobranzas_2026.csv</t>
        </is>
      </c>
      <c r="CG634" t="n">
        <v>2026</v>
      </c>
      <c r="CH634" t="inlineStr">
        <is>
          <t>01/01/2024</t>
        </is>
      </c>
      <c r="CI634" t="inlineStr">
        <is>
          <t>24/08/2031</t>
        </is>
      </c>
    </row>
    <row r="635">
      <c r="A635" t="inlineStr">
        <is>
          <t>RESIDENCIAL VENECIA</t>
        </is>
      </c>
      <c r="B635" t="inlineStr">
        <is>
          <t>Etapa 1</t>
        </is>
      </c>
      <c r="C635" t="inlineStr">
        <is>
          <t>Edificio</t>
        </is>
      </c>
      <c r="D635" t="inlineStr">
        <is>
          <t>A</t>
        </is>
      </c>
      <c r="E635" t="inlineStr">
        <is>
          <t>Departamento</t>
        </is>
      </c>
      <c r="F635" t="inlineStr">
        <is>
          <t>601</t>
        </is>
      </c>
      <c r="G635" t="n">
        <v>78</v>
      </c>
      <c r="H635" t="n">
        <v>0</v>
      </c>
      <c r="I635" s="39" t="n">
        <v>545000</v>
      </c>
      <c r="J635" s="39" t="n">
        <v>545000</v>
      </c>
      <c r="K635" t="inlineStr">
        <is>
          <t>Edificio</t>
        </is>
      </c>
      <c r="L635" t="inlineStr">
        <is>
          <t>A</t>
        </is>
      </c>
      <c r="M635" t="inlineStr">
        <is>
          <t>Estacionamiento</t>
        </is>
      </c>
      <c r="N635" t="inlineStr">
        <is>
          <t>E 11</t>
        </is>
      </c>
      <c r="O635" t="n">
        <v>14.25</v>
      </c>
      <c r="P635" t="n">
        <v>0</v>
      </c>
      <c r="Q635" s="39" t="n">
        <v>50800</v>
      </c>
      <c r="R635" s="39" t="n">
        <v>50800</v>
      </c>
      <c r="Y635" s="39" t="n"/>
      <c r="Z635" s="39" t="n"/>
      <c r="AG635" s="39" t="n"/>
      <c r="AH635" s="39" t="n"/>
      <c r="AI635" t="inlineStr">
        <is>
          <t>Norma Luz Tello Contreras</t>
        </is>
      </c>
      <c r="AJ635" t="inlineStr">
        <is>
          <t>04063971</t>
        </is>
      </c>
      <c r="AK635" t="inlineStr">
        <is>
          <t>Av. Militar 1745 - Dpto. 1202</t>
        </is>
      </c>
      <c r="AL635" t="n">
        <v>0</v>
      </c>
      <c r="AM635" t="inlineStr">
        <is>
          <t>952305311</t>
        </is>
      </c>
      <c r="AN635" t="inlineStr">
        <is>
          <t>normatello@gmail.com</t>
        </is>
      </c>
      <c r="AO635" t="inlineStr">
        <is>
          <t>LIMA</t>
        </is>
      </c>
      <c r="AP635" t="inlineStr">
        <is>
          <t>LA VICTORIA</t>
        </is>
      </c>
      <c r="AQ635" s="75" t="n">
        <v>46111</v>
      </c>
      <c r="AR635" s="75" t="n"/>
      <c r="AS635" t="inlineStr">
        <is>
          <t>SALDO FINANCIAR</t>
        </is>
      </c>
      <c r="AT635" t="n">
        <v>7</v>
      </c>
      <c r="AU635" t="n">
        <v>6000</v>
      </c>
      <c r="AV635" t="n">
        <v>0</v>
      </c>
      <c r="AW635" t="n">
        <v>0</v>
      </c>
      <c r="AX635" s="39" t="n">
        <v>6000</v>
      </c>
      <c r="AY635" s="39" t="n">
        <v>0</v>
      </c>
      <c r="AZ635" s="39" t="n">
        <v>6000</v>
      </c>
      <c r="BB635" t="inlineStr">
        <is>
          <t>Crédito Directo</t>
        </is>
      </c>
      <c r="BH635" t="inlineStr">
        <is>
          <t>No</t>
        </is>
      </c>
      <c r="BK635" t="inlineStr">
        <is>
          <t>VENCIDO</t>
        </is>
      </c>
      <c r="BV635" t="inlineStr">
        <is>
          <t>No</t>
        </is>
      </c>
      <c r="BW635" s="76" t="n">
        <v>45857.51944444444</v>
      </c>
      <c r="BX635" t="inlineStr">
        <is>
          <t>Magaly Guevara Perez</t>
        </is>
      </c>
      <c r="BZ635" t="n">
        <v>11</v>
      </c>
      <c r="CB635" t="n">
        <v>0</v>
      </c>
      <c r="CF635" t="inlineStr">
        <is>
          <t>Cobranzas_2026.csv</t>
        </is>
      </c>
      <c r="CG635" t="n">
        <v>2026</v>
      </c>
      <c r="CH635" t="inlineStr">
        <is>
          <t>01/01/2024</t>
        </is>
      </c>
      <c r="CI635" t="inlineStr">
        <is>
          <t>24/08/2031</t>
        </is>
      </c>
    </row>
    <row r="636">
      <c r="A636" t="inlineStr">
        <is>
          <t>RESIDENCIAL VENECIA</t>
        </is>
      </c>
      <c r="B636" t="inlineStr">
        <is>
          <t>Etapa 1</t>
        </is>
      </c>
      <c r="C636" t="inlineStr">
        <is>
          <t>Edificio</t>
        </is>
      </c>
      <c r="D636" t="inlineStr">
        <is>
          <t>A</t>
        </is>
      </c>
      <c r="E636" t="inlineStr">
        <is>
          <t>Departamento</t>
        </is>
      </c>
      <c r="F636" t="inlineStr">
        <is>
          <t>601</t>
        </is>
      </c>
      <c r="G636" t="n">
        <v>78</v>
      </c>
      <c r="H636" t="n">
        <v>0</v>
      </c>
      <c r="I636" s="39" t="n">
        <v>545000</v>
      </c>
      <c r="J636" s="39" t="n">
        <v>545000</v>
      </c>
      <c r="K636" t="inlineStr">
        <is>
          <t>Edificio</t>
        </is>
      </c>
      <c r="L636" t="inlineStr">
        <is>
          <t>A</t>
        </is>
      </c>
      <c r="M636" t="inlineStr">
        <is>
          <t>Estacionamiento</t>
        </is>
      </c>
      <c r="N636" t="inlineStr">
        <is>
          <t>E 11</t>
        </is>
      </c>
      <c r="O636" t="n">
        <v>14.25</v>
      </c>
      <c r="P636" t="n">
        <v>0</v>
      </c>
      <c r="Q636" s="39" t="n">
        <v>50800</v>
      </c>
      <c r="R636" s="39" t="n">
        <v>50800</v>
      </c>
      <c r="Y636" s="39" t="n"/>
      <c r="Z636" s="39" t="n"/>
      <c r="AG636" s="39" t="n"/>
      <c r="AH636" s="39" t="n"/>
      <c r="AI636" t="inlineStr">
        <is>
          <t>Norma Luz Tello Contreras</t>
        </is>
      </c>
      <c r="AJ636" t="inlineStr">
        <is>
          <t>04063971</t>
        </is>
      </c>
      <c r="AK636" t="inlineStr">
        <is>
          <t>Av. Militar 1745 - Dpto. 1202</t>
        </is>
      </c>
      <c r="AL636" t="n">
        <v>0</v>
      </c>
      <c r="AM636" t="inlineStr">
        <is>
          <t>952305311</t>
        </is>
      </c>
      <c r="AN636" t="inlineStr">
        <is>
          <t>normatello@gmail.com</t>
        </is>
      </c>
      <c r="AO636" t="inlineStr">
        <is>
          <t>LIMA</t>
        </is>
      </c>
      <c r="AP636" t="inlineStr">
        <is>
          <t>LA VICTORIA</t>
        </is>
      </c>
      <c r="AQ636" s="75" t="n">
        <v>46142</v>
      </c>
      <c r="AR636" s="75" t="n"/>
      <c r="AS636" t="inlineStr">
        <is>
          <t>SALDO FINANCIAR</t>
        </is>
      </c>
      <c r="AT636" t="n">
        <v>8</v>
      </c>
      <c r="AU636" t="n">
        <v>6000</v>
      </c>
      <c r="AV636" t="n">
        <v>0</v>
      </c>
      <c r="AW636" t="n">
        <v>0</v>
      </c>
      <c r="AX636" s="39" t="n">
        <v>6000</v>
      </c>
      <c r="AY636" s="39" t="n">
        <v>0</v>
      </c>
      <c r="AZ636" s="39" t="n">
        <v>6000</v>
      </c>
      <c r="BB636" t="inlineStr">
        <is>
          <t>Crédito Directo</t>
        </is>
      </c>
      <c r="BH636" t="inlineStr">
        <is>
          <t>No</t>
        </is>
      </c>
      <c r="BK636" t="inlineStr">
        <is>
          <t>VENCIDO</t>
        </is>
      </c>
      <c r="BV636" t="inlineStr">
        <is>
          <t>No</t>
        </is>
      </c>
      <c r="BW636" s="76" t="n">
        <v>45857.51944444444</v>
      </c>
      <c r="BX636" t="inlineStr">
        <is>
          <t>Magaly Guevara Perez</t>
        </is>
      </c>
      <c r="BZ636" t="n">
        <v>11</v>
      </c>
      <c r="CB636" t="n">
        <v>0</v>
      </c>
      <c r="CF636" t="inlineStr">
        <is>
          <t>Cobranzas_2026.csv</t>
        </is>
      </c>
      <c r="CG636" t="n">
        <v>2026</v>
      </c>
      <c r="CH636" t="inlineStr">
        <is>
          <t>01/01/2024</t>
        </is>
      </c>
      <c r="CI636" t="inlineStr">
        <is>
          <t>24/08/2031</t>
        </is>
      </c>
    </row>
    <row r="637">
      <c r="A637" t="inlineStr">
        <is>
          <t>RESIDENCIAL VENECIA</t>
        </is>
      </c>
      <c r="B637" t="inlineStr">
        <is>
          <t>Etapa 1</t>
        </is>
      </c>
      <c r="C637" t="inlineStr">
        <is>
          <t>Edificio</t>
        </is>
      </c>
      <c r="D637" t="inlineStr">
        <is>
          <t>A</t>
        </is>
      </c>
      <c r="E637" t="inlineStr">
        <is>
          <t>Departamento</t>
        </is>
      </c>
      <c r="F637" t="inlineStr">
        <is>
          <t>601</t>
        </is>
      </c>
      <c r="G637" t="n">
        <v>78</v>
      </c>
      <c r="H637" t="n">
        <v>0</v>
      </c>
      <c r="I637" s="39" t="n">
        <v>545000</v>
      </c>
      <c r="J637" s="39" t="n">
        <v>545000</v>
      </c>
      <c r="K637" t="inlineStr">
        <is>
          <t>Edificio</t>
        </is>
      </c>
      <c r="L637" t="inlineStr">
        <is>
          <t>A</t>
        </is>
      </c>
      <c r="M637" t="inlineStr">
        <is>
          <t>Estacionamiento</t>
        </is>
      </c>
      <c r="N637" t="inlineStr">
        <is>
          <t>E 11</t>
        </is>
      </c>
      <c r="O637" t="n">
        <v>14.25</v>
      </c>
      <c r="P637" t="n">
        <v>0</v>
      </c>
      <c r="Q637" s="39" t="n">
        <v>50800</v>
      </c>
      <c r="R637" s="39" t="n">
        <v>50800</v>
      </c>
      <c r="Y637" s="39" t="n"/>
      <c r="Z637" s="39" t="n"/>
      <c r="AG637" s="39" t="n"/>
      <c r="AH637" s="39" t="n"/>
      <c r="AI637" t="inlineStr">
        <is>
          <t>Norma Luz Tello Contreras</t>
        </is>
      </c>
      <c r="AJ637" t="inlineStr">
        <is>
          <t>04063971</t>
        </is>
      </c>
      <c r="AK637" t="inlineStr">
        <is>
          <t>Av. Militar 1745 - Dpto. 1202</t>
        </is>
      </c>
      <c r="AL637" t="n">
        <v>0</v>
      </c>
      <c r="AM637" t="inlineStr">
        <is>
          <t>952305311</t>
        </is>
      </c>
      <c r="AN637" t="inlineStr">
        <is>
          <t>normatello@gmail.com</t>
        </is>
      </c>
      <c r="AO637" t="inlineStr">
        <is>
          <t>LIMA</t>
        </is>
      </c>
      <c r="AP637" t="inlineStr">
        <is>
          <t>LA VICTORIA</t>
        </is>
      </c>
      <c r="AQ637" s="75" t="n">
        <v>46172</v>
      </c>
      <c r="AR637" s="75" t="n"/>
      <c r="AS637" t="inlineStr">
        <is>
          <t>SALDO FINANCIAR</t>
        </is>
      </c>
      <c r="AT637" t="n">
        <v>9</v>
      </c>
      <c r="AU637" t="n">
        <v>6000</v>
      </c>
      <c r="AV637" t="n">
        <v>0</v>
      </c>
      <c r="AW637" t="n">
        <v>0</v>
      </c>
      <c r="AX637" s="39" t="n">
        <v>6000</v>
      </c>
      <c r="AY637" s="39" t="n">
        <v>0</v>
      </c>
      <c r="AZ637" s="39" t="n">
        <v>6000</v>
      </c>
      <c r="BB637" t="inlineStr">
        <is>
          <t>Crédito Directo</t>
        </is>
      </c>
      <c r="BH637" t="inlineStr">
        <is>
          <t>No</t>
        </is>
      </c>
      <c r="BK637" t="inlineStr">
        <is>
          <t>VENCIDO</t>
        </is>
      </c>
      <c r="BV637" t="inlineStr">
        <is>
          <t>No</t>
        </is>
      </c>
      <c r="BW637" s="76" t="n">
        <v>45857.51944444444</v>
      </c>
      <c r="BX637" t="inlineStr">
        <is>
          <t>Magaly Guevara Perez</t>
        </is>
      </c>
      <c r="BZ637" t="n">
        <v>11</v>
      </c>
      <c r="CB637" t="n">
        <v>0</v>
      </c>
      <c r="CF637" t="inlineStr">
        <is>
          <t>Cobranzas_2026.csv</t>
        </is>
      </c>
      <c r="CG637" t="n">
        <v>2026</v>
      </c>
      <c r="CH637" t="inlineStr">
        <is>
          <t>01/01/2024</t>
        </is>
      </c>
      <c r="CI637" t="inlineStr">
        <is>
          <t>24/08/2031</t>
        </is>
      </c>
    </row>
    <row r="638">
      <c r="A638" t="inlineStr">
        <is>
          <t>RESIDENCIAL VENECIA</t>
        </is>
      </c>
      <c r="B638" t="inlineStr">
        <is>
          <t>Etapa 1</t>
        </is>
      </c>
      <c r="C638" t="inlineStr">
        <is>
          <t>Edificio</t>
        </is>
      </c>
      <c r="D638" t="inlineStr">
        <is>
          <t>A</t>
        </is>
      </c>
      <c r="E638" t="inlineStr">
        <is>
          <t>Departamento</t>
        </is>
      </c>
      <c r="F638" t="inlineStr">
        <is>
          <t>601</t>
        </is>
      </c>
      <c r="G638" t="n">
        <v>78</v>
      </c>
      <c r="H638" t="n">
        <v>0</v>
      </c>
      <c r="I638" s="39" t="n">
        <v>545000</v>
      </c>
      <c r="J638" s="39" t="n">
        <v>545000</v>
      </c>
      <c r="K638" t="inlineStr">
        <is>
          <t>Edificio</t>
        </is>
      </c>
      <c r="L638" t="inlineStr">
        <is>
          <t>A</t>
        </is>
      </c>
      <c r="M638" t="inlineStr">
        <is>
          <t>Estacionamiento</t>
        </is>
      </c>
      <c r="N638" t="inlineStr">
        <is>
          <t>E 11</t>
        </is>
      </c>
      <c r="O638" t="n">
        <v>14.25</v>
      </c>
      <c r="P638" t="n">
        <v>0</v>
      </c>
      <c r="Q638" s="39" t="n">
        <v>50800</v>
      </c>
      <c r="R638" s="39" t="n">
        <v>50800</v>
      </c>
      <c r="Y638" s="39" t="n"/>
      <c r="Z638" s="39" t="n"/>
      <c r="AG638" s="39" t="n"/>
      <c r="AH638" s="39" t="n"/>
      <c r="AI638" t="inlineStr">
        <is>
          <t>Norma Luz Tello Contreras</t>
        </is>
      </c>
      <c r="AJ638" t="inlineStr">
        <is>
          <t>04063971</t>
        </is>
      </c>
      <c r="AK638" t="inlineStr">
        <is>
          <t>Av. Militar 1745 - Dpto. 1202</t>
        </is>
      </c>
      <c r="AL638" t="n">
        <v>0</v>
      </c>
      <c r="AM638" t="inlineStr">
        <is>
          <t>952305311</t>
        </is>
      </c>
      <c r="AN638" t="inlineStr">
        <is>
          <t>normatello@gmail.com</t>
        </is>
      </c>
      <c r="AO638" t="inlineStr">
        <is>
          <t>LIMA</t>
        </is>
      </c>
      <c r="AP638" t="inlineStr">
        <is>
          <t>LA VICTORIA</t>
        </is>
      </c>
      <c r="AQ638" s="75" t="n">
        <v>46203</v>
      </c>
      <c r="AR638" s="75" t="n"/>
      <c r="AS638" t="inlineStr">
        <is>
          <t>SALDO FINANCIAR</t>
        </is>
      </c>
      <c r="AT638" t="n">
        <v>10</v>
      </c>
      <c r="AU638" t="n">
        <v>6000</v>
      </c>
      <c r="AV638" t="n">
        <v>0</v>
      </c>
      <c r="AW638" t="n">
        <v>0</v>
      </c>
      <c r="AX638" s="39" t="n">
        <v>6000</v>
      </c>
      <c r="AY638" s="39" t="n">
        <v>0</v>
      </c>
      <c r="AZ638" s="39" t="n">
        <v>6000</v>
      </c>
      <c r="BB638" t="inlineStr">
        <is>
          <t>Crédito Directo</t>
        </is>
      </c>
      <c r="BH638" t="inlineStr">
        <is>
          <t>No</t>
        </is>
      </c>
      <c r="BK638" t="inlineStr">
        <is>
          <t>VENCIDO</t>
        </is>
      </c>
      <c r="BV638" t="inlineStr">
        <is>
          <t>No</t>
        </is>
      </c>
      <c r="BW638" s="76" t="n">
        <v>45857.51944444444</v>
      </c>
      <c r="BX638" t="inlineStr">
        <is>
          <t>Magaly Guevara Perez</t>
        </is>
      </c>
      <c r="BZ638" t="n">
        <v>11</v>
      </c>
      <c r="CB638" t="n">
        <v>0</v>
      </c>
      <c r="CF638" t="inlineStr">
        <is>
          <t>Cobranzas_2026.csv</t>
        </is>
      </c>
      <c r="CG638" t="n">
        <v>2026</v>
      </c>
      <c r="CH638" t="inlineStr">
        <is>
          <t>01/01/2024</t>
        </is>
      </c>
      <c r="CI638" t="inlineStr">
        <is>
          <t>24/08/2031</t>
        </is>
      </c>
    </row>
    <row r="639">
      <c r="A639" t="inlineStr">
        <is>
          <t>RESIDENCIAL VENECIA</t>
        </is>
      </c>
      <c r="B639" t="inlineStr">
        <is>
          <t>Etapa 1</t>
        </is>
      </c>
      <c r="C639" t="inlineStr">
        <is>
          <t>Edificio</t>
        </is>
      </c>
      <c r="D639" t="inlineStr">
        <is>
          <t>A</t>
        </is>
      </c>
      <c r="E639" t="inlineStr">
        <is>
          <t>Departamento</t>
        </is>
      </c>
      <c r="F639" t="inlineStr">
        <is>
          <t>601</t>
        </is>
      </c>
      <c r="G639" t="n">
        <v>78</v>
      </c>
      <c r="H639" t="n">
        <v>0</v>
      </c>
      <c r="I639" s="39" t="n">
        <v>545000</v>
      </c>
      <c r="J639" s="39" t="n">
        <v>545000</v>
      </c>
      <c r="K639" t="inlineStr">
        <is>
          <t>Edificio</t>
        </is>
      </c>
      <c r="L639" t="inlineStr">
        <is>
          <t>A</t>
        </is>
      </c>
      <c r="M639" t="inlineStr">
        <is>
          <t>Estacionamiento</t>
        </is>
      </c>
      <c r="N639" t="inlineStr">
        <is>
          <t>E 11</t>
        </is>
      </c>
      <c r="O639" t="n">
        <v>14.25</v>
      </c>
      <c r="P639" t="n">
        <v>0</v>
      </c>
      <c r="Q639" s="39" t="n">
        <v>50800</v>
      </c>
      <c r="R639" s="39" t="n">
        <v>50800</v>
      </c>
      <c r="Y639" s="39" t="n"/>
      <c r="Z639" s="39" t="n"/>
      <c r="AG639" s="39" t="n"/>
      <c r="AH639" s="39" t="n"/>
      <c r="AI639" t="inlineStr">
        <is>
          <t>Norma Luz Tello Contreras</t>
        </is>
      </c>
      <c r="AJ639" t="inlineStr">
        <is>
          <t>04063971</t>
        </is>
      </c>
      <c r="AK639" t="inlineStr">
        <is>
          <t>Av. Militar 1745 - Dpto. 1202</t>
        </is>
      </c>
      <c r="AL639" t="n">
        <v>0</v>
      </c>
      <c r="AM639" t="inlineStr">
        <is>
          <t>952305311</t>
        </is>
      </c>
      <c r="AN639" t="inlineStr">
        <is>
          <t>normatello@gmail.com</t>
        </is>
      </c>
      <c r="AO639" t="inlineStr">
        <is>
          <t>LIMA</t>
        </is>
      </c>
      <c r="AP639" t="inlineStr">
        <is>
          <t>LA VICTORIA</t>
        </is>
      </c>
      <c r="AQ639" s="75" t="n">
        <v>46233</v>
      </c>
      <c r="AR639" s="75" t="n"/>
      <c r="AS639" t="inlineStr">
        <is>
          <t>SALDO FINANCIAR</t>
        </is>
      </c>
      <c r="AT639" t="n">
        <v>11</v>
      </c>
      <c r="AU639" t="n">
        <v>6000</v>
      </c>
      <c r="AV639" t="n">
        <v>0</v>
      </c>
      <c r="AW639" t="n">
        <v>0</v>
      </c>
      <c r="AX639" s="39" t="n">
        <v>6000</v>
      </c>
      <c r="AY639" s="39" t="n">
        <v>0</v>
      </c>
      <c r="AZ639" s="39" t="n">
        <v>6000</v>
      </c>
      <c r="BB639" t="inlineStr">
        <is>
          <t>Crédito Directo</t>
        </is>
      </c>
      <c r="BH639" t="inlineStr">
        <is>
          <t>No</t>
        </is>
      </c>
      <c r="BK639" t="inlineStr">
        <is>
          <t>VENCIDO</t>
        </is>
      </c>
      <c r="BV639" t="inlineStr">
        <is>
          <t>No</t>
        </is>
      </c>
      <c r="BW639" s="76" t="n">
        <v>45857.51944444444</v>
      </c>
      <c r="BX639" t="inlineStr">
        <is>
          <t>Magaly Guevara Perez</t>
        </is>
      </c>
      <c r="BZ639" t="n">
        <v>11</v>
      </c>
      <c r="CB639" t="n">
        <v>0</v>
      </c>
      <c r="CF639" t="inlineStr">
        <is>
          <t>Cobranzas_2026.csv</t>
        </is>
      </c>
      <c r="CG639" t="n">
        <v>2026</v>
      </c>
      <c r="CH639" t="inlineStr">
        <is>
          <t>01/01/2024</t>
        </is>
      </c>
      <c r="CI639" t="inlineStr">
        <is>
          <t>24/08/2031</t>
        </is>
      </c>
    </row>
    <row r="640">
      <c r="A640" t="inlineStr">
        <is>
          <t>RESIDENCIAL VENECIA</t>
        </is>
      </c>
      <c r="B640" t="inlineStr">
        <is>
          <t>Etapa 1</t>
        </is>
      </c>
      <c r="C640" t="inlineStr">
        <is>
          <t>Edificio</t>
        </is>
      </c>
      <c r="D640" t="inlineStr">
        <is>
          <t>A</t>
        </is>
      </c>
      <c r="E640" t="inlineStr">
        <is>
          <t>Departamento</t>
        </is>
      </c>
      <c r="F640" t="inlineStr">
        <is>
          <t>601</t>
        </is>
      </c>
      <c r="G640" t="n">
        <v>78</v>
      </c>
      <c r="H640" t="n">
        <v>0</v>
      </c>
      <c r="I640" s="39" t="n">
        <v>545000</v>
      </c>
      <c r="J640" s="39" t="n">
        <v>545000</v>
      </c>
      <c r="K640" t="inlineStr">
        <is>
          <t>Edificio</t>
        </is>
      </c>
      <c r="L640" t="inlineStr">
        <is>
          <t>A</t>
        </is>
      </c>
      <c r="M640" t="inlineStr">
        <is>
          <t>Estacionamiento</t>
        </is>
      </c>
      <c r="N640" t="inlineStr">
        <is>
          <t>E 11</t>
        </is>
      </c>
      <c r="O640" t="n">
        <v>14.25</v>
      </c>
      <c r="P640" t="n">
        <v>0</v>
      </c>
      <c r="Q640" s="39" t="n">
        <v>50800</v>
      </c>
      <c r="R640" s="39" t="n">
        <v>50800</v>
      </c>
      <c r="Y640" s="39" t="n"/>
      <c r="Z640" s="39" t="n"/>
      <c r="AG640" s="39" t="n"/>
      <c r="AH640" s="39" t="n"/>
      <c r="AI640" t="inlineStr">
        <is>
          <t>Norma Luz Tello Contreras</t>
        </is>
      </c>
      <c r="AJ640" t="inlineStr">
        <is>
          <t>04063971</t>
        </is>
      </c>
      <c r="AK640" t="inlineStr">
        <is>
          <t>Av. Militar 1745 - Dpto. 1202</t>
        </is>
      </c>
      <c r="AL640" t="n">
        <v>0</v>
      </c>
      <c r="AM640" t="inlineStr">
        <is>
          <t>952305311</t>
        </is>
      </c>
      <c r="AN640" t="inlineStr">
        <is>
          <t>normatello@gmail.com</t>
        </is>
      </c>
      <c r="AO640" t="inlineStr">
        <is>
          <t>LIMA</t>
        </is>
      </c>
      <c r="AP640" t="inlineStr">
        <is>
          <t>LA VICTORIA</t>
        </is>
      </c>
      <c r="AQ640" s="75" t="n">
        <v>46264</v>
      </c>
      <c r="AR640" s="75" t="n"/>
      <c r="AS640" t="inlineStr">
        <is>
          <t>SALDO FINANCIAR</t>
        </is>
      </c>
      <c r="AT640" t="n">
        <v>12</v>
      </c>
      <c r="AU640" t="n">
        <v>6000</v>
      </c>
      <c r="AV640" t="n">
        <v>0</v>
      </c>
      <c r="AW640" t="n">
        <v>0</v>
      </c>
      <c r="AX640" s="39" t="n">
        <v>6000</v>
      </c>
      <c r="AY640" s="39" t="n">
        <v>0</v>
      </c>
      <c r="AZ640" s="39" t="n">
        <v>6000</v>
      </c>
      <c r="BB640" t="inlineStr">
        <is>
          <t>Crédito Directo</t>
        </is>
      </c>
      <c r="BH640" t="inlineStr">
        <is>
          <t>No</t>
        </is>
      </c>
      <c r="BK640" t="inlineStr">
        <is>
          <t>PENDIENTE</t>
        </is>
      </c>
      <c r="BV640" t="inlineStr">
        <is>
          <t>No</t>
        </is>
      </c>
      <c r="BW640" s="76" t="n">
        <v>45857.51944444444</v>
      </c>
      <c r="BX640" t="inlineStr">
        <is>
          <t>Magaly Guevara Perez</t>
        </is>
      </c>
      <c r="BZ640" t="n">
        <v>11</v>
      </c>
      <c r="CB640" t="n">
        <v>0</v>
      </c>
      <c r="CF640" t="inlineStr">
        <is>
          <t>Cobranzas_2026.csv</t>
        </is>
      </c>
      <c r="CG640" t="n">
        <v>2026</v>
      </c>
      <c r="CH640" t="inlineStr">
        <is>
          <t>01/01/2024</t>
        </is>
      </c>
      <c r="CI640" t="inlineStr">
        <is>
          <t>24/08/2031</t>
        </is>
      </c>
    </row>
    <row r="641">
      <c r="A641" t="inlineStr">
        <is>
          <t>RESIDENCIAL VENECIA</t>
        </is>
      </c>
      <c r="B641" t="inlineStr">
        <is>
          <t>Etapa 1</t>
        </is>
      </c>
      <c r="C641" t="inlineStr">
        <is>
          <t>Edificio</t>
        </is>
      </c>
      <c r="D641" t="inlineStr">
        <is>
          <t>A</t>
        </is>
      </c>
      <c r="E641" t="inlineStr">
        <is>
          <t>Departamento</t>
        </is>
      </c>
      <c r="F641" t="inlineStr">
        <is>
          <t>601</t>
        </is>
      </c>
      <c r="G641" t="n">
        <v>78</v>
      </c>
      <c r="H641" t="n">
        <v>0</v>
      </c>
      <c r="I641" s="39" t="n">
        <v>545000</v>
      </c>
      <c r="J641" s="39" t="n">
        <v>545000</v>
      </c>
      <c r="K641" t="inlineStr">
        <is>
          <t>Edificio</t>
        </is>
      </c>
      <c r="L641" t="inlineStr">
        <is>
          <t>A</t>
        </is>
      </c>
      <c r="M641" t="inlineStr">
        <is>
          <t>Estacionamiento</t>
        </is>
      </c>
      <c r="N641" t="inlineStr">
        <is>
          <t>E 11</t>
        </is>
      </c>
      <c r="O641" t="n">
        <v>14.25</v>
      </c>
      <c r="P641" t="n">
        <v>0</v>
      </c>
      <c r="Q641" s="39" t="n">
        <v>50800</v>
      </c>
      <c r="R641" s="39" t="n">
        <v>50800</v>
      </c>
      <c r="Y641" s="39" t="n"/>
      <c r="Z641" s="39" t="n"/>
      <c r="AG641" s="39" t="n"/>
      <c r="AH641" s="39" t="n"/>
      <c r="AI641" t="inlineStr">
        <is>
          <t>Norma Luz Tello Contreras</t>
        </is>
      </c>
      <c r="AJ641" t="inlineStr">
        <is>
          <t>04063971</t>
        </is>
      </c>
      <c r="AK641" t="inlineStr">
        <is>
          <t>Av. Militar 1745 - Dpto. 1202</t>
        </is>
      </c>
      <c r="AL641" t="n">
        <v>0</v>
      </c>
      <c r="AM641" t="inlineStr">
        <is>
          <t>952305311</t>
        </is>
      </c>
      <c r="AN641" t="inlineStr">
        <is>
          <t>normatello@gmail.com</t>
        </is>
      </c>
      <c r="AO641" t="inlineStr">
        <is>
          <t>LIMA</t>
        </is>
      </c>
      <c r="AP641" t="inlineStr">
        <is>
          <t>LA VICTORIA</t>
        </is>
      </c>
      <c r="AQ641" s="75" t="n">
        <v>46295</v>
      </c>
      <c r="AR641" s="75" t="n"/>
      <c r="AS641" t="inlineStr">
        <is>
          <t>SALDO FINANCIAR</t>
        </is>
      </c>
      <c r="AT641" t="n">
        <v>13</v>
      </c>
      <c r="AU641" t="n">
        <v>6000</v>
      </c>
      <c r="AV641" t="n">
        <v>0</v>
      </c>
      <c r="AW641" t="n">
        <v>0</v>
      </c>
      <c r="AX641" s="39" t="n">
        <v>6000</v>
      </c>
      <c r="AY641" s="39" t="n">
        <v>0</v>
      </c>
      <c r="AZ641" s="39" t="n">
        <v>6000</v>
      </c>
      <c r="BB641" t="inlineStr">
        <is>
          <t>Crédito Directo</t>
        </is>
      </c>
      <c r="BH641" t="inlineStr">
        <is>
          <t>No</t>
        </is>
      </c>
      <c r="BK641" t="inlineStr">
        <is>
          <t>PENDIENTE</t>
        </is>
      </c>
      <c r="BV641" t="inlineStr">
        <is>
          <t>No</t>
        </is>
      </c>
      <c r="BW641" s="76" t="n">
        <v>45857.51944444444</v>
      </c>
      <c r="BX641" t="inlineStr">
        <is>
          <t>Magaly Guevara Perez</t>
        </is>
      </c>
      <c r="BZ641" t="n">
        <v>11</v>
      </c>
      <c r="CB641" t="n">
        <v>0</v>
      </c>
      <c r="CF641" t="inlineStr">
        <is>
          <t>Cobranzas_2026.csv</t>
        </is>
      </c>
      <c r="CG641" t="n">
        <v>2026</v>
      </c>
      <c r="CH641" t="inlineStr">
        <is>
          <t>01/01/2024</t>
        </is>
      </c>
      <c r="CI641" t="inlineStr">
        <is>
          <t>24/08/2031</t>
        </is>
      </c>
    </row>
    <row r="642">
      <c r="A642" t="inlineStr">
        <is>
          <t>RESIDENCIAL VENECIA</t>
        </is>
      </c>
      <c r="B642" t="inlineStr">
        <is>
          <t>Etapa 1</t>
        </is>
      </c>
      <c r="C642" t="inlineStr">
        <is>
          <t>Edificio</t>
        </is>
      </c>
      <c r="D642" t="inlineStr">
        <is>
          <t>A</t>
        </is>
      </c>
      <c r="E642" t="inlineStr">
        <is>
          <t>Departamento</t>
        </is>
      </c>
      <c r="F642" t="inlineStr">
        <is>
          <t>601</t>
        </is>
      </c>
      <c r="G642" t="n">
        <v>78</v>
      </c>
      <c r="H642" t="n">
        <v>0</v>
      </c>
      <c r="I642" s="39" t="n">
        <v>545000</v>
      </c>
      <c r="J642" s="39" t="n">
        <v>545000</v>
      </c>
      <c r="K642" t="inlineStr">
        <is>
          <t>Edificio</t>
        </is>
      </c>
      <c r="L642" t="inlineStr">
        <is>
          <t>A</t>
        </is>
      </c>
      <c r="M642" t="inlineStr">
        <is>
          <t>Estacionamiento</t>
        </is>
      </c>
      <c r="N642" t="inlineStr">
        <is>
          <t>E 11</t>
        </is>
      </c>
      <c r="O642" t="n">
        <v>14.25</v>
      </c>
      <c r="P642" t="n">
        <v>0</v>
      </c>
      <c r="Q642" s="39" t="n">
        <v>50800</v>
      </c>
      <c r="R642" s="39" t="n">
        <v>50800</v>
      </c>
      <c r="Y642" s="39" t="n"/>
      <c r="Z642" s="39" t="n"/>
      <c r="AG642" s="39" t="n"/>
      <c r="AH642" s="39" t="n"/>
      <c r="AI642" t="inlineStr">
        <is>
          <t>Norma Luz Tello Contreras</t>
        </is>
      </c>
      <c r="AJ642" t="inlineStr">
        <is>
          <t>04063971</t>
        </is>
      </c>
      <c r="AK642" t="inlineStr">
        <is>
          <t>Av. Militar 1745 - Dpto. 1202</t>
        </is>
      </c>
      <c r="AL642" t="n">
        <v>0</v>
      </c>
      <c r="AM642" t="inlineStr">
        <is>
          <t>952305311</t>
        </is>
      </c>
      <c r="AN642" t="inlineStr">
        <is>
          <t>normatello@gmail.com</t>
        </is>
      </c>
      <c r="AO642" t="inlineStr">
        <is>
          <t>LIMA</t>
        </is>
      </c>
      <c r="AP642" t="inlineStr">
        <is>
          <t>LA VICTORIA</t>
        </is>
      </c>
      <c r="AQ642" s="75" t="n">
        <v>46325</v>
      </c>
      <c r="AR642" s="75" t="n"/>
      <c r="AS642" t="inlineStr">
        <is>
          <t>SALDO FINANCIAR</t>
        </is>
      </c>
      <c r="AT642" t="n">
        <v>14</v>
      </c>
      <c r="AU642" t="n">
        <v>6000</v>
      </c>
      <c r="AV642" t="n">
        <v>0</v>
      </c>
      <c r="AW642" t="n">
        <v>0</v>
      </c>
      <c r="AX642" s="39" t="n">
        <v>6000</v>
      </c>
      <c r="AY642" s="39" t="n">
        <v>0</v>
      </c>
      <c r="AZ642" s="39" t="n">
        <v>6000</v>
      </c>
      <c r="BB642" t="inlineStr">
        <is>
          <t>Crédito Directo</t>
        </is>
      </c>
      <c r="BH642" t="inlineStr">
        <is>
          <t>No</t>
        </is>
      </c>
      <c r="BK642" t="inlineStr">
        <is>
          <t>PENDIENTE</t>
        </is>
      </c>
      <c r="BV642" t="inlineStr">
        <is>
          <t>No</t>
        </is>
      </c>
      <c r="BW642" s="76" t="n">
        <v>45857.51944444444</v>
      </c>
      <c r="BX642" t="inlineStr">
        <is>
          <t>Magaly Guevara Perez</t>
        </is>
      </c>
      <c r="BZ642" t="n">
        <v>11</v>
      </c>
      <c r="CB642" t="n">
        <v>0</v>
      </c>
      <c r="CF642" t="inlineStr">
        <is>
          <t>Cobranzas_2026.csv</t>
        </is>
      </c>
      <c r="CG642" t="n">
        <v>2026</v>
      </c>
      <c r="CH642" t="inlineStr">
        <is>
          <t>01/01/2024</t>
        </is>
      </c>
      <c r="CI642" t="inlineStr">
        <is>
          <t>24/08/2031</t>
        </is>
      </c>
    </row>
    <row r="643">
      <c r="A643" t="inlineStr">
        <is>
          <t>RESIDENCIAL VENECIA</t>
        </is>
      </c>
      <c r="B643" t="inlineStr">
        <is>
          <t>Etapa 1</t>
        </is>
      </c>
      <c r="C643" t="inlineStr">
        <is>
          <t>Edificio</t>
        </is>
      </c>
      <c r="D643" t="inlineStr">
        <is>
          <t>A</t>
        </is>
      </c>
      <c r="E643" t="inlineStr">
        <is>
          <t>Departamento</t>
        </is>
      </c>
      <c r="F643" t="inlineStr">
        <is>
          <t>601</t>
        </is>
      </c>
      <c r="G643" t="n">
        <v>78</v>
      </c>
      <c r="H643" t="n">
        <v>0</v>
      </c>
      <c r="I643" s="39" t="n">
        <v>545000</v>
      </c>
      <c r="J643" s="39" t="n">
        <v>545000</v>
      </c>
      <c r="K643" t="inlineStr">
        <is>
          <t>Edificio</t>
        </is>
      </c>
      <c r="L643" t="inlineStr">
        <is>
          <t>A</t>
        </is>
      </c>
      <c r="M643" t="inlineStr">
        <is>
          <t>Estacionamiento</t>
        </is>
      </c>
      <c r="N643" t="inlineStr">
        <is>
          <t>E 11</t>
        </is>
      </c>
      <c r="O643" t="n">
        <v>14.25</v>
      </c>
      <c r="P643" t="n">
        <v>0</v>
      </c>
      <c r="Q643" s="39" t="n">
        <v>50800</v>
      </c>
      <c r="R643" s="39" t="n">
        <v>50800</v>
      </c>
      <c r="Y643" s="39" t="n"/>
      <c r="Z643" s="39" t="n"/>
      <c r="AG643" s="39" t="n"/>
      <c r="AH643" s="39" t="n"/>
      <c r="AI643" t="inlineStr">
        <is>
          <t>Norma Luz Tello Contreras</t>
        </is>
      </c>
      <c r="AJ643" t="inlineStr">
        <is>
          <t>04063971</t>
        </is>
      </c>
      <c r="AK643" t="inlineStr">
        <is>
          <t>Av. Militar 1745 - Dpto. 1202</t>
        </is>
      </c>
      <c r="AL643" t="n">
        <v>0</v>
      </c>
      <c r="AM643" t="inlineStr">
        <is>
          <t>952305311</t>
        </is>
      </c>
      <c r="AN643" t="inlineStr">
        <is>
          <t>normatello@gmail.com</t>
        </is>
      </c>
      <c r="AO643" t="inlineStr">
        <is>
          <t>LIMA</t>
        </is>
      </c>
      <c r="AP643" t="inlineStr">
        <is>
          <t>LA VICTORIA</t>
        </is>
      </c>
      <c r="AQ643" s="75" t="n">
        <v>46356</v>
      </c>
      <c r="AR643" s="75" t="n"/>
      <c r="AS643" t="inlineStr">
        <is>
          <t>SALDO FINANCIAR</t>
        </is>
      </c>
      <c r="AT643" t="n">
        <v>15</v>
      </c>
      <c r="AU643" t="n">
        <v>6000</v>
      </c>
      <c r="AV643" t="n">
        <v>0</v>
      </c>
      <c r="AW643" t="n">
        <v>0</v>
      </c>
      <c r="AX643" s="39" t="n">
        <v>6000</v>
      </c>
      <c r="AY643" s="39" t="n">
        <v>0</v>
      </c>
      <c r="AZ643" s="39" t="n">
        <v>6000</v>
      </c>
      <c r="BB643" t="inlineStr">
        <is>
          <t>Crédito Directo</t>
        </is>
      </c>
      <c r="BH643" t="inlineStr">
        <is>
          <t>No</t>
        </is>
      </c>
      <c r="BK643" t="inlineStr">
        <is>
          <t>PENDIENTE</t>
        </is>
      </c>
      <c r="BV643" t="inlineStr">
        <is>
          <t>No</t>
        </is>
      </c>
      <c r="BW643" s="76" t="n">
        <v>45857.51944444444</v>
      </c>
      <c r="BX643" t="inlineStr">
        <is>
          <t>Magaly Guevara Perez</t>
        </is>
      </c>
      <c r="BZ643" t="n">
        <v>11</v>
      </c>
      <c r="CB643" t="n">
        <v>0</v>
      </c>
      <c r="CF643" t="inlineStr">
        <is>
          <t>Cobranzas_2026.csv</t>
        </is>
      </c>
      <c r="CG643" t="n">
        <v>2026</v>
      </c>
      <c r="CH643" t="inlineStr">
        <is>
          <t>01/01/2024</t>
        </is>
      </c>
      <c r="CI643" t="inlineStr">
        <is>
          <t>24/08/2031</t>
        </is>
      </c>
    </row>
    <row r="644">
      <c r="A644" t="inlineStr">
        <is>
          <t>RESIDENCIAL VENECIA</t>
        </is>
      </c>
      <c r="B644" t="inlineStr">
        <is>
          <t>Etapa 1</t>
        </is>
      </c>
      <c r="C644" t="inlineStr">
        <is>
          <t>Edificio</t>
        </is>
      </c>
      <c r="D644" t="inlineStr">
        <is>
          <t>A</t>
        </is>
      </c>
      <c r="E644" t="inlineStr">
        <is>
          <t>Departamento</t>
        </is>
      </c>
      <c r="F644" t="inlineStr">
        <is>
          <t>601</t>
        </is>
      </c>
      <c r="G644" t="n">
        <v>78</v>
      </c>
      <c r="H644" t="n">
        <v>0</v>
      </c>
      <c r="I644" s="39" t="n">
        <v>545000</v>
      </c>
      <c r="J644" s="39" t="n">
        <v>545000</v>
      </c>
      <c r="K644" t="inlineStr">
        <is>
          <t>Edificio</t>
        </is>
      </c>
      <c r="L644" t="inlineStr">
        <is>
          <t>A</t>
        </is>
      </c>
      <c r="M644" t="inlineStr">
        <is>
          <t>Estacionamiento</t>
        </is>
      </c>
      <c r="N644" t="inlineStr">
        <is>
          <t>E 11</t>
        </is>
      </c>
      <c r="O644" t="n">
        <v>14.25</v>
      </c>
      <c r="P644" t="n">
        <v>0</v>
      </c>
      <c r="Q644" s="39" t="n">
        <v>50800</v>
      </c>
      <c r="R644" s="39" t="n">
        <v>50800</v>
      </c>
      <c r="Y644" s="39" t="n"/>
      <c r="Z644" s="39" t="n"/>
      <c r="AG644" s="39" t="n"/>
      <c r="AH644" s="39" t="n"/>
      <c r="AI644" t="inlineStr">
        <is>
          <t>Norma Luz Tello Contreras</t>
        </is>
      </c>
      <c r="AJ644" t="inlineStr">
        <is>
          <t>04063971</t>
        </is>
      </c>
      <c r="AK644" t="inlineStr">
        <is>
          <t>Av. Militar 1745 - Dpto. 1202</t>
        </is>
      </c>
      <c r="AL644" t="n">
        <v>0</v>
      </c>
      <c r="AM644" t="inlineStr">
        <is>
          <t>952305311</t>
        </is>
      </c>
      <c r="AN644" t="inlineStr">
        <is>
          <t>normatello@gmail.com</t>
        </is>
      </c>
      <c r="AO644" t="inlineStr">
        <is>
          <t>LIMA</t>
        </is>
      </c>
      <c r="AP644" t="inlineStr">
        <is>
          <t>LA VICTORIA</t>
        </is>
      </c>
      <c r="AQ644" s="75" t="n">
        <v>46386</v>
      </c>
      <c r="AR644" s="75" t="n"/>
      <c r="AS644" t="inlineStr">
        <is>
          <t>SALDO FINANCIAR</t>
        </is>
      </c>
      <c r="AT644" t="n">
        <v>16</v>
      </c>
      <c r="AU644" t="n">
        <v>6000</v>
      </c>
      <c r="AV644" t="n">
        <v>0</v>
      </c>
      <c r="AW644" t="n">
        <v>0</v>
      </c>
      <c r="AX644" s="39" t="n">
        <v>6000</v>
      </c>
      <c r="AY644" s="39" t="n">
        <v>0</v>
      </c>
      <c r="AZ644" s="39" t="n">
        <v>6000</v>
      </c>
      <c r="BB644" t="inlineStr">
        <is>
          <t>Crédito Directo</t>
        </is>
      </c>
      <c r="BH644" t="inlineStr">
        <is>
          <t>No</t>
        </is>
      </c>
      <c r="BK644" t="inlineStr">
        <is>
          <t>PENDIENTE</t>
        </is>
      </c>
      <c r="BV644" t="inlineStr">
        <is>
          <t>No</t>
        </is>
      </c>
      <c r="BW644" s="76" t="n">
        <v>45857.51944444444</v>
      </c>
      <c r="BX644" t="inlineStr">
        <is>
          <t>Magaly Guevara Perez</t>
        </is>
      </c>
      <c r="BZ644" t="n">
        <v>11</v>
      </c>
      <c r="CB644" t="n">
        <v>0</v>
      </c>
      <c r="CF644" t="inlineStr">
        <is>
          <t>Cobranzas_2026.csv</t>
        </is>
      </c>
      <c r="CG644" t="n">
        <v>2026</v>
      </c>
      <c r="CH644" t="inlineStr">
        <is>
          <t>01/01/2024</t>
        </is>
      </c>
      <c r="CI644" t="inlineStr">
        <is>
          <t>24/08/2031</t>
        </is>
      </c>
    </row>
    <row r="645">
      <c r="A645" t="inlineStr">
        <is>
          <t>RESIDENCIAL BEYOND</t>
        </is>
      </c>
      <c r="B645" t="inlineStr">
        <is>
          <t>Etapa 1</t>
        </is>
      </c>
      <c r="C645" t="inlineStr">
        <is>
          <t>Edificio</t>
        </is>
      </c>
      <c r="D645" t="inlineStr">
        <is>
          <t>A</t>
        </is>
      </c>
      <c r="E645" t="inlineStr">
        <is>
          <t>Departamento</t>
        </is>
      </c>
      <c r="F645" t="inlineStr">
        <is>
          <t>1302</t>
        </is>
      </c>
      <c r="G645" t="n">
        <v>57</v>
      </c>
      <c r="H645" t="n">
        <v>0</v>
      </c>
      <c r="I645" s="39" t="n">
        <v>422000</v>
      </c>
      <c r="J645" s="39" t="n">
        <v>370000</v>
      </c>
      <c r="Q645" s="39" t="n"/>
      <c r="R645" s="39" t="n"/>
      <c r="Y645" s="39" t="n"/>
      <c r="Z645" s="39" t="n"/>
      <c r="AG645" s="39" t="n"/>
      <c r="AH645" s="39" t="n"/>
      <c r="AI645" t="inlineStr">
        <is>
          <t>Omar Edwin Riveros Tejada</t>
        </is>
      </c>
      <c r="AJ645" t="inlineStr">
        <is>
          <t>47136409</t>
        </is>
      </c>
      <c r="AK645" t="inlineStr">
        <is>
          <t>Calle Berlin 734 - Dpto. 302</t>
        </is>
      </c>
      <c r="AL645" t="n">
        <v>0</v>
      </c>
      <c r="AM645" t="inlineStr">
        <is>
          <t>959940936</t>
        </is>
      </c>
      <c r="AN645" t="inlineStr">
        <is>
          <t>omarriveros91@gmail.com</t>
        </is>
      </c>
      <c r="AO645" t="inlineStr">
        <is>
          <t>LIMA</t>
        </is>
      </c>
      <c r="AP645" t="inlineStr">
        <is>
          <t>MIRAFLORES</t>
        </is>
      </c>
      <c r="AQ645" s="75" t="n">
        <v>46137</v>
      </c>
      <c r="AR645" s="75" t="n">
        <v>46137</v>
      </c>
      <c r="AS645" t="inlineStr">
        <is>
          <t>SEPARACION</t>
        </is>
      </c>
      <c r="AT645" t="n">
        <v>1</v>
      </c>
      <c r="AU645" t="n">
        <v>3000</v>
      </c>
      <c r="AV645" t="n">
        <v>0</v>
      </c>
      <c r="AW645" t="n">
        <v>0</v>
      </c>
      <c r="AX645" s="39" t="n">
        <v>3000</v>
      </c>
      <c r="AY645" s="39" t="n">
        <v>3000</v>
      </c>
      <c r="AZ645" s="39" t="n">
        <v>0</v>
      </c>
      <c r="BA645" t="n">
        <v>0</v>
      </c>
      <c r="BB645" t="inlineStr">
        <is>
          <t>Ahorro</t>
        </is>
      </c>
      <c r="BC645" t="inlineStr">
        <is>
          <t>Banco de Credito del Perú</t>
        </is>
      </c>
      <c r="BD645" t="inlineStr">
        <is>
          <t>194-7325779-0-65</t>
        </is>
      </c>
      <c r="BE645" t="inlineStr">
        <is>
          <t>POS VISA</t>
        </is>
      </c>
      <c r="BG645" t="inlineStr">
        <is>
          <t>007665</t>
        </is>
      </c>
      <c r="BH645" t="inlineStr">
        <is>
          <t>No</t>
        </is>
      </c>
      <c r="BJ645" t="n">
        <v>4</v>
      </c>
      <c r="BK645" t="inlineStr">
        <is>
          <t>CANCELADO</t>
        </is>
      </c>
      <c r="BV645" t="inlineStr">
        <is>
          <t>Si</t>
        </is>
      </c>
      <c r="BW645" s="76" t="n">
        <v>46142.44166666667</v>
      </c>
      <c r="BX645" t="inlineStr">
        <is>
          <t>Magaly Guevara Perez</t>
        </is>
      </c>
      <c r="BZ645" t="n">
        <v>12</v>
      </c>
      <c r="CA645" t="inlineStr">
        <is>
          <t>23/05/2026 20:30</t>
        </is>
      </c>
      <c r="CB645" t="n">
        <v>0</v>
      </c>
      <c r="CF645" t="inlineStr">
        <is>
          <t>Cobranzas_2026.csv</t>
        </is>
      </c>
      <c r="CG645" t="n">
        <v>2026</v>
      </c>
      <c r="CH645" t="inlineStr">
        <is>
          <t>01/01/2024</t>
        </is>
      </c>
      <c r="CI645" t="inlineStr">
        <is>
          <t>24/08/2031</t>
        </is>
      </c>
    </row>
    <row r="646">
      <c r="A646" t="inlineStr">
        <is>
          <t>RESIDENCIAL BEYOND</t>
        </is>
      </c>
      <c r="B646" t="inlineStr">
        <is>
          <t>Etapa 1</t>
        </is>
      </c>
      <c r="C646" t="inlineStr">
        <is>
          <t>Edificio</t>
        </is>
      </c>
      <c r="D646" t="inlineStr">
        <is>
          <t>A</t>
        </is>
      </c>
      <c r="E646" t="inlineStr">
        <is>
          <t>Departamento</t>
        </is>
      </c>
      <c r="F646" t="inlineStr">
        <is>
          <t>1302</t>
        </is>
      </c>
      <c r="G646" t="n">
        <v>57</v>
      </c>
      <c r="H646" t="n">
        <v>0</v>
      </c>
      <c r="I646" s="39" t="n">
        <v>422000</v>
      </c>
      <c r="J646" s="39" t="n">
        <v>370000</v>
      </c>
      <c r="Q646" s="39" t="n"/>
      <c r="R646" s="39" t="n"/>
      <c r="Y646" s="39" t="n"/>
      <c r="Z646" s="39" t="n"/>
      <c r="AG646" s="39" t="n"/>
      <c r="AH646" s="39" t="n"/>
      <c r="AI646" t="inlineStr">
        <is>
          <t>Omar Edwin Riveros Tejada</t>
        </is>
      </c>
      <c r="AJ646" t="inlineStr">
        <is>
          <t>47136409</t>
        </is>
      </c>
      <c r="AK646" t="inlineStr">
        <is>
          <t>Calle Berlin 734 - Dpto. 302</t>
        </is>
      </c>
      <c r="AL646" t="n">
        <v>0</v>
      </c>
      <c r="AM646" t="inlineStr">
        <is>
          <t>959940936</t>
        </is>
      </c>
      <c r="AN646" t="inlineStr">
        <is>
          <t>omarriveros91@gmail.com</t>
        </is>
      </c>
      <c r="AO646" t="inlineStr">
        <is>
          <t>LIMA</t>
        </is>
      </c>
      <c r="AP646" t="inlineStr">
        <is>
          <t>MIRAFLORES</t>
        </is>
      </c>
      <c r="AQ646" s="75" t="n">
        <v>46142</v>
      </c>
      <c r="AR646" s="75" t="n">
        <v>46142</v>
      </c>
      <c r="AS646" t="inlineStr">
        <is>
          <t>CUOTA INICIAL</t>
        </is>
      </c>
      <c r="AT646" t="n">
        <v>1</v>
      </c>
      <c r="AU646" t="n">
        <v>123500</v>
      </c>
      <c r="AV646" t="n">
        <v>0</v>
      </c>
      <c r="AW646" t="n">
        <v>0</v>
      </c>
      <c r="AX646" s="39" t="n">
        <v>123500</v>
      </c>
      <c r="AY646" s="39" t="n">
        <v>123500</v>
      </c>
      <c r="AZ646" s="39" t="n">
        <v>0</v>
      </c>
      <c r="BA646" t="n">
        <v>0</v>
      </c>
      <c r="BB646" t="inlineStr">
        <is>
          <t>Ahorro</t>
        </is>
      </c>
      <c r="BC646" t="inlineStr">
        <is>
          <t>Banco de Credito del Perú</t>
        </is>
      </c>
      <c r="BD646" t="inlineStr">
        <is>
          <t>194-7325779-0-65</t>
        </is>
      </c>
      <c r="BE646" t="inlineStr">
        <is>
          <t>TRANSFERENCIA BANCARIA</t>
        </is>
      </c>
      <c r="BG646" t="inlineStr">
        <is>
          <t>0991441</t>
        </is>
      </c>
      <c r="BH646" t="inlineStr">
        <is>
          <t>No</t>
        </is>
      </c>
      <c r="BJ646" t="n">
        <v>4</v>
      </c>
      <c r="BK646" t="inlineStr">
        <is>
          <t>CANCELADO</t>
        </is>
      </c>
      <c r="BV646" t="inlineStr">
        <is>
          <t>Si</t>
        </is>
      </c>
      <c r="BW646" s="76" t="n">
        <v>46142.44166666667</v>
      </c>
      <c r="BX646" t="inlineStr">
        <is>
          <t>Magaly Guevara Perez</t>
        </is>
      </c>
      <c r="BZ646" t="n">
        <v>12</v>
      </c>
      <c r="CA646" t="inlineStr">
        <is>
          <t>23/05/2026 20:33</t>
        </is>
      </c>
      <c r="CB646" t="n">
        <v>0</v>
      </c>
      <c r="CF646" t="inlineStr">
        <is>
          <t>Cobranzas_2026.csv</t>
        </is>
      </c>
      <c r="CG646" t="n">
        <v>2026</v>
      </c>
      <c r="CH646" t="inlineStr">
        <is>
          <t>01/01/2024</t>
        </is>
      </c>
      <c r="CI646" t="inlineStr">
        <is>
          <t>24/08/2031</t>
        </is>
      </c>
    </row>
    <row r="647">
      <c r="A647" t="inlineStr">
        <is>
          <t>RESIDENCIAL BEYOND</t>
        </is>
      </c>
      <c r="B647" t="inlineStr">
        <is>
          <t>Etapa 1</t>
        </is>
      </c>
      <c r="C647" t="inlineStr">
        <is>
          <t>Edificio</t>
        </is>
      </c>
      <c r="D647" t="inlineStr">
        <is>
          <t>A</t>
        </is>
      </c>
      <c r="E647" t="inlineStr">
        <is>
          <t>Departamento</t>
        </is>
      </c>
      <c r="F647" t="inlineStr">
        <is>
          <t>1302</t>
        </is>
      </c>
      <c r="G647" t="n">
        <v>57</v>
      </c>
      <c r="H647" t="n">
        <v>0</v>
      </c>
      <c r="I647" s="39" t="n">
        <v>422000</v>
      </c>
      <c r="J647" s="39" t="n">
        <v>370000</v>
      </c>
      <c r="Q647" s="39" t="n"/>
      <c r="R647" s="39" t="n"/>
      <c r="Y647" s="39" t="n"/>
      <c r="Z647" s="39" t="n"/>
      <c r="AG647" s="39" t="n"/>
      <c r="AH647" s="39" t="n"/>
      <c r="AI647" t="inlineStr">
        <is>
          <t>Omar Edwin Riveros Tejada</t>
        </is>
      </c>
      <c r="AJ647" t="inlineStr">
        <is>
          <t>47136409</t>
        </is>
      </c>
      <c r="AK647" t="inlineStr">
        <is>
          <t>Calle Berlin 734 - Dpto. 302</t>
        </is>
      </c>
      <c r="AL647" t="n">
        <v>0</v>
      </c>
      <c r="AM647" t="inlineStr">
        <is>
          <t>959940936</t>
        </is>
      </c>
      <c r="AN647" t="inlineStr">
        <is>
          <t>omarriveros91@gmail.com</t>
        </is>
      </c>
      <c r="AO647" t="inlineStr">
        <is>
          <t>LIMA</t>
        </is>
      </c>
      <c r="AP647" t="inlineStr">
        <is>
          <t>MIRAFLORES</t>
        </is>
      </c>
      <c r="AQ647" s="75" t="n">
        <v>46295</v>
      </c>
      <c r="AR647" s="75" t="n"/>
      <c r="AS647" t="inlineStr">
        <is>
          <t>CUOTA INICIAL</t>
        </is>
      </c>
      <c r="AT647" t="n">
        <v>2</v>
      </c>
      <c r="AU647" t="n">
        <v>123500</v>
      </c>
      <c r="AV647" t="n">
        <v>0</v>
      </c>
      <c r="AW647" t="n">
        <v>0</v>
      </c>
      <c r="AX647" s="39" t="n">
        <v>123500</v>
      </c>
      <c r="AY647" s="39" t="n">
        <v>0</v>
      </c>
      <c r="AZ647" s="39" t="n">
        <v>123500</v>
      </c>
      <c r="BB647" t="inlineStr">
        <is>
          <t>Ahorro</t>
        </is>
      </c>
      <c r="BH647" t="inlineStr">
        <is>
          <t>No</t>
        </is>
      </c>
      <c r="BK647" t="inlineStr">
        <is>
          <t>PENDIENTE</t>
        </is>
      </c>
      <c r="BV647" t="inlineStr">
        <is>
          <t>No</t>
        </is>
      </c>
      <c r="BW647" s="76" t="n">
        <v>46142.44166666667</v>
      </c>
      <c r="BX647" t="inlineStr">
        <is>
          <t>Magaly Guevara Perez</t>
        </is>
      </c>
      <c r="BZ647" t="n">
        <v>12</v>
      </c>
      <c r="CB647" t="n">
        <v>0</v>
      </c>
      <c r="CF647" t="inlineStr">
        <is>
          <t>Cobranzas_2026.csv</t>
        </is>
      </c>
      <c r="CG647" t="n">
        <v>2026</v>
      </c>
      <c r="CH647" t="inlineStr">
        <is>
          <t>01/01/2024</t>
        </is>
      </c>
      <c r="CI647" t="inlineStr">
        <is>
          <t>24/08/2031</t>
        </is>
      </c>
    </row>
    <row r="648">
      <c r="A648" t="inlineStr">
        <is>
          <t>RESIDENCIAL BEYOND</t>
        </is>
      </c>
      <c r="B648" t="inlineStr">
        <is>
          <t>Etapa 1</t>
        </is>
      </c>
      <c r="C648" t="inlineStr">
        <is>
          <t>Edificio</t>
        </is>
      </c>
      <c r="D648" t="inlineStr">
        <is>
          <t>A</t>
        </is>
      </c>
      <c r="E648" t="inlineStr">
        <is>
          <t>Departamento</t>
        </is>
      </c>
      <c r="F648" t="inlineStr">
        <is>
          <t>1302</t>
        </is>
      </c>
      <c r="G648" t="n">
        <v>57</v>
      </c>
      <c r="H648" t="n">
        <v>0</v>
      </c>
      <c r="I648" s="39" t="n">
        <v>422000</v>
      </c>
      <c r="J648" s="39" t="n">
        <v>370000</v>
      </c>
      <c r="Q648" s="39" t="n"/>
      <c r="R648" s="39" t="n"/>
      <c r="Y648" s="39" t="n"/>
      <c r="Z648" s="39" t="n"/>
      <c r="AG648" s="39" t="n"/>
      <c r="AH648" s="39" t="n"/>
      <c r="AI648" t="inlineStr">
        <is>
          <t>Omar Edwin Riveros Tejada</t>
        </is>
      </c>
      <c r="AJ648" t="inlineStr">
        <is>
          <t>47136409</t>
        </is>
      </c>
      <c r="AK648" t="inlineStr">
        <is>
          <t>Calle Berlin 734 - Dpto. 302</t>
        </is>
      </c>
      <c r="AL648" t="n">
        <v>0</v>
      </c>
      <c r="AM648" t="inlineStr">
        <is>
          <t>959940936</t>
        </is>
      </c>
      <c r="AN648" t="inlineStr">
        <is>
          <t>omarriveros91@gmail.com</t>
        </is>
      </c>
      <c r="AO648" t="inlineStr">
        <is>
          <t>LIMA</t>
        </is>
      </c>
      <c r="AP648" t="inlineStr">
        <is>
          <t>MIRAFLORES</t>
        </is>
      </c>
      <c r="AQ648" s="75" t="n">
        <v>46356</v>
      </c>
      <c r="AR648" s="75" t="n"/>
      <c r="AS648" t="inlineStr">
        <is>
          <t>SALDO FINANCIAR</t>
        </is>
      </c>
      <c r="AT648" t="n">
        <v>1</v>
      </c>
      <c r="AU648" t="n">
        <v>120000</v>
      </c>
      <c r="AV648" t="n">
        <v>0</v>
      </c>
      <c r="AW648" t="n">
        <v>0</v>
      </c>
      <c r="AX648" s="39" t="n">
        <v>120000</v>
      </c>
      <c r="AY648" s="39" t="n">
        <v>0</v>
      </c>
      <c r="AZ648" s="39" t="n">
        <v>120000</v>
      </c>
      <c r="BB648" t="inlineStr">
        <is>
          <t>Ahorro</t>
        </is>
      </c>
      <c r="BH648" t="inlineStr">
        <is>
          <t>No</t>
        </is>
      </c>
      <c r="BK648" t="inlineStr">
        <is>
          <t>PENDIENTE</t>
        </is>
      </c>
      <c r="BV648" t="inlineStr">
        <is>
          <t>No</t>
        </is>
      </c>
      <c r="BW648" s="76" t="n">
        <v>46142.44166666667</v>
      </c>
      <c r="BX648" t="inlineStr">
        <is>
          <t>Magaly Guevara Perez</t>
        </is>
      </c>
      <c r="BZ648" t="n">
        <v>12</v>
      </c>
      <c r="CB648" t="n">
        <v>0</v>
      </c>
      <c r="CF648" t="inlineStr">
        <is>
          <t>Cobranzas_2026.csv</t>
        </is>
      </c>
      <c r="CG648" t="n">
        <v>2026</v>
      </c>
      <c r="CH648" t="inlineStr">
        <is>
          <t>01/01/2024</t>
        </is>
      </c>
      <c r="CI648" t="inlineStr">
        <is>
          <t>24/08/2031</t>
        </is>
      </c>
    </row>
    <row r="649">
      <c r="A649" t="inlineStr">
        <is>
          <t>RESIDENCIAL BEYOND</t>
        </is>
      </c>
      <c r="B649" t="inlineStr">
        <is>
          <t>Etapa 1</t>
        </is>
      </c>
      <c r="C649" t="inlineStr">
        <is>
          <t>Edificio</t>
        </is>
      </c>
      <c r="D649" t="inlineStr">
        <is>
          <t>A</t>
        </is>
      </c>
      <c r="E649" t="inlineStr">
        <is>
          <t>Departamento</t>
        </is>
      </c>
      <c r="F649" t="inlineStr">
        <is>
          <t>604</t>
        </is>
      </c>
      <c r="G649" t="n">
        <v>67</v>
      </c>
      <c r="H649" t="n">
        <v>0</v>
      </c>
      <c r="I649" s="39" t="n">
        <v>460000</v>
      </c>
      <c r="J649" s="39" t="n">
        <v>460000</v>
      </c>
      <c r="K649" t="inlineStr">
        <is>
          <t>Edificio</t>
        </is>
      </c>
      <c r="L649" t="inlineStr">
        <is>
          <t>A</t>
        </is>
      </c>
      <c r="M649" t="inlineStr">
        <is>
          <t>Estacionamiento</t>
        </is>
      </c>
      <c r="N649" t="inlineStr">
        <is>
          <t>E 11</t>
        </is>
      </c>
      <c r="O649" t="n">
        <v>12.5</v>
      </c>
      <c r="P649" t="n">
        <v>0</v>
      </c>
      <c r="Q649" s="39" t="n">
        <v>47500</v>
      </c>
      <c r="R649" s="39" t="n">
        <v>47500</v>
      </c>
      <c r="S649" t="inlineStr">
        <is>
          <t>Edificio</t>
        </is>
      </c>
      <c r="T649" t="inlineStr">
        <is>
          <t>A</t>
        </is>
      </c>
      <c r="U649" t="inlineStr">
        <is>
          <t>Depósito</t>
        </is>
      </c>
      <c r="V649" t="inlineStr">
        <is>
          <t>D 06</t>
        </is>
      </c>
      <c r="W649" t="n">
        <v>6</v>
      </c>
      <c r="X649" t="n">
        <v>0</v>
      </c>
      <c r="Y649" s="39" t="n">
        <v>21700</v>
      </c>
      <c r="Z649" s="39" t="n">
        <v>21700</v>
      </c>
      <c r="AA649" t="inlineStr">
        <is>
          <t>Edificio</t>
        </is>
      </c>
      <c r="AB649" t="inlineStr">
        <is>
          <t>A</t>
        </is>
      </c>
      <c r="AC649" t="inlineStr">
        <is>
          <t>Depósito</t>
        </is>
      </c>
      <c r="AD649" t="inlineStr">
        <is>
          <t>D 07</t>
        </is>
      </c>
      <c r="AE649" t="n">
        <v>2.62</v>
      </c>
      <c r="AF649" t="n">
        <v>0</v>
      </c>
      <c r="AG649" s="39" t="n">
        <v>9500</v>
      </c>
      <c r="AH649" s="39" t="n">
        <v>9500</v>
      </c>
      <c r="AI649" t="inlineStr">
        <is>
          <t>PABLO JAIME CORNEJO PEREDA</t>
        </is>
      </c>
      <c r="AJ649" t="inlineStr">
        <is>
          <t>07763504</t>
        </is>
      </c>
      <c r="AK649" t="inlineStr">
        <is>
          <t>Lima - Lima - San Miguel - Jr. Simon Bolivar 105 Dpto 1201</t>
        </is>
      </c>
      <c r="AM649" t="inlineStr">
        <is>
          <t>998912031</t>
        </is>
      </c>
      <c r="AN649" t="inlineStr">
        <is>
          <t>pablocornejo@yahoo.com</t>
        </is>
      </c>
      <c r="AO649" t="inlineStr">
        <is>
          <t>LIMA</t>
        </is>
      </c>
      <c r="AP649" t="inlineStr">
        <is>
          <t>SAN MIGUEL</t>
        </is>
      </c>
      <c r="AQ649" s="75" t="n">
        <v>46258.47361111111</v>
      </c>
      <c r="AR649" s="75" t="n">
        <v>45876</v>
      </c>
      <c r="AS649" t="inlineStr">
        <is>
          <t>SALDO FINANCIAR</t>
        </is>
      </c>
      <c r="AT649" t="n">
        <v>8</v>
      </c>
      <c r="AU649" t="n">
        <v>190512</v>
      </c>
      <c r="AV649" t="n">
        <v>0</v>
      </c>
      <c r="AW649" t="n">
        <v>0</v>
      </c>
      <c r="AX649" s="39" t="n">
        <v>190512</v>
      </c>
      <c r="AY649" s="39" t="n">
        <v>21168</v>
      </c>
      <c r="AZ649" s="39" t="n">
        <v>21168</v>
      </c>
      <c r="BA649" t="n">
        <v>0</v>
      </c>
      <c r="BB649" t="inlineStr">
        <is>
          <t>Crédito Directo</t>
        </is>
      </c>
      <c r="BC649" t="inlineStr">
        <is>
          <t>Banco de Credito del Perú</t>
        </is>
      </c>
      <c r="BD649" t="inlineStr">
        <is>
          <t>194-7325779-0-65</t>
        </is>
      </c>
      <c r="BE649" t="inlineStr">
        <is>
          <t>TRANSFERENCIA BANCARIA</t>
        </is>
      </c>
      <c r="BG649" t="inlineStr">
        <is>
          <t>0987426</t>
        </is>
      </c>
      <c r="BH649" t="inlineStr">
        <is>
          <t>No</t>
        </is>
      </c>
      <c r="BJ649" t="n">
        <v>4</v>
      </c>
      <c r="BK649" t="inlineStr">
        <is>
          <t>PENDIENTE - PARC. CANCELADO</t>
        </is>
      </c>
      <c r="BV649" t="inlineStr">
        <is>
          <t>Si</t>
        </is>
      </c>
      <c r="BW649" s="76" t="n">
        <v>45761.40694444445</v>
      </c>
      <c r="BX649" t="inlineStr">
        <is>
          <t>Carla Michue M</t>
        </is>
      </c>
      <c r="BZ649" t="n">
        <v>38</v>
      </c>
      <c r="CA649" t="inlineStr">
        <is>
          <t>20/08/2026 08:14</t>
        </is>
      </c>
      <c r="CB649" t="n">
        <v>0</v>
      </c>
      <c r="CF649" t="inlineStr">
        <is>
          <t>Cobranzas_2026.csv</t>
        </is>
      </c>
      <c r="CG649" t="n">
        <v>2026</v>
      </c>
      <c r="CH649" t="inlineStr">
        <is>
          <t>01/01/2024</t>
        </is>
      </c>
      <c r="CI649" t="inlineStr">
        <is>
          <t>24/08/2031</t>
        </is>
      </c>
    </row>
    <row r="650">
      <c r="A650" t="inlineStr">
        <is>
          <t>RESIDENCIAL BEYOND</t>
        </is>
      </c>
      <c r="B650" t="inlineStr">
        <is>
          <t>Etapa 1</t>
        </is>
      </c>
      <c r="C650" t="inlineStr">
        <is>
          <t>Edificio</t>
        </is>
      </c>
      <c r="D650" t="inlineStr">
        <is>
          <t>A</t>
        </is>
      </c>
      <c r="E650" t="inlineStr">
        <is>
          <t>Departamento</t>
        </is>
      </c>
      <c r="F650" t="inlineStr">
        <is>
          <t>604</t>
        </is>
      </c>
      <c r="G650" t="n">
        <v>67</v>
      </c>
      <c r="H650" t="n">
        <v>0</v>
      </c>
      <c r="I650" s="39" t="n">
        <v>460000</v>
      </c>
      <c r="J650" s="39" t="n">
        <v>460000</v>
      </c>
      <c r="K650" t="inlineStr">
        <is>
          <t>Edificio</t>
        </is>
      </c>
      <c r="L650" t="inlineStr">
        <is>
          <t>A</t>
        </is>
      </c>
      <c r="M650" t="inlineStr">
        <is>
          <t>Estacionamiento</t>
        </is>
      </c>
      <c r="N650" t="inlineStr">
        <is>
          <t>E 11</t>
        </is>
      </c>
      <c r="O650" t="n">
        <v>12.5</v>
      </c>
      <c r="P650" t="n">
        <v>0</v>
      </c>
      <c r="Q650" s="39" t="n">
        <v>47500</v>
      </c>
      <c r="R650" s="39" t="n">
        <v>47500</v>
      </c>
      <c r="S650" t="inlineStr">
        <is>
          <t>Edificio</t>
        </is>
      </c>
      <c r="T650" t="inlineStr">
        <is>
          <t>A</t>
        </is>
      </c>
      <c r="U650" t="inlineStr">
        <is>
          <t>Depósito</t>
        </is>
      </c>
      <c r="V650" t="inlineStr">
        <is>
          <t>D 06</t>
        </is>
      </c>
      <c r="W650" t="n">
        <v>6</v>
      </c>
      <c r="X650" t="n">
        <v>0</v>
      </c>
      <c r="Y650" s="39" t="n">
        <v>21700</v>
      </c>
      <c r="Z650" s="39" t="n">
        <v>21700</v>
      </c>
      <c r="AA650" t="inlineStr">
        <is>
          <t>Edificio</t>
        </is>
      </c>
      <c r="AB650" t="inlineStr">
        <is>
          <t>A</t>
        </is>
      </c>
      <c r="AC650" t="inlineStr">
        <is>
          <t>Depósito</t>
        </is>
      </c>
      <c r="AD650" t="inlineStr">
        <is>
          <t>D 07</t>
        </is>
      </c>
      <c r="AE650" t="n">
        <v>2.62</v>
      </c>
      <c r="AF650" t="n">
        <v>0</v>
      </c>
      <c r="AG650" s="39" t="n">
        <v>9500</v>
      </c>
      <c r="AH650" s="39" t="n">
        <v>9500</v>
      </c>
      <c r="AI650" t="inlineStr">
        <is>
          <t>PABLO JAIME CORNEJO PEREDA</t>
        </is>
      </c>
      <c r="AJ650" t="inlineStr">
        <is>
          <t>07763504</t>
        </is>
      </c>
      <c r="AK650" t="inlineStr">
        <is>
          <t>Lima - Lima - San Miguel - Jr. Simon Bolivar 105 Dpto 1201</t>
        </is>
      </c>
      <c r="AM650" t="inlineStr">
        <is>
          <t>998912031</t>
        </is>
      </c>
      <c r="AN650" t="inlineStr">
        <is>
          <t>pablocornejo@yahoo.com</t>
        </is>
      </c>
      <c r="AO650" t="inlineStr">
        <is>
          <t>LIMA</t>
        </is>
      </c>
      <c r="AP650" t="inlineStr">
        <is>
          <t>SAN MIGUEL</t>
        </is>
      </c>
      <c r="AQ650" s="75" t="n">
        <v>46258.47361111111</v>
      </c>
      <c r="AR650" s="75" t="n">
        <v>45934</v>
      </c>
      <c r="AS650" t="inlineStr">
        <is>
          <t>SALDO FINANCIAR</t>
        </is>
      </c>
      <c r="AT650" t="n">
        <v>8</v>
      </c>
      <c r="AU650" t="n">
        <v>0</v>
      </c>
      <c r="AV650" t="n">
        <v>0</v>
      </c>
      <c r="AW650" t="n">
        <v>0</v>
      </c>
      <c r="AX650" s="39" t="n">
        <v>0</v>
      </c>
      <c r="AY650" s="39" t="n">
        <v>21168</v>
      </c>
      <c r="AZ650" s="39" t="n">
        <v>0</v>
      </c>
      <c r="BA650" t="n">
        <v>0</v>
      </c>
      <c r="BB650" t="inlineStr">
        <is>
          <t>Crédito Directo</t>
        </is>
      </c>
      <c r="BC650" t="inlineStr">
        <is>
          <t>Banco de Credito del Perú</t>
        </is>
      </c>
      <c r="BD650" t="inlineStr">
        <is>
          <t>194-7325779-0-65</t>
        </is>
      </c>
      <c r="BE650" t="inlineStr">
        <is>
          <t>TRANSFERENCIA BANCARIA</t>
        </is>
      </c>
      <c r="BG650" t="inlineStr">
        <is>
          <t>0555411</t>
        </is>
      </c>
      <c r="BH650" t="inlineStr">
        <is>
          <t>No</t>
        </is>
      </c>
      <c r="BJ650" t="n">
        <v>4</v>
      </c>
      <c r="BK650" t="inlineStr">
        <is>
          <t>VENCIDO</t>
        </is>
      </c>
      <c r="BV650" t="inlineStr">
        <is>
          <t>Si</t>
        </is>
      </c>
      <c r="BW650" s="76" t="n">
        <v>45761.40694444445</v>
      </c>
      <c r="BX650" t="inlineStr">
        <is>
          <t>Carla Michue M</t>
        </is>
      </c>
      <c r="BZ650" t="n">
        <v>38</v>
      </c>
      <c r="CA650" t="inlineStr">
        <is>
          <t>20/08/2026 08:16</t>
        </is>
      </c>
      <c r="CB650" t="n">
        <v>0</v>
      </c>
      <c r="CF650" t="inlineStr">
        <is>
          <t>Cobranzas_2026.csv</t>
        </is>
      </c>
      <c r="CG650" t="n">
        <v>2026</v>
      </c>
      <c r="CH650" t="inlineStr">
        <is>
          <t>01/01/2024</t>
        </is>
      </c>
      <c r="CI650" t="inlineStr">
        <is>
          <t>24/08/2031</t>
        </is>
      </c>
    </row>
    <row r="651">
      <c r="A651" t="inlineStr">
        <is>
          <t>RESIDENCIAL BEYOND</t>
        </is>
      </c>
      <c r="B651" t="inlineStr">
        <is>
          <t>Etapa 1</t>
        </is>
      </c>
      <c r="C651" t="inlineStr">
        <is>
          <t>Edificio</t>
        </is>
      </c>
      <c r="D651" t="inlineStr">
        <is>
          <t>A</t>
        </is>
      </c>
      <c r="E651" t="inlineStr">
        <is>
          <t>Departamento</t>
        </is>
      </c>
      <c r="F651" t="inlineStr">
        <is>
          <t>604</t>
        </is>
      </c>
      <c r="G651" t="n">
        <v>67</v>
      </c>
      <c r="H651" t="n">
        <v>0</v>
      </c>
      <c r="I651" s="39" t="n">
        <v>460000</v>
      </c>
      <c r="J651" s="39" t="n">
        <v>460000</v>
      </c>
      <c r="K651" t="inlineStr">
        <is>
          <t>Edificio</t>
        </is>
      </c>
      <c r="L651" t="inlineStr">
        <is>
          <t>A</t>
        </is>
      </c>
      <c r="M651" t="inlineStr">
        <is>
          <t>Estacionamiento</t>
        </is>
      </c>
      <c r="N651" t="inlineStr">
        <is>
          <t>E 11</t>
        </is>
      </c>
      <c r="O651" t="n">
        <v>12.5</v>
      </c>
      <c r="P651" t="n">
        <v>0</v>
      </c>
      <c r="Q651" s="39" t="n">
        <v>47500</v>
      </c>
      <c r="R651" s="39" t="n">
        <v>47500</v>
      </c>
      <c r="S651" t="inlineStr">
        <is>
          <t>Edificio</t>
        </is>
      </c>
      <c r="T651" t="inlineStr">
        <is>
          <t>A</t>
        </is>
      </c>
      <c r="U651" t="inlineStr">
        <is>
          <t>Depósito</t>
        </is>
      </c>
      <c r="V651" t="inlineStr">
        <is>
          <t>D 06</t>
        </is>
      </c>
      <c r="W651" t="n">
        <v>6</v>
      </c>
      <c r="X651" t="n">
        <v>0</v>
      </c>
      <c r="Y651" s="39" t="n">
        <v>21700</v>
      </c>
      <c r="Z651" s="39" t="n">
        <v>21700</v>
      </c>
      <c r="AA651" t="inlineStr">
        <is>
          <t>Edificio</t>
        </is>
      </c>
      <c r="AB651" t="inlineStr">
        <is>
          <t>A</t>
        </is>
      </c>
      <c r="AC651" t="inlineStr">
        <is>
          <t>Depósito</t>
        </is>
      </c>
      <c r="AD651" t="inlineStr">
        <is>
          <t>D 07</t>
        </is>
      </c>
      <c r="AE651" t="n">
        <v>2.62</v>
      </c>
      <c r="AF651" t="n">
        <v>0</v>
      </c>
      <c r="AG651" s="39" t="n">
        <v>9500</v>
      </c>
      <c r="AH651" s="39" t="n">
        <v>9500</v>
      </c>
      <c r="AI651" t="inlineStr">
        <is>
          <t>PABLO JAIME CORNEJO PEREDA</t>
        </is>
      </c>
      <c r="AJ651" t="inlineStr">
        <is>
          <t>07763504</t>
        </is>
      </c>
      <c r="AK651" t="inlineStr">
        <is>
          <t>Lima - Lima - San Miguel - Jr. Simon Bolivar 105 Dpto 1201</t>
        </is>
      </c>
      <c r="AM651" t="inlineStr">
        <is>
          <t>998912031</t>
        </is>
      </c>
      <c r="AN651" t="inlineStr">
        <is>
          <t>pablocornejo@yahoo.com</t>
        </is>
      </c>
      <c r="AO651" t="inlineStr">
        <is>
          <t>LIMA</t>
        </is>
      </c>
      <c r="AP651" t="inlineStr">
        <is>
          <t>SAN MIGUEL</t>
        </is>
      </c>
      <c r="AQ651" s="75" t="n">
        <v>46258.47361111111</v>
      </c>
      <c r="AR651" s="75" t="n">
        <v>46004</v>
      </c>
      <c r="AS651" t="inlineStr">
        <is>
          <t>SALDO FINANCIAR</t>
        </is>
      </c>
      <c r="AT651" t="n">
        <v>8</v>
      </c>
      <c r="AU651" t="n">
        <v>0</v>
      </c>
      <c r="AV651" t="n">
        <v>0</v>
      </c>
      <c r="AW651" t="n">
        <v>0</v>
      </c>
      <c r="AX651" s="39" t="n">
        <v>0</v>
      </c>
      <c r="AY651" s="39" t="n">
        <v>21168</v>
      </c>
      <c r="AZ651" s="39" t="n">
        <v>0</v>
      </c>
      <c r="BA651" t="n">
        <v>0</v>
      </c>
      <c r="BB651" t="inlineStr">
        <is>
          <t>Crédito Directo</t>
        </is>
      </c>
      <c r="BC651" t="inlineStr">
        <is>
          <t>Banco de Credito del Perú</t>
        </is>
      </c>
      <c r="BD651" t="inlineStr">
        <is>
          <t>194-7325779-0-65</t>
        </is>
      </c>
      <c r="BE651" t="inlineStr">
        <is>
          <t>TRANSFERENCIA BANCARIA</t>
        </is>
      </c>
      <c r="BG651" t="inlineStr">
        <is>
          <t>0950793</t>
        </is>
      </c>
      <c r="BH651" t="inlineStr">
        <is>
          <t>No</t>
        </is>
      </c>
      <c r="BJ651" t="n">
        <v>4</v>
      </c>
      <c r="BK651" t="inlineStr">
        <is>
          <t>VENCIDO</t>
        </is>
      </c>
      <c r="BV651" t="inlineStr">
        <is>
          <t>Si</t>
        </is>
      </c>
      <c r="BW651" s="76" t="n">
        <v>45761.40694444445</v>
      </c>
      <c r="BX651" t="inlineStr">
        <is>
          <t>Carla Michue M</t>
        </is>
      </c>
      <c r="BZ651" t="n">
        <v>38</v>
      </c>
      <c r="CA651" t="inlineStr">
        <is>
          <t>20/08/2026 08:16</t>
        </is>
      </c>
      <c r="CB651" t="n">
        <v>0</v>
      </c>
      <c r="CF651" t="inlineStr">
        <is>
          <t>Cobranzas_2026.csv</t>
        </is>
      </c>
      <c r="CG651" t="n">
        <v>2026</v>
      </c>
      <c r="CH651" t="inlineStr">
        <is>
          <t>01/01/2024</t>
        </is>
      </c>
      <c r="CI651" t="inlineStr">
        <is>
          <t>24/08/2031</t>
        </is>
      </c>
    </row>
    <row r="652">
      <c r="A652" t="inlineStr">
        <is>
          <t>RESIDENCIAL BEYOND</t>
        </is>
      </c>
      <c r="B652" t="inlineStr">
        <is>
          <t>Etapa 1</t>
        </is>
      </c>
      <c r="C652" t="inlineStr">
        <is>
          <t>Edificio</t>
        </is>
      </c>
      <c r="D652" t="inlineStr">
        <is>
          <t>A</t>
        </is>
      </c>
      <c r="E652" t="inlineStr">
        <is>
          <t>Departamento</t>
        </is>
      </c>
      <c r="F652" t="inlineStr">
        <is>
          <t>604</t>
        </is>
      </c>
      <c r="G652" t="n">
        <v>67</v>
      </c>
      <c r="H652" t="n">
        <v>0</v>
      </c>
      <c r="I652" s="39" t="n">
        <v>460000</v>
      </c>
      <c r="J652" s="39" t="n">
        <v>460000</v>
      </c>
      <c r="K652" t="inlineStr">
        <is>
          <t>Edificio</t>
        </is>
      </c>
      <c r="L652" t="inlineStr">
        <is>
          <t>A</t>
        </is>
      </c>
      <c r="M652" t="inlineStr">
        <is>
          <t>Estacionamiento</t>
        </is>
      </c>
      <c r="N652" t="inlineStr">
        <is>
          <t>E 11</t>
        </is>
      </c>
      <c r="O652" t="n">
        <v>12.5</v>
      </c>
      <c r="P652" t="n">
        <v>0</v>
      </c>
      <c r="Q652" s="39" t="n">
        <v>47500</v>
      </c>
      <c r="R652" s="39" t="n">
        <v>47500</v>
      </c>
      <c r="S652" t="inlineStr">
        <is>
          <t>Edificio</t>
        </is>
      </c>
      <c r="T652" t="inlineStr">
        <is>
          <t>A</t>
        </is>
      </c>
      <c r="U652" t="inlineStr">
        <is>
          <t>Depósito</t>
        </is>
      </c>
      <c r="V652" t="inlineStr">
        <is>
          <t>D 06</t>
        </is>
      </c>
      <c r="W652" t="n">
        <v>6</v>
      </c>
      <c r="X652" t="n">
        <v>0</v>
      </c>
      <c r="Y652" s="39" t="n">
        <v>21700</v>
      </c>
      <c r="Z652" s="39" t="n">
        <v>21700</v>
      </c>
      <c r="AA652" t="inlineStr">
        <is>
          <t>Edificio</t>
        </is>
      </c>
      <c r="AB652" t="inlineStr">
        <is>
          <t>A</t>
        </is>
      </c>
      <c r="AC652" t="inlineStr">
        <is>
          <t>Depósito</t>
        </is>
      </c>
      <c r="AD652" t="inlineStr">
        <is>
          <t>D 07</t>
        </is>
      </c>
      <c r="AE652" t="n">
        <v>2.62</v>
      </c>
      <c r="AF652" t="n">
        <v>0</v>
      </c>
      <c r="AG652" s="39" t="n">
        <v>9500</v>
      </c>
      <c r="AH652" s="39" t="n">
        <v>9500</v>
      </c>
      <c r="AI652" t="inlineStr">
        <is>
          <t>PABLO JAIME CORNEJO PEREDA</t>
        </is>
      </c>
      <c r="AJ652" t="inlineStr">
        <is>
          <t>07763504</t>
        </is>
      </c>
      <c r="AK652" t="inlineStr">
        <is>
          <t>Lima - Lima - San Miguel - Jr. Simon Bolivar 105 Dpto 1201</t>
        </is>
      </c>
      <c r="AM652" t="inlineStr">
        <is>
          <t>998912031</t>
        </is>
      </c>
      <c r="AN652" t="inlineStr">
        <is>
          <t>pablocornejo@yahoo.com</t>
        </is>
      </c>
      <c r="AO652" t="inlineStr">
        <is>
          <t>LIMA</t>
        </is>
      </c>
      <c r="AP652" t="inlineStr">
        <is>
          <t>SAN MIGUEL</t>
        </is>
      </c>
      <c r="AQ652" s="75" t="n">
        <v>46258.47361111111</v>
      </c>
      <c r="AR652" s="75" t="n">
        <v>46004</v>
      </c>
      <c r="AS652" t="inlineStr">
        <is>
          <t>SALDO FINANCIAR</t>
        </is>
      </c>
      <c r="AT652" t="n">
        <v>8</v>
      </c>
      <c r="AU652" t="n">
        <v>0</v>
      </c>
      <c r="AV652" t="n">
        <v>0</v>
      </c>
      <c r="AW652" t="n">
        <v>0</v>
      </c>
      <c r="AX652" s="39" t="n">
        <v>0</v>
      </c>
      <c r="AY652" s="39" t="n">
        <v>21168</v>
      </c>
      <c r="AZ652" s="39" t="n">
        <v>0</v>
      </c>
      <c r="BA652" t="n">
        <v>0</v>
      </c>
      <c r="BB652" t="inlineStr">
        <is>
          <t>Crédito Directo</t>
        </is>
      </c>
      <c r="BC652" t="inlineStr">
        <is>
          <t>Banco de Credito del Perú</t>
        </is>
      </c>
      <c r="BD652" t="inlineStr">
        <is>
          <t>194-7325779-0-65</t>
        </is>
      </c>
      <c r="BE652" t="inlineStr">
        <is>
          <t>TRANSFERENCIA BANCARIA</t>
        </is>
      </c>
      <c r="BG652" t="inlineStr">
        <is>
          <t>0952614</t>
        </is>
      </c>
      <c r="BH652" t="inlineStr">
        <is>
          <t>No</t>
        </is>
      </c>
      <c r="BJ652" t="n">
        <v>4</v>
      </c>
      <c r="BK652" t="inlineStr">
        <is>
          <t>VENCIDO</t>
        </is>
      </c>
      <c r="BV652" t="inlineStr">
        <is>
          <t>Si</t>
        </is>
      </c>
      <c r="BW652" s="76" t="n">
        <v>45761.40694444445</v>
      </c>
      <c r="BX652" t="inlineStr">
        <is>
          <t>Carla Michue M</t>
        </is>
      </c>
      <c r="BZ652" t="n">
        <v>38</v>
      </c>
      <c r="CA652" t="inlineStr">
        <is>
          <t>20/08/2026 08:17</t>
        </is>
      </c>
      <c r="CB652" t="n">
        <v>0</v>
      </c>
      <c r="CF652" t="inlineStr">
        <is>
          <t>Cobranzas_2026.csv</t>
        </is>
      </c>
      <c r="CG652" t="n">
        <v>2026</v>
      </c>
      <c r="CH652" t="inlineStr">
        <is>
          <t>01/01/2024</t>
        </is>
      </c>
      <c r="CI652" t="inlineStr">
        <is>
          <t>24/08/2031</t>
        </is>
      </c>
    </row>
    <row r="653">
      <c r="A653" t="inlineStr">
        <is>
          <t>RESIDENCIAL BEYOND</t>
        </is>
      </c>
      <c r="B653" t="inlineStr">
        <is>
          <t>Etapa 1</t>
        </is>
      </c>
      <c r="C653" t="inlineStr">
        <is>
          <t>Edificio</t>
        </is>
      </c>
      <c r="D653" t="inlineStr">
        <is>
          <t>A</t>
        </is>
      </c>
      <c r="E653" t="inlineStr">
        <is>
          <t>Departamento</t>
        </is>
      </c>
      <c r="F653" t="inlineStr">
        <is>
          <t>604</t>
        </is>
      </c>
      <c r="G653" t="n">
        <v>67</v>
      </c>
      <c r="H653" t="n">
        <v>0</v>
      </c>
      <c r="I653" s="39" t="n">
        <v>460000</v>
      </c>
      <c r="J653" s="39" t="n">
        <v>460000</v>
      </c>
      <c r="K653" t="inlineStr">
        <is>
          <t>Edificio</t>
        </is>
      </c>
      <c r="L653" t="inlineStr">
        <is>
          <t>A</t>
        </is>
      </c>
      <c r="M653" t="inlineStr">
        <is>
          <t>Estacionamiento</t>
        </is>
      </c>
      <c r="N653" t="inlineStr">
        <is>
          <t>E 11</t>
        </is>
      </c>
      <c r="O653" t="n">
        <v>12.5</v>
      </c>
      <c r="P653" t="n">
        <v>0</v>
      </c>
      <c r="Q653" s="39" t="n">
        <v>47500</v>
      </c>
      <c r="R653" s="39" t="n">
        <v>47500</v>
      </c>
      <c r="S653" t="inlineStr">
        <is>
          <t>Edificio</t>
        </is>
      </c>
      <c r="T653" t="inlineStr">
        <is>
          <t>A</t>
        </is>
      </c>
      <c r="U653" t="inlineStr">
        <is>
          <t>Depósito</t>
        </is>
      </c>
      <c r="V653" t="inlineStr">
        <is>
          <t>D 06</t>
        </is>
      </c>
      <c r="W653" t="n">
        <v>6</v>
      </c>
      <c r="X653" t="n">
        <v>0</v>
      </c>
      <c r="Y653" s="39" t="n">
        <v>21700</v>
      </c>
      <c r="Z653" s="39" t="n">
        <v>21700</v>
      </c>
      <c r="AA653" t="inlineStr">
        <is>
          <t>Edificio</t>
        </is>
      </c>
      <c r="AB653" t="inlineStr">
        <is>
          <t>A</t>
        </is>
      </c>
      <c r="AC653" t="inlineStr">
        <is>
          <t>Depósito</t>
        </is>
      </c>
      <c r="AD653" t="inlineStr">
        <is>
          <t>D 07</t>
        </is>
      </c>
      <c r="AE653" t="n">
        <v>2.62</v>
      </c>
      <c r="AF653" t="n">
        <v>0</v>
      </c>
      <c r="AG653" s="39" t="n">
        <v>9500</v>
      </c>
      <c r="AH653" s="39" t="n">
        <v>9500</v>
      </c>
      <c r="AI653" t="inlineStr">
        <is>
          <t>PABLO JAIME CORNEJO PEREDA</t>
        </is>
      </c>
      <c r="AJ653" t="inlineStr">
        <is>
          <t>07763504</t>
        </is>
      </c>
      <c r="AK653" t="inlineStr">
        <is>
          <t>Lima - Lima - San Miguel - Jr. Simon Bolivar 105 Dpto 1201</t>
        </is>
      </c>
      <c r="AM653" t="inlineStr">
        <is>
          <t>998912031</t>
        </is>
      </c>
      <c r="AN653" t="inlineStr">
        <is>
          <t>pablocornejo@yahoo.com</t>
        </is>
      </c>
      <c r="AO653" t="inlineStr">
        <is>
          <t>LIMA</t>
        </is>
      </c>
      <c r="AP653" t="inlineStr">
        <is>
          <t>SAN MIGUEL</t>
        </is>
      </c>
      <c r="AQ653" s="75" t="n">
        <v>46258.47361111111</v>
      </c>
      <c r="AR653" s="75" t="n">
        <v>46004</v>
      </c>
      <c r="AS653" t="inlineStr">
        <is>
          <t>SALDO FINANCIAR</t>
        </is>
      </c>
      <c r="AT653" t="n">
        <v>8</v>
      </c>
      <c r="AU653" t="n">
        <v>0</v>
      </c>
      <c r="AV653" t="n">
        <v>0</v>
      </c>
      <c r="AW653" t="n">
        <v>0</v>
      </c>
      <c r="AX653" s="39" t="n">
        <v>0</v>
      </c>
      <c r="AY653" s="39" t="n">
        <v>21168</v>
      </c>
      <c r="AZ653" s="39" t="n">
        <v>0</v>
      </c>
      <c r="BA653" t="n">
        <v>0</v>
      </c>
      <c r="BB653" t="inlineStr">
        <is>
          <t>Crédito Directo</t>
        </is>
      </c>
      <c r="BC653" t="inlineStr">
        <is>
          <t>Banco de Credito del Perú</t>
        </is>
      </c>
      <c r="BD653" t="inlineStr">
        <is>
          <t>194-7325779-0-65</t>
        </is>
      </c>
      <c r="BE653" t="inlineStr">
        <is>
          <t>TRANSFERENCIA BANCARIA</t>
        </is>
      </c>
      <c r="BG653" t="inlineStr">
        <is>
          <t>0954794</t>
        </is>
      </c>
      <c r="BH653" t="inlineStr">
        <is>
          <t>No</t>
        </is>
      </c>
      <c r="BJ653" t="n">
        <v>4</v>
      </c>
      <c r="BK653" t="inlineStr">
        <is>
          <t>VENCIDO</t>
        </is>
      </c>
      <c r="BV653" t="inlineStr">
        <is>
          <t>Si</t>
        </is>
      </c>
      <c r="BW653" s="76" t="n">
        <v>45761.40694444445</v>
      </c>
      <c r="BX653" t="inlineStr">
        <is>
          <t>Carla Michue M</t>
        </is>
      </c>
      <c r="BZ653" t="n">
        <v>38</v>
      </c>
      <c r="CA653" t="inlineStr">
        <is>
          <t>20/08/2026 08:18</t>
        </is>
      </c>
      <c r="CB653" t="n">
        <v>0</v>
      </c>
      <c r="CF653" t="inlineStr">
        <is>
          <t>Cobranzas_2026.csv</t>
        </is>
      </c>
      <c r="CG653" t="n">
        <v>2026</v>
      </c>
      <c r="CH653" t="inlineStr">
        <is>
          <t>01/01/2024</t>
        </is>
      </c>
      <c r="CI653" t="inlineStr">
        <is>
          <t>24/08/2031</t>
        </is>
      </c>
    </row>
    <row r="654">
      <c r="A654" t="inlineStr">
        <is>
          <t>RESIDENCIAL BEYOND</t>
        </is>
      </c>
      <c r="B654" t="inlineStr">
        <is>
          <t>Etapa 1</t>
        </is>
      </c>
      <c r="C654" t="inlineStr">
        <is>
          <t>Edificio</t>
        </is>
      </c>
      <c r="D654" t="inlineStr">
        <is>
          <t>A</t>
        </is>
      </c>
      <c r="E654" t="inlineStr">
        <is>
          <t>Departamento</t>
        </is>
      </c>
      <c r="F654" t="inlineStr">
        <is>
          <t>604</t>
        </is>
      </c>
      <c r="G654" t="n">
        <v>67</v>
      </c>
      <c r="H654" t="n">
        <v>0</v>
      </c>
      <c r="I654" s="39" t="n">
        <v>460000</v>
      </c>
      <c r="J654" s="39" t="n">
        <v>460000</v>
      </c>
      <c r="K654" t="inlineStr">
        <is>
          <t>Edificio</t>
        </is>
      </c>
      <c r="L654" t="inlineStr">
        <is>
          <t>A</t>
        </is>
      </c>
      <c r="M654" t="inlineStr">
        <is>
          <t>Estacionamiento</t>
        </is>
      </c>
      <c r="N654" t="inlineStr">
        <is>
          <t>E 11</t>
        </is>
      </c>
      <c r="O654" t="n">
        <v>12.5</v>
      </c>
      <c r="P654" t="n">
        <v>0</v>
      </c>
      <c r="Q654" s="39" t="n">
        <v>47500</v>
      </c>
      <c r="R654" s="39" t="n">
        <v>47500</v>
      </c>
      <c r="S654" t="inlineStr">
        <is>
          <t>Edificio</t>
        </is>
      </c>
      <c r="T654" t="inlineStr">
        <is>
          <t>A</t>
        </is>
      </c>
      <c r="U654" t="inlineStr">
        <is>
          <t>Depósito</t>
        </is>
      </c>
      <c r="V654" t="inlineStr">
        <is>
          <t>D 06</t>
        </is>
      </c>
      <c r="W654" t="n">
        <v>6</v>
      </c>
      <c r="X654" t="n">
        <v>0</v>
      </c>
      <c r="Y654" s="39" t="n">
        <v>21700</v>
      </c>
      <c r="Z654" s="39" t="n">
        <v>21700</v>
      </c>
      <c r="AA654" t="inlineStr">
        <is>
          <t>Edificio</t>
        </is>
      </c>
      <c r="AB654" t="inlineStr">
        <is>
          <t>A</t>
        </is>
      </c>
      <c r="AC654" t="inlineStr">
        <is>
          <t>Depósito</t>
        </is>
      </c>
      <c r="AD654" t="inlineStr">
        <is>
          <t>D 07</t>
        </is>
      </c>
      <c r="AE654" t="n">
        <v>2.62</v>
      </c>
      <c r="AF654" t="n">
        <v>0</v>
      </c>
      <c r="AG654" s="39" t="n">
        <v>9500</v>
      </c>
      <c r="AH654" s="39" t="n">
        <v>9500</v>
      </c>
      <c r="AI654" t="inlineStr">
        <is>
          <t>PABLO JAIME CORNEJO PEREDA</t>
        </is>
      </c>
      <c r="AJ654" t="inlineStr">
        <is>
          <t>07763504</t>
        </is>
      </c>
      <c r="AK654" t="inlineStr">
        <is>
          <t>Lima - Lima - San Miguel - Jr. Simon Bolivar 105 Dpto 1201</t>
        </is>
      </c>
      <c r="AM654" t="inlineStr">
        <is>
          <t>998912031</t>
        </is>
      </c>
      <c r="AN654" t="inlineStr">
        <is>
          <t>pablocornejo@yahoo.com</t>
        </is>
      </c>
      <c r="AO654" t="inlineStr">
        <is>
          <t>LIMA</t>
        </is>
      </c>
      <c r="AP654" t="inlineStr">
        <is>
          <t>SAN MIGUEL</t>
        </is>
      </c>
      <c r="AQ654" s="75" t="n">
        <v>46258.47361111111</v>
      </c>
      <c r="AR654" s="75" t="n">
        <v>46004</v>
      </c>
      <c r="AS654" t="inlineStr">
        <is>
          <t>SALDO FINANCIAR</t>
        </is>
      </c>
      <c r="AT654" t="n">
        <v>8</v>
      </c>
      <c r="AU654" t="n">
        <v>0</v>
      </c>
      <c r="AV654" t="n">
        <v>0</v>
      </c>
      <c r="AW654" t="n">
        <v>0</v>
      </c>
      <c r="AX654" s="39" t="n">
        <v>0</v>
      </c>
      <c r="AY654" s="39" t="n">
        <v>21168</v>
      </c>
      <c r="AZ654" s="39" t="n">
        <v>0</v>
      </c>
      <c r="BA654" t="n">
        <v>0</v>
      </c>
      <c r="BB654" t="inlineStr">
        <is>
          <t>Crédito Directo</t>
        </is>
      </c>
      <c r="BC654" t="inlineStr">
        <is>
          <t>Banco de Credito del Perú</t>
        </is>
      </c>
      <c r="BD654" t="inlineStr">
        <is>
          <t>194-7325779-0-65</t>
        </is>
      </c>
      <c r="BE654" t="inlineStr">
        <is>
          <t>TRANSFERENCIA BANCARIA</t>
        </is>
      </c>
      <c r="BG654" t="inlineStr">
        <is>
          <t>0957377</t>
        </is>
      </c>
      <c r="BH654" t="inlineStr">
        <is>
          <t>No</t>
        </is>
      </c>
      <c r="BJ654" t="n">
        <v>4</v>
      </c>
      <c r="BK654" t="inlineStr">
        <is>
          <t>VENCIDO</t>
        </is>
      </c>
      <c r="BV654" t="inlineStr">
        <is>
          <t>Si</t>
        </is>
      </c>
      <c r="BW654" s="76" t="n">
        <v>45761.40694444445</v>
      </c>
      <c r="BX654" t="inlineStr">
        <is>
          <t>Carla Michue M</t>
        </is>
      </c>
      <c r="BZ654" t="n">
        <v>38</v>
      </c>
      <c r="CA654" t="inlineStr">
        <is>
          <t>20/08/2026 08:18</t>
        </is>
      </c>
      <c r="CB654" t="n">
        <v>0</v>
      </c>
      <c r="CF654" t="inlineStr">
        <is>
          <t>Cobranzas_2026.csv</t>
        </is>
      </c>
      <c r="CG654" t="n">
        <v>2026</v>
      </c>
      <c r="CH654" t="inlineStr">
        <is>
          <t>01/01/2024</t>
        </is>
      </c>
      <c r="CI654" t="inlineStr">
        <is>
          <t>24/08/2031</t>
        </is>
      </c>
    </row>
    <row r="655">
      <c r="A655" t="inlineStr">
        <is>
          <t>RESIDENCIAL BEYOND</t>
        </is>
      </c>
      <c r="B655" t="inlineStr">
        <is>
          <t>Etapa 1</t>
        </is>
      </c>
      <c r="C655" t="inlineStr">
        <is>
          <t>Edificio</t>
        </is>
      </c>
      <c r="D655" t="inlineStr">
        <is>
          <t>A</t>
        </is>
      </c>
      <c r="E655" t="inlineStr">
        <is>
          <t>Departamento</t>
        </is>
      </c>
      <c r="F655" t="inlineStr">
        <is>
          <t>604</t>
        </is>
      </c>
      <c r="G655" t="n">
        <v>67</v>
      </c>
      <c r="H655" t="n">
        <v>0</v>
      </c>
      <c r="I655" s="39" t="n">
        <v>460000</v>
      </c>
      <c r="J655" s="39" t="n">
        <v>460000</v>
      </c>
      <c r="K655" t="inlineStr">
        <is>
          <t>Edificio</t>
        </is>
      </c>
      <c r="L655" t="inlineStr">
        <is>
          <t>A</t>
        </is>
      </c>
      <c r="M655" t="inlineStr">
        <is>
          <t>Estacionamiento</t>
        </is>
      </c>
      <c r="N655" t="inlineStr">
        <is>
          <t>E 11</t>
        </is>
      </c>
      <c r="O655" t="n">
        <v>12.5</v>
      </c>
      <c r="P655" t="n">
        <v>0</v>
      </c>
      <c r="Q655" s="39" t="n">
        <v>47500</v>
      </c>
      <c r="R655" s="39" t="n">
        <v>47500</v>
      </c>
      <c r="S655" t="inlineStr">
        <is>
          <t>Edificio</t>
        </is>
      </c>
      <c r="T655" t="inlineStr">
        <is>
          <t>A</t>
        </is>
      </c>
      <c r="U655" t="inlineStr">
        <is>
          <t>Depósito</t>
        </is>
      </c>
      <c r="V655" t="inlineStr">
        <is>
          <t>D 06</t>
        </is>
      </c>
      <c r="W655" t="n">
        <v>6</v>
      </c>
      <c r="X655" t="n">
        <v>0</v>
      </c>
      <c r="Y655" s="39" t="n">
        <v>21700</v>
      </c>
      <c r="Z655" s="39" t="n">
        <v>21700</v>
      </c>
      <c r="AA655" t="inlineStr">
        <is>
          <t>Edificio</t>
        </is>
      </c>
      <c r="AB655" t="inlineStr">
        <is>
          <t>A</t>
        </is>
      </c>
      <c r="AC655" t="inlineStr">
        <is>
          <t>Depósito</t>
        </is>
      </c>
      <c r="AD655" t="inlineStr">
        <is>
          <t>D 07</t>
        </is>
      </c>
      <c r="AE655" t="n">
        <v>2.62</v>
      </c>
      <c r="AF655" t="n">
        <v>0</v>
      </c>
      <c r="AG655" s="39" t="n">
        <v>9500</v>
      </c>
      <c r="AH655" s="39" t="n">
        <v>9500</v>
      </c>
      <c r="AI655" t="inlineStr">
        <is>
          <t>PABLO JAIME CORNEJO PEREDA</t>
        </is>
      </c>
      <c r="AJ655" t="inlineStr">
        <is>
          <t>07763504</t>
        </is>
      </c>
      <c r="AK655" t="inlineStr">
        <is>
          <t>Lima - Lima - San Miguel - Jr. Simon Bolivar 105 Dpto 1201</t>
        </is>
      </c>
      <c r="AM655" t="inlineStr">
        <is>
          <t>998912031</t>
        </is>
      </c>
      <c r="AN655" t="inlineStr">
        <is>
          <t>pablocornejo@yahoo.com</t>
        </is>
      </c>
      <c r="AO655" t="inlineStr">
        <is>
          <t>LIMA</t>
        </is>
      </c>
      <c r="AP655" t="inlineStr">
        <is>
          <t>SAN MIGUEL</t>
        </is>
      </c>
      <c r="AQ655" s="75" t="n">
        <v>46258.47361111111</v>
      </c>
      <c r="AR655" s="75" t="n">
        <v>46004</v>
      </c>
      <c r="AS655" t="inlineStr">
        <is>
          <t>SALDO FINANCIAR</t>
        </is>
      </c>
      <c r="AT655" t="n">
        <v>8</v>
      </c>
      <c r="AU655" t="n">
        <v>0</v>
      </c>
      <c r="AV655" t="n">
        <v>0</v>
      </c>
      <c r="AW655" t="n">
        <v>0</v>
      </c>
      <c r="AX655" s="39" t="n">
        <v>0</v>
      </c>
      <c r="AY655" s="39" t="n">
        <v>21168</v>
      </c>
      <c r="AZ655" s="39" t="n">
        <v>0</v>
      </c>
      <c r="BA655" t="n">
        <v>0</v>
      </c>
      <c r="BB655" t="inlineStr">
        <is>
          <t>Crédito Directo</t>
        </is>
      </c>
      <c r="BC655" t="inlineStr">
        <is>
          <t>Banco de Credito del Perú</t>
        </is>
      </c>
      <c r="BD655" t="inlineStr">
        <is>
          <t>194-7325779-0-65</t>
        </is>
      </c>
      <c r="BE655" t="inlineStr">
        <is>
          <t>TRANSFERENCIA BANCARIA</t>
        </is>
      </c>
      <c r="BG655" t="inlineStr">
        <is>
          <t>0959126</t>
        </is>
      </c>
      <c r="BH655" t="inlineStr">
        <is>
          <t>No</t>
        </is>
      </c>
      <c r="BJ655" t="n">
        <v>4</v>
      </c>
      <c r="BK655" t="inlineStr">
        <is>
          <t>VENCIDO</t>
        </is>
      </c>
      <c r="BV655" t="inlineStr">
        <is>
          <t>Si</t>
        </is>
      </c>
      <c r="BW655" s="76" t="n">
        <v>45761.40694444445</v>
      </c>
      <c r="BX655" t="inlineStr">
        <is>
          <t>Carla Michue M</t>
        </is>
      </c>
      <c r="BZ655" t="n">
        <v>38</v>
      </c>
      <c r="CA655" t="inlineStr">
        <is>
          <t>20/08/2026 08:19</t>
        </is>
      </c>
      <c r="CB655" t="n">
        <v>0</v>
      </c>
      <c r="CF655" t="inlineStr">
        <is>
          <t>Cobranzas_2026.csv</t>
        </is>
      </c>
      <c r="CG655" t="n">
        <v>2026</v>
      </c>
      <c r="CH655" t="inlineStr">
        <is>
          <t>01/01/2024</t>
        </is>
      </c>
      <c r="CI655" t="inlineStr">
        <is>
          <t>24/08/2031</t>
        </is>
      </c>
    </row>
    <row r="656">
      <c r="A656" t="inlineStr">
        <is>
          <t>RESIDENCIAL BEYOND</t>
        </is>
      </c>
      <c r="B656" t="inlineStr">
        <is>
          <t>Etapa 1</t>
        </is>
      </c>
      <c r="C656" t="inlineStr">
        <is>
          <t>Edificio</t>
        </is>
      </c>
      <c r="D656" t="inlineStr">
        <is>
          <t>A</t>
        </is>
      </c>
      <c r="E656" t="inlineStr">
        <is>
          <t>Departamento</t>
        </is>
      </c>
      <c r="F656" t="inlineStr">
        <is>
          <t>604</t>
        </is>
      </c>
      <c r="G656" t="n">
        <v>67</v>
      </c>
      <c r="H656" t="n">
        <v>0</v>
      </c>
      <c r="I656" s="39" t="n">
        <v>460000</v>
      </c>
      <c r="J656" s="39" t="n">
        <v>460000</v>
      </c>
      <c r="K656" t="inlineStr">
        <is>
          <t>Edificio</t>
        </is>
      </c>
      <c r="L656" t="inlineStr">
        <is>
          <t>A</t>
        </is>
      </c>
      <c r="M656" t="inlineStr">
        <is>
          <t>Estacionamiento</t>
        </is>
      </c>
      <c r="N656" t="inlineStr">
        <is>
          <t>E 11</t>
        </is>
      </c>
      <c r="O656" t="n">
        <v>12.5</v>
      </c>
      <c r="P656" t="n">
        <v>0</v>
      </c>
      <c r="Q656" s="39" t="n">
        <v>47500</v>
      </c>
      <c r="R656" s="39" t="n">
        <v>47500</v>
      </c>
      <c r="S656" t="inlineStr">
        <is>
          <t>Edificio</t>
        </is>
      </c>
      <c r="T656" t="inlineStr">
        <is>
          <t>A</t>
        </is>
      </c>
      <c r="U656" t="inlineStr">
        <is>
          <t>Depósito</t>
        </is>
      </c>
      <c r="V656" t="inlineStr">
        <is>
          <t>D 06</t>
        </is>
      </c>
      <c r="W656" t="n">
        <v>6</v>
      </c>
      <c r="X656" t="n">
        <v>0</v>
      </c>
      <c r="Y656" s="39" t="n">
        <v>21700</v>
      </c>
      <c r="Z656" s="39" t="n">
        <v>21700</v>
      </c>
      <c r="AA656" t="inlineStr">
        <is>
          <t>Edificio</t>
        </is>
      </c>
      <c r="AB656" t="inlineStr">
        <is>
          <t>A</t>
        </is>
      </c>
      <c r="AC656" t="inlineStr">
        <is>
          <t>Depósito</t>
        </is>
      </c>
      <c r="AD656" t="inlineStr">
        <is>
          <t>D 07</t>
        </is>
      </c>
      <c r="AE656" t="n">
        <v>2.62</v>
      </c>
      <c r="AF656" t="n">
        <v>0</v>
      </c>
      <c r="AG656" s="39" t="n">
        <v>9500</v>
      </c>
      <c r="AH656" s="39" t="n">
        <v>9500</v>
      </c>
      <c r="AI656" t="inlineStr">
        <is>
          <t>PABLO JAIME CORNEJO PEREDA</t>
        </is>
      </c>
      <c r="AJ656" t="inlineStr">
        <is>
          <t>07763504</t>
        </is>
      </c>
      <c r="AK656" t="inlineStr">
        <is>
          <t>Lima - Lima - San Miguel - Jr. Simon Bolivar 105 Dpto 1201</t>
        </is>
      </c>
      <c r="AM656" t="inlineStr">
        <is>
          <t>998912031</t>
        </is>
      </c>
      <c r="AN656" t="inlineStr">
        <is>
          <t>pablocornejo@yahoo.com</t>
        </is>
      </c>
      <c r="AO656" t="inlineStr">
        <is>
          <t>LIMA</t>
        </is>
      </c>
      <c r="AP656" t="inlineStr">
        <is>
          <t>SAN MIGUEL</t>
        </is>
      </c>
      <c r="AQ656" s="75" t="n">
        <v>46258.47361111111</v>
      </c>
      <c r="AR656" s="75" t="n">
        <v>46141</v>
      </c>
      <c r="AS656" t="inlineStr">
        <is>
          <t>SALDO FINANCIAR</t>
        </is>
      </c>
      <c r="AT656" t="n">
        <v>8</v>
      </c>
      <c r="AU656" t="n">
        <v>0</v>
      </c>
      <c r="AV656" t="n">
        <v>0</v>
      </c>
      <c r="AW656" t="n">
        <v>0</v>
      </c>
      <c r="AX656" s="39" t="n">
        <v>0</v>
      </c>
      <c r="AY656" s="39" t="n">
        <v>21168</v>
      </c>
      <c r="AZ656" s="39" t="n">
        <v>0</v>
      </c>
      <c r="BA656" t="n">
        <v>0</v>
      </c>
      <c r="BB656" t="inlineStr">
        <is>
          <t>Crédito Directo</t>
        </is>
      </c>
      <c r="BC656" t="inlineStr">
        <is>
          <t>Banco de Credito del Perú</t>
        </is>
      </c>
      <c r="BD656" t="inlineStr">
        <is>
          <t>194-7325779-0-65</t>
        </is>
      </c>
      <c r="BE656" t="inlineStr">
        <is>
          <t>TRANSFERENCIA BANCARIA</t>
        </is>
      </c>
      <c r="BG656" t="inlineStr">
        <is>
          <t>0449934</t>
        </is>
      </c>
      <c r="BH656" t="inlineStr">
        <is>
          <t>No</t>
        </is>
      </c>
      <c r="BJ656" t="n">
        <v>4</v>
      </c>
      <c r="BK656" t="inlineStr">
        <is>
          <t>VENCIDO</t>
        </is>
      </c>
      <c r="BV656" t="inlineStr">
        <is>
          <t>Si</t>
        </is>
      </c>
      <c r="BW656" s="76" t="n">
        <v>45761.40694444445</v>
      </c>
      <c r="BX656" t="inlineStr">
        <is>
          <t>Carla Michue M</t>
        </is>
      </c>
      <c r="BZ656" t="n">
        <v>38</v>
      </c>
      <c r="CA656" t="inlineStr">
        <is>
          <t>20/08/2026 08:19</t>
        </is>
      </c>
      <c r="CB656" t="n">
        <v>0</v>
      </c>
      <c r="CF656" t="inlineStr">
        <is>
          <t>Cobranzas_2026.csv</t>
        </is>
      </c>
      <c r="CG656" t="n">
        <v>2026</v>
      </c>
      <c r="CH656" t="inlineStr">
        <is>
          <t>01/01/2024</t>
        </is>
      </c>
      <c r="CI656" t="inlineStr">
        <is>
          <t>24/08/2031</t>
        </is>
      </c>
    </row>
    <row r="657">
      <c r="A657" t="inlineStr">
        <is>
          <t>RESIDENCIAL VENECIA</t>
        </is>
      </c>
      <c r="B657" t="inlineStr">
        <is>
          <t>Etapa 1</t>
        </is>
      </c>
      <c r="C657" t="inlineStr">
        <is>
          <t>Edificio</t>
        </is>
      </c>
      <c r="D657" t="inlineStr">
        <is>
          <t>A</t>
        </is>
      </c>
      <c r="E657" t="inlineStr">
        <is>
          <t>Departamento</t>
        </is>
      </c>
      <c r="F657" t="inlineStr">
        <is>
          <t>302</t>
        </is>
      </c>
      <c r="G657" t="n">
        <v>83</v>
      </c>
      <c r="H657" t="n">
        <v>0</v>
      </c>
      <c r="I657" s="39" t="n">
        <v>623000</v>
      </c>
      <c r="J657" s="39" t="n">
        <v>600000</v>
      </c>
      <c r="Q657" s="39" t="n"/>
      <c r="R657" s="39" t="n"/>
      <c r="Y657" s="39" t="n"/>
      <c r="Z657" s="39" t="n"/>
      <c r="AG657" s="39" t="n"/>
      <c r="AH657" s="39" t="n"/>
      <c r="AI657" t="inlineStr">
        <is>
          <t>Patricia Salazar Aparcana</t>
        </is>
      </c>
      <c r="AJ657" t="inlineStr">
        <is>
          <t>10142891</t>
        </is>
      </c>
      <c r="AK657" t="inlineStr">
        <is>
          <t xml:space="preserve"> Jr. Manco segundo 2258 dpto 207</t>
        </is>
      </c>
      <c r="AL657" t="n">
        <v>0</v>
      </c>
      <c r="AM657" t="inlineStr">
        <is>
          <t>996611448</t>
        </is>
      </c>
      <c r="AN657" t="inlineStr">
        <is>
          <t>PATRICIASALAZAR25@HOTMAIL.COM</t>
        </is>
      </c>
      <c r="AO657" t="inlineStr">
        <is>
          <t>LIMA</t>
        </is>
      </c>
      <c r="AP657" t="inlineStr">
        <is>
          <t>LINCE</t>
        </is>
      </c>
      <c r="AQ657" s="75" t="n">
        <v>46109</v>
      </c>
      <c r="AR657" s="75" t="n">
        <v>46109</v>
      </c>
      <c r="AS657" t="inlineStr">
        <is>
          <t>SEPARACION</t>
        </is>
      </c>
      <c r="AT657" t="n">
        <v>1</v>
      </c>
      <c r="AU657" t="n">
        <v>3000</v>
      </c>
      <c r="AV657" t="n">
        <v>0</v>
      </c>
      <c r="AW657" t="n">
        <v>0</v>
      </c>
      <c r="AX657" s="39" t="n">
        <v>3000</v>
      </c>
      <c r="AY657" s="39" t="n">
        <v>3000</v>
      </c>
      <c r="AZ657" s="39" t="n">
        <v>0</v>
      </c>
      <c r="BA657" t="n">
        <v>0</v>
      </c>
      <c r="BB657" t="inlineStr">
        <is>
          <t>Ahorro</t>
        </is>
      </c>
      <c r="BC657" t="inlineStr">
        <is>
          <t>Scotiabank Perú</t>
        </is>
      </c>
      <c r="BD657" t="inlineStr">
        <is>
          <t>0004071419</t>
        </is>
      </c>
      <c r="BE657" t="inlineStr">
        <is>
          <t>POS VISA</t>
        </is>
      </c>
      <c r="BG657" t="inlineStr">
        <is>
          <t>575319</t>
        </is>
      </c>
      <c r="BH657" t="inlineStr">
        <is>
          <t>Si</t>
        </is>
      </c>
      <c r="BI657" t="inlineStr">
        <is>
          <t>AHORROS PERSONALES</t>
        </is>
      </c>
      <c r="BJ657" t="n">
        <v>4</v>
      </c>
      <c r="BK657" t="inlineStr">
        <is>
          <t>CANCELADO</t>
        </is>
      </c>
      <c r="BV657" t="inlineStr">
        <is>
          <t>Si</t>
        </is>
      </c>
      <c r="BW657" s="76" t="n">
        <v>46081.33819444444</v>
      </c>
      <c r="BX657" t="inlineStr">
        <is>
          <t>Magaly Guevara Perez</t>
        </is>
      </c>
      <c r="BZ657" t="n">
        <v>1</v>
      </c>
      <c r="CA657" t="inlineStr">
        <is>
          <t>28/03/2026 21:25</t>
        </is>
      </c>
      <c r="CB657" t="n">
        <v>0</v>
      </c>
      <c r="CF657" t="inlineStr">
        <is>
          <t>Cobranzas_2026.csv</t>
        </is>
      </c>
      <c r="CG657" t="n">
        <v>2026</v>
      </c>
      <c r="CH657" t="inlineStr">
        <is>
          <t>01/01/2024</t>
        </is>
      </c>
      <c r="CI657" t="inlineStr">
        <is>
          <t>24/08/2031</t>
        </is>
      </c>
    </row>
    <row r="658">
      <c r="A658" t="inlineStr">
        <is>
          <t>RESIDENCIAL VENECIA</t>
        </is>
      </c>
      <c r="B658" t="inlineStr">
        <is>
          <t>Etapa 1</t>
        </is>
      </c>
      <c r="C658" t="inlineStr">
        <is>
          <t>Edificio</t>
        </is>
      </c>
      <c r="D658" t="inlineStr">
        <is>
          <t>A</t>
        </is>
      </c>
      <c r="E658" t="inlineStr">
        <is>
          <t>Departamento</t>
        </is>
      </c>
      <c r="F658" t="inlineStr">
        <is>
          <t>302</t>
        </is>
      </c>
      <c r="G658" t="n">
        <v>83</v>
      </c>
      <c r="H658" t="n">
        <v>0</v>
      </c>
      <c r="I658" s="39" t="n">
        <v>623000</v>
      </c>
      <c r="J658" s="39" t="n">
        <v>600000</v>
      </c>
      <c r="Q658" s="39" t="n"/>
      <c r="R658" s="39" t="n"/>
      <c r="Y658" s="39" t="n"/>
      <c r="Z658" s="39" t="n"/>
      <c r="AG658" s="39" t="n"/>
      <c r="AH658" s="39" t="n"/>
      <c r="AI658" t="inlineStr">
        <is>
          <t>Patricia Salazar Aparcana</t>
        </is>
      </c>
      <c r="AJ658" t="inlineStr">
        <is>
          <t>10142891</t>
        </is>
      </c>
      <c r="AK658" t="inlineStr">
        <is>
          <t xml:space="preserve"> Jr. Manco segundo 2258 dpto 207</t>
        </is>
      </c>
      <c r="AL658" t="n">
        <v>0</v>
      </c>
      <c r="AM658" t="inlineStr">
        <is>
          <t>996611448</t>
        </is>
      </c>
      <c r="AN658" t="inlineStr">
        <is>
          <t>PATRICIASALAZAR25@HOTMAIL.COM</t>
        </is>
      </c>
      <c r="AO658" t="inlineStr">
        <is>
          <t>LIMA</t>
        </is>
      </c>
      <c r="AP658" t="inlineStr">
        <is>
          <t>LINCE</t>
        </is>
      </c>
      <c r="AQ658" s="75" t="n">
        <v>46081</v>
      </c>
      <c r="AR658" s="75" t="n">
        <v>46081</v>
      </c>
      <c r="AS658" t="inlineStr">
        <is>
          <t>CUOTA INICIAL</t>
        </is>
      </c>
      <c r="AT658" t="n">
        <v>1</v>
      </c>
      <c r="AU658" t="n">
        <v>10000</v>
      </c>
      <c r="AV658" t="n">
        <v>0</v>
      </c>
      <c r="AW658" t="n">
        <v>0</v>
      </c>
      <c r="AX658" s="39" t="n">
        <v>10000</v>
      </c>
      <c r="AY658" s="39" t="n">
        <v>10000</v>
      </c>
      <c r="AZ658" s="39" t="n">
        <v>0</v>
      </c>
      <c r="BA658" t="n">
        <v>0</v>
      </c>
      <c r="BB658" t="inlineStr">
        <is>
          <t>Ahorro</t>
        </is>
      </c>
      <c r="BC658" t="inlineStr">
        <is>
          <t>Scotiabank Perú</t>
        </is>
      </c>
      <c r="BD658" t="inlineStr">
        <is>
          <t>0004071419</t>
        </is>
      </c>
      <c r="BE658" t="inlineStr">
        <is>
          <t>TRANSFERENCIA BANCARIA</t>
        </is>
      </c>
      <c r="BG658" t="inlineStr">
        <is>
          <t>00378339</t>
        </is>
      </c>
      <c r="BH658" t="inlineStr">
        <is>
          <t>No</t>
        </is>
      </c>
      <c r="BI658" t="inlineStr">
        <is>
          <t>AHORROS PERSONALES</t>
        </is>
      </c>
      <c r="BJ658" t="n">
        <v>4</v>
      </c>
      <c r="BK658" t="inlineStr">
        <is>
          <t>CANCELADO</t>
        </is>
      </c>
      <c r="BV658" t="inlineStr">
        <is>
          <t>Si</t>
        </is>
      </c>
      <c r="BW658" s="76" t="n">
        <v>46081.33819444444</v>
      </c>
      <c r="BX658" t="inlineStr">
        <is>
          <t>Magaly Guevara Perez</t>
        </is>
      </c>
      <c r="BZ658" t="n">
        <v>1</v>
      </c>
      <c r="CA658" t="inlineStr">
        <is>
          <t>29/03/2026 17:29</t>
        </is>
      </c>
      <c r="CB658" t="n">
        <v>0</v>
      </c>
      <c r="CF658" t="inlineStr">
        <is>
          <t>Cobranzas_2026.csv</t>
        </is>
      </c>
      <c r="CG658" t="n">
        <v>2026</v>
      </c>
      <c r="CH658" t="inlineStr">
        <is>
          <t>01/01/2024</t>
        </is>
      </c>
      <c r="CI658" t="inlineStr">
        <is>
          <t>24/08/2031</t>
        </is>
      </c>
    </row>
    <row r="659">
      <c r="A659" t="inlineStr">
        <is>
          <t>RESIDENCIAL VENECIA</t>
        </is>
      </c>
      <c r="B659" t="inlineStr">
        <is>
          <t>Etapa 1</t>
        </is>
      </c>
      <c r="C659" t="inlineStr">
        <is>
          <t>Edificio</t>
        </is>
      </c>
      <c r="D659" t="inlineStr">
        <is>
          <t>A</t>
        </is>
      </c>
      <c r="E659" t="inlineStr">
        <is>
          <t>Departamento</t>
        </is>
      </c>
      <c r="F659" t="inlineStr">
        <is>
          <t>302</t>
        </is>
      </c>
      <c r="G659" t="n">
        <v>83</v>
      </c>
      <c r="H659" t="n">
        <v>0</v>
      </c>
      <c r="I659" s="39" t="n">
        <v>623000</v>
      </c>
      <c r="J659" s="39" t="n">
        <v>600000</v>
      </c>
      <c r="Q659" s="39" t="n"/>
      <c r="R659" s="39" t="n"/>
      <c r="Y659" s="39" t="n"/>
      <c r="Z659" s="39" t="n"/>
      <c r="AG659" s="39" t="n"/>
      <c r="AH659" s="39" t="n"/>
      <c r="AI659" t="inlineStr">
        <is>
          <t>Patricia Salazar Aparcana</t>
        </is>
      </c>
      <c r="AJ659" t="inlineStr">
        <is>
          <t>10142891</t>
        </is>
      </c>
      <c r="AK659" t="inlineStr">
        <is>
          <t xml:space="preserve"> Jr. Manco segundo 2258 dpto 207</t>
        </is>
      </c>
      <c r="AL659" t="n">
        <v>0</v>
      </c>
      <c r="AM659" t="inlineStr">
        <is>
          <t>996611448</t>
        </is>
      </c>
      <c r="AN659" t="inlineStr">
        <is>
          <t>PATRICIASALAZAR25@HOTMAIL.COM</t>
        </is>
      </c>
      <c r="AO659" t="inlineStr">
        <is>
          <t>LIMA</t>
        </is>
      </c>
      <c r="AP659" t="inlineStr">
        <is>
          <t>LINCE</t>
        </is>
      </c>
      <c r="AQ659" s="75" t="n">
        <v>46109</v>
      </c>
      <c r="AR659" s="75" t="n">
        <v>46109</v>
      </c>
      <c r="AS659" t="inlineStr">
        <is>
          <t>CUOTA INICIAL</t>
        </is>
      </c>
      <c r="AT659" t="n">
        <v>2</v>
      </c>
      <c r="AU659" t="n">
        <v>7000</v>
      </c>
      <c r="AV659" t="n">
        <v>0</v>
      </c>
      <c r="AW659" t="n">
        <v>0</v>
      </c>
      <c r="AX659" s="39" t="n">
        <v>7000</v>
      </c>
      <c r="AY659" s="39" t="n">
        <v>7000</v>
      </c>
      <c r="AZ659" s="39" t="n">
        <v>0</v>
      </c>
      <c r="BA659" t="n">
        <v>0</v>
      </c>
      <c r="BB659" t="inlineStr">
        <is>
          <t>Ahorro</t>
        </is>
      </c>
      <c r="BC659" t="inlineStr">
        <is>
          <t>Scotiabank Perú</t>
        </is>
      </c>
      <c r="BD659" t="inlineStr">
        <is>
          <t>0004071419</t>
        </is>
      </c>
      <c r="BE659" t="inlineStr">
        <is>
          <t>TRANSFERENCIA BANCARIA</t>
        </is>
      </c>
      <c r="BG659" t="inlineStr">
        <is>
          <t>00602289</t>
        </is>
      </c>
      <c r="BH659" t="inlineStr">
        <is>
          <t>Si</t>
        </is>
      </c>
      <c r="BI659" t="inlineStr">
        <is>
          <t>AHORROS PERSONALES</t>
        </is>
      </c>
      <c r="BJ659" t="n">
        <v>4</v>
      </c>
      <c r="BK659" t="inlineStr">
        <is>
          <t>CANCELADO</t>
        </is>
      </c>
      <c r="BV659" t="inlineStr">
        <is>
          <t>Si</t>
        </is>
      </c>
      <c r="BW659" s="76" t="n">
        <v>46081.33819444444</v>
      </c>
      <c r="BX659" t="inlineStr">
        <is>
          <t>Magaly Guevara Perez</t>
        </is>
      </c>
      <c r="BZ659" t="n">
        <v>1</v>
      </c>
      <c r="CA659" t="inlineStr">
        <is>
          <t>29/03/2026 17:40</t>
        </is>
      </c>
      <c r="CB659" t="n">
        <v>0</v>
      </c>
      <c r="CF659" t="inlineStr">
        <is>
          <t>Cobranzas_2026.csv</t>
        </is>
      </c>
      <c r="CG659" t="n">
        <v>2026</v>
      </c>
      <c r="CH659" t="inlineStr">
        <is>
          <t>01/01/2024</t>
        </is>
      </c>
      <c r="CI659" t="inlineStr">
        <is>
          <t>24/08/2031</t>
        </is>
      </c>
    </row>
    <row r="660">
      <c r="A660" t="inlineStr">
        <is>
          <t>RESIDENCIAL VENECIA</t>
        </is>
      </c>
      <c r="B660" t="inlineStr">
        <is>
          <t>Etapa 1</t>
        </is>
      </c>
      <c r="C660" t="inlineStr">
        <is>
          <t>Edificio</t>
        </is>
      </c>
      <c r="D660" t="inlineStr">
        <is>
          <t>A</t>
        </is>
      </c>
      <c r="E660" t="inlineStr">
        <is>
          <t>Departamento</t>
        </is>
      </c>
      <c r="F660" t="inlineStr">
        <is>
          <t>302</t>
        </is>
      </c>
      <c r="G660" t="n">
        <v>83</v>
      </c>
      <c r="H660" t="n">
        <v>0</v>
      </c>
      <c r="I660" s="39" t="n">
        <v>623000</v>
      </c>
      <c r="J660" s="39" t="n">
        <v>600000</v>
      </c>
      <c r="Q660" s="39" t="n"/>
      <c r="R660" s="39" t="n"/>
      <c r="Y660" s="39" t="n"/>
      <c r="Z660" s="39" t="n"/>
      <c r="AG660" s="39" t="n"/>
      <c r="AH660" s="39" t="n"/>
      <c r="AI660" t="inlineStr">
        <is>
          <t>Patricia Salazar Aparcana</t>
        </is>
      </c>
      <c r="AJ660" t="inlineStr">
        <is>
          <t>10142891</t>
        </is>
      </c>
      <c r="AK660" t="inlineStr">
        <is>
          <t xml:space="preserve"> Jr. Manco segundo 2258 dpto 207</t>
        </is>
      </c>
      <c r="AL660" t="n">
        <v>0</v>
      </c>
      <c r="AM660" t="inlineStr">
        <is>
          <t>996611448</t>
        </is>
      </c>
      <c r="AN660" t="inlineStr">
        <is>
          <t>PATRICIASALAZAR25@HOTMAIL.COM</t>
        </is>
      </c>
      <c r="AO660" t="inlineStr">
        <is>
          <t>LIMA</t>
        </is>
      </c>
      <c r="AP660" t="inlineStr">
        <is>
          <t>LINCE</t>
        </is>
      </c>
      <c r="AQ660" s="75" t="n">
        <v>46201</v>
      </c>
      <c r="AR660" s="75" t="n"/>
      <c r="AS660" t="inlineStr">
        <is>
          <t>CUOTA INICIAL</t>
        </is>
      </c>
      <c r="AT660" t="n">
        <v>3</v>
      </c>
      <c r="AU660" t="n">
        <v>10000</v>
      </c>
      <c r="AV660" t="n">
        <v>0</v>
      </c>
      <c r="AW660" t="n">
        <v>0</v>
      </c>
      <c r="AX660" s="39" t="n">
        <v>10000</v>
      </c>
      <c r="AY660" s="39" t="n">
        <v>0</v>
      </c>
      <c r="AZ660" s="39" t="n">
        <v>10000</v>
      </c>
      <c r="BB660" t="inlineStr">
        <is>
          <t>Ahorro</t>
        </is>
      </c>
      <c r="BH660" t="inlineStr">
        <is>
          <t>No</t>
        </is>
      </c>
      <c r="BK660" t="inlineStr">
        <is>
          <t>VENCIDO</t>
        </is>
      </c>
      <c r="BV660" t="inlineStr">
        <is>
          <t>No</t>
        </is>
      </c>
      <c r="BW660" s="76" t="n">
        <v>46081.33819444444</v>
      </c>
      <c r="BX660" t="inlineStr">
        <is>
          <t>Magaly Guevara Perez</t>
        </is>
      </c>
      <c r="BZ660" t="n">
        <v>1</v>
      </c>
      <c r="CB660" t="n">
        <v>0</v>
      </c>
      <c r="CF660" t="inlineStr">
        <is>
          <t>Cobranzas_2026.csv</t>
        </is>
      </c>
      <c r="CG660" t="n">
        <v>2026</v>
      </c>
      <c r="CH660" t="inlineStr">
        <is>
          <t>01/01/2024</t>
        </is>
      </c>
      <c r="CI660" t="inlineStr">
        <is>
          <t>24/08/2031</t>
        </is>
      </c>
    </row>
    <row r="661">
      <c r="A661" t="inlineStr">
        <is>
          <t>RESIDENCIAL VENECIA</t>
        </is>
      </c>
      <c r="B661" t="inlineStr">
        <is>
          <t>Etapa 1</t>
        </is>
      </c>
      <c r="C661" t="inlineStr">
        <is>
          <t>Edificio</t>
        </is>
      </c>
      <c r="D661" t="inlineStr">
        <is>
          <t>A</t>
        </is>
      </c>
      <c r="E661" t="inlineStr">
        <is>
          <t>Departamento</t>
        </is>
      </c>
      <c r="F661" t="inlineStr">
        <is>
          <t>302</t>
        </is>
      </c>
      <c r="G661" t="n">
        <v>83</v>
      </c>
      <c r="H661" t="n">
        <v>0</v>
      </c>
      <c r="I661" s="39" t="n">
        <v>623000</v>
      </c>
      <c r="J661" s="39" t="n">
        <v>600000</v>
      </c>
      <c r="Q661" s="39" t="n"/>
      <c r="R661" s="39" t="n"/>
      <c r="Y661" s="39" t="n"/>
      <c r="Z661" s="39" t="n"/>
      <c r="AG661" s="39" t="n"/>
      <c r="AH661" s="39" t="n"/>
      <c r="AI661" t="inlineStr">
        <is>
          <t>Patricia Salazar Aparcana</t>
        </is>
      </c>
      <c r="AJ661" t="inlineStr">
        <is>
          <t>10142891</t>
        </is>
      </c>
      <c r="AK661" t="inlineStr">
        <is>
          <t xml:space="preserve"> Jr. Manco segundo 2258 dpto 207</t>
        </is>
      </c>
      <c r="AL661" t="n">
        <v>0</v>
      </c>
      <c r="AM661" t="inlineStr">
        <is>
          <t>996611448</t>
        </is>
      </c>
      <c r="AN661" t="inlineStr">
        <is>
          <t>PATRICIASALAZAR25@HOTMAIL.COM</t>
        </is>
      </c>
      <c r="AO661" t="inlineStr">
        <is>
          <t>LIMA</t>
        </is>
      </c>
      <c r="AP661" t="inlineStr">
        <is>
          <t>LINCE</t>
        </is>
      </c>
      <c r="AQ661" s="75" t="n">
        <v>46265</v>
      </c>
      <c r="AR661" s="75" t="n"/>
      <c r="AS661" t="inlineStr">
        <is>
          <t>CUOTA INICIAL</t>
        </is>
      </c>
      <c r="AT661" t="n">
        <v>4</v>
      </c>
      <c r="AU661" t="n">
        <v>30000</v>
      </c>
      <c r="AV661" t="n">
        <v>0</v>
      </c>
      <c r="AW661" t="n">
        <v>0</v>
      </c>
      <c r="AX661" s="39" t="n">
        <v>30000</v>
      </c>
      <c r="AY661" s="39" t="n">
        <v>0</v>
      </c>
      <c r="AZ661" s="39" t="n">
        <v>30000</v>
      </c>
      <c r="BB661" t="inlineStr">
        <is>
          <t>Ahorro</t>
        </is>
      </c>
      <c r="BH661" t="inlineStr">
        <is>
          <t>No</t>
        </is>
      </c>
      <c r="BK661" t="inlineStr">
        <is>
          <t>PENDIENTE</t>
        </is>
      </c>
      <c r="BV661" t="inlineStr">
        <is>
          <t>No</t>
        </is>
      </c>
      <c r="BW661" s="76" t="n">
        <v>46081.33819444444</v>
      </c>
      <c r="BX661" t="inlineStr">
        <is>
          <t>Magaly Guevara Perez</t>
        </is>
      </c>
      <c r="BZ661" t="n">
        <v>1</v>
      </c>
      <c r="CB661" t="n">
        <v>0</v>
      </c>
      <c r="CF661" t="inlineStr">
        <is>
          <t>Cobranzas_2026.csv</t>
        </is>
      </c>
      <c r="CG661" t="n">
        <v>2026</v>
      </c>
      <c r="CH661" t="inlineStr">
        <is>
          <t>01/01/2024</t>
        </is>
      </c>
      <c r="CI661" t="inlineStr">
        <is>
          <t>24/08/2031</t>
        </is>
      </c>
    </row>
    <row r="662">
      <c r="A662" t="inlineStr">
        <is>
          <t>RESIDENCIAL PRADA</t>
        </is>
      </c>
      <c r="B662" t="inlineStr">
        <is>
          <t>Etapa 1</t>
        </is>
      </c>
      <c r="C662" t="inlineStr">
        <is>
          <t>Edificio</t>
        </is>
      </c>
      <c r="D662" t="inlineStr">
        <is>
          <t>A</t>
        </is>
      </c>
      <c r="E662" t="inlineStr">
        <is>
          <t>Departamento</t>
        </is>
      </c>
      <c r="F662" t="inlineStr">
        <is>
          <t>503</t>
        </is>
      </c>
      <c r="G662" t="n">
        <v>88</v>
      </c>
      <c r="H662" t="n">
        <v>0</v>
      </c>
      <c r="I662" s="39" t="n">
        <v>660000</v>
      </c>
      <c r="J662" s="39" t="n">
        <v>660000</v>
      </c>
      <c r="Q662" s="39" t="n"/>
      <c r="R662" s="39" t="n"/>
      <c r="Y662" s="39" t="n"/>
      <c r="Z662" s="39" t="n"/>
      <c r="AG662" s="39" t="n"/>
      <c r="AH662" s="39" t="n"/>
      <c r="AI662" t="inlineStr">
        <is>
          <t>PATROCINIO HUAMANI CUEVAS</t>
        </is>
      </c>
      <c r="AJ662" t="inlineStr">
        <is>
          <t>28965506</t>
        </is>
      </c>
      <c r="AK662" t="inlineStr">
        <is>
          <t>AV. SALAVERRY N°2080 DPTO. 304</t>
        </is>
      </c>
      <c r="AM662" t="inlineStr">
        <is>
          <t>991730000</t>
        </is>
      </c>
      <c r="AN662" t="inlineStr">
        <is>
          <t>oftalmconsulta@gmail.com</t>
        </is>
      </c>
      <c r="AO662" t="inlineStr">
        <is>
          <t>LIMA</t>
        </is>
      </c>
      <c r="AP662" t="inlineStr">
        <is>
          <t>JESUS MARIA</t>
        </is>
      </c>
      <c r="AQ662" s="75" t="n">
        <v>46111</v>
      </c>
      <c r="AR662" s="75" t="n">
        <v>45960</v>
      </c>
      <c r="AS662" t="inlineStr">
        <is>
          <t>SALDO FINANCIAR</t>
        </is>
      </c>
      <c r="AT662" t="n">
        <v>1</v>
      </c>
      <c r="AU662" t="n">
        <v>0</v>
      </c>
      <c r="AV662" t="n">
        <v>0</v>
      </c>
      <c r="AW662" t="n">
        <v>0</v>
      </c>
      <c r="AX662" s="39" t="n">
        <v>495000</v>
      </c>
      <c r="AY662" s="39" t="n">
        <v>120000</v>
      </c>
      <c r="AZ662" s="39" t="n">
        <v>160000</v>
      </c>
      <c r="BA662" t="n">
        <v>0</v>
      </c>
      <c r="BB662" t="inlineStr">
        <is>
          <t>Crédito Directo</t>
        </is>
      </c>
      <c r="BC662" t="inlineStr">
        <is>
          <t>Scotiabank Perú</t>
        </is>
      </c>
      <c r="BD662" t="inlineStr">
        <is>
          <t>000-2768484</t>
        </is>
      </c>
      <c r="BE662" t="inlineStr">
        <is>
          <t>TRANSFERENCIA BANCARIA</t>
        </is>
      </c>
      <c r="BG662" t="inlineStr">
        <is>
          <t>009487222</t>
        </is>
      </c>
      <c r="BH662" t="inlineStr">
        <is>
          <t>No</t>
        </is>
      </c>
      <c r="BJ662" t="n">
        <v>4</v>
      </c>
      <c r="BK662" t="inlineStr">
        <is>
          <t>VENCIDO - PARC. CANCELADO</t>
        </is>
      </c>
      <c r="BV662" t="inlineStr">
        <is>
          <t>Si</t>
        </is>
      </c>
      <c r="BW662" s="76" t="n">
        <v>45856.68958333333</v>
      </c>
      <c r="BX662" t="inlineStr">
        <is>
          <t>Carla Michue M</t>
        </is>
      </c>
      <c r="BZ662" t="n">
        <v>14</v>
      </c>
      <c r="CA662" t="inlineStr">
        <is>
          <t>07/07/2026 10:03</t>
        </is>
      </c>
      <c r="CB662" t="n">
        <v>0</v>
      </c>
      <c r="CF662" t="inlineStr">
        <is>
          <t>Cobranzas_2026.csv</t>
        </is>
      </c>
      <c r="CG662" t="n">
        <v>2026</v>
      </c>
      <c r="CH662" t="inlineStr">
        <is>
          <t>01/01/2024</t>
        </is>
      </c>
      <c r="CI662" t="inlineStr">
        <is>
          <t>24/08/2031</t>
        </is>
      </c>
    </row>
    <row r="663">
      <c r="A663" t="inlineStr">
        <is>
          <t>RESIDENCIAL PRADA</t>
        </is>
      </c>
      <c r="B663" t="inlineStr">
        <is>
          <t>Etapa 1</t>
        </is>
      </c>
      <c r="C663" t="inlineStr">
        <is>
          <t>Edificio</t>
        </is>
      </c>
      <c r="D663" t="inlineStr">
        <is>
          <t>A</t>
        </is>
      </c>
      <c r="E663" t="inlineStr">
        <is>
          <t>Departamento</t>
        </is>
      </c>
      <c r="F663" t="inlineStr">
        <is>
          <t>503</t>
        </is>
      </c>
      <c r="G663" t="n">
        <v>88</v>
      </c>
      <c r="H663" t="n">
        <v>0</v>
      </c>
      <c r="I663" s="39" t="n">
        <v>660000</v>
      </c>
      <c r="J663" s="39" t="n">
        <v>660000</v>
      </c>
      <c r="Q663" s="39" t="n"/>
      <c r="R663" s="39" t="n"/>
      <c r="Y663" s="39" t="n"/>
      <c r="Z663" s="39" t="n"/>
      <c r="AG663" s="39" t="n"/>
      <c r="AH663" s="39" t="n"/>
      <c r="AI663" t="inlineStr">
        <is>
          <t>PATROCINIO HUAMANI CUEVAS</t>
        </is>
      </c>
      <c r="AJ663" t="inlineStr">
        <is>
          <t>28965506</t>
        </is>
      </c>
      <c r="AK663" t="inlineStr">
        <is>
          <t>AV. SALAVERRY N°2080 DPTO. 304</t>
        </is>
      </c>
      <c r="AM663" t="inlineStr">
        <is>
          <t>991730000</t>
        </is>
      </c>
      <c r="AN663" t="inlineStr">
        <is>
          <t>oftalmconsulta@gmail.com</t>
        </is>
      </c>
      <c r="AO663" t="inlineStr">
        <is>
          <t>LIMA</t>
        </is>
      </c>
      <c r="AP663" t="inlineStr">
        <is>
          <t>JESUS MARIA</t>
        </is>
      </c>
      <c r="AQ663" s="75" t="n">
        <v>46111</v>
      </c>
      <c r="AR663" s="75" t="n">
        <v>45978</v>
      </c>
      <c r="AS663" t="inlineStr">
        <is>
          <t>SALDO FINANCIAR</t>
        </is>
      </c>
      <c r="AT663" t="n">
        <v>1</v>
      </c>
      <c r="AU663" t="n">
        <v>495000</v>
      </c>
      <c r="AV663" t="n">
        <v>0</v>
      </c>
      <c r="AW663" t="n">
        <v>0</v>
      </c>
      <c r="AX663" s="39" t="n">
        <v>0</v>
      </c>
      <c r="AY663" s="39" t="n">
        <v>10000</v>
      </c>
      <c r="AZ663" s="39" t="n">
        <v>0</v>
      </c>
      <c r="BA663" t="n">
        <v>0</v>
      </c>
      <c r="BB663" t="inlineStr">
        <is>
          <t>Crédito Directo</t>
        </is>
      </c>
      <c r="BC663" t="inlineStr">
        <is>
          <t>Scotiabank Perú</t>
        </is>
      </c>
      <c r="BD663" t="inlineStr">
        <is>
          <t>000-2768484</t>
        </is>
      </c>
      <c r="BE663" t="inlineStr">
        <is>
          <t>TRANSFERENCIA BANCARIA</t>
        </is>
      </c>
      <c r="BG663" t="inlineStr">
        <is>
          <t>00001378000001380</t>
        </is>
      </c>
      <c r="BH663" t="inlineStr">
        <is>
          <t>No</t>
        </is>
      </c>
      <c r="BJ663" t="n">
        <v>4</v>
      </c>
      <c r="BK663" t="inlineStr">
        <is>
          <t>VENCIDO</t>
        </is>
      </c>
      <c r="BV663" t="inlineStr">
        <is>
          <t>Si</t>
        </is>
      </c>
      <c r="BW663" s="76" t="n">
        <v>45856.68958333333</v>
      </c>
      <c r="BX663" t="inlineStr">
        <is>
          <t>Carla Michue M</t>
        </is>
      </c>
      <c r="BZ663" t="n">
        <v>14</v>
      </c>
      <c r="CA663" t="inlineStr">
        <is>
          <t>07/07/2026 10:04</t>
        </is>
      </c>
      <c r="CB663" t="n">
        <v>0</v>
      </c>
      <c r="CF663" t="inlineStr">
        <is>
          <t>Cobranzas_2026.csv</t>
        </is>
      </c>
      <c r="CG663" t="n">
        <v>2026</v>
      </c>
      <c r="CH663" t="inlineStr">
        <is>
          <t>01/01/2024</t>
        </is>
      </c>
      <c r="CI663" t="inlineStr">
        <is>
          <t>24/08/2031</t>
        </is>
      </c>
    </row>
    <row r="664">
      <c r="A664" t="inlineStr">
        <is>
          <t>RESIDENCIAL PRADA</t>
        </is>
      </c>
      <c r="B664" t="inlineStr">
        <is>
          <t>Etapa 1</t>
        </is>
      </c>
      <c r="C664" t="inlineStr">
        <is>
          <t>Edificio</t>
        </is>
      </c>
      <c r="D664" t="inlineStr">
        <is>
          <t>A</t>
        </is>
      </c>
      <c r="E664" t="inlineStr">
        <is>
          <t>Departamento</t>
        </is>
      </c>
      <c r="F664" t="inlineStr">
        <is>
          <t>503</t>
        </is>
      </c>
      <c r="G664" t="n">
        <v>88</v>
      </c>
      <c r="H664" t="n">
        <v>0</v>
      </c>
      <c r="I664" s="39" t="n">
        <v>660000</v>
      </c>
      <c r="J664" s="39" t="n">
        <v>660000</v>
      </c>
      <c r="Q664" s="39" t="n"/>
      <c r="R664" s="39" t="n"/>
      <c r="Y664" s="39" t="n"/>
      <c r="Z664" s="39" t="n"/>
      <c r="AG664" s="39" t="n"/>
      <c r="AH664" s="39" t="n"/>
      <c r="AI664" t="inlineStr">
        <is>
          <t>PATROCINIO HUAMANI CUEVAS</t>
        </is>
      </c>
      <c r="AJ664" t="inlineStr">
        <is>
          <t>28965506</t>
        </is>
      </c>
      <c r="AK664" t="inlineStr">
        <is>
          <t>AV. SALAVERRY N°2080 DPTO. 304</t>
        </is>
      </c>
      <c r="AM664" t="inlineStr">
        <is>
          <t>991730000</t>
        </is>
      </c>
      <c r="AN664" t="inlineStr">
        <is>
          <t>oftalmconsulta@gmail.com</t>
        </is>
      </c>
      <c r="AO664" t="inlineStr">
        <is>
          <t>LIMA</t>
        </is>
      </c>
      <c r="AP664" t="inlineStr">
        <is>
          <t>JESUS MARIA</t>
        </is>
      </c>
      <c r="AQ664" s="75" t="n">
        <v>46111</v>
      </c>
      <c r="AR664" s="75" t="n">
        <v>45978</v>
      </c>
      <c r="AS664" t="inlineStr">
        <is>
          <t>SALDO FINANCIAR</t>
        </is>
      </c>
      <c r="AT664" t="n">
        <v>1</v>
      </c>
      <c r="AU664" t="n">
        <v>0</v>
      </c>
      <c r="AV664" t="n">
        <v>0</v>
      </c>
      <c r="AW664" t="n">
        <v>0</v>
      </c>
      <c r="AX664" s="39" t="n">
        <v>0</v>
      </c>
      <c r="AY664" s="39" t="n">
        <v>10000</v>
      </c>
      <c r="AZ664" s="39" t="n">
        <v>0</v>
      </c>
      <c r="BA664" t="n">
        <v>0</v>
      </c>
      <c r="BB664" t="inlineStr">
        <is>
          <t>Crédito Directo</t>
        </is>
      </c>
      <c r="BC664" t="inlineStr">
        <is>
          <t>Scotiabank Perú</t>
        </is>
      </c>
      <c r="BD664" t="inlineStr">
        <is>
          <t>000-2768484</t>
        </is>
      </c>
      <c r="BE664" t="inlineStr">
        <is>
          <t>TRANSFERENCIA BANCARIA</t>
        </is>
      </c>
      <c r="BG664" t="inlineStr">
        <is>
          <t>00001381000001383</t>
        </is>
      </c>
      <c r="BH664" t="inlineStr">
        <is>
          <t>No</t>
        </is>
      </c>
      <c r="BJ664" t="n">
        <v>4</v>
      </c>
      <c r="BK664" t="inlineStr">
        <is>
          <t>VENCIDO</t>
        </is>
      </c>
      <c r="BV664" t="inlineStr">
        <is>
          <t>Si</t>
        </is>
      </c>
      <c r="BW664" s="76" t="n">
        <v>45856.68958333333</v>
      </c>
      <c r="BX664" t="inlineStr">
        <is>
          <t>Carla Michue M</t>
        </is>
      </c>
      <c r="BZ664" t="n">
        <v>14</v>
      </c>
      <c r="CA664" t="inlineStr">
        <is>
          <t>07/07/2026 10:05</t>
        </is>
      </c>
      <c r="CB664" t="n">
        <v>0</v>
      </c>
      <c r="CF664" t="inlineStr">
        <is>
          <t>Cobranzas_2026.csv</t>
        </is>
      </c>
      <c r="CG664" t="n">
        <v>2026</v>
      </c>
      <c r="CH664" t="inlineStr">
        <is>
          <t>01/01/2024</t>
        </is>
      </c>
      <c r="CI664" t="inlineStr">
        <is>
          <t>24/08/2031</t>
        </is>
      </c>
    </row>
    <row r="665">
      <c r="A665" t="inlineStr">
        <is>
          <t>RESIDENCIAL PRADA</t>
        </is>
      </c>
      <c r="B665" t="inlineStr">
        <is>
          <t>Etapa 1</t>
        </is>
      </c>
      <c r="C665" t="inlineStr">
        <is>
          <t>Edificio</t>
        </is>
      </c>
      <c r="D665" t="inlineStr">
        <is>
          <t>A</t>
        </is>
      </c>
      <c r="E665" t="inlineStr">
        <is>
          <t>Departamento</t>
        </is>
      </c>
      <c r="F665" t="inlineStr">
        <is>
          <t>503</t>
        </is>
      </c>
      <c r="G665" t="n">
        <v>88</v>
      </c>
      <c r="H665" t="n">
        <v>0</v>
      </c>
      <c r="I665" s="39" t="n">
        <v>660000</v>
      </c>
      <c r="J665" s="39" t="n">
        <v>660000</v>
      </c>
      <c r="Q665" s="39" t="n"/>
      <c r="R665" s="39" t="n"/>
      <c r="Y665" s="39" t="n"/>
      <c r="Z665" s="39" t="n"/>
      <c r="AG665" s="39" t="n"/>
      <c r="AH665" s="39" t="n"/>
      <c r="AI665" t="inlineStr">
        <is>
          <t>PATROCINIO HUAMANI CUEVAS</t>
        </is>
      </c>
      <c r="AJ665" t="inlineStr">
        <is>
          <t>28965506</t>
        </is>
      </c>
      <c r="AK665" t="inlineStr">
        <is>
          <t>AV. SALAVERRY N°2080 DPTO. 304</t>
        </is>
      </c>
      <c r="AM665" t="inlineStr">
        <is>
          <t>991730000</t>
        </is>
      </c>
      <c r="AN665" t="inlineStr">
        <is>
          <t>oftalmconsulta@gmail.com</t>
        </is>
      </c>
      <c r="AO665" t="inlineStr">
        <is>
          <t>LIMA</t>
        </is>
      </c>
      <c r="AP665" t="inlineStr">
        <is>
          <t>JESUS MARIA</t>
        </is>
      </c>
      <c r="AQ665" s="75" t="n">
        <v>46111</v>
      </c>
      <c r="AR665" s="75" t="n">
        <v>45978</v>
      </c>
      <c r="AS665" t="inlineStr">
        <is>
          <t>SALDO FINANCIAR</t>
        </is>
      </c>
      <c r="AT665" t="n">
        <v>1</v>
      </c>
      <c r="AU665" t="n">
        <v>0</v>
      </c>
      <c r="AV665" t="n">
        <v>0</v>
      </c>
      <c r="AW665" t="n">
        <v>0</v>
      </c>
      <c r="AX665" s="39" t="n">
        <v>0</v>
      </c>
      <c r="AY665" s="39" t="n">
        <v>10000</v>
      </c>
      <c r="AZ665" s="39" t="n">
        <v>0</v>
      </c>
      <c r="BA665" t="n">
        <v>0</v>
      </c>
      <c r="BB665" t="inlineStr">
        <is>
          <t>Crédito Directo</t>
        </is>
      </c>
      <c r="BC665" t="inlineStr">
        <is>
          <t>Scotiabank Perú</t>
        </is>
      </c>
      <c r="BD665" t="inlineStr">
        <is>
          <t>000-2768484</t>
        </is>
      </c>
      <c r="BE665" t="inlineStr">
        <is>
          <t>TRANSFERENCIA BANCARIA</t>
        </is>
      </c>
      <c r="BG665" t="inlineStr">
        <is>
          <t>000001384000001386</t>
        </is>
      </c>
      <c r="BH665" t="inlineStr">
        <is>
          <t>No</t>
        </is>
      </c>
      <c r="BJ665" t="n">
        <v>4</v>
      </c>
      <c r="BK665" t="inlineStr">
        <is>
          <t>VENCIDO</t>
        </is>
      </c>
      <c r="BV665" t="inlineStr">
        <is>
          <t>Si</t>
        </is>
      </c>
      <c r="BW665" s="76" t="n">
        <v>45856.68958333333</v>
      </c>
      <c r="BX665" t="inlineStr">
        <is>
          <t>Carla Michue M</t>
        </is>
      </c>
      <c r="BZ665" t="n">
        <v>14</v>
      </c>
      <c r="CA665" t="inlineStr">
        <is>
          <t>07/07/2026 10:06</t>
        </is>
      </c>
      <c r="CB665" t="n">
        <v>0</v>
      </c>
      <c r="CF665" t="inlineStr">
        <is>
          <t>Cobranzas_2026.csv</t>
        </is>
      </c>
      <c r="CG665" t="n">
        <v>2026</v>
      </c>
      <c r="CH665" t="inlineStr">
        <is>
          <t>01/01/2024</t>
        </is>
      </c>
      <c r="CI665" t="inlineStr">
        <is>
          <t>24/08/2031</t>
        </is>
      </c>
    </row>
    <row r="666">
      <c r="A666" t="inlineStr">
        <is>
          <t>RESIDENCIAL PRADA</t>
        </is>
      </c>
      <c r="B666" t="inlineStr">
        <is>
          <t>Etapa 1</t>
        </is>
      </c>
      <c r="C666" t="inlineStr">
        <is>
          <t>Edificio</t>
        </is>
      </c>
      <c r="D666" t="inlineStr">
        <is>
          <t>A</t>
        </is>
      </c>
      <c r="E666" t="inlineStr">
        <is>
          <t>Departamento</t>
        </is>
      </c>
      <c r="F666" t="inlineStr">
        <is>
          <t>503</t>
        </is>
      </c>
      <c r="G666" t="n">
        <v>88</v>
      </c>
      <c r="H666" t="n">
        <v>0</v>
      </c>
      <c r="I666" s="39" t="n">
        <v>660000</v>
      </c>
      <c r="J666" s="39" t="n">
        <v>660000</v>
      </c>
      <c r="Q666" s="39" t="n"/>
      <c r="R666" s="39" t="n"/>
      <c r="Y666" s="39" t="n"/>
      <c r="Z666" s="39" t="n"/>
      <c r="AG666" s="39" t="n"/>
      <c r="AH666" s="39" t="n"/>
      <c r="AI666" t="inlineStr">
        <is>
          <t>PATROCINIO HUAMANI CUEVAS</t>
        </is>
      </c>
      <c r="AJ666" t="inlineStr">
        <is>
          <t>28965506</t>
        </is>
      </c>
      <c r="AK666" t="inlineStr">
        <is>
          <t>AV. SALAVERRY N°2080 DPTO. 304</t>
        </is>
      </c>
      <c r="AM666" t="inlineStr">
        <is>
          <t>991730000</t>
        </is>
      </c>
      <c r="AN666" t="inlineStr">
        <is>
          <t>oftalmconsulta@gmail.com</t>
        </is>
      </c>
      <c r="AO666" t="inlineStr">
        <is>
          <t>LIMA</t>
        </is>
      </c>
      <c r="AP666" t="inlineStr">
        <is>
          <t>JESUS MARIA</t>
        </is>
      </c>
      <c r="AQ666" s="75" t="n">
        <v>46111</v>
      </c>
      <c r="AR666" s="75" t="n">
        <v>45978</v>
      </c>
      <c r="AS666" t="inlineStr">
        <is>
          <t>SALDO FINANCIAR</t>
        </is>
      </c>
      <c r="AT666" t="n">
        <v>1</v>
      </c>
      <c r="AU666" t="n">
        <v>0</v>
      </c>
      <c r="AV666" t="n">
        <v>0</v>
      </c>
      <c r="AW666" t="n">
        <v>0</v>
      </c>
      <c r="AX666" s="39" t="n">
        <v>0</v>
      </c>
      <c r="AY666" s="39" t="n">
        <v>10000</v>
      </c>
      <c r="AZ666" s="39" t="n">
        <v>0</v>
      </c>
      <c r="BA666" t="n">
        <v>0</v>
      </c>
      <c r="BB666" t="inlineStr">
        <is>
          <t>Crédito Directo</t>
        </is>
      </c>
      <c r="BC666" t="inlineStr">
        <is>
          <t>Scotiabank Perú</t>
        </is>
      </c>
      <c r="BD666" t="inlineStr">
        <is>
          <t>000-2768484</t>
        </is>
      </c>
      <c r="BE666" t="inlineStr">
        <is>
          <t>TRANSFERENCIA BANCARIA</t>
        </is>
      </c>
      <c r="BG666" t="inlineStr">
        <is>
          <t>00001387000001389</t>
        </is>
      </c>
      <c r="BH666" t="inlineStr">
        <is>
          <t>No</t>
        </is>
      </c>
      <c r="BJ666" t="n">
        <v>4</v>
      </c>
      <c r="BK666" t="inlineStr">
        <is>
          <t>VENCIDO</t>
        </is>
      </c>
      <c r="BV666" t="inlineStr">
        <is>
          <t>Si</t>
        </is>
      </c>
      <c r="BW666" s="76" t="n">
        <v>45856.68958333333</v>
      </c>
      <c r="BX666" t="inlineStr">
        <is>
          <t>Carla Michue M</t>
        </is>
      </c>
      <c r="BZ666" t="n">
        <v>14</v>
      </c>
      <c r="CA666" t="inlineStr">
        <is>
          <t>07/07/2026 10:08</t>
        </is>
      </c>
      <c r="CB666" t="n">
        <v>0</v>
      </c>
      <c r="CF666" t="inlineStr">
        <is>
          <t>Cobranzas_2026.csv</t>
        </is>
      </c>
      <c r="CG666" t="n">
        <v>2026</v>
      </c>
      <c r="CH666" t="inlineStr">
        <is>
          <t>01/01/2024</t>
        </is>
      </c>
      <c r="CI666" t="inlineStr">
        <is>
          <t>24/08/2031</t>
        </is>
      </c>
    </row>
    <row r="667">
      <c r="A667" t="inlineStr">
        <is>
          <t>RESIDENCIAL PRADA</t>
        </is>
      </c>
      <c r="B667" t="inlineStr">
        <is>
          <t>Etapa 1</t>
        </is>
      </c>
      <c r="C667" t="inlineStr">
        <is>
          <t>Edificio</t>
        </is>
      </c>
      <c r="D667" t="inlineStr">
        <is>
          <t>A</t>
        </is>
      </c>
      <c r="E667" t="inlineStr">
        <is>
          <t>Departamento</t>
        </is>
      </c>
      <c r="F667" t="inlineStr">
        <is>
          <t>503</t>
        </is>
      </c>
      <c r="G667" t="n">
        <v>88</v>
      </c>
      <c r="H667" t="n">
        <v>0</v>
      </c>
      <c r="I667" s="39" t="n">
        <v>660000</v>
      </c>
      <c r="J667" s="39" t="n">
        <v>660000</v>
      </c>
      <c r="Q667" s="39" t="n"/>
      <c r="R667" s="39" t="n"/>
      <c r="Y667" s="39" t="n"/>
      <c r="Z667" s="39" t="n"/>
      <c r="AG667" s="39" t="n"/>
      <c r="AH667" s="39" t="n"/>
      <c r="AI667" t="inlineStr">
        <is>
          <t>PATROCINIO HUAMANI CUEVAS</t>
        </is>
      </c>
      <c r="AJ667" t="inlineStr">
        <is>
          <t>28965506</t>
        </is>
      </c>
      <c r="AK667" t="inlineStr">
        <is>
          <t>AV. SALAVERRY N°2080 DPTO. 304</t>
        </is>
      </c>
      <c r="AM667" t="inlineStr">
        <is>
          <t>991730000</t>
        </is>
      </c>
      <c r="AN667" t="inlineStr">
        <is>
          <t>oftalmconsulta@gmail.com</t>
        </is>
      </c>
      <c r="AO667" t="inlineStr">
        <is>
          <t>LIMA</t>
        </is>
      </c>
      <c r="AP667" t="inlineStr">
        <is>
          <t>JESUS MARIA</t>
        </is>
      </c>
      <c r="AQ667" s="75" t="n">
        <v>46111</v>
      </c>
      <c r="AR667" s="75" t="n">
        <v>45978</v>
      </c>
      <c r="AS667" t="inlineStr">
        <is>
          <t>SALDO FINANCIAR</t>
        </is>
      </c>
      <c r="AT667" t="n">
        <v>1</v>
      </c>
      <c r="AU667" t="n">
        <v>0</v>
      </c>
      <c r="AV667" t="n">
        <v>0</v>
      </c>
      <c r="AW667" t="n">
        <v>0</v>
      </c>
      <c r="AX667" s="39" t="n">
        <v>0</v>
      </c>
      <c r="AY667" s="39" t="n">
        <v>10000</v>
      </c>
      <c r="AZ667" s="39" t="n">
        <v>0</v>
      </c>
      <c r="BA667" t="n">
        <v>0</v>
      </c>
      <c r="BB667" t="inlineStr">
        <is>
          <t>Crédito Directo</t>
        </is>
      </c>
      <c r="BC667" t="inlineStr">
        <is>
          <t>Scotiabank Perú</t>
        </is>
      </c>
      <c r="BD667" t="inlineStr">
        <is>
          <t>000-2768484</t>
        </is>
      </c>
      <c r="BE667" t="inlineStr">
        <is>
          <t>TRANSFERENCIA BANCARIA</t>
        </is>
      </c>
      <c r="BG667" t="inlineStr">
        <is>
          <t>00004571000004573</t>
        </is>
      </c>
      <c r="BH667" t="inlineStr">
        <is>
          <t>No</t>
        </is>
      </c>
      <c r="BJ667" t="n">
        <v>4</v>
      </c>
      <c r="BK667" t="inlineStr">
        <is>
          <t>VENCIDO</t>
        </is>
      </c>
      <c r="BV667" t="inlineStr">
        <is>
          <t>Si</t>
        </is>
      </c>
      <c r="BW667" s="76" t="n">
        <v>45856.68958333333</v>
      </c>
      <c r="BX667" t="inlineStr">
        <is>
          <t>Carla Michue M</t>
        </is>
      </c>
      <c r="BZ667" t="n">
        <v>14</v>
      </c>
      <c r="CA667" t="inlineStr">
        <is>
          <t>07/07/2026 10:09</t>
        </is>
      </c>
      <c r="CB667" t="n">
        <v>0</v>
      </c>
      <c r="CF667" t="inlineStr">
        <is>
          <t>Cobranzas_2026.csv</t>
        </is>
      </c>
      <c r="CG667" t="n">
        <v>2026</v>
      </c>
      <c r="CH667" t="inlineStr">
        <is>
          <t>01/01/2024</t>
        </is>
      </c>
      <c r="CI667" t="inlineStr">
        <is>
          <t>24/08/2031</t>
        </is>
      </c>
    </row>
    <row r="668">
      <c r="A668" t="inlineStr">
        <is>
          <t>RESIDENCIAL PRADA</t>
        </is>
      </c>
      <c r="B668" t="inlineStr">
        <is>
          <t>Etapa 1</t>
        </is>
      </c>
      <c r="C668" t="inlineStr">
        <is>
          <t>Edificio</t>
        </is>
      </c>
      <c r="D668" t="inlineStr">
        <is>
          <t>A</t>
        </is>
      </c>
      <c r="E668" t="inlineStr">
        <is>
          <t>Departamento</t>
        </is>
      </c>
      <c r="F668" t="inlineStr">
        <is>
          <t>503</t>
        </is>
      </c>
      <c r="G668" t="n">
        <v>88</v>
      </c>
      <c r="H668" t="n">
        <v>0</v>
      </c>
      <c r="I668" s="39" t="n">
        <v>660000</v>
      </c>
      <c r="J668" s="39" t="n">
        <v>660000</v>
      </c>
      <c r="Q668" s="39" t="n"/>
      <c r="R668" s="39" t="n"/>
      <c r="Y668" s="39" t="n"/>
      <c r="Z668" s="39" t="n"/>
      <c r="AG668" s="39" t="n"/>
      <c r="AH668" s="39" t="n"/>
      <c r="AI668" t="inlineStr">
        <is>
          <t>PATROCINIO HUAMANI CUEVAS</t>
        </is>
      </c>
      <c r="AJ668" t="inlineStr">
        <is>
          <t>28965506</t>
        </is>
      </c>
      <c r="AK668" t="inlineStr">
        <is>
          <t>AV. SALAVERRY N°2080 DPTO. 304</t>
        </is>
      </c>
      <c r="AM668" t="inlineStr">
        <is>
          <t>991730000</t>
        </is>
      </c>
      <c r="AN668" t="inlineStr">
        <is>
          <t>oftalmconsulta@gmail.com</t>
        </is>
      </c>
      <c r="AO668" t="inlineStr">
        <is>
          <t>LIMA</t>
        </is>
      </c>
      <c r="AP668" t="inlineStr">
        <is>
          <t>JESUS MARIA</t>
        </is>
      </c>
      <c r="AQ668" s="75" t="n">
        <v>46111</v>
      </c>
      <c r="AR668" s="75" t="n">
        <v>46024</v>
      </c>
      <c r="AS668" t="inlineStr">
        <is>
          <t>SALDO FINANCIAR</t>
        </is>
      </c>
      <c r="AT668" t="n">
        <v>1</v>
      </c>
      <c r="AU668" t="n">
        <v>0</v>
      </c>
      <c r="AV668" t="n">
        <v>0</v>
      </c>
      <c r="AW668" t="n">
        <v>0</v>
      </c>
      <c r="AX668" s="39" t="n">
        <v>0</v>
      </c>
      <c r="AY668" s="39" t="n">
        <v>165000</v>
      </c>
      <c r="AZ668" s="39" t="n">
        <v>0</v>
      </c>
      <c r="BA668" t="n">
        <v>0</v>
      </c>
      <c r="BB668" t="inlineStr">
        <is>
          <t>Crédito Directo</t>
        </is>
      </c>
      <c r="BC668" t="inlineStr">
        <is>
          <t>Scotiabank Perú</t>
        </is>
      </c>
      <c r="BD668" t="inlineStr">
        <is>
          <t>000-2768484</t>
        </is>
      </c>
      <c r="BE668" t="inlineStr">
        <is>
          <t>TRANSFERENCIA BANCARIA</t>
        </is>
      </c>
      <c r="BG668" t="inlineStr">
        <is>
          <t>001334856</t>
        </is>
      </c>
      <c r="BH668" t="inlineStr">
        <is>
          <t>No</t>
        </is>
      </c>
      <c r="BJ668" t="n">
        <v>4</v>
      </c>
      <c r="BK668" t="inlineStr">
        <is>
          <t>VENCIDO</t>
        </is>
      </c>
      <c r="BV668" t="inlineStr">
        <is>
          <t>Si</t>
        </is>
      </c>
      <c r="BW668" s="76" t="n">
        <v>45856.68958333333</v>
      </c>
      <c r="BX668" t="inlineStr">
        <is>
          <t>Carla Michue M</t>
        </is>
      </c>
      <c r="BZ668" t="n">
        <v>14</v>
      </c>
      <c r="CA668" t="inlineStr">
        <is>
          <t>07/07/2026 10:15</t>
        </is>
      </c>
      <c r="CB668" t="n">
        <v>0</v>
      </c>
      <c r="CF668" t="inlineStr">
        <is>
          <t>Cobranzas_2026.csv</t>
        </is>
      </c>
      <c r="CG668" t="n">
        <v>2026</v>
      </c>
      <c r="CH668" t="inlineStr">
        <is>
          <t>01/01/2024</t>
        </is>
      </c>
      <c r="CI668" t="inlineStr">
        <is>
          <t>24/08/2031</t>
        </is>
      </c>
    </row>
    <row r="669">
      <c r="A669" t="inlineStr">
        <is>
          <t>RESIDENCIAL VENECIA</t>
        </is>
      </c>
      <c r="B669" t="inlineStr">
        <is>
          <t>Etapa 1</t>
        </is>
      </c>
      <c r="C669" t="inlineStr">
        <is>
          <t>Edificio</t>
        </is>
      </c>
      <c r="D669" t="inlineStr">
        <is>
          <t>A</t>
        </is>
      </c>
      <c r="E669" t="inlineStr">
        <is>
          <t>Departamento</t>
        </is>
      </c>
      <c r="F669" t="inlineStr">
        <is>
          <t>405</t>
        </is>
      </c>
      <c r="G669" t="n">
        <v>61</v>
      </c>
      <c r="H669" t="n">
        <v>0</v>
      </c>
      <c r="I669" s="39" t="n">
        <v>392000</v>
      </c>
      <c r="J669" s="39" t="n">
        <v>392000</v>
      </c>
      <c r="K669" t="inlineStr">
        <is>
          <t>Edificio</t>
        </is>
      </c>
      <c r="L669" t="inlineStr">
        <is>
          <t>A</t>
        </is>
      </c>
      <c r="M669" t="inlineStr">
        <is>
          <t>Estacionamiento</t>
        </is>
      </c>
      <c r="N669" t="inlineStr">
        <is>
          <t>E 29 - D 14</t>
        </is>
      </c>
      <c r="O669" t="n">
        <v>14.5</v>
      </c>
      <c r="P669" t="n">
        <v>0</v>
      </c>
      <c r="Q669" s="39" t="n">
        <v>43000</v>
      </c>
      <c r="R669" s="39" t="n">
        <v>43000</v>
      </c>
      <c r="Y669" s="39" t="n"/>
      <c r="Z669" s="39" t="n"/>
      <c r="AG669" s="39" t="n"/>
      <c r="AH669" s="39" t="n"/>
      <c r="AI669" t="inlineStr">
        <is>
          <t>Petronila Tisnado Meneses</t>
        </is>
      </c>
      <c r="AJ669" t="inlineStr">
        <is>
          <t>01207150</t>
        </is>
      </c>
      <c r="AK669" t="inlineStr">
        <is>
          <t>Jr. Jose de La Mar Nº 460 Barrio San Josè</t>
        </is>
      </c>
      <c r="AL669" t="n">
        <v>0</v>
      </c>
      <c r="AM669" t="inlineStr">
        <is>
          <t>989735959</t>
        </is>
      </c>
      <c r="AN669" t="inlineStr">
        <is>
          <t>lupequis60@hotmail.com</t>
        </is>
      </c>
      <c r="AO669" t="inlineStr">
        <is>
          <t>PUNO</t>
        </is>
      </c>
      <c r="AP669" t="inlineStr">
        <is>
          <t>PUNO</t>
        </is>
      </c>
      <c r="AQ669" s="75" t="n">
        <v>46053</v>
      </c>
      <c r="AR669" s="75" t="n">
        <v>46044</v>
      </c>
      <c r="AS669" t="inlineStr">
        <is>
          <t>SALDO FINANCIAR</t>
        </is>
      </c>
      <c r="AT669" t="n">
        <v>4</v>
      </c>
      <c r="AU669" t="n">
        <v>14300</v>
      </c>
      <c r="AV669" t="n">
        <v>0</v>
      </c>
      <c r="AW669" t="n">
        <v>0</v>
      </c>
      <c r="AX669" s="39" t="n">
        <v>14300</v>
      </c>
      <c r="AY669" s="39" t="n">
        <v>14300</v>
      </c>
      <c r="AZ669" s="39" t="n">
        <v>0</v>
      </c>
      <c r="BA669" t="n">
        <v>0</v>
      </c>
      <c r="BB669" t="inlineStr">
        <is>
          <t>Crédito Directo</t>
        </is>
      </c>
      <c r="BC669" t="inlineStr">
        <is>
          <t>Scotiabank Perú</t>
        </is>
      </c>
      <c r="BD669" t="inlineStr">
        <is>
          <t>0004071419</t>
        </is>
      </c>
      <c r="BE669" t="inlineStr">
        <is>
          <t>TRANSFERENCIA BANCARIA</t>
        </is>
      </c>
      <c r="BG669" t="inlineStr">
        <is>
          <t>476098</t>
        </is>
      </c>
      <c r="BH669" t="inlineStr">
        <is>
          <t>Si</t>
        </is>
      </c>
      <c r="BJ669" t="n">
        <v>4</v>
      </c>
      <c r="BK669" t="inlineStr">
        <is>
          <t>CANCELADO</t>
        </is>
      </c>
      <c r="BV669" t="inlineStr">
        <is>
          <t>Si</t>
        </is>
      </c>
      <c r="BW669" s="76" t="n">
        <v>46178.34305555555</v>
      </c>
      <c r="BX669" t="inlineStr">
        <is>
          <t>Magaly Guevara Perez</t>
        </is>
      </c>
      <c r="BZ669" t="n">
        <v>9</v>
      </c>
      <c r="CA669" t="inlineStr">
        <is>
          <t>08/06/2026 11:45</t>
        </is>
      </c>
      <c r="CB669" t="n">
        <v>0</v>
      </c>
      <c r="CF669" t="inlineStr">
        <is>
          <t>Cobranzas_2026.csv</t>
        </is>
      </c>
      <c r="CG669" t="n">
        <v>2026</v>
      </c>
      <c r="CH669" t="inlineStr">
        <is>
          <t>01/01/2024</t>
        </is>
      </c>
      <c r="CI669" t="inlineStr">
        <is>
          <t>24/08/2031</t>
        </is>
      </c>
    </row>
    <row r="670">
      <c r="A670" t="inlineStr">
        <is>
          <t>RESIDENCIAL VENECIA</t>
        </is>
      </c>
      <c r="B670" t="inlineStr">
        <is>
          <t>Etapa 1</t>
        </is>
      </c>
      <c r="C670" t="inlineStr">
        <is>
          <t>Edificio</t>
        </is>
      </c>
      <c r="D670" t="inlineStr">
        <is>
          <t>A</t>
        </is>
      </c>
      <c r="E670" t="inlineStr">
        <is>
          <t>Departamento</t>
        </is>
      </c>
      <c r="F670" t="inlineStr">
        <is>
          <t>405</t>
        </is>
      </c>
      <c r="G670" t="n">
        <v>61</v>
      </c>
      <c r="H670" t="n">
        <v>0</v>
      </c>
      <c r="I670" s="39" t="n">
        <v>392000</v>
      </c>
      <c r="J670" s="39" t="n">
        <v>392000</v>
      </c>
      <c r="K670" t="inlineStr">
        <is>
          <t>Edificio</t>
        </is>
      </c>
      <c r="L670" t="inlineStr">
        <is>
          <t>A</t>
        </is>
      </c>
      <c r="M670" t="inlineStr">
        <is>
          <t>Estacionamiento</t>
        </is>
      </c>
      <c r="N670" t="inlineStr">
        <is>
          <t>E 29 - D 14</t>
        </is>
      </c>
      <c r="O670" t="n">
        <v>14.5</v>
      </c>
      <c r="P670" t="n">
        <v>0</v>
      </c>
      <c r="Q670" s="39" t="n">
        <v>43000</v>
      </c>
      <c r="R670" s="39" t="n">
        <v>43000</v>
      </c>
      <c r="Y670" s="39" t="n"/>
      <c r="Z670" s="39" t="n"/>
      <c r="AG670" s="39" t="n"/>
      <c r="AH670" s="39" t="n"/>
      <c r="AI670" t="inlineStr">
        <is>
          <t>Petronila Tisnado Meneses</t>
        </is>
      </c>
      <c r="AJ670" t="inlineStr">
        <is>
          <t>01207150</t>
        </is>
      </c>
      <c r="AK670" t="inlineStr">
        <is>
          <t>Jr. Jose de La Mar Nº 460 Barrio San Josè</t>
        </is>
      </c>
      <c r="AL670" t="n">
        <v>0</v>
      </c>
      <c r="AM670" t="inlineStr">
        <is>
          <t>989735959</t>
        </is>
      </c>
      <c r="AN670" t="inlineStr">
        <is>
          <t>lupequis60@hotmail.com</t>
        </is>
      </c>
      <c r="AO670" t="inlineStr">
        <is>
          <t>PUNO</t>
        </is>
      </c>
      <c r="AP670" t="inlineStr">
        <is>
          <t>PUNO</t>
        </is>
      </c>
      <c r="AQ670" s="75" t="n">
        <v>46081</v>
      </c>
      <c r="AR670" s="75" t="n">
        <v>46044</v>
      </c>
      <c r="AS670" t="inlineStr">
        <is>
          <t>SALDO FINANCIAR</t>
        </is>
      </c>
      <c r="AT670" t="n">
        <v>5</v>
      </c>
      <c r="AU670" t="n">
        <v>14300</v>
      </c>
      <c r="AV670" t="n">
        <v>0</v>
      </c>
      <c r="AW670" t="n">
        <v>0</v>
      </c>
      <c r="AX670" s="39" t="n">
        <v>14300</v>
      </c>
      <c r="AY670" s="39" t="n">
        <v>14300</v>
      </c>
      <c r="AZ670" s="39" t="n">
        <v>0</v>
      </c>
      <c r="BA670" t="n">
        <v>0</v>
      </c>
      <c r="BB670" t="inlineStr">
        <is>
          <t>Crédito Directo</t>
        </is>
      </c>
      <c r="BC670" t="inlineStr">
        <is>
          <t>Scotiabank Perú</t>
        </is>
      </c>
      <c r="BD670" t="inlineStr">
        <is>
          <t>0004071419</t>
        </is>
      </c>
      <c r="BE670" t="inlineStr">
        <is>
          <t>TRANSFERENCIA BANCARIA</t>
        </is>
      </c>
      <c r="BG670" t="inlineStr">
        <is>
          <t>476098</t>
        </is>
      </c>
      <c r="BH670" t="inlineStr">
        <is>
          <t>Si</t>
        </is>
      </c>
      <c r="BJ670" t="n">
        <v>4</v>
      </c>
      <c r="BK670" t="inlineStr">
        <is>
          <t>CANCELADO</t>
        </is>
      </c>
      <c r="BV670" t="inlineStr">
        <is>
          <t>Si</t>
        </is>
      </c>
      <c r="BW670" s="76" t="n">
        <v>46178.34305555555</v>
      </c>
      <c r="BX670" t="inlineStr">
        <is>
          <t>Magaly Guevara Perez</t>
        </is>
      </c>
      <c r="BZ670" t="n">
        <v>9</v>
      </c>
      <c r="CA670" t="inlineStr">
        <is>
          <t>08/06/2026 11:45</t>
        </is>
      </c>
      <c r="CB670" t="n">
        <v>0</v>
      </c>
      <c r="CF670" t="inlineStr">
        <is>
          <t>Cobranzas_2026.csv</t>
        </is>
      </c>
      <c r="CG670" t="n">
        <v>2026</v>
      </c>
      <c r="CH670" t="inlineStr">
        <is>
          <t>01/01/2024</t>
        </is>
      </c>
      <c r="CI670" t="inlineStr">
        <is>
          <t>24/08/2031</t>
        </is>
      </c>
    </row>
    <row r="671">
      <c r="A671" t="inlineStr">
        <is>
          <t>RESIDENCIAL VENECIA</t>
        </is>
      </c>
      <c r="B671" t="inlineStr">
        <is>
          <t>Etapa 1</t>
        </is>
      </c>
      <c r="C671" t="inlineStr">
        <is>
          <t>Edificio</t>
        </is>
      </c>
      <c r="D671" t="inlineStr">
        <is>
          <t>A</t>
        </is>
      </c>
      <c r="E671" t="inlineStr">
        <is>
          <t>Departamento</t>
        </is>
      </c>
      <c r="F671" t="inlineStr">
        <is>
          <t>405</t>
        </is>
      </c>
      <c r="G671" t="n">
        <v>61</v>
      </c>
      <c r="H671" t="n">
        <v>0</v>
      </c>
      <c r="I671" s="39" t="n">
        <v>392000</v>
      </c>
      <c r="J671" s="39" t="n">
        <v>392000</v>
      </c>
      <c r="K671" t="inlineStr">
        <is>
          <t>Edificio</t>
        </is>
      </c>
      <c r="L671" t="inlineStr">
        <is>
          <t>A</t>
        </is>
      </c>
      <c r="M671" t="inlineStr">
        <is>
          <t>Estacionamiento</t>
        </is>
      </c>
      <c r="N671" t="inlineStr">
        <is>
          <t>E 29 - D 14</t>
        </is>
      </c>
      <c r="O671" t="n">
        <v>14.5</v>
      </c>
      <c r="P671" t="n">
        <v>0</v>
      </c>
      <c r="Q671" s="39" t="n">
        <v>43000</v>
      </c>
      <c r="R671" s="39" t="n">
        <v>43000</v>
      </c>
      <c r="Y671" s="39" t="n"/>
      <c r="Z671" s="39" t="n"/>
      <c r="AG671" s="39" t="n"/>
      <c r="AH671" s="39" t="n"/>
      <c r="AI671" t="inlineStr">
        <is>
          <t>Petronila Tisnado Meneses</t>
        </is>
      </c>
      <c r="AJ671" t="inlineStr">
        <is>
          <t>01207150</t>
        </is>
      </c>
      <c r="AK671" t="inlineStr">
        <is>
          <t>Jr. Jose de La Mar Nº 460 Barrio San Josè</t>
        </is>
      </c>
      <c r="AL671" t="n">
        <v>0</v>
      </c>
      <c r="AM671" t="inlineStr">
        <is>
          <t>989735959</t>
        </is>
      </c>
      <c r="AN671" t="inlineStr">
        <is>
          <t>lupequis60@hotmail.com</t>
        </is>
      </c>
      <c r="AO671" t="inlineStr">
        <is>
          <t>PUNO</t>
        </is>
      </c>
      <c r="AP671" t="inlineStr">
        <is>
          <t>PUNO</t>
        </is>
      </c>
      <c r="AQ671" s="75" t="n">
        <v>46112</v>
      </c>
      <c r="AR671" s="75" t="n">
        <v>46101</v>
      </c>
      <c r="AS671" t="inlineStr">
        <is>
          <t>SALDO FINANCIAR</t>
        </is>
      </c>
      <c r="AT671" t="n">
        <v>6</v>
      </c>
      <c r="AU671" t="n">
        <v>14300</v>
      </c>
      <c r="AV671" t="n">
        <v>0</v>
      </c>
      <c r="AW671" t="n">
        <v>0</v>
      </c>
      <c r="AX671" s="39" t="n">
        <v>14300</v>
      </c>
      <c r="AY671" s="39" t="n">
        <v>14300</v>
      </c>
      <c r="AZ671" s="39" t="n">
        <v>0</v>
      </c>
      <c r="BA671" t="n">
        <v>0</v>
      </c>
      <c r="BB671" t="inlineStr">
        <is>
          <t>Crédito Directo</t>
        </is>
      </c>
      <c r="BC671" t="inlineStr">
        <is>
          <t>Scotiabank Perú</t>
        </is>
      </c>
      <c r="BD671" t="inlineStr">
        <is>
          <t>0004071419</t>
        </is>
      </c>
      <c r="BE671" t="inlineStr">
        <is>
          <t>TRANSFERENCIA BANCARIA</t>
        </is>
      </c>
      <c r="BG671" t="inlineStr">
        <is>
          <t>162237</t>
        </is>
      </c>
      <c r="BH671" t="inlineStr">
        <is>
          <t>Si</t>
        </is>
      </c>
      <c r="BJ671" t="n">
        <v>4</v>
      </c>
      <c r="BK671" t="inlineStr">
        <is>
          <t>CANCELADO</t>
        </is>
      </c>
      <c r="BV671" t="inlineStr">
        <is>
          <t>Si</t>
        </is>
      </c>
      <c r="BW671" s="76" t="n">
        <v>46178.34305555555</v>
      </c>
      <c r="BX671" t="inlineStr">
        <is>
          <t>Magaly Guevara Perez</t>
        </is>
      </c>
      <c r="BZ671" t="n">
        <v>9</v>
      </c>
      <c r="CA671" t="inlineStr">
        <is>
          <t>08/06/2026 11:46</t>
        </is>
      </c>
      <c r="CB671" t="n">
        <v>0</v>
      </c>
      <c r="CF671" t="inlineStr">
        <is>
          <t>Cobranzas_2026.csv</t>
        </is>
      </c>
      <c r="CG671" t="n">
        <v>2026</v>
      </c>
      <c r="CH671" t="inlineStr">
        <is>
          <t>01/01/2024</t>
        </is>
      </c>
      <c r="CI671" t="inlineStr">
        <is>
          <t>24/08/2031</t>
        </is>
      </c>
    </row>
    <row r="672">
      <c r="A672" t="inlineStr">
        <is>
          <t>RESIDENCIAL VENECIA</t>
        </is>
      </c>
      <c r="B672" t="inlineStr">
        <is>
          <t>Etapa 1</t>
        </is>
      </c>
      <c r="C672" t="inlineStr">
        <is>
          <t>Edificio</t>
        </is>
      </c>
      <c r="D672" t="inlineStr">
        <is>
          <t>A</t>
        </is>
      </c>
      <c r="E672" t="inlineStr">
        <is>
          <t>Departamento</t>
        </is>
      </c>
      <c r="F672" t="inlineStr">
        <is>
          <t>405</t>
        </is>
      </c>
      <c r="G672" t="n">
        <v>61</v>
      </c>
      <c r="H672" t="n">
        <v>0</v>
      </c>
      <c r="I672" s="39" t="n">
        <v>392000</v>
      </c>
      <c r="J672" s="39" t="n">
        <v>392000</v>
      </c>
      <c r="K672" t="inlineStr">
        <is>
          <t>Edificio</t>
        </is>
      </c>
      <c r="L672" t="inlineStr">
        <is>
          <t>A</t>
        </is>
      </c>
      <c r="M672" t="inlineStr">
        <is>
          <t>Estacionamiento</t>
        </is>
      </c>
      <c r="N672" t="inlineStr">
        <is>
          <t>E 29 - D 14</t>
        </is>
      </c>
      <c r="O672" t="n">
        <v>14.5</v>
      </c>
      <c r="P672" t="n">
        <v>0</v>
      </c>
      <c r="Q672" s="39" t="n">
        <v>43000</v>
      </c>
      <c r="R672" s="39" t="n">
        <v>43000</v>
      </c>
      <c r="Y672" s="39" t="n"/>
      <c r="Z672" s="39" t="n"/>
      <c r="AG672" s="39" t="n"/>
      <c r="AH672" s="39" t="n"/>
      <c r="AI672" t="inlineStr">
        <is>
          <t>Petronila Tisnado Meneses</t>
        </is>
      </c>
      <c r="AJ672" t="inlineStr">
        <is>
          <t>01207150</t>
        </is>
      </c>
      <c r="AK672" t="inlineStr">
        <is>
          <t>Jr. Jose de La Mar Nº 460 Barrio San Josè</t>
        </is>
      </c>
      <c r="AL672" t="n">
        <v>0</v>
      </c>
      <c r="AM672" t="inlineStr">
        <is>
          <t>989735959</t>
        </is>
      </c>
      <c r="AN672" t="inlineStr">
        <is>
          <t>lupequis60@hotmail.com</t>
        </is>
      </c>
      <c r="AO672" t="inlineStr">
        <is>
          <t>PUNO</t>
        </is>
      </c>
      <c r="AP672" t="inlineStr">
        <is>
          <t>PUNO</t>
        </is>
      </c>
      <c r="AQ672" s="75" t="n">
        <v>46142</v>
      </c>
      <c r="AR672" s="75" t="n">
        <v>46101</v>
      </c>
      <c r="AS672" t="inlineStr">
        <is>
          <t>SALDO FINANCIAR</t>
        </is>
      </c>
      <c r="AT672" t="n">
        <v>7</v>
      </c>
      <c r="AU672" t="n">
        <v>14300</v>
      </c>
      <c r="AV672" t="n">
        <v>0</v>
      </c>
      <c r="AW672" t="n">
        <v>0</v>
      </c>
      <c r="AX672" s="39" t="n">
        <v>14300</v>
      </c>
      <c r="AY672" s="39" t="n">
        <v>14300</v>
      </c>
      <c r="AZ672" s="39" t="n">
        <v>0</v>
      </c>
      <c r="BA672" t="n">
        <v>0</v>
      </c>
      <c r="BB672" t="inlineStr">
        <is>
          <t>Crédito Directo</t>
        </is>
      </c>
      <c r="BC672" t="inlineStr">
        <is>
          <t>Scotiabank Perú</t>
        </is>
      </c>
      <c r="BD672" t="inlineStr">
        <is>
          <t>0004071419</t>
        </is>
      </c>
      <c r="BE672" t="inlineStr">
        <is>
          <t>TRANSFERENCIA BANCARIA</t>
        </is>
      </c>
      <c r="BG672" t="inlineStr">
        <is>
          <t>162237</t>
        </is>
      </c>
      <c r="BH672" t="inlineStr">
        <is>
          <t>Si</t>
        </is>
      </c>
      <c r="BJ672" t="n">
        <v>4</v>
      </c>
      <c r="BK672" t="inlineStr">
        <is>
          <t>CANCELADO</t>
        </is>
      </c>
      <c r="BV672" t="inlineStr">
        <is>
          <t>Si</t>
        </is>
      </c>
      <c r="BW672" s="76" t="n">
        <v>46178.34305555555</v>
      </c>
      <c r="BX672" t="inlineStr">
        <is>
          <t>Magaly Guevara Perez</t>
        </is>
      </c>
      <c r="BZ672" t="n">
        <v>9</v>
      </c>
      <c r="CA672" t="inlineStr">
        <is>
          <t>08/06/2026 11:46</t>
        </is>
      </c>
      <c r="CB672" t="n">
        <v>0</v>
      </c>
      <c r="CF672" t="inlineStr">
        <is>
          <t>Cobranzas_2026.csv</t>
        </is>
      </c>
      <c r="CG672" t="n">
        <v>2026</v>
      </c>
      <c r="CH672" t="inlineStr">
        <is>
          <t>01/01/2024</t>
        </is>
      </c>
      <c r="CI672" t="inlineStr">
        <is>
          <t>24/08/2031</t>
        </is>
      </c>
    </row>
    <row r="673">
      <c r="A673" t="inlineStr">
        <is>
          <t>RESIDENCIAL VENECIA</t>
        </is>
      </c>
      <c r="B673" t="inlineStr">
        <is>
          <t>Etapa 1</t>
        </is>
      </c>
      <c r="C673" t="inlineStr">
        <is>
          <t>Edificio</t>
        </is>
      </c>
      <c r="D673" t="inlineStr">
        <is>
          <t>A</t>
        </is>
      </c>
      <c r="E673" t="inlineStr">
        <is>
          <t>Departamento</t>
        </is>
      </c>
      <c r="F673" t="inlineStr">
        <is>
          <t>405</t>
        </is>
      </c>
      <c r="G673" t="n">
        <v>61</v>
      </c>
      <c r="H673" t="n">
        <v>0</v>
      </c>
      <c r="I673" s="39" t="n">
        <v>392000</v>
      </c>
      <c r="J673" s="39" t="n">
        <v>392000</v>
      </c>
      <c r="K673" t="inlineStr">
        <is>
          <t>Edificio</t>
        </is>
      </c>
      <c r="L673" t="inlineStr">
        <is>
          <t>A</t>
        </is>
      </c>
      <c r="M673" t="inlineStr">
        <is>
          <t>Estacionamiento</t>
        </is>
      </c>
      <c r="N673" t="inlineStr">
        <is>
          <t>E 29 - D 14</t>
        </is>
      </c>
      <c r="O673" t="n">
        <v>14.5</v>
      </c>
      <c r="P673" t="n">
        <v>0</v>
      </c>
      <c r="Q673" s="39" t="n">
        <v>43000</v>
      </c>
      <c r="R673" s="39" t="n">
        <v>43000</v>
      </c>
      <c r="Y673" s="39" t="n"/>
      <c r="Z673" s="39" t="n"/>
      <c r="AG673" s="39" t="n"/>
      <c r="AH673" s="39" t="n"/>
      <c r="AI673" t="inlineStr">
        <is>
          <t>Petronila Tisnado Meneses</t>
        </is>
      </c>
      <c r="AJ673" t="inlineStr">
        <is>
          <t>01207150</t>
        </is>
      </c>
      <c r="AK673" t="inlineStr">
        <is>
          <t>Jr. Jose de La Mar Nº 460 Barrio San Josè</t>
        </is>
      </c>
      <c r="AL673" t="n">
        <v>0</v>
      </c>
      <c r="AM673" t="inlineStr">
        <is>
          <t>989735959</t>
        </is>
      </c>
      <c r="AN673" t="inlineStr">
        <is>
          <t>lupequis60@hotmail.com</t>
        </is>
      </c>
      <c r="AO673" t="inlineStr">
        <is>
          <t>PUNO</t>
        </is>
      </c>
      <c r="AP673" t="inlineStr">
        <is>
          <t>PUNO</t>
        </is>
      </c>
      <c r="AQ673" s="75" t="n">
        <v>46173</v>
      </c>
      <c r="AR673" s="75" t="n">
        <v>46164</v>
      </c>
      <c r="AS673" t="inlineStr">
        <is>
          <t>SALDO FINANCIAR</t>
        </is>
      </c>
      <c r="AT673" t="n">
        <v>8</v>
      </c>
      <c r="AU673" t="n">
        <v>14300</v>
      </c>
      <c r="AV673" t="n">
        <v>0</v>
      </c>
      <c r="AW673" t="n">
        <v>0</v>
      </c>
      <c r="AX673" s="39" t="n">
        <v>14300</v>
      </c>
      <c r="AY673" s="39" t="n">
        <v>14300</v>
      </c>
      <c r="AZ673" s="39" t="n">
        <v>0</v>
      </c>
      <c r="BA673" t="n">
        <v>0</v>
      </c>
      <c r="BB673" t="inlineStr">
        <is>
          <t>Crédito Directo</t>
        </is>
      </c>
      <c r="BC673" t="inlineStr">
        <is>
          <t>Scotiabank Perú</t>
        </is>
      </c>
      <c r="BD673" t="inlineStr">
        <is>
          <t>0004071419</t>
        </is>
      </c>
      <c r="BE673" t="inlineStr">
        <is>
          <t>TRANSFERENCIA BANCARIA</t>
        </is>
      </c>
      <c r="BG673" t="inlineStr">
        <is>
          <t>172844</t>
        </is>
      </c>
      <c r="BH673" t="inlineStr">
        <is>
          <t>Si</t>
        </is>
      </c>
      <c r="BJ673" t="n">
        <v>4</v>
      </c>
      <c r="BK673" t="inlineStr">
        <is>
          <t>CANCELADO</t>
        </is>
      </c>
      <c r="BV673" t="inlineStr">
        <is>
          <t>Si</t>
        </is>
      </c>
      <c r="BW673" s="76" t="n">
        <v>46178.34305555555</v>
      </c>
      <c r="BX673" t="inlineStr">
        <is>
          <t>Magaly Guevara Perez</t>
        </is>
      </c>
      <c r="BZ673" t="n">
        <v>9</v>
      </c>
      <c r="CA673" t="inlineStr">
        <is>
          <t>08/06/2026 11:47</t>
        </is>
      </c>
      <c r="CB673" t="n">
        <v>0</v>
      </c>
      <c r="CF673" t="inlineStr">
        <is>
          <t>Cobranzas_2026.csv</t>
        </is>
      </c>
      <c r="CG673" t="n">
        <v>2026</v>
      </c>
      <c r="CH673" t="inlineStr">
        <is>
          <t>01/01/2024</t>
        </is>
      </c>
      <c r="CI673" t="inlineStr">
        <is>
          <t>24/08/2031</t>
        </is>
      </c>
    </row>
    <row r="674">
      <c r="A674" t="inlineStr">
        <is>
          <t>RESIDENCIAL VENECIA</t>
        </is>
      </c>
      <c r="B674" t="inlineStr">
        <is>
          <t>Etapa 1</t>
        </is>
      </c>
      <c r="C674" t="inlineStr">
        <is>
          <t>Edificio</t>
        </is>
      </c>
      <c r="D674" t="inlineStr">
        <is>
          <t>A</t>
        </is>
      </c>
      <c r="E674" t="inlineStr">
        <is>
          <t>Departamento</t>
        </is>
      </c>
      <c r="F674" t="inlineStr">
        <is>
          <t>405</t>
        </is>
      </c>
      <c r="G674" t="n">
        <v>61</v>
      </c>
      <c r="H674" t="n">
        <v>0</v>
      </c>
      <c r="I674" s="39" t="n">
        <v>392000</v>
      </c>
      <c r="J674" s="39" t="n">
        <v>392000</v>
      </c>
      <c r="K674" t="inlineStr">
        <is>
          <t>Edificio</t>
        </is>
      </c>
      <c r="L674" t="inlineStr">
        <is>
          <t>A</t>
        </is>
      </c>
      <c r="M674" t="inlineStr">
        <is>
          <t>Estacionamiento</t>
        </is>
      </c>
      <c r="N674" t="inlineStr">
        <is>
          <t>E 29 - D 14</t>
        </is>
      </c>
      <c r="O674" t="n">
        <v>14.5</v>
      </c>
      <c r="P674" t="n">
        <v>0</v>
      </c>
      <c r="Q674" s="39" t="n">
        <v>43000</v>
      </c>
      <c r="R674" s="39" t="n">
        <v>43000</v>
      </c>
      <c r="Y674" s="39" t="n"/>
      <c r="Z674" s="39" t="n"/>
      <c r="AG674" s="39" t="n"/>
      <c r="AH674" s="39" t="n"/>
      <c r="AI674" t="inlineStr">
        <is>
          <t>Petronila Tisnado Meneses</t>
        </is>
      </c>
      <c r="AJ674" t="inlineStr">
        <is>
          <t>01207150</t>
        </is>
      </c>
      <c r="AK674" t="inlineStr">
        <is>
          <t>Jr. Jose de La Mar Nº 460 Barrio San Josè</t>
        </is>
      </c>
      <c r="AL674" t="n">
        <v>0</v>
      </c>
      <c r="AM674" t="inlineStr">
        <is>
          <t>989735959</t>
        </is>
      </c>
      <c r="AN674" t="inlineStr">
        <is>
          <t>lupequis60@hotmail.com</t>
        </is>
      </c>
      <c r="AO674" t="inlineStr">
        <is>
          <t>PUNO</t>
        </is>
      </c>
      <c r="AP674" t="inlineStr">
        <is>
          <t>PUNO</t>
        </is>
      </c>
      <c r="AQ674" s="75" t="n">
        <v>46203</v>
      </c>
      <c r="AR674" s="75" t="n">
        <v>46164</v>
      </c>
      <c r="AS674" t="inlineStr">
        <is>
          <t>SALDO FINANCIAR</t>
        </is>
      </c>
      <c r="AT674" t="n">
        <v>9</v>
      </c>
      <c r="AU674" t="n">
        <v>14300</v>
      </c>
      <c r="AV674" t="n">
        <v>0</v>
      </c>
      <c r="AW674" t="n">
        <v>0</v>
      </c>
      <c r="AX674" s="39" t="n">
        <v>14300</v>
      </c>
      <c r="AY674" s="39" t="n">
        <v>14300</v>
      </c>
      <c r="AZ674" s="39" t="n">
        <v>0</v>
      </c>
      <c r="BA674" t="n">
        <v>0</v>
      </c>
      <c r="BB674" t="inlineStr">
        <is>
          <t>Crédito Directo</t>
        </is>
      </c>
      <c r="BC674" t="inlineStr">
        <is>
          <t>Scotiabank Perú</t>
        </is>
      </c>
      <c r="BD674" t="inlineStr">
        <is>
          <t>0004071419</t>
        </is>
      </c>
      <c r="BE674" t="inlineStr">
        <is>
          <t>TRANSFERENCIA BANCARIA</t>
        </is>
      </c>
      <c r="BG674" t="inlineStr">
        <is>
          <t>172844</t>
        </is>
      </c>
      <c r="BH674" t="inlineStr">
        <is>
          <t>Si</t>
        </is>
      </c>
      <c r="BJ674" t="n">
        <v>4</v>
      </c>
      <c r="BK674" t="inlineStr">
        <is>
          <t>CANCELADO</t>
        </is>
      </c>
      <c r="BV674" t="inlineStr">
        <is>
          <t>Si</t>
        </is>
      </c>
      <c r="BW674" s="76" t="n">
        <v>46178.34305555555</v>
      </c>
      <c r="BX674" t="inlineStr">
        <is>
          <t>Magaly Guevara Perez</t>
        </is>
      </c>
      <c r="BZ674" t="n">
        <v>9</v>
      </c>
      <c r="CA674" t="inlineStr">
        <is>
          <t>08/06/2026 11:47</t>
        </is>
      </c>
      <c r="CB674" t="n">
        <v>0</v>
      </c>
      <c r="CF674" t="inlineStr">
        <is>
          <t>Cobranzas_2026.csv</t>
        </is>
      </c>
      <c r="CG674" t="n">
        <v>2026</v>
      </c>
      <c r="CH674" t="inlineStr">
        <is>
          <t>01/01/2024</t>
        </is>
      </c>
      <c r="CI674" t="inlineStr">
        <is>
          <t>24/08/2031</t>
        </is>
      </c>
    </row>
    <row r="675">
      <c r="A675" t="inlineStr">
        <is>
          <t>RESIDENCIAL VENECIA</t>
        </is>
      </c>
      <c r="B675" t="inlineStr">
        <is>
          <t>Etapa 1</t>
        </is>
      </c>
      <c r="C675" t="inlineStr">
        <is>
          <t>Edificio</t>
        </is>
      </c>
      <c r="D675" t="inlineStr">
        <is>
          <t>A</t>
        </is>
      </c>
      <c r="E675" t="inlineStr">
        <is>
          <t>Departamento</t>
        </is>
      </c>
      <c r="F675" t="inlineStr">
        <is>
          <t>405</t>
        </is>
      </c>
      <c r="G675" t="n">
        <v>61</v>
      </c>
      <c r="H675" t="n">
        <v>0</v>
      </c>
      <c r="I675" s="39" t="n">
        <v>392000</v>
      </c>
      <c r="J675" s="39" t="n">
        <v>392000</v>
      </c>
      <c r="K675" t="inlineStr">
        <is>
          <t>Edificio</t>
        </is>
      </c>
      <c r="L675" t="inlineStr">
        <is>
          <t>A</t>
        </is>
      </c>
      <c r="M675" t="inlineStr">
        <is>
          <t>Estacionamiento</t>
        </is>
      </c>
      <c r="N675" t="inlineStr">
        <is>
          <t>E 29 - D 14</t>
        </is>
      </c>
      <c r="O675" t="n">
        <v>14.5</v>
      </c>
      <c r="P675" t="n">
        <v>0</v>
      </c>
      <c r="Q675" s="39" t="n">
        <v>43000</v>
      </c>
      <c r="R675" s="39" t="n">
        <v>43000</v>
      </c>
      <c r="Y675" s="39" t="n"/>
      <c r="Z675" s="39" t="n"/>
      <c r="AG675" s="39" t="n"/>
      <c r="AH675" s="39" t="n"/>
      <c r="AI675" t="inlineStr">
        <is>
          <t>Petronila Tisnado Meneses</t>
        </is>
      </c>
      <c r="AJ675" t="inlineStr">
        <is>
          <t>01207150</t>
        </is>
      </c>
      <c r="AK675" t="inlineStr">
        <is>
          <t>Jr. Jose de La Mar Nº 460 Barrio San Josè</t>
        </is>
      </c>
      <c r="AL675" t="n">
        <v>0</v>
      </c>
      <c r="AM675" t="inlineStr">
        <is>
          <t>989735959</t>
        </is>
      </c>
      <c r="AN675" t="inlineStr">
        <is>
          <t>lupequis60@hotmail.com</t>
        </is>
      </c>
      <c r="AO675" t="inlineStr">
        <is>
          <t>PUNO</t>
        </is>
      </c>
      <c r="AP675" t="inlineStr">
        <is>
          <t>PUNO</t>
        </is>
      </c>
      <c r="AQ675" s="75" t="n">
        <v>46234</v>
      </c>
      <c r="AR675" s="75" t="n">
        <v>46223</v>
      </c>
      <c r="AS675" t="inlineStr">
        <is>
          <t>SALDO FINANCIAR</t>
        </is>
      </c>
      <c r="AT675" t="n">
        <v>10</v>
      </c>
      <c r="AU675" t="n">
        <v>14300</v>
      </c>
      <c r="AV675" t="n">
        <v>0</v>
      </c>
      <c r="AW675" t="n">
        <v>0</v>
      </c>
      <c r="AX675" s="39" t="n">
        <v>14300</v>
      </c>
      <c r="AY675" s="39" t="n">
        <v>14300</v>
      </c>
      <c r="AZ675" s="39" t="n">
        <v>0</v>
      </c>
      <c r="BA675" t="n">
        <v>0</v>
      </c>
      <c r="BB675" t="inlineStr">
        <is>
          <t>Crédito Directo</t>
        </is>
      </c>
      <c r="BC675" t="inlineStr">
        <is>
          <t>Scotiabank Perú</t>
        </is>
      </c>
      <c r="BD675" t="inlineStr">
        <is>
          <t>0004071419</t>
        </is>
      </c>
      <c r="BE675" t="inlineStr">
        <is>
          <t>TRANSFERENCIA BANCARIA</t>
        </is>
      </c>
      <c r="BG675" t="inlineStr">
        <is>
          <t>4071419</t>
        </is>
      </c>
      <c r="BH675" t="inlineStr">
        <is>
          <t>No</t>
        </is>
      </c>
      <c r="BJ675" t="n">
        <v>4</v>
      </c>
      <c r="BK675" t="inlineStr">
        <is>
          <t>CANCELADO</t>
        </is>
      </c>
      <c r="BV675" t="inlineStr">
        <is>
          <t>Si</t>
        </is>
      </c>
      <c r="BW675" s="76" t="n">
        <v>46178.34305555555</v>
      </c>
      <c r="BX675" t="inlineStr">
        <is>
          <t>Magaly Guevara Perez</t>
        </is>
      </c>
      <c r="BZ675" t="n">
        <v>9</v>
      </c>
      <c r="CA675" t="inlineStr">
        <is>
          <t>18/08/2026 17:17</t>
        </is>
      </c>
      <c r="CB675" t="n">
        <v>0</v>
      </c>
      <c r="CF675" t="inlineStr">
        <is>
          <t>Cobranzas_2026.csv</t>
        </is>
      </c>
      <c r="CG675" t="n">
        <v>2026</v>
      </c>
      <c r="CH675" t="inlineStr">
        <is>
          <t>01/01/2024</t>
        </is>
      </c>
      <c r="CI675" t="inlineStr">
        <is>
          <t>24/08/2031</t>
        </is>
      </c>
    </row>
    <row r="676">
      <c r="A676" t="inlineStr">
        <is>
          <t>RESIDENCIAL VENECIA</t>
        </is>
      </c>
      <c r="B676" t="inlineStr">
        <is>
          <t>Etapa 1</t>
        </is>
      </c>
      <c r="C676" t="inlineStr">
        <is>
          <t>Edificio</t>
        </is>
      </c>
      <c r="D676" t="inlineStr">
        <is>
          <t>A</t>
        </is>
      </c>
      <c r="E676" t="inlineStr">
        <is>
          <t>Departamento</t>
        </is>
      </c>
      <c r="F676" t="inlineStr">
        <is>
          <t>405</t>
        </is>
      </c>
      <c r="G676" t="n">
        <v>61</v>
      </c>
      <c r="H676" t="n">
        <v>0</v>
      </c>
      <c r="I676" s="39" t="n">
        <v>392000</v>
      </c>
      <c r="J676" s="39" t="n">
        <v>392000</v>
      </c>
      <c r="K676" t="inlineStr">
        <is>
          <t>Edificio</t>
        </is>
      </c>
      <c r="L676" t="inlineStr">
        <is>
          <t>A</t>
        </is>
      </c>
      <c r="M676" t="inlineStr">
        <is>
          <t>Estacionamiento</t>
        </is>
      </c>
      <c r="N676" t="inlineStr">
        <is>
          <t>E 29 - D 14</t>
        </is>
      </c>
      <c r="O676" t="n">
        <v>14.5</v>
      </c>
      <c r="P676" t="n">
        <v>0</v>
      </c>
      <c r="Q676" s="39" t="n">
        <v>43000</v>
      </c>
      <c r="R676" s="39" t="n">
        <v>43000</v>
      </c>
      <c r="Y676" s="39" t="n"/>
      <c r="Z676" s="39" t="n"/>
      <c r="AG676" s="39" t="n"/>
      <c r="AH676" s="39" t="n"/>
      <c r="AI676" t="inlineStr">
        <is>
          <t>Petronila Tisnado Meneses</t>
        </is>
      </c>
      <c r="AJ676" t="inlineStr">
        <is>
          <t>01207150</t>
        </is>
      </c>
      <c r="AK676" t="inlineStr">
        <is>
          <t>Jr. Jose de La Mar Nº 460 Barrio San Josè</t>
        </is>
      </c>
      <c r="AL676" t="n">
        <v>0</v>
      </c>
      <c r="AM676" t="inlineStr">
        <is>
          <t>989735959</t>
        </is>
      </c>
      <c r="AN676" t="inlineStr">
        <is>
          <t>lupequis60@hotmail.com</t>
        </is>
      </c>
      <c r="AO676" t="inlineStr">
        <is>
          <t>PUNO</t>
        </is>
      </c>
      <c r="AP676" t="inlineStr">
        <is>
          <t>PUNO</t>
        </is>
      </c>
      <c r="AQ676" s="75" t="n">
        <v>46265</v>
      </c>
      <c r="AR676" s="75" t="n">
        <v>46223</v>
      </c>
      <c r="AS676" t="inlineStr">
        <is>
          <t>SALDO FINANCIAR</t>
        </is>
      </c>
      <c r="AT676" t="n">
        <v>11</v>
      </c>
      <c r="AU676" t="n">
        <v>14300</v>
      </c>
      <c r="AV676" t="n">
        <v>0</v>
      </c>
      <c r="AW676" t="n">
        <v>0</v>
      </c>
      <c r="AX676" s="39" t="n">
        <v>14300</v>
      </c>
      <c r="AY676" s="39" t="n">
        <v>14300</v>
      </c>
      <c r="AZ676" s="39" t="n">
        <v>0</v>
      </c>
      <c r="BA676" t="n">
        <v>0</v>
      </c>
      <c r="BB676" t="inlineStr">
        <is>
          <t>Crédito Directo</t>
        </is>
      </c>
      <c r="BC676" t="inlineStr">
        <is>
          <t>Scotiabank Perú</t>
        </is>
      </c>
      <c r="BD676" t="inlineStr">
        <is>
          <t>0004071419</t>
        </is>
      </c>
      <c r="BE676" t="inlineStr">
        <is>
          <t>TRANSFERENCIA BANCARIA</t>
        </is>
      </c>
      <c r="BG676" t="inlineStr">
        <is>
          <t>4071419</t>
        </is>
      </c>
      <c r="BH676" t="inlineStr">
        <is>
          <t>No</t>
        </is>
      </c>
      <c r="BJ676" t="n">
        <v>4</v>
      </c>
      <c r="BK676" t="inlineStr">
        <is>
          <t>CANCELADO</t>
        </is>
      </c>
      <c r="BV676" t="inlineStr">
        <is>
          <t>Si</t>
        </is>
      </c>
      <c r="BW676" s="76" t="n">
        <v>46178.34305555555</v>
      </c>
      <c r="BX676" t="inlineStr">
        <is>
          <t>Magaly Guevara Perez</t>
        </is>
      </c>
      <c r="BZ676" t="n">
        <v>9</v>
      </c>
      <c r="CA676" t="inlineStr">
        <is>
          <t>18/08/2026 17:17</t>
        </is>
      </c>
      <c r="CB676" t="n">
        <v>0</v>
      </c>
      <c r="CF676" t="inlineStr">
        <is>
          <t>Cobranzas_2026.csv</t>
        </is>
      </c>
      <c r="CG676" t="n">
        <v>2026</v>
      </c>
      <c r="CH676" t="inlineStr">
        <is>
          <t>01/01/2024</t>
        </is>
      </c>
      <c r="CI676" t="inlineStr">
        <is>
          <t>24/08/2031</t>
        </is>
      </c>
    </row>
    <row r="677">
      <c r="A677" t="inlineStr">
        <is>
          <t>RESIDENCIAL VENECIA</t>
        </is>
      </c>
      <c r="B677" t="inlineStr">
        <is>
          <t>Etapa 1</t>
        </is>
      </c>
      <c r="C677" t="inlineStr">
        <is>
          <t>Edificio</t>
        </is>
      </c>
      <c r="D677" t="inlineStr">
        <is>
          <t>A</t>
        </is>
      </c>
      <c r="E677" t="inlineStr">
        <is>
          <t>Departamento</t>
        </is>
      </c>
      <c r="F677" t="inlineStr">
        <is>
          <t>405</t>
        </is>
      </c>
      <c r="G677" t="n">
        <v>61</v>
      </c>
      <c r="H677" t="n">
        <v>0</v>
      </c>
      <c r="I677" s="39" t="n">
        <v>392000</v>
      </c>
      <c r="J677" s="39" t="n">
        <v>392000</v>
      </c>
      <c r="K677" t="inlineStr">
        <is>
          <t>Edificio</t>
        </is>
      </c>
      <c r="L677" t="inlineStr">
        <is>
          <t>A</t>
        </is>
      </c>
      <c r="M677" t="inlineStr">
        <is>
          <t>Estacionamiento</t>
        </is>
      </c>
      <c r="N677" t="inlineStr">
        <is>
          <t>E 29 - D 14</t>
        </is>
      </c>
      <c r="O677" t="n">
        <v>14.5</v>
      </c>
      <c r="P677" t="n">
        <v>0</v>
      </c>
      <c r="Q677" s="39" t="n">
        <v>43000</v>
      </c>
      <c r="R677" s="39" t="n">
        <v>43000</v>
      </c>
      <c r="Y677" s="39" t="n"/>
      <c r="Z677" s="39" t="n"/>
      <c r="AG677" s="39" t="n"/>
      <c r="AH677" s="39" t="n"/>
      <c r="AI677" t="inlineStr">
        <is>
          <t>Petronila Tisnado Meneses</t>
        </is>
      </c>
      <c r="AJ677" t="inlineStr">
        <is>
          <t>01207150</t>
        </is>
      </c>
      <c r="AK677" t="inlineStr">
        <is>
          <t>Jr. Jose de La Mar Nº 460 Barrio San Josè</t>
        </is>
      </c>
      <c r="AL677" t="n">
        <v>0</v>
      </c>
      <c r="AM677" t="inlineStr">
        <is>
          <t>989735959</t>
        </is>
      </c>
      <c r="AN677" t="inlineStr">
        <is>
          <t>lupequis60@hotmail.com</t>
        </is>
      </c>
      <c r="AO677" t="inlineStr">
        <is>
          <t>PUNO</t>
        </is>
      </c>
      <c r="AP677" t="inlineStr">
        <is>
          <t>PUNO</t>
        </is>
      </c>
      <c r="AQ677" s="75" t="n">
        <v>46295</v>
      </c>
      <c r="AR677" s="75" t="n"/>
      <c r="AS677" t="inlineStr">
        <is>
          <t>SALDO FINANCIAR</t>
        </is>
      </c>
      <c r="AT677" t="n">
        <v>12</v>
      </c>
      <c r="AU677" t="n">
        <v>14300</v>
      </c>
      <c r="AV677" t="n">
        <v>0</v>
      </c>
      <c r="AW677" t="n">
        <v>0</v>
      </c>
      <c r="AX677" s="39" t="n">
        <v>14300</v>
      </c>
      <c r="AY677" s="39" t="n">
        <v>0</v>
      </c>
      <c r="AZ677" s="39" t="n">
        <v>14300</v>
      </c>
      <c r="BB677" t="inlineStr">
        <is>
          <t>Crédito Directo</t>
        </is>
      </c>
      <c r="BH677" t="inlineStr">
        <is>
          <t>No</t>
        </is>
      </c>
      <c r="BK677" t="inlineStr">
        <is>
          <t>PENDIENTE</t>
        </is>
      </c>
      <c r="BV677" t="inlineStr">
        <is>
          <t>No</t>
        </is>
      </c>
      <c r="BW677" s="76" t="n">
        <v>46178.34305555555</v>
      </c>
      <c r="BX677" t="inlineStr">
        <is>
          <t>Magaly Guevara Perez</t>
        </is>
      </c>
      <c r="BZ677" t="n">
        <v>9</v>
      </c>
      <c r="CB677" t="n">
        <v>0</v>
      </c>
      <c r="CF677" t="inlineStr">
        <is>
          <t>Cobranzas_2026.csv</t>
        </is>
      </c>
      <c r="CG677" t="n">
        <v>2026</v>
      </c>
      <c r="CH677" t="inlineStr">
        <is>
          <t>01/01/2024</t>
        </is>
      </c>
      <c r="CI677" t="inlineStr">
        <is>
          <t>24/08/2031</t>
        </is>
      </c>
    </row>
    <row r="678">
      <c r="A678" t="inlineStr">
        <is>
          <t>RESIDENCIAL VENECIA</t>
        </is>
      </c>
      <c r="B678" t="inlineStr">
        <is>
          <t>Etapa 1</t>
        </is>
      </c>
      <c r="C678" t="inlineStr">
        <is>
          <t>Edificio</t>
        </is>
      </c>
      <c r="D678" t="inlineStr">
        <is>
          <t>A</t>
        </is>
      </c>
      <c r="E678" t="inlineStr">
        <is>
          <t>Departamento</t>
        </is>
      </c>
      <c r="F678" t="inlineStr">
        <is>
          <t>405</t>
        </is>
      </c>
      <c r="G678" t="n">
        <v>61</v>
      </c>
      <c r="H678" t="n">
        <v>0</v>
      </c>
      <c r="I678" s="39" t="n">
        <v>392000</v>
      </c>
      <c r="J678" s="39" t="n">
        <v>392000</v>
      </c>
      <c r="K678" t="inlineStr">
        <is>
          <t>Edificio</t>
        </is>
      </c>
      <c r="L678" t="inlineStr">
        <is>
          <t>A</t>
        </is>
      </c>
      <c r="M678" t="inlineStr">
        <is>
          <t>Estacionamiento</t>
        </is>
      </c>
      <c r="N678" t="inlineStr">
        <is>
          <t>E 29 - D 14</t>
        </is>
      </c>
      <c r="O678" t="n">
        <v>14.5</v>
      </c>
      <c r="P678" t="n">
        <v>0</v>
      </c>
      <c r="Q678" s="39" t="n">
        <v>43000</v>
      </c>
      <c r="R678" s="39" t="n">
        <v>43000</v>
      </c>
      <c r="Y678" s="39" t="n"/>
      <c r="Z678" s="39" t="n"/>
      <c r="AG678" s="39" t="n"/>
      <c r="AH678" s="39" t="n"/>
      <c r="AI678" t="inlineStr">
        <is>
          <t>Petronila Tisnado Meneses</t>
        </is>
      </c>
      <c r="AJ678" t="inlineStr">
        <is>
          <t>01207150</t>
        </is>
      </c>
      <c r="AK678" t="inlineStr">
        <is>
          <t>Jr. Jose de La Mar Nº 460 Barrio San Josè</t>
        </is>
      </c>
      <c r="AL678" t="n">
        <v>0</v>
      </c>
      <c r="AM678" t="inlineStr">
        <is>
          <t>989735959</t>
        </is>
      </c>
      <c r="AN678" t="inlineStr">
        <is>
          <t>lupequis60@hotmail.com</t>
        </is>
      </c>
      <c r="AO678" t="inlineStr">
        <is>
          <t>PUNO</t>
        </is>
      </c>
      <c r="AP678" t="inlineStr">
        <is>
          <t>PUNO</t>
        </is>
      </c>
      <c r="AQ678" s="75" t="n">
        <v>46326</v>
      </c>
      <c r="AR678" s="75" t="n"/>
      <c r="AS678" t="inlineStr">
        <is>
          <t>SALDO FINANCIAR</t>
        </is>
      </c>
      <c r="AT678" t="n">
        <v>13</v>
      </c>
      <c r="AU678" t="n">
        <v>14300</v>
      </c>
      <c r="AV678" t="n">
        <v>0</v>
      </c>
      <c r="AW678" t="n">
        <v>0</v>
      </c>
      <c r="AX678" s="39" t="n">
        <v>14300</v>
      </c>
      <c r="AY678" s="39" t="n">
        <v>0</v>
      </c>
      <c r="AZ678" s="39" t="n">
        <v>14300</v>
      </c>
      <c r="BB678" t="inlineStr">
        <is>
          <t>Crédito Directo</t>
        </is>
      </c>
      <c r="BH678" t="inlineStr">
        <is>
          <t>No</t>
        </is>
      </c>
      <c r="BK678" t="inlineStr">
        <is>
          <t>PENDIENTE</t>
        </is>
      </c>
      <c r="BV678" t="inlineStr">
        <is>
          <t>No</t>
        </is>
      </c>
      <c r="BW678" s="76" t="n">
        <v>46178.34305555555</v>
      </c>
      <c r="BX678" t="inlineStr">
        <is>
          <t>Magaly Guevara Perez</t>
        </is>
      </c>
      <c r="BZ678" t="n">
        <v>9</v>
      </c>
      <c r="CB678" t="n">
        <v>0</v>
      </c>
      <c r="CF678" t="inlineStr">
        <is>
          <t>Cobranzas_2026.csv</t>
        </is>
      </c>
      <c r="CG678" t="n">
        <v>2026</v>
      </c>
      <c r="CH678" t="inlineStr">
        <is>
          <t>01/01/2024</t>
        </is>
      </c>
      <c r="CI678" t="inlineStr">
        <is>
          <t>24/08/2031</t>
        </is>
      </c>
    </row>
    <row r="679">
      <c r="A679" t="inlineStr">
        <is>
          <t>RESIDENCIAL VENECIA</t>
        </is>
      </c>
      <c r="B679" t="inlineStr">
        <is>
          <t>Etapa 1</t>
        </is>
      </c>
      <c r="C679" t="inlineStr">
        <is>
          <t>Edificio</t>
        </is>
      </c>
      <c r="D679" t="inlineStr">
        <is>
          <t>A</t>
        </is>
      </c>
      <c r="E679" t="inlineStr">
        <is>
          <t>Departamento</t>
        </is>
      </c>
      <c r="F679" t="inlineStr">
        <is>
          <t>405</t>
        </is>
      </c>
      <c r="G679" t="n">
        <v>61</v>
      </c>
      <c r="H679" t="n">
        <v>0</v>
      </c>
      <c r="I679" s="39" t="n">
        <v>392000</v>
      </c>
      <c r="J679" s="39" t="n">
        <v>392000</v>
      </c>
      <c r="K679" t="inlineStr">
        <is>
          <t>Edificio</t>
        </is>
      </c>
      <c r="L679" t="inlineStr">
        <is>
          <t>A</t>
        </is>
      </c>
      <c r="M679" t="inlineStr">
        <is>
          <t>Estacionamiento</t>
        </is>
      </c>
      <c r="N679" t="inlineStr">
        <is>
          <t>E 29 - D 14</t>
        </is>
      </c>
      <c r="O679" t="n">
        <v>14.5</v>
      </c>
      <c r="P679" t="n">
        <v>0</v>
      </c>
      <c r="Q679" s="39" t="n">
        <v>43000</v>
      </c>
      <c r="R679" s="39" t="n">
        <v>43000</v>
      </c>
      <c r="Y679" s="39" t="n"/>
      <c r="Z679" s="39" t="n"/>
      <c r="AG679" s="39" t="n"/>
      <c r="AH679" s="39" t="n"/>
      <c r="AI679" t="inlineStr">
        <is>
          <t>Petronila Tisnado Meneses</t>
        </is>
      </c>
      <c r="AJ679" t="inlineStr">
        <is>
          <t>01207150</t>
        </is>
      </c>
      <c r="AK679" t="inlineStr">
        <is>
          <t>Jr. Jose de La Mar Nº 460 Barrio San Josè</t>
        </is>
      </c>
      <c r="AL679" t="n">
        <v>0</v>
      </c>
      <c r="AM679" t="inlineStr">
        <is>
          <t>989735959</t>
        </is>
      </c>
      <c r="AN679" t="inlineStr">
        <is>
          <t>lupequis60@hotmail.com</t>
        </is>
      </c>
      <c r="AO679" t="inlineStr">
        <is>
          <t>PUNO</t>
        </is>
      </c>
      <c r="AP679" t="inlineStr">
        <is>
          <t>PUNO</t>
        </is>
      </c>
      <c r="AQ679" s="75" t="n">
        <v>46356</v>
      </c>
      <c r="AR679" s="75" t="n"/>
      <c r="AS679" t="inlineStr">
        <is>
          <t>SALDO FINANCIAR</t>
        </is>
      </c>
      <c r="AT679" t="n">
        <v>14</v>
      </c>
      <c r="AU679" t="n">
        <v>14300</v>
      </c>
      <c r="AV679" t="n">
        <v>0</v>
      </c>
      <c r="AW679" t="n">
        <v>0</v>
      </c>
      <c r="AX679" s="39" t="n">
        <v>14300</v>
      </c>
      <c r="AY679" s="39" t="n">
        <v>0</v>
      </c>
      <c r="AZ679" s="39" t="n">
        <v>14300</v>
      </c>
      <c r="BB679" t="inlineStr">
        <is>
          <t>Crédito Directo</t>
        </is>
      </c>
      <c r="BH679" t="inlineStr">
        <is>
          <t>No</t>
        </is>
      </c>
      <c r="BK679" t="inlineStr">
        <is>
          <t>PENDIENTE</t>
        </is>
      </c>
      <c r="BV679" t="inlineStr">
        <is>
          <t>No</t>
        </is>
      </c>
      <c r="BW679" s="76" t="n">
        <v>46178.34305555555</v>
      </c>
      <c r="BX679" t="inlineStr">
        <is>
          <t>Magaly Guevara Perez</t>
        </is>
      </c>
      <c r="BZ679" t="n">
        <v>9</v>
      </c>
      <c r="CB679" t="n">
        <v>0</v>
      </c>
      <c r="CF679" t="inlineStr">
        <is>
          <t>Cobranzas_2026.csv</t>
        </is>
      </c>
      <c r="CG679" t="n">
        <v>2026</v>
      </c>
      <c r="CH679" t="inlineStr">
        <is>
          <t>01/01/2024</t>
        </is>
      </c>
      <c r="CI679" t="inlineStr">
        <is>
          <t>24/08/2031</t>
        </is>
      </c>
    </row>
    <row r="680">
      <c r="A680" t="inlineStr">
        <is>
          <t>RESIDENCIAL VENECIA</t>
        </is>
      </c>
      <c r="B680" t="inlineStr">
        <is>
          <t>Etapa 1</t>
        </is>
      </c>
      <c r="C680" t="inlineStr">
        <is>
          <t>Edificio</t>
        </is>
      </c>
      <c r="D680" t="inlineStr">
        <is>
          <t>A</t>
        </is>
      </c>
      <c r="E680" t="inlineStr">
        <is>
          <t>Departamento</t>
        </is>
      </c>
      <c r="F680" t="inlineStr">
        <is>
          <t>405</t>
        </is>
      </c>
      <c r="G680" t="n">
        <v>61</v>
      </c>
      <c r="H680" t="n">
        <v>0</v>
      </c>
      <c r="I680" s="39" t="n">
        <v>392000</v>
      </c>
      <c r="J680" s="39" t="n">
        <v>392000</v>
      </c>
      <c r="K680" t="inlineStr">
        <is>
          <t>Edificio</t>
        </is>
      </c>
      <c r="L680" t="inlineStr">
        <is>
          <t>A</t>
        </is>
      </c>
      <c r="M680" t="inlineStr">
        <is>
          <t>Estacionamiento</t>
        </is>
      </c>
      <c r="N680" t="inlineStr">
        <is>
          <t>E 29 - D 14</t>
        </is>
      </c>
      <c r="O680" t="n">
        <v>14.5</v>
      </c>
      <c r="P680" t="n">
        <v>0</v>
      </c>
      <c r="Q680" s="39" t="n">
        <v>43000</v>
      </c>
      <c r="R680" s="39" t="n">
        <v>43000</v>
      </c>
      <c r="Y680" s="39" t="n"/>
      <c r="Z680" s="39" t="n"/>
      <c r="AG680" s="39" t="n"/>
      <c r="AH680" s="39" t="n"/>
      <c r="AI680" t="inlineStr">
        <is>
          <t>Petronila Tisnado Meneses</t>
        </is>
      </c>
      <c r="AJ680" t="inlineStr">
        <is>
          <t>01207150</t>
        </is>
      </c>
      <c r="AK680" t="inlineStr">
        <is>
          <t>Jr. Jose de La Mar Nº 460 Barrio San Josè</t>
        </is>
      </c>
      <c r="AL680" t="n">
        <v>0</v>
      </c>
      <c r="AM680" t="inlineStr">
        <is>
          <t>989735959</t>
        </is>
      </c>
      <c r="AN680" t="inlineStr">
        <is>
          <t>lupequis60@hotmail.com</t>
        </is>
      </c>
      <c r="AO680" t="inlineStr">
        <is>
          <t>PUNO</t>
        </is>
      </c>
      <c r="AP680" t="inlineStr">
        <is>
          <t>PUNO</t>
        </is>
      </c>
      <c r="AQ680" s="75" t="n">
        <v>46387</v>
      </c>
      <c r="AR680" s="75" t="n"/>
      <c r="AS680" t="inlineStr">
        <is>
          <t>SALDO FINANCIAR</t>
        </is>
      </c>
      <c r="AT680" t="n">
        <v>15</v>
      </c>
      <c r="AU680" t="n">
        <v>14300</v>
      </c>
      <c r="AV680" t="n">
        <v>0</v>
      </c>
      <c r="AW680" t="n">
        <v>0</v>
      </c>
      <c r="AX680" s="39" t="n">
        <v>14300</v>
      </c>
      <c r="AY680" s="39" t="n">
        <v>0</v>
      </c>
      <c r="AZ680" s="39" t="n">
        <v>14300</v>
      </c>
      <c r="BB680" t="inlineStr">
        <is>
          <t>Crédito Directo</t>
        </is>
      </c>
      <c r="BH680" t="inlineStr">
        <is>
          <t>No</t>
        </is>
      </c>
      <c r="BK680" t="inlineStr">
        <is>
          <t>PENDIENTE</t>
        </is>
      </c>
      <c r="BV680" t="inlineStr">
        <is>
          <t>No</t>
        </is>
      </c>
      <c r="BW680" s="76" t="n">
        <v>46178.34305555555</v>
      </c>
      <c r="BX680" t="inlineStr">
        <is>
          <t>Magaly Guevara Perez</t>
        </is>
      </c>
      <c r="BZ680" t="n">
        <v>9</v>
      </c>
      <c r="CB680" t="n">
        <v>0</v>
      </c>
      <c r="CF680" t="inlineStr">
        <is>
          <t>Cobranzas_2026.csv</t>
        </is>
      </c>
      <c r="CG680" t="n">
        <v>2026</v>
      </c>
      <c r="CH680" t="inlineStr">
        <is>
          <t>01/01/2024</t>
        </is>
      </c>
      <c r="CI680" t="inlineStr">
        <is>
          <t>24/08/2031</t>
        </is>
      </c>
    </row>
    <row r="681">
      <c r="A681" t="inlineStr">
        <is>
          <t>RESIDENCIAL VENECIA</t>
        </is>
      </c>
      <c r="B681" t="inlineStr">
        <is>
          <t>Etapa 1</t>
        </is>
      </c>
      <c r="C681" t="inlineStr">
        <is>
          <t>Edificio</t>
        </is>
      </c>
      <c r="D681" t="inlineStr">
        <is>
          <t>A</t>
        </is>
      </c>
      <c r="E681" t="inlineStr">
        <is>
          <t>Departamento</t>
        </is>
      </c>
      <c r="F681" t="inlineStr">
        <is>
          <t>705</t>
        </is>
      </c>
      <c r="G681" t="n">
        <v>61</v>
      </c>
      <c r="H681" t="n">
        <v>0</v>
      </c>
      <c r="I681" s="39" t="n">
        <v>442000</v>
      </c>
      <c r="J681" s="39" t="n">
        <v>416000</v>
      </c>
      <c r="Q681" s="39" t="n"/>
      <c r="R681" s="39" t="n"/>
      <c r="Y681" s="39" t="n"/>
      <c r="Z681" s="39" t="n"/>
      <c r="AG681" s="39" t="n"/>
      <c r="AH681" s="39" t="n"/>
      <c r="AI681" t="inlineStr">
        <is>
          <t>RENZO VALDERRAMA REYES</t>
        </is>
      </c>
      <c r="AJ681" t="inlineStr">
        <is>
          <t>45416570</t>
        </is>
      </c>
      <c r="AK681" t="inlineStr">
        <is>
          <t>Jr. Almudena 194</t>
        </is>
      </c>
      <c r="AL681" t="n">
        <v>0</v>
      </c>
      <c r="AM681" t="inlineStr">
        <is>
          <t>932290459</t>
        </is>
      </c>
      <c r="AN681" t="inlineStr">
        <is>
          <t>rvalderrama2488@hotmail.com</t>
        </is>
      </c>
      <c r="AO681" t="inlineStr">
        <is>
          <t>LIMA</t>
        </is>
      </c>
      <c r="AP681" t="inlineStr">
        <is>
          <t>SAN LUIS</t>
        </is>
      </c>
      <c r="AQ681" s="75" t="n">
        <v>46158</v>
      </c>
      <c r="AR681" s="75" t="n">
        <v>46158</v>
      </c>
      <c r="AS681" t="inlineStr">
        <is>
          <t>SEPARACION</t>
        </is>
      </c>
      <c r="AT681" t="n">
        <v>1</v>
      </c>
      <c r="AU681" t="n">
        <v>3000</v>
      </c>
      <c r="AV681" t="n">
        <v>0</v>
      </c>
      <c r="AW681" t="n">
        <v>0</v>
      </c>
      <c r="AX681" s="39" t="n">
        <v>3000</v>
      </c>
      <c r="AY681" s="39" t="n">
        <v>3000</v>
      </c>
      <c r="AZ681" s="39" t="n">
        <v>0</v>
      </c>
      <c r="BA681" t="n">
        <v>0</v>
      </c>
      <c r="BB681" t="inlineStr">
        <is>
          <t>Crédito Hipotecario</t>
        </is>
      </c>
      <c r="BC681" t="inlineStr">
        <is>
          <t>Scotiabank Perú</t>
        </is>
      </c>
      <c r="BD681" t="inlineStr">
        <is>
          <t>0004071419</t>
        </is>
      </c>
      <c r="BE681" t="inlineStr">
        <is>
          <t>TRANSFERENCIA BANCARIA</t>
        </is>
      </c>
      <c r="BG681" t="inlineStr">
        <is>
          <t>7844655550510</t>
        </is>
      </c>
      <c r="BH681" t="inlineStr">
        <is>
          <t>No</t>
        </is>
      </c>
      <c r="BJ681" t="n">
        <v>4</v>
      </c>
      <c r="BK681" t="inlineStr">
        <is>
          <t>CANCELADO</t>
        </is>
      </c>
      <c r="BV681" t="inlineStr">
        <is>
          <t>Si</t>
        </is>
      </c>
      <c r="BW681" s="76" t="n">
        <v>46185.57291666666</v>
      </c>
      <c r="BX681" t="inlineStr">
        <is>
          <t xml:space="preserve">Glenda Solano </t>
        </is>
      </c>
      <c r="BZ681" t="n">
        <v>18</v>
      </c>
      <c r="CA681" t="inlineStr">
        <is>
          <t>16/05/2026 19:32</t>
        </is>
      </c>
      <c r="CB681" t="n">
        <v>0</v>
      </c>
      <c r="CF681" t="inlineStr">
        <is>
          <t>Cobranzas_2026.csv</t>
        </is>
      </c>
      <c r="CG681" t="n">
        <v>2026</v>
      </c>
      <c r="CH681" t="inlineStr">
        <is>
          <t>01/01/2024</t>
        </is>
      </c>
      <c r="CI681" t="inlineStr">
        <is>
          <t>24/08/2031</t>
        </is>
      </c>
    </row>
    <row r="682">
      <c r="A682" t="inlineStr">
        <is>
          <t>RESIDENCIAL VENECIA</t>
        </is>
      </c>
      <c r="B682" t="inlineStr">
        <is>
          <t>Etapa 1</t>
        </is>
      </c>
      <c r="C682" t="inlineStr">
        <is>
          <t>Edificio</t>
        </is>
      </c>
      <c r="D682" t="inlineStr">
        <is>
          <t>A</t>
        </is>
      </c>
      <c r="E682" t="inlineStr">
        <is>
          <t>Departamento</t>
        </is>
      </c>
      <c r="F682" t="inlineStr">
        <is>
          <t>705</t>
        </is>
      </c>
      <c r="G682" t="n">
        <v>61</v>
      </c>
      <c r="H682" t="n">
        <v>0</v>
      </c>
      <c r="I682" s="39" t="n">
        <v>442000</v>
      </c>
      <c r="J682" s="39" t="n">
        <v>416000</v>
      </c>
      <c r="Q682" s="39" t="n"/>
      <c r="R682" s="39" t="n"/>
      <c r="Y682" s="39" t="n"/>
      <c r="Z682" s="39" t="n"/>
      <c r="AG682" s="39" t="n"/>
      <c r="AH682" s="39" t="n"/>
      <c r="AI682" t="inlineStr">
        <is>
          <t>RENZO VALDERRAMA REYES</t>
        </is>
      </c>
      <c r="AJ682" t="inlineStr">
        <is>
          <t>45416570</t>
        </is>
      </c>
      <c r="AK682" t="inlineStr">
        <is>
          <t>Jr. Almudena 194</t>
        </is>
      </c>
      <c r="AL682" t="n">
        <v>0</v>
      </c>
      <c r="AM682" t="inlineStr">
        <is>
          <t>932290459</t>
        </is>
      </c>
      <c r="AN682" t="inlineStr">
        <is>
          <t>rvalderrama2488@hotmail.com</t>
        </is>
      </c>
      <c r="AO682" t="inlineStr">
        <is>
          <t>LIMA</t>
        </is>
      </c>
      <c r="AP682" t="inlineStr">
        <is>
          <t>SAN LUIS</t>
        </is>
      </c>
      <c r="AQ682" s="75" t="n">
        <v>46185</v>
      </c>
      <c r="AR682" s="75" t="n">
        <v>46185</v>
      </c>
      <c r="AS682" t="inlineStr">
        <is>
          <t>CUOTA INICIAL</t>
        </is>
      </c>
      <c r="AT682" t="n">
        <v>1</v>
      </c>
      <c r="AU682" t="n">
        <v>23400</v>
      </c>
      <c r="AV682" t="n">
        <v>0</v>
      </c>
      <c r="AW682" t="n">
        <v>0</v>
      </c>
      <c r="AX682" s="39" t="n">
        <v>23400</v>
      </c>
      <c r="AY682" s="39" t="n">
        <v>23400</v>
      </c>
      <c r="AZ682" s="39" t="n">
        <v>0</v>
      </c>
      <c r="BA682" t="n">
        <v>0</v>
      </c>
      <c r="BB682" t="inlineStr">
        <is>
          <t>Crédito Hipotecario</t>
        </is>
      </c>
      <c r="BC682" t="inlineStr">
        <is>
          <t>Scotiabank Perú</t>
        </is>
      </c>
      <c r="BD682" t="inlineStr">
        <is>
          <t>0004071419</t>
        </is>
      </c>
      <c r="BE682" t="inlineStr">
        <is>
          <t>TRANSFERENCIA BANCARIA</t>
        </is>
      </c>
      <c r="BG682" t="inlineStr">
        <is>
          <t>395586</t>
        </is>
      </c>
      <c r="BH682" t="inlineStr">
        <is>
          <t>No</t>
        </is>
      </c>
      <c r="BJ682" t="n">
        <v>4</v>
      </c>
      <c r="BK682" t="inlineStr">
        <is>
          <t>CANCELADO</t>
        </is>
      </c>
      <c r="BV682" t="inlineStr">
        <is>
          <t>Si</t>
        </is>
      </c>
      <c r="BW682" s="76" t="n">
        <v>46185.57291666666</v>
      </c>
      <c r="BX682" t="inlineStr">
        <is>
          <t xml:space="preserve">Glenda Solano </t>
        </is>
      </c>
      <c r="BZ682" t="n">
        <v>18</v>
      </c>
      <c r="CA682" t="inlineStr">
        <is>
          <t>02/07/2026 13:43</t>
        </is>
      </c>
      <c r="CB682" t="n">
        <v>0</v>
      </c>
      <c r="CF682" t="inlineStr">
        <is>
          <t>Cobranzas_2026.csv</t>
        </is>
      </c>
      <c r="CG682" t="n">
        <v>2026</v>
      </c>
      <c r="CH682" t="inlineStr">
        <is>
          <t>01/01/2024</t>
        </is>
      </c>
      <c r="CI682" t="inlineStr">
        <is>
          <t>24/08/2031</t>
        </is>
      </c>
    </row>
    <row r="683">
      <c r="A683" t="inlineStr">
        <is>
          <t>RESIDENCIAL VENECIA</t>
        </is>
      </c>
      <c r="B683" t="inlineStr">
        <is>
          <t>Etapa 1</t>
        </is>
      </c>
      <c r="C683" t="inlineStr">
        <is>
          <t>Edificio</t>
        </is>
      </c>
      <c r="D683" t="inlineStr">
        <is>
          <t>A</t>
        </is>
      </c>
      <c r="E683" t="inlineStr">
        <is>
          <t>Departamento</t>
        </is>
      </c>
      <c r="F683" t="inlineStr">
        <is>
          <t>705</t>
        </is>
      </c>
      <c r="G683" t="n">
        <v>61</v>
      </c>
      <c r="H683" t="n">
        <v>0</v>
      </c>
      <c r="I683" s="39" t="n">
        <v>442000</v>
      </c>
      <c r="J683" s="39" t="n">
        <v>416000</v>
      </c>
      <c r="Q683" s="39" t="n"/>
      <c r="R683" s="39" t="n"/>
      <c r="Y683" s="39" t="n"/>
      <c r="Z683" s="39" t="n"/>
      <c r="AG683" s="39" t="n"/>
      <c r="AH683" s="39" t="n"/>
      <c r="AI683" t="inlineStr">
        <is>
          <t>RENZO VALDERRAMA REYES</t>
        </is>
      </c>
      <c r="AJ683" t="inlineStr">
        <is>
          <t>45416570</t>
        </is>
      </c>
      <c r="AK683" t="inlineStr">
        <is>
          <t>Jr. Almudena 194</t>
        </is>
      </c>
      <c r="AL683" t="n">
        <v>0</v>
      </c>
      <c r="AM683" t="inlineStr">
        <is>
          <t>932290459</t>
        </is>
      </c>
      <c r="AN683" t="inlineStr">
        <is>
          <t>rvalderrama2488@hotmail.com</t>
        </is>
      </c>
      <c r="AO683" t="inlineStr">
        <is>
          <t>LIMA</t>
        </is>
      </c>
      <c r="AP683" t="inlineStr">
        <is>
          <t>SAN LUIS</t>
        </is>
      </c>
      <c r="AQ683" s="75" t="n">
        <v>46356</v>
      </c>
      <c r="AR683" s="75" t="n"/>
      <c r="AS683" t="inlineStr">
        <is>
          <t>CUOTA INICIAL</t>
        </is>
      </c>
      <c r="AT683" t="n">
        <v>2</v>
      </c>
      <c r="AU683" t="n">
        <v>15200</v>
      </c>
      <c r="AV683" t="n">
        <v>0</v>
      </c>
      <c r="AW683" t="n">
        <v>0</v>
      </c>
      <c r="AX683" s="39" t="n">
        <v>15200</v>
      </c>
      <c r="AY683" s="39" t="n">
        <v>0</v>
      </c>
      <c r="AZ683" s="39" t="n">
        <v>15200</v>
      </c>
      <c r="BB683" t="inlineStr">
        <is>
          <t>Crédito Hipotecario</t>
        </is>
      </c>
      <c r="BH683" t="inlineStr">
        <is>
          <t>No</t>
        </is>
      </c>
      <c r="BK683" t="inlineStr">
        <is>
          <t>PENDIENTE</t>
        </is>
      </c>
      <c r="BV683" t="inlineStr">
        <is>
          <t>No</t>
        </is>
      </c>
      <c r="BW683" s="76" t="n">
        <v>46185.57291666666</v>
      </c>
      <c r="BX683" t="inlineStr">
        <is>
          <t xml:space="preserve">Glenda Solano </t>
        </is>
      </c>
      <c r="BZ683" t="n">
        <v>18</v>
      </c>
      <c r="CB683" t="n">
        <v>0</v>
      </c>
      <c r="CF683" t="inlineStr">
        <is>
          <t>Cobranzas_2026.csv</t>
        </is>
      </c>
      <c r="CG683" t="n">
        <v>2026</v>
      </c>
      <c r="CH683" t="inlineStr">
        <is>
          <t>01/01/2024</t>
        </is>
      </c>
      <c r="CI683" t="inlineStr">
        <is>
          <t>24/08/2031</t>
        </is>
      </c>
    </row>
    <row r="684">
      <c r="A684" t="inlineStr">
        <is>
          <t>RESIDENCIAL VENECIA</t>
        </is>
      </c>
      <c r="B684" t="inlineStr">
        <is>
          <t>Etapa 1</t>
        </is>
      </c>
      <c r="C684" t="inlineStr">
        <is>
          <t>Edificio</t>
        </is>
      </c>
      <c r="D684" t="inlineStr">
        <is>
          <t>A</t>
        </is>
      </c>
      <c r="E684" t="inlineStr">
        <is>
          <t>Departamento</t>
        </is>
      </c>
      <c r="F684" t="inlineStr">
        <is>
          <t>705</t>
        </is>
      </c>
      <c r="G684" t="n">
        <v>61</v>
      </c>
      <c r="H684" t="n">
        <v>0</v>
      </c>
      <c r="I684" s="39" t="n">
        <v>442000</v>
      </c>
      <c r="J684" s="39" t="n">
        <v>416000</v>
      </c>
      <c r="Q684" s="39" t="n"/>
      <c r="R684" s="39" t="n"/>
      <c r="Y684" s="39" t="n"/>
      <c r="Z684" s="39" t="n"/>
      <c r="AG684" s="39" t="n"/>
      <c r="AH684" s="39" t="n"/>
      <c r="AI684" t="inlineStr">
        <is>
          <t>RENZO VALDERRAMA REYES</t>
        </is>
      </c>
      <c r="AJ684" t="inlineStr">
        <is>
          <t>45416570</t>
        </is>
      </c>
      <c r="AK684" t="inlineStr">
        <is>
          <t>Jr. Almudena 194</t>
        </is>
      </c>
      <c r="AL684" t="n">
        <v>0</v>
      </c>
      <c r="AM684" t="inlineStr">
        <is>
          <t>932290459</t>
        </is>
      </c>
      <c r="AN684" t="inlineStr">
        <is>
          <t>rvalderrama2488@hotmail.com</t>
        </is>
      </c>
      <c r="AO684" t="inlineStr">
        <is>
          <t>LIMA</t>
        </is>
      </c>
      <c r="AP684" t="inlineStr">
        <is>
          <t>SAN LUIS</t>
        </is>
      </c>
      <c r="AQ684" s="75" t="n">
        <v>46387</v>
      </c>
      <c r="AR684" s="75" t="n"/>
      <c r="AS684" t="inlineStr">
        <is>
          <t>SALDO FINANCIAR</t>
        </is>
      </c>
      <c r="AT684" t="n">
        <v>1</v>
      </c>
      <c r="AU684" t="n">
        <v>374400</v>
      </c>
      <c r="AV684" t="n">
        <v>0</v>
      </c>
      <c r="AW684" t="n">
        <v>0</v>
      </c>
      <c r="AX684" s="39" t="n">
        <v>374400</v>
      </c>
      <c r="AY684" s="39" t="n">
        <v>0</v>
      </c>
      <c r="AZ684" s="39" t="n">
        <v>374400</v>
      </c>
      <c r="BB684" t="inlineStr">
        <is>
          <t>Crédito Hipotecario</t>
        </is>
      </c>
      <c r="BH684" t="inlineStr">
        <is>
          <t>No</t>
        </is>
      </c>
      <c r="BK684" t="inlineStr">
        <is>
          <t>PENDIENTE</t>
        </is>
      </c>
      <c r="BV684" t="inlineStr">
        <is>
          <t>No</t>
        </is>
      </c>
      <c r="BW684" s="76" t="n">
        <v>46185.57291666666</v>
      </c>
      <c r="BX684" t="inlineStr">
        <is>
          <t xml:space="preserve">Glenda Solano </t>
        </is>
      </c>
      <c r="BZ684" t="n">
        <v>18</v>
      </c>
      <c r="CB684" t="n">
        <v>0</v>
      </c>
      <c r="CF684" t="inlineStr">
        <is>
          <t>Cobranzas_2026.csv</t>
        </is>
      </c>
      <c r="CG684" t="n">
        <v>2026</v>
      </c>
      <c r="CH684" t="inlineStr">
        <is>
          <t>01/01/2024</t>
        </is>
      </c>
      <c r="CI684" t="inlineStr">
        <is>
          <t>24/08/2031</t>
        </is>
      </c>
    </row>
    <row r="685">
      <c r="A685" t="inlineStr">
        <is>
          <t>RESIDENCIAL PRADA</t>
        </is>
      </c>
      <c r="B685" t="inlineStr">
        <is>
          <t>Etapa 1</t>
        </is>
      </c>
      <c r="C685" t="inlineStr">
        <is>
          <t>Edificio</t>
        </is>
      </c>
      <c r="D685" t="inlineStr">
        <is>
          <t>A</t>
        </is>
      </c>
      <c r="E685" t="inlineStr">
        <is>
          <t>Departamento</t>
        </is>
      </c>
      <c r="F685" t="inlineStr">
        <is>
          <t>804</t>
        </is>
      </c>
      <c r="G685" t="n">
        <v>60.93</v>
      </c>
      <c r="H685" t="n">
        <v>0</v>
      </c>
      <c r="I685" s="39" t="n">
        <v>478700</v>
      </c>
      <c r="J685" s="39" t="n">
        <v>417000</v>
      </c>
      <c r="K685" t="inlineStr">
        <is>
          <t>Edificio</t>
        </is>
      </c>
      <c r="L685" t="inlineStr">
        <is>
          <t>A</t>
        </is>
      </c>
      <c r="M685" t="inlineStr">
        <is>
          <t>Estacionamiento</t>
        </is>
      </c>
      <c r="N685" t="inlineStr">
        <is>
          <t>E 42 - D 33</t>
        </is>
      </c>
      <c r="O685" t="n">
        <v>13</v>
      </c>
      <c r="P685" t="n">
        <v>3.89</v>
      </c>
      <c r="Q685" s="39" t="n">
        <v>61000</v>
      </c>
      <c r="R685" s="39" t="n">
        <v>61000</v>
      </c>
      <c r="Y685" s="39" t="n"/>
      <c r="Z685" s="39" t="n"/>
      <c r="AG685" s="39" t="n"/>
      <c r="AH685" s="39" t="n"/>
      <c r="AI685" t="inlineStr">
        <is>
          <t>RICARDO DANIEL ESPINOZA ANCHAYGUA</t>
        </is>
      </c>
      <c r="AJ685" t="inlineStr">
        <is>
          <t>71229453</t>
        </is>
      </c>
      <c r="AK685" t="inlineStr">
        <is>
          <t>CALLE CALESA</t>
        </is>
      </c>
      <c r="AL685" t="n">
        <v>0</v>
      </c>
      <c r="AM685" t="inlineStr">
        <is>
          <t>999698265</t>
        </is>
      </c>
      <c r="AN685" t="inlineStr">
        <is>
          <t>RMENDOZA@GMAIL.COM</t>
        </is>
      </c>
      <c r="AO685" t="inlineStr">
        <is>
          <t>LIMA</t>
        </is>
      </c>
      <c r="AP685" t="inlineStr">
        <is>
          <t>LA MOLINA</t>
        </is>
      </c>
      <c r="AQ685" s="75" t="n">
        <v>46159</v>
      </c>
      <c r="AR685" s="75" t="n">
        <v>46159</v>
      </c>
      <c r="AS685" t="inlineStr">
        <is>
          <t>SEPARACION</t>
        </is>
      </c>
      <c r="AT685" t="n">
        <v>1</v>
      </c>
      <c r="AU685" t="n">
        <v>3000</v>
      </c>
      <c r="AV685" t="n">
        <v>0</v>
      </c>
      <c r="AW685" t="n">
        <v>0</v>
      </c>
      <c r="AX685" s="39" t="n">
        <v>3000</v>
      </c>
      <c r="AY685" s="39" t="n">
        <v>3000</v>
      </c>
      <c r="AZ685" s="39" t="n">
        <v>0</v>
      </c>
      <c r="BA685" t="n">
        <v>0</v>
      </c>
      <c r="BB685" t="inlineStr">
        <is>
          <t>Crédito Hipotecario</t>
        </is>
      </c>
      <c r="BC685" t="inlineStr">
        <is>
          <t>Scotiabank Perú</t>
        </is>
      </c>
      <c r="BD685" t="inlineStr">
        <is>
          <t>000-2768484</t>
        </is>
      </c>
      <c r="BE685" t="inlineStr">
        <is>
          <t>TRANSFERENCIA BANCARIA</t>
        </is>
      </c>
      <c r="BG685" t="inlineStr">
        <is>
          <t>184</t>
        </is>
      </c>
      <c r="BH685" t="inlineStr">
        <is>
          <t>No</t>
        </is>
      </c>
      <c r="BJ685" t="n">
        <v>4</v>
      </c>
      <c r="BK685" t="inlineStr">
        <is>
          <t>CANCELADO</t>
        </is>
      </c>
      <c r="BV685" t="inlineStr">
        <is>
          <t>Si</t>
        </is>
      </c>
      <c r="BW685" s="76" t="n">
        <v>46172.70694444444</v>
      </c>
      <c r="BX685" t="inlineStr">
        <is>
          <t xml:space="preserve">Glenda Solano </t>
        </is>
      </c>
      <c r="BZ685" t="n">
        <v>30</v>
      </c>
      <c r="CA685" t="inlineStr">
        <is>
          <t>26/06/2026 14:18</t>
        </is>
      </c>
      <c r="CB685" t="n">
        <v>0</v>
      </c>
      <c r="CF685" t="inlineStr">
        <is>
          <t>Cobranzas_2026.csv</t>
        </is>
      </c>
      <c r="CG685" t="n">
        <v>2026</v>
      </c>
      <c r="CH685" t="inlineStr">
        <is>
          <t>01/01/2024</t>
        </is>
      </c>
      <c r="CI685" t="inlineStr">
        <is>
          <t>24/08/2031</t>
        </is>
      </c>
    </row>
    <row r="686">
      <c r="A686" t="inlineStr">
        <is>
          <t>RESIDENCIAL PRADA</t>
        </is>
      </c>
      <c r="B686" t="inlineStr">
        <is>
          <t>Etapa 1</t>
        </is>
      </c>
      <c r="C686" t="inlineStr">
        <is>
          <t>Edificio</t>
        </is>
      </c>
      <c r="D686" t="inlineStr">
        <is>
          <t>A</t>
        </is>
      </c>
      <c r="E686" t="inlineStr">
        <is>
          <t>Departamento</t>
        </is>
      </c>
      <c r="F686" t="inlineStr">
        <is>
          <t>804</t>
        </is>
      </c>
      <c r="G686" t="n">
        <v>60.93</v>
      </c>
      <c r="H686" t="n">
        <v>0</v>
      </c>
      <c r="I686" s="39" t="n">
        <v>478700</v>
      </c>
      <c r="J686" s="39" t="n">
        <v>417000</v>
      </c>
      <c r="K686" t="inlineStr">
        <is>
          <t>Edificio</t>
        </is>
      </c>
      <c r="L686" t="inlineStr">
        <is>
          <t>A</t>
        </is>
      </c>
      <c r="M686" t="inlineStr">
        <is>
          <t>Estacionamiento</t>
        </is>
      </c>
      <c r="N686" t="inlineStr">
        <is>
          <t>E 42 - D 33</t>
        </is>
      </c>
      <c r="O686" t="n">
        <v>13</v>
      </c>
      <c r="P686" t="n">
        <v>3.89</v>
      </c>
      <c r="Q686" s="39" t="n">
        <v>61000</v>
      </c>
      <c r="R686" s="39" t="n">
        <v>61000</v>
      </c>
      <c r="Y686" s="39" t="n"/>
      <c r="Z686" s="39" t="n"/>
      <c r="AG686" s="39" t="n"/>
      <c r="AH686" s="39" t="n"/>
      <c r="AI686" t="inlineStr">
        <is>
          <t>RICARDO DANIEL ESPINOZA ANCHAYGUA</t>
        </is>
      </c>
      <c r="AJ686" t="inlineStr">
        <is>
          <t>71229453</t>
        </is>
      </c>
      <c r="AK686" t="inlineStr">
        <is>
          <t>CALLE CALESA</t>
        </is>
      </c>
      <c r="AL686" t="n">
        <v>0</v>
      </c>
      <c r="AM686" t="inlineStr">
        <is>
          <t>999698265</t>
        </is>
      </c>
      <c r="AN686" t="inlineStr">
        <is>
          <t>RMENDOZA@GMAIL.COM</t>
        </is>
      </c>
      <c r="AO686" t="inlineStr">
        <is>
          <t>LIMA</t>
        </is>
      </c>
      <c r="AP686" t="inlineStr">
        <is>
          <t>LA MOLINA</t>
        </is>
      </c>
      <c r="AQ686" s="75" t="n">
        <v>46172</v>
      </c>
      <c r="AR686" s="75" t="n">
        <v>46170</v>
      </c>
      <c r="AS686" t="inlineStr">
        <is>
          <t>CUOTA INICIAL</t>
        </is>
      </c>
      <c r="AT686" t="n">
        <v>1</v>
      </c>
      <c r="AU686" t="n">
        <v>47000</v>
      </c>
      <c r="AV686" t="n">
        <v>0</v>
      </c>
      <c r="AW686" t="n">
        <v>0</v>
      </c>
      <c r="AX686" s="39" t="n">
        <v>47000</v>
      </c>
      <c r="AY686" s="39" t="n">
        <v>10000</v>
      </c>
      <c r="AZ686" s="39" t="n">
        <v>0</v>
      </c>
      <c r="BA686" t="n">
        <v>0</v>
      </c>
      <c r="BB686" t="inlineStr">
        <is>
          <t>Crédito Hipotecario</t>
        </is>
      </c>
      <c r="BC686" t="inlineStr">
        <is>
          <t>Scotiabank Perú</t>
        </is>
      </c>
      <c r="BD686" t="inlineStr">
        <is>
          <t>000-2768484</t>
        </is>
      </c>
      <c r="BE686" t="inlineStr">
        <is>
          <t>TRANSFERENCIA BANCARIA</t>
        </is>
      </c>
      <c r="BG686" t="inlineStr">
        <is>
          <t>7844655545806</t>
        </is>
      </c>
      <c r="BH686" t="inlineStr">
        <is>
          <t>No</t>
        </is>
      </c>
      <c r="BJ686" t="n">
        <v>4</v>
      </c>
      <c r="BK686" t="inlineStr">
        <is>
          <t>CANCELADO</t>
        </is>
      </c>
      <c r="BV686" t="inlineStr">
        <is>
          <t>Si</t>
        </is>
      </c>
      <c r="BW686" s="76" t="n">
        <v>46172.70694444444</v>
      </c>
      <c r="BX686" t="inlineStr">
        <is>
          <t xml:space="preserve">Glenda Solano </t>
        </is>
      </c>
      <c r="BZ686" t="n">
        <v>30</v>
      </c>
      <c r="CA686" t="inlineStr">
        <is>
          <t>26/06/2026 14:20</t>
        </is>
      </c>
      <c r="CB686" t="n">
        <v>0</v>
      </c>
      <c r="CF686" t="inlineStr">
        <is>
          <t>Cobranzas_2026.csv</t>
        </is>
      </c>
      <c r="CG686" t="n">
        <v>2026</v>
      </c>
      <c r="CH686" t="inlineStr">
        <is>
          <t>01/01/2024</t>
        </is>
      </c>
      <c r="CI686" t="inlineStr">
        <is>
          <t>24/08/2031</t>
        </is>
      </c>
    </row>
    <row r="687">
      <c r="A687" t="inlineStr">
        <is>
          <t>RESIDENCIAL PRADA</t>
        </is>
      </c>
      <c r="B687" t="inlineStr">
        <is>
          <t>Etapa 1</t>
        </is>
      </c>
      <c r="C687" t="inlineStr">
        <is>
          <t>Edificio</t>
        </is>
      </c>
      <c r="D687" t="inlineStr">
        <is>
          <t>A</t>
        </is>
      </c>
      <c r="E687" t="inlineStr">
        <is>
          <t>Departamento</t>
        </is>
      </c>
      <c r="F687" t="inlineStr">
        <is>
          <t>804</t>
        </is>
      </c>
      <c r="G687" t="n">
        <v>60.93</v>
      </c>
      <c r="H687" t="n">
        <v>0</v>
      </c>
      <c r="I687" s="39" t="n">
        <v>478700</v>
      </c>
      <c r="J687" s="39" t="n">
        <v>417000</v>
      </c>
      <c r="K687" t="inlineStr">
        <is>
          <t>Edificio</t>
        </is>
      </c>
      <c r="L687" t="inlineStr">
        <is>
          <t>A</t>
        </is>
      </c>
      <c r="M687" t="inlineStr">
        <is>
          <t>Estacionamiento</t>
        </is>
      </c>
      <c r="N687" t="inlineStr">
        <is>
          <t>E 42 - D 33</t>
        </is>
      </c>
      <c r="O687" t="n">
        <v>13</v>
      </c>
      <c r="P687" t="n">
        <v>3.89</v>
      </c>
      <c r="Q687" s="39" t="n">
        <v>61000</v>
      </c>
      <c r="R687" s="39" t="n">
        <v>61000</v>
      </c>
      <c r="Y687" s="39" t="n"/>
      <c r="Z687" s="39" t="n"/>
      <c r="AG687" s="39" t="n"/>
      <c r="AH687" s="39" t="n"/>
      <c r="AI687" t="inlineStr">
        <is>
          <t>RICARDO DANIEL ESPINOZA ANCHAYGUA</t>
        </is>
      </c>
      <c r="AJ687" t="inlineStr">
        <is>
          <t>71229453</t>
        </is>
      </c>
      <c r="AK687" t="inlineStr">
        <is>
          <t>CALLE CALESA</t>
        </is>
      </c>
      <c r="AL687" t="n">
        <v>0</v>
      </c>
      <c r="AM687" t="inlineStr">
        <is>
          <t>999698265</t>
        </is>
      </c>
      <c r="AN687" t="inlineStr">
        <is>
          <t>RMENDOZA@GMAIL.COM</t>
        </is>
      </c>
      <c r="AO687" t="inlineStr">
        <is>
          <t>LIMA</t>
        </is>
      </c>
      <c r="AP687" t="inlineStr">
        <is>
          <t>LA MOLINA</t>
        </is>
      </c>
      <c r="AQ687" s="75" t="n">
        <v>46172</v>
      </c>
      <c r="AR687" s="75" t="n">
        <v>46170</v>
      </c>
      <c r="AS687" t="inlineStr">
        <is>
          <t>CUOTA INICIAL</t>
        </is>
      </c>
      <c r="AT687" t="n">
        <v>1</v>
      </c>
      <c r="AU687" t="n">
        <v>0</v>
      </c>
      <c r="AV687" t="n">
        <v>0</v>
      </c>
      <c r="AW687" t="n">
        <v>0</v>
      </c>
      <c r="AX687" s="39" t="n">
        <v>0</v>
      </c>
      <c r="AY687" s="39" t="n">
        <v>20000</v>
      </c>
      <c r="AZ687" s="39" t="n">
        <v>0</v>
      </c>
      <c r="BA687" t="n">
        <v>0</v>
      </c>
      <c r="BB687" t="inlineStr">
        <is>
          <t>Crédito Hipotecario</t>
        </is>
      </c>
      <c r="BC687" t="inlineStr">
        <is>
          <t>Scotiabank Perú</t>
        </is>
      </c>
      <c r="BD687" t="inlineStr">
        <is>
          <t>000-2768484</t>
        </is>
      </c>
      <c r="BE687" t="inlineStr">
        <is>
          <t>TRANSFERENCIA BANCARIA</t>
        </is>
      </c>
      <c r="BG687" t="inlineStr">
        <is>
          <t>7844655545781</t>
        </is>
      </c>
      <c r="BH687" t="inlineStr">
        <is>
          <t>No</t>
        </is>
      </c>
      <c r="BJ687" t="n">
        <v>4</v>
      </c>
      <c r="BK687" t="inlineStr">
        <is>
          <t>CANCELADO</t>
        </is>
      </c>
      <c r="BV687" t="inlineStr">
        <is>
          <t>Si</t>
        </is>
      </c>
      <c r="BW687" s="76" t="n">
        <v>46172.70694444444</v>
      </c>
      <c r="BX687" t="inlineStr">
        <is>
          <t xml:space="preserve">Glenda Solano </t>
        </is>
      </c>
      <c r="BZ687" t="n">
        <v>30</v>
      </c>
      <c r="CA687" t="inlineStr">
        <is>
          <t>26/06/2026 14:21</t>
        </is>
      </c>
      <c r="CB687" t="n">
        <v>0</v>
      </c>
      <c r="CF687" t="inlineStr">
        <is>
          <t>Cobranzas_2026.csv</t>
        </is>
      </c>
      <c r="CG687" t="n">
        <v>2026</v>
      </c>
      <c r="CH687" t="inlineStr">
        <is>
          <t>01/01/2024</t>
        </is>
      </c>
      <c r="CI687" t="inlineStr">
        <is>
          <t>24/08/2031</t>
        </is>
      </c>
    </row>
    <row r="688">
      <c r="A688" t="inlineStr">
        <is>
          <t>RESIDENCIAL PRADA</t>
        </is>
      </c>
      <c r="B688" t="inlineStr">
        <is>
          <t>Etapa 1</t>
        </is>
      </c>
      <c r="C688" t="inlineStr">
        <is>
          <t>Edificio</t>
        </is>
      </c>
      <c r="D688" t="inlineStr">
        <is>
          <t>A</t>
        </is>
      </c>
      <c r="E688" t="inlineStr">
        <is>
          <t>Departamento</t>
        </is>
      </c>
      <c r="F688" t="inlineStr">
        <is>
          <t>804</t>
        </is>
      </c>
      <c r="G688" t="n">
        <v>60.93</v>
      </c>
      <c r="H688" t="n">
        <v>0</v>
      </c>
      <c r="I688" s="39" t="n">
        <v>478700</v>
      </c>
      <c r="J688" s="39" t="n">
        <v>417000</v>
      </c>
      <c r="K688" t="inlineStr">
        <is>
          <t>Edificio</t>
        </is>
      </c>
      <c r="L688" t="inlineStr">
        <is>
          <t>A</t>
        </is>
      </c>
      <c r="M688" t="inlineStr">
        <is>
          <t>Estacionamiento</t>
        </is>
      </c>
      <c r="N688" t="inlineStr">
        <is>
          <t>E 42 - D 33</t>
        </is>
      </c>
      <c r="O688" t="n">
        <v>13</v>
      </c>
      <c r="P688" t="n">
        <v>3.89</v>
      </c>
      <c r="Q688" s="39" t="n">
        <v>61000</v>
      </c>
      <c r="R688" s="39" t="n">
        <v>61000</v>
      </c>
      <c r="Y688" s="39" t="n"/>
      <c r="Z688" s="39" t="n"/>
      <c r="AG688" s="39" t="n"/>
      <c r="AH688" s="39" t="n"/>
      <c r="AI688" t="inlineStr">
        <is>
          <t>RICARDO DANIEL ESPINOZA ANCHAYGUA</t>
        </is>
      </c>
      <c r="AJ688" t="inlineStr">
        <is>
          <t>71229453</t>
        </is>
      </c>
      <c r="AK688" t="inlineStr">
        <is>
          <t>CALLE CALESA</t>
        </is>
      </c>
      <c r="AL688" t="n">
        <v>0</v>
      </c>
      <c r="AM688" t="inlineStr">
        <is>
          <t>999698265</t>
        </is>
      </c>
      <c r="AN688" t="inlineStr">
        <is>
          <t>RMENDOZA@GMAIL.COM</t>
        </is>
      </c>
      <c r="AO688" t="inlineStr">
        <is>
          <t>LIMA</t>
        </is>
      </c>
      <c r="AP688" t="inlineStr">
        <is>
          <t>LA MOLINA</t>
        </is>
      </c>
      <c r="AQ688" s="75" t="n">
        <v>46172</v>
      </c>
      <c r="AR688" s="75" t="n">
        <v>46171</v>
      </c>
      <c r="AS688" t="inlineStr">
        <is>
          <t>CUOTA INICIAL</t>
        </is>
      </c>
      <c r="AT688" t="n">
        <v>1</v>
      </c>
      <c r="AU688" t="n">
        <v>0</v>
      </c>
      <c r="AV688" t="n">
        <v>0</v>
      </c>
      <c r="AW688" t="n">
        <v>0</v>
      </c>
      <c r="AX688" s="39" t="n">
        <v>0</v>
      </c>
      <c r="AY688" s="39" t="n">
        <v>17000</v>
      </c>
      <c r="AZ688" s="39" t="n">
        <v>0</v>
      </c>
      <c r="BA688" t="n">
        <v>0</v>
      </c>
      <c r="BB688" t="inlineStr">
        <is>
          <t>Crédito Hipotecario</t>
        </is>
      </c>
      <c r="BC688" t="inlineStr">
        <is>
          <t>Scotiabank Perú</t>
        </is>
      </c>
      <c r="BD688" t="inlineStr">
        <is>
          <t>000-2768484</t>
        </is>
      </c>
      <c r="BE688" t="inlineStr">
        <is>
          <t>TRANSFERENCIA BANCARIA</t>
        </is>
      </c>
      <c r="BG688" t="inlineStr">
        <is>
          <t>7844655524245</t>
        </is>
      </c>
      <c r="BH688" t="inlineStr">
        <is>
          <t>No</t>
        </is>
      </c>
      <c r="BJ688" t="n">
        <v>4</v>
      </c>
      <c r="BK688" t="inlineStr">
        <is>
          <t>CANCELADO</t>
        </is>
      </c>
      <c r="BV688" t="inlineStr">
        <is>
          <t>Si</t>
        </is>
      </c>
      <c r="BW688" s="76" t="n">
        <v>46172.70694444444</v>
      </c>
      <c r="BX688" t="inlineStr">
        <is>
          <t xml:space="preserve">Glenda Solano </t>
        </is>
      </c>
      <c r="BZ688" t="n">
        <v>30</v>
      </c>
      <c r="CA688" t="inlineStr">
        <is>
          <t>26/06/2026 14:22</t>
        </is>
      </c>
      <c r="CB688" t="n">
        <v>0</v>
      </c>
      <c r="CF688" t="inlineStr">
        <is>
          <t>Cobranzas_2026.csv</t>
        </is>
      </c>
      <c r="CG688" t="n">
        <v>2026</v>
      </c>
      <c r="CH688" t="inlineStr">
        <is>
          <t>01/01/2024</t>
        </is>
      </c>
      <c r="CI688" t="inlineStr">
        <is>
          <t>24/08/2031</t>
        </is>
      </c>
    </row>
    <row r="689">
      <c r="A689" t="inlineStr">
        <is>
          <t>RESIDENCIAL PRADA</t>
        </is>
      </c>
      <c r="B689" t="inlineStr">
        <is>
          <t>Etapa 1</t>
        </is>
      </c>
      <c r="C689" t="inlineStr">
        <is>
          <t>Edificio</t>
        </is>
      </c>
      <c r="D689" t="inlineStr">
        <is>
          <t>A</t>
        </is>
      </c>
      <c r="E689" t="inlineStr">
        <is>
          <t>Departamento</t>
        </is>
      </c>
      <c r="F689" t="inlineStr">
        <is>
          <t>804</t>
        </is>
      </c>
      <c r="G689" t="n">
        <v>60.93</v>
      </c>
      <c r="H689" t="n">
        <v>0</v>
      </c>
      <c r="I689" s="39" t="n">
        <v>478700</v>
      </c>
      <c r="J689" s="39" t="n">
        <v>417000</v>
      </c>
      <c r="K689" t="inlineStr">
        <is>
          <t>Edificio</t>
        </is>
      </c>
      <c r="L689" t="inlineStr">
        <is>
          <t>A</t>
        </is>
      </c>
      <c r="M689" t="inlineStr">
        <is>
          <t>Estacionamiento</t>
        </is>
      </c>
      <c r="N689" t="inlineStr">
        <is>
          <t>E 42 - D 33</t>
        </is>
      </c>
      <c r="O689" t="n">
        <v>13</v>
      </c>
      <c r="P689" t="n">
        <v>3.89</v>
      </c>
      <c r="Q689" s="39" t="n">
        <v>61000</v>
      </c>
      <c r="R689" s="39" t="n">
        <v>61000</v>
      </c>
      <c r="Y689" s="39" t="n"/>
      <c r="Z689" s="39" t="n"/>
      <c r="AG689" s="39" t="n"/>
      <c r="AH689" s="39" t="n"/>
      <c r="AI689" t="inlineStr">
        <is>
          <t>RICARDO DANIEL ESPINOZA ANCHAYGUA</t>
        </is>
      </c>
      <c r="AJ689" t="inlineStr">
        <is>
          <t>71229453</t>
        </is>
      </c>
      <c r="AK689" t="inlineStr">
        <is>
          <t>CALLE CALESA</t>
        </is>
      </c>
      <c r="AL689" t="n">
        <v>0</v>
      </c>
      <c r="AM689" t="inlineStr">
        <is>
          <t>999698265</t>
        </is>
      </c>
      <c r="AN689" t="inlineStr">
        <is>
          <t>RMENDOZA@GMAIL.COM</t>
        </is>
      </c>
      <c r="AO689" t="inlineStr">
        <is>
          <t>LIMA</t>
        </is>
      </c>
      <c r="AP689" t="inlineStr">
        <is>
          <t>LA MOLINA</t>
        </is>
      </c>
      <c r="AQ689" s="75" t="n">
        <v>46203</v>
      </c>
      <c r="AR689" s="75" t="n">
        <v>46196</v>
      </c>
      <c r="AS689" t="inlineStr">
        <is>
          <t>CUOTA INICIAL</t>
        </is>
      </c>
      <c r="AT689" t="n">
        <v>2</v>
      </c>
      <c r="AU689" t="n">
        <v>50000</v>
      </c>
      <c r="AV689" t="n">
        <v>0</v>
      </c>
      <c r="AW689" t="n">
        <v>0</v>
      </c>
      <c r="AX689" s="39" t="n">
        <v>50000</v>
      </c>
      <c r="AY689" s="39" t="n">
        <v>50000</v>
      </c>
      <c r="AZ689" s="39" t="n">
        <v>0</v>
      </c>
      <c r="BA689" t="n">
        <v>0</v>
      </c>
      <c r="BB689" t="inlineStr">
        <is>
          <t>Crédito Hipotecario</t>
        </is>
      </c>
      <c r="BC689" t="inlineStr">
        <is>
          <t>Scotiabank Perú</t>
        </is>
      </c>
      <c r="BD689" t="inlineStr">
        <is>
          <t>000-2768484</t>
        </is>
      </c>
      <c r="BE689" t="inlineStr">
        <is>
          <t>TRANSFERENCIA BANCARIA</t>
        </is>
      </c>
      <c r="BG689" t="inlineStr">
        <is>
          <t>U101199</t>
        </is>
      </c>
      <c r="BH689" t="inlineStr">
        <is>
          <t>No</t>
        </is>
      </c>
      <c r="BJ689" t="n">
        <v>4</v>
      </c>
      <c r="BK689" t="inlineStr">
        <is>
          <t>CANCELADO</t>
        </is>
      </c>
      <c r="BV689" t="inlineStr">
        <is>
          <t>Si</t>
        </is>
      </c>
      <c r="BW689" s="76" t="n">
        <v>46172.70694444444</v>
      </c>
      <c r="BX689" t="inlineStr">
        <is>
          <t xml:space="preserve">Glenda Solano </t>
        </is>
      </c>
      <c r="BZ689" t="n">
        <v>30</v>
      </c>
      <c r="CA689" t="inlineStr">
        <is>
          <t>26/06/2026 14:26</t>
        </is>
      </c>
      <c r="CB689" t="n">
        <v>0</v>
      </c>
      <c r="CF689" t="inlineStr">
        <is>
          <t>Cobranzas_2026.csv</t>
        </is>
      </c>
      <c r="CG689" t="n">
        <v>2026</v>
      </c>
      <c r="CH689" t="inlineStr">
        <is>
          <t>01/01/2024</t>
        </is>
      </c>
      <c r="CI689" t="inlineStr">
        <is>
          <t>24/08/2031</t>
        </is>
      </c>
    </row>
    <row r="690">
      <c r="A690" t="inlineStr">
        <is>
          <t>RESIDENCIAL PRADA</t>
        </is>
      </c>
      <c r="B690" t="inlineStr">
        <is>
          <t>Etapa 1</t>
        </is>
      </c>
      <c r="C690" t="inlineStr">
        <is>
          <t>Edificio</t>
        </is>
      </c>
      <c r="D690" t="inlineStr">
        <is>
          <t>A</t>
        </is>
      </c>
      <c r="E690" t="inlineStr">
        <is>
          <t>Departamento</t>
        </is>
      </c>
      <c r="F690" t="inlineStr">
        <is>
          <t>804</t>
        </is>
      </c>
      <c r="G690" t="n">
        <v>60.93</v>
      </c>
      <c r="H690" t="n">
        <v>0</v>
      </c>
      <c r="I690" s="39" t="n">
        <v>478700</v>
      </c>
      <c r="J690" s="39" t="n">
        <v>417000</v>
      </c>
      <c r="K690" t="inlineStr">
        <is>
          <t>Edificio</t>
        </is>
      </c>
      <c r="L690" t="inlineStr">
        <is>
          <t>A</t>
        </is>
      </c>
      <c r="M690" t="inlineStr">
        <is>
          <t>Estacionamiento</t>
        </is>
      </c>
      <c r="N690" t="inlineStr">
        <is>
          <t>E 42 - D 33</t>
        </is>
      </c>
      <c r="O690" t="n">
        <v>13</v>
      </c>
      <c r="P690" t="n">
        <v>3.89</v>
      </c>
      <c r="Q690" s="39" t="n">
        <v>61000</v>
      </c>
      <c r="R690" s="39" t="n">
        <v>61000</v>
      </c>
      <c r="Y690" s="39" t="n"/>
      <c r="Z690" s="39" t="n"/>
      <c r="AG690" s="39" t="n"/>
      <c r="AH690" s="39" t="n"/>
      <c r="AI690" t="inlineStr">
        <is>
          <t>RICARDO DANIEL ESPINOZA ANCHAYGUA</t>
        </is>
      </c>
      <c r="AJ690" t="inlineStr">
        <is>
          <t>71229453</t>
        </is>
      </c>
      <c r="AK690" t="inlineStr">
        <is>
          <t>CALLE CALESA</t>
        </is>
      </c>
      <c r="AL690" t="n">
        <v>0</v>
      </c>
      <c r="AM690" t="inlineStr">
        <is>
          <t>999698265</t>
        </is>
      </c>
      <c r="AN690" t="inlineStr">
        <is>
          <t>RMENDOZA@GMAIL.COM</t>
        </is>
      </c>
      <c r="AO690" t="inlineStr">
        <is>
          <t>LIMA</t>
        </is>
      </c>
      <c r="AP690" t="inlineStr">
        <is>
          <t>LA MOLINA</t>
        </is>
      </c>
      <c r="AQ690" s="75" t="n">
        <v>46203</v>
      </c>
      <c r="AR690" s="75" t="n">
        <v>46198</v>
      </c>
      <c r="AS690" t="inlineStr">
        <is>
          <t>SALDO FINANCIAR</t>
        </is>
      </c>
      <c r="AT690" t="n">
        <v>1</v>
      </c>
      <c r="AU690" t="n">
        <v>0</v>
      </c>
      <c r="AV690" t="n">
        <v>0</v>
      </c>
      <c r="AW690" t="n">
        <v>0</v>
      </c>
      <c r="AX690" s="39" t="n">
        <v>189000</v>
      </c>
      <c r="AY690" s="39" t="n">
        <v>178000</v>
      </c>
      <c r="AZ690" s="39" t="n">
        <v>0</v>
      </c>
      <c r="BA690" t="n">
        <v>0</v>
      </c>
      <c r="BB690" t="inlineStr">
        <is>
          <t>Crédito Hipotecario</t>
        </is>
      </c>
      <c r="BC690" t="inlineStr">
        <is>
          <t>Scotiabank Perú</t>
        </is>
      </c>
      <c r="BD690" t="inlineStr">
        <is>
          <t>000-2768484</t>
        </is>
      </c>
      <c r="BE690" t="inlineStr">
        <is>
          <t>TRANSFERENCIA BANCARIA</t>
        </is>
      </c>
      <c r="BG690" t="inlineStr">
        <is>
          <t>U26606</t>
        </is>
      </c>
      <c r="BH690" t="inlineStr">
        <is>
          <t>No</t>
        </is>
      </c>
      <c r="BJ690" t="n">
        <v>4</v>
      </c>
      <c r="BK690" t="inlineStr">
        <is>
          <t>CANCELADO</t>
        </is>
      </c>
      <c r="BV690" t="inlineStr">
        <is>
          <t>Si</t>
        </is>
      </c>
      <c r="BW690" s="76" t="n">
        <v>46172.70694444444</v>
      </c>
      <c r="BX690" t="inlineStr">
        <is>
          <t xml:space="preserve">Glenda Solano </t>
        </is>
      </c>
      <c r="BZ690" t="n">
        <v>30</v>
      </c>
      <c r="CA690" t="inlineStr">
        <is>
          <t>26/06/2026 14:27</t>
        </is>
      </c>
      <c r="CB690" t="n">
        <v>0</v>
      </c>
      <c r="CF690" t="inlineStr">
        <is>
          <t>Cobranzas_2026.csv</t>
        </is>
      </c>
      <c r="CG690" t="n">
        <v>2026</v>
      </c>
      <c r="CH690" t="inlineStr">
        <is>
          <t>01/01/2024</t>
        </is>
      </c>
      <c r="CI690" t="inlineStr">
        <is>
          <t>24/08/2031</t>
        </is>
      </c>
    </row>
    <row r="691">
      <c r="A691" t="inlineStr">
        <is>
          <t>RESIDENCIAL PRADA</t>
        </is>
      </c>
      <c r="B691" t="inlineStr">
        <is>
          <t>Etapa 1</t>
        </is>
      </c>
      <c r="C691" t="inlineStr">
        <is>
          <t>Edificio</t>
        </is>
      </c>
      <c r="D691" t="inlineStr">
        <is>
          <t>A</t>
        </is>
      </c>
      <c r="E691" t="inlineStr">
        <is>
          <t>Departamento</t>
        </is>
      </c>
      <c r="F691" t="inlineStr">
        <is>
          <t>804</t>
        </is>
      </c>
      <c r="G691" t="n">
        <v>60.93</v>
      </c>
      <c r="H691" t="n">
        <v>0</v>
      </c>
      <c r="I691" s="39" t="n">
        <v>478700</v>
      </c>
      <c r="J691" s="39" t="n">
        <v>417000</v>
      </c>
      <c r="K691" t="inlineStr">
        <is>
          <t>Edificio</t>
        </is>
      </c>
      <c r="L691" t="inlineStr">
        <is>
          <t>A</t>
        </is>
      </c>
      <c r="M691" t="inlineStr">
        <is>
          <t>Estacionamiento</t>
        </is>
      </c>
      <c r="N691" t="inlineStr">
        <is>
          <t>E 42 - D 33</t>
        </is>
      </c>
      <c r="O691" t="n">
        <v>13</v>
      </c>
      <c r="P691" t="n">
        <v>3.89</v>
      </c>
      <c r="Q691" s="39" t="n">
        <v>61000</v>
      </c>
      <c r="R691" s="39" t="n">
        <v>61000</v>
      </c>
      <c r="Y691" s="39" t="n"/>
      <c r="Z691" s="39" t="n"/>
      <c r="AG691" s="39" t="n"/>
      <c r="AH691" s="39" t="n"/>
      <c r="AI691" t="inlineStr">
        <is>
          <t>RICARDO DANIEL ESPINOZA ANCHAYGUA</t>
        </is>
      </c>
      <c r="AJ691" t="inlineStr">
        <is>
          <t>71229453</t>
        </is>
      </c>
      <c r="AK691" t="inlineStr">
        <is>
          <t>CALLE CALESA</t>
        </is>
      </c>
      <c r="AL691" t="n">
        <v>0</v>
      </c>
      <c r="AM691" t="inlineStr">
        <is>
          <t>999698265</t>
        </is>
      </c>
      <c r="AN691" t="inlineStr">
        <is>
          <t>RMENDOZA@GMAIL.COM</t>
        </is>
      </c>
      <c r="AO691" t="inlineStr">
        <is>
          <t>LIMA</t>
        </is>
      </c>
      <c r="AP691" t="inlineStr">
        <is>
          <t>LA MOLINA</t>
        </is>
      </c>
      <c r="AQ691" s="75" t="n">
        <v>46203</v>
      </c>
      <c r="AR691" s="75" t="n">
        <v>46247</v>
      </c>
      <c r="AS691" t="inlineStr">
        <is>
          <t>SALDO FINANCIAR</t>
        </is>
      </c>
      <c r="AT691" t="n">
        <v>1</v>
      </c>
      <c r="AU691" t="n">
        <v>189000</v>
      </c>
      <c r="AV691" t="n">
        <v>0</v>
      </c>
      <c r="AW691" t="n">
        <v>0</v>
      </c>
      <c r="AX691" s="39" t="n">
        <v>0</v>
      </c>
      <c r="AY691" s="39" t="n">
        <v>11000</v>
      </c>
      <c r="AZ691" s="39" t="n">
        <v>0</v>
      </c>
      <c r="BA691" t="n">
        <v>0</v>
      </c>
      <c r="BB691" t="inlineStr">
        <is>
          <t>Crédito Hipotecario</t>
        </is>
      </c>
      <c r="BC691" t="inlineStr">
        <is>
          <t>Scotiabank Perú</t>
        </is>
      </c>
      <c r="BD691" t="inlineStr">
        <is>
          <t>000-2768484</t>
        </is>
      </c>
      <c r="BE691" t="inlineStr">
        <is>
          <t>TRANSFERENCIA BANCARIA</t>
        </is>
      </c>
      <c r="BG691" t="inlineStr">
        <is>
          <t>EB01291</t>
        </is>
      </c>
      <c r="BH691" t="inlineStr">
        <is>
          <t>No</t>
        </is>
      </c>
      <c r="BI691" t="inlineStr">
        <is>
          <t>OTROS</t>
        </is>
      </c>
      <c r="BJ691" t="n">
        <v>4</v>
      </c>
      <c r="BK691" t="inlineStr">
        <is>
          <t>CANCELADO</t>
        </is>
      </c>
      <c r="BV691" t="inlineStr">
        <is>
          <t>Si</t>
        </is>
      </c>
      <c r="BW691" s="76" t="n">
        <v>46172.70694444444</v>
      </c>
      <c r="BX691" t="inlineStr">
        <is>
          <t xml:space="preserve">Glenda Solano </t>
        </is>
      </c>
      <c r="BZ691" t="n">
        <v>30</v>
      </c>
      <c r="CA691" t="inlineStr">
        <is>
          <t>18/08/2026 12:01</t>
        </is>
      </c>
      <c r="CB691" t="n">
        <v>0</v>
      </c>
      <c r="CF691" t="inlineStr">
        <is>
          <t>Cobranzas_2026.csv</t>
        </is>
      </c>
      <c r="CG691" t="n">
        <v>2026</v>
      </c>
      <c r="CH691" t="inlineStr">
        <is>
          <t>01/01/2024</t>
        </is>
      </c>
      <c r="CI691" t="inlineStr">
        <is>
          <t>24/08/2031</t>
        </is>
      </c>
    </row>
    <row r="692">
      <c r="A692" t="inlineStr">
        <is>
          <t>RESIDENCIAL PRADA</t>
        </is>
      </c>
      <c r="B692" t="inlineStr">
        <is>
          <t>Etapa 1</t>
        </is>
      </c>
      <c r="C692" t="inlineStr">
        <is>
          <t>Edificio</t>
        </is>
      </c>
      <c r="D692" t="inlineStr">
        <is>
          <t>A</t>
        </is>
      </c>
      <c r="E692" t="inlineStr">
        <is>
          <t>Departamento</t>
        </is>
      </c>
      <c r="F692" t="inlineStr">
        <is>
          <t>804</t>
        </is>
      </c>
      <c r="G692" t="n">
        <v>60.93</v>
      </c>
      <c r="H692" t="n">
        <v>0</v>
      </c>
      <c r="I692" s="39" t="n">
        <v>478700</v>
      </c>
      <c r="J692" s="39" t="n">
        <v>417000</v>
      </c>
      <c r="K692" t="inlineStr">
        <is>
          <t>Edificio</t>
        </is>
      </c>
      <c r="L692" t="inlineStr">
        <is>
          <t>A</t>
        </is>
      </c>
      <c r="M692" t="inlineStr">
        <is>
          <t>Estacionamiento</t>
        </is>
      </c>
      <c r="N692" t="inlineStr">
        <is>
          <t>E 42 - D 33</t>
        </is>
      </c>
      <c r="O692" t="n">
        <v>13</v>
      </c>
      <c r="P692" t="n">
        <v>3.89</v>
      </c>
      <c r="Q692" s="39" t="n">
        <v>61000</v>
      </c>
      <c r="R692" s="39" t="n">
        <v>61000</v>
      </c>
      <c r="Y692" s="39" t="n"/>
      <c r="Z692" s="39" t="n"/>
      <c r="AG692" s="39" t="n"/>
      <c r="AH692" s="39" t="n"/>
      <c r="AI692" t="inlineStr">
        <is>
          <t>RICARDO DANIEL ESPINOZA ANCHAYGUA</t>
        </is>
      </c>
      <c r="AJ692" t="inlineStr">
        <is>
          <t>71229453</t>
        </is>
      </c>
      <c r="AK692" t="inlineStr">
        <is>
          <t>CALLE CALESA</t>
        </is>
      </c>
      <c r="AL692" t="n">
        <v>0</v>
      </c>
      <c r="AM692" t="inlineStr">
        <is>
          <t>999698265</t>
        </is>
      </c>
      <c r="AN692" t="inlineStr">
        <is>
          <t>RMENDOZA@GMAIL.COM</t>
        </is>
      </c>
      <c r="AO692" t="inlineStr">
        <is>
          <t>LIMA</t>
        </is>
      </c>
      <c r="AP692" t="inlineStr">
        <is>
          <t>LA MOLINA</t>
        </is>
      </c>
      <c r="AQ692" s="75" t="n">
        <v>46233</v>
      </c>
      <c r="AR692" s="75" t="n">
        <v>46247</v>
      </c>
      <c r="AS692" t="inlineStr">
        <is>
          <t>SALDO FINANCIAR</t>
        </is>
      </c>
      <c r="AT692" t="n">
        <v>2</v>
      </c>
      <c r="AU692" t="n">
        <v>189000</v>
      </c>
      <c r="AV692" t="n">
        <v>0</v>
      </c>
      <c r="AW692" t="n">
        <v>0</v>
      </c>
      <c r="AX692" s="39" t="n">
        <v>189000</v>
      </c>
      <c r="AY692" s="39" t="n">
        <v>189000</v>
      </c>
      <c r="AZ692" s="39" t="n">
        <v>0</v>
      </c>
      <c r="BA692" t="n">
        <v>0</v>
      </c>
      <c r="BB692" t="inlineStr">
        <is>
          <t>Crédito Hipotecario</t>
        </is>
      </c>
      <c r="BC692" t="inlineStr">
        <is>
          <t>Scotiabank Perú</t>
        </is>
      </c>
      <c r="BD692" t="inlineStr">
        <is>
          <t>000-2768484</t>
        </is>
      </c>
      <c r="BE692" t="inlineStr">
        <is>
          <t>TRANSFERENCIA BANCARIA</t>
        </is>
      </c>
      <c r="BG692" t="inlineStr">
        <is>
          <t>EB01291</t>
        </is>
      </c>
      <c r="BH692" t="inlineStr">
        <is>
          <t>No</t>
        </is>
      </c>
      <c r="BI692" t="inlineStr">
        <is>
          <t>OTROS</t>
        </is>
      </c>
      <c r="BJ692" t="n">
        <v>4</v>
      </c>
      <c r="BK692" t="inlineStr">
        <is>
          <t>CANCELADO</t>
        </is>
      </c>
      <c r="BV692" t="inlineStr">
        <is>
          <t>Si</t>
        </is>
      </c>
      <c r="BW692" s="76" t="n">
        <v>46172.70694444444</v>
      </c>
      <c r="BX692" t="inlineStr">
        <is>
          <t xml:space="preserve">Glenda Solano </t>
        </is>
      </c>
      <c r="BZ692" t="n">
        <v>30</v>
      </c>
      <c r="CA692" t="inlineStr">
        <is>
          <t>18/08/2026 12:01</t>
        </is>
      </c>
      <c r="CB692" t="n">
        <v>0</v>
      </c>
      <c r="CF692" t="inlineStr">
        <is>
          <t>Cobranzas_2026.csv</t>
        </is>
      </c>
      <c r="CG692" t="n">
        <v>2026</v>
      </c>
      <c r="CH692" t="inlineStr">
        <is>
          <t>01/01/2024</t>
        </is>
      </c>
      <c r="CI692" t="inlineStr">
        <is>
          <t>24/08/2031</t>
        </is>
      </c>
    </row>
    <row r="693">
      <c r="A693" t="inlineStr">
        <is>
          <t>RESIDENCIAL BEYOND</t>
        </is>
      </c>
      <c r="B693" t="inlineStr">
        <is>
          <t>Etapa 1</t>
        </is>
      </c>
      <c r="C693" t="inlineStr">
        <is>
          <t>Edificio</t>
        </is>
      </c>
      <c r="D693" t="inlineStr">
        <is>
          <t>A</t>
        </is>
      </c>
      <c r="E693" t="inlineStr">
        <is>
          <t>Departamento</t>
        </is>
      </c>
      <c r="F693" t="inlineStr">
        <is>
          <t>1503</t>
        </is>
      </c>
      <c r="G693" t="n">
        <v>68</v>
      </c>
      <c r="H693" t="n">
        <v>0</v>
      </c>
      <c r="I693" s="39" t="n">
        <v>504700</v>
      </c>
      <c r="J693" s="39" t="n">
        <v>455000</v>
      </c>
      <c r="K693" t="inlineStr">
        <is>
          <t>Edificio</t>
        </is>
      </c>
      <c r="L693" t="inlineStr">
        <is>
          <t>A</t>
        </is>
      </c>
      <c r="M693" t="inlineStr">
        <is>
          <t>Estacionamiento</t>
        </is>
      </c>
      <c r="N693" t="inlineStr">
        <is>
          <t>E 01</t>
        </is>
      </c>
      <c r="O693" t="n">
        <v>12.5</v>
      </c>
      <c r="P693" t="n">
        <v>0</v>
      </c>
      <c r="Q693" s="39" t="n">
        <v>47500</v>
      </c>
      <c r="R693" s="39" t="n">
        <v>47500</v>
      </c>
      <c r="Y693" s="39" t="n"/>
      <c r="Z693" s="39" t="n"/>
      <c r="AG693" s="39" t="n"/>
      <c r="AH693" s="39" t="n"/>
      <c r="AI693" t="inlineStr">
        <is>
          <t>RIta Hermelinda Monje Casafranca</t>
        </is>
      </c>
      <c r="AJ693" t="inlineStr">
        <is>
          <t>23959890</t>
        </is>
      </c>
      <c r="AK693" t="inlineStr">
        <is>
          <t>Av. Gregorio Escobedo 570, Dpto N°1602</t>
        </is>
      </c>
      <c r="AL693" t="n">
        <v>0</v>
      </c>
      <c r="AM693" t="inlineStr">
        <is>
          <t>984620296</t>
        </is>
      </c>
      <c r="AN693" t="inlineStr">
        <is>
          <t>rhmc1611@gmail.com</t>
        </is>
      </c>
      <c r="AO693" t="inlineStr">
        <is>
          <t>LIMA</t>
        </is>
      </c>
      <c r="AP693" t="inlineStr">
        <is>
          <t>JESUS MARIA</t>
        </is>
      </c>
      <c r="AQ693" s="75" t="n">
        <v>46167</v>
      </c>
      <c r="AR693" s="75" t="n">
        <v>46167</v>
      </c>
      <c r="AS693" t="inlineStr">
        <is>
          <t>SEPARACION</t>
        </is>
      </c>
      <c r="AT693" t="n">
        <v>1</v>
      </c>
      <c r="AU693" t="n">
        <v>3000</v>
      </c>
      <c r="AV693" t="n">
        <v>0</v>
      </c>
      <c r="AW693" t="n">
        <v>0</v>
      </c>
      <c r="AX693" s="39" t="n">
        <v>3000</v>
      </c>
      <c r="AY693" s="39" t="n">
        <v>3000</v>
      </c>
      <c r="AZ693" s="39" t="n">
        <v>0</v>
      </c>
      <c r="BA693" t="n">
        <v>0</v>
      </c>
      <c r="BB693" t="inlineStr">
        <is>
          <t>Crédito Directo</t>
        </is>
      </c>
      <c r="BC693" t="inlineStr">
        <is>
          <t>Banco de Credito del Perú</t>
        </is>
      </c>
      <c r="BD693" t="inlineStr">
        <is>
          <t>194-7325779-0-65</t>
        </is>
      </c>
      <c r="BE693" t="inlineStr">
        <is>
          <t>TRANSFERENCIA BANCARIA</t>
        </is>
      </c>
      <c r="BG693" t="inlineStr">
        <is>
          <t>03078443</t>
        </is>
      </c>
      <c r="BH693" t="inlineStr">
        <is>
          <t>No</t>
        </is>
      </c>
      <c r="BJ693" t="n">
        <v>4</v>
      </c>
      <c r="BK693" t="inlineStr">
        <is>
          <t>VENCIDO</t>
        </is>
      </c>
      <c r="BV693" t="inlineStr">
        <is>
          <t>Si</t>
        </is>
      </c>
      <c r="BW693" s="76" t="n">
        <v>46165.40555555555</v>
      </c>
      <c r="BX693" t="inlineStr">
        <is>
          <t>Kenny Salazar S</t>
        </is>
      </c>
      <c r="BZ693" t="n">
        <v>47</v>
      </c>
      <c r="CA693" t="inlineStr">
        <is>
          <t>11/07/2026 09:42</t>
        </is>
      </c>
      <c r="CB693" t="n">
        <v>0</v>
      </c>
      <c r="CF693" t="inlineStr">
        <is>
          <t>Cobranzas_2026.csv</t>
        </is>
      </c>
      <c r="CG693" t="n">
        <v>2026</v>
      </c>
      <c r="CH693" t="inlineStr">
        <is>
          <t>01/01/2024</t>
        </is>
      </c>
      <c r="CI693" t="inlineStr">
        <is>
          <t>24/08/2031</t>
        </is>
      </c>
    </row>
    <row r="694">
      <c r="A694" t="inlineStr">
        <is>
          <t>RESIDENCIAL BEYOND</t>
        </is>
      </c>
      <c r="B694" t="inlineStr">
        <is>
          <t>Etapa 1</t>
        </is>
      </c>
      <c r="C694" t="inlineStr">
        <is>
          <t>Edificio</t>
        </is>
      </c>
      <c r="D694" t="inlineStr">
        <is>
          <t>A</t>
        </is>
      </c>
      <c r="E694" t="inlineStr">
        <is>
          <t>Departamento</t>
        </is>
      </c>
      <c r="F694" t="inlineStr">
        <is>
          <t>1503</t>
        </is>
      </c>
      <c r="G694" t="n">
        <v>68</v>
      </c>
      <c r="H694" t="n">
        <v>0</v>
      </c>
      <c r="I694" s="39" t="n">
        <v>504700</v>
      </c>
      <c r="J694" s="39" t="n">
        <v>455000</v>
      </c>
      <c r="K694" t="inlineStr">
        <is>
          <t>Edificio</t>
        </is>
      </c>
      <c r="L694" t="inlineStr">
        <is>
          <t>A</t>
        </is>
      </c>
      <c r="M694" t="inlineStr">
        <is>
          <t>Estacionamiento</t>
        </is>
      </c>
      <c r="N694" t="inlineStr">
        <is>
          <t>E 01</t>
        </is>
      </c>
      <c r="O694" t="n">
        <v>12.5</v>
      </c>
      <c r="P694" t="n">
        <v>0</v>
      </c>
      <c r="Q694" s="39" t="n">
        <v>47500</v>
      </c>
      <c r="R694" s="39" t="n">
        <v>47500</v>
      </c>
      <c r="Y694" s="39" t="n"/>
      <c r="Z694" s="39" t="n"/>
      <c r="AG694" s="39" t="n"/>
      <c r="AH694" s="39" t="n"/>
      <c r="AI694" t="inlineStr">
        <is>
          <t>RIta Hermelinda Monje Casafranca</t>
        </is>
      </c>
      <c r="AJ694" t="inlineStr">
        <is>
          <t>23959890</t>
        </is>
      </c>
      <c r="AK694" t="inlineStr">
        <is>
          <t>Av. Gregorio Escobedo 570, Dpto N°1602</t>
        </is>
      </c>
      <c r="AL694" t="n">
        <v>0</v>
      </c>
      <c r="AM694" t="inlineStr">
        <is>
          <t>984620296</t>
        </is>
      </c>
      <c r="AN694" t="inlineStr">
        <is>
          <t>rhmc1611@gmail.com</t>
        </is>
      </c>
      <c r="AO694" t="inlineStr">
        <is>
          <t>LIMA</t>
        </is>
      </c>
      <c r="AP694" t="inlineStr">
        <is>
          <t>JESUS MARIA</t>
        </is>
      </c>
      <c r="AQ694" s="75" t="n">
        <v>46167</v>
      </c>
      <c r="AR694" s="75" t="n">
        <v>46167</v>
      </c>
      <c r="AS694" t="inlineStr">
        <is>
          <t>SEPARACION</t>
        </is>
      </c>
      <c r="AT694" t="n">
        <v>1</v>
      </c>
      <c r="AU694" t="n">
        <v>0</v>
      </c>
      <c r="AV694" t="n">
        <v>0</v>
      </c>
      <c r="AW694" t="n">
        <v>0</v>
      </c>
      <c r="AX694" s="39" t="n">
        <v>0</v>
      </c>
      <c r="AY694" s="39" t="n">
        <v>3000</v>
      </c>
      <c r="AZ694" s="39" t="n">
        <v>0</v>
      </c>
      <c r="BA694" t="n">
        <v>0</v>
      </c>
      <c r="BB694" t="inlineStr">
        <is>
          <t>Crédito Directo</t>
        </is>
      </c>
      <c r="BC694" t="inlineStr">
        <is>
          <t>Banco de Credito del Perú</t>
        </is>
      </c>
      <c r="BD694" t="inlineStr">
        <is>
          <t>194-7325779-0-65</t>
        </is>
      </c>
      <c r="BE694" t="inlineStr">
        <is>
          <t>TRANSFERENCIA BANCARIA</t>
        </is>
      </c>
      <c r="BG694" t="inlineStr">
        <is>
          <t>03078443</t>
        </is>
      </c>
      <c r="BH694" t="inlineStr">
        <is>
          <t>No</t>
        </is>
      </c>
      <c r="BJ694" t="n">
        <v>4</v>
      </c>
      <c r="BK694" t="inlineStr">
        <is>
          <t>VENCIDO</t>
        </is>
      </c>
      <c r="BV694" t="inlineStr">
        <is>
          <t>No</t>
        </is>
      </c>
      <c r="BW694" s="76" t="n">
        <v>46165.40555555555</v>
      </c>
      <c r="BX694" t="inlineStr">
        <is>
          <t>Kenny Salazar S</t>
        </is>
      </c>
      <c r="BZ694" t="n">
        <v>47</v>
      </c>
      <c r="CA694" t="inlineStr">
        <is>
          <t>11/07/2026 09:42</t>
        </is>
      </c>
      <c r="CB694" t="n">
        <v>0</v>
      </c>
      <c r="CF694" t="inlineStr">
        <is>
          <t>Cobranzas_2026.csv</t>
        </is>
      </c>
      <c r="CG694" t="n">
        <v>2026</v>
      </c>
      <c r="CH694" t="inlineStr">
        <is>
          <t>01/01/2024</t>
        </is>
      </c>
      <c r="CI694" t="inlineStr">
        <is>
          <t>24/08/2031</t>
        </is>
      </c>
    </row>
    <row r="695">
      <c r="A695" t="inlineStr">
        <is>
          <t>RESIDENCIAL BEYOND</t>
        </is>
      </c>
      <c r="B695" t="inlineStr">
        <is>
          <t>Etapa 1</t>
        </is>
      </c>
      <c r="C695" t="inlineStr">
        <is>
          <t>Edificio</t>
        </is>
      </c>
      <c r="D695" t="inlineStr">
        <is>
          <t>A</t>
        </is>
      </c>
      <c r="E695" t="inlineStr">
        <is>
          <t>Departamento</t>
        </is>
      </c>
      <c r="F695" t="inlineStr">
        <is>
          <t>1503</t>
        </is>
      </c>
      <c r="G695" t="n">
        <v>68</v>
      </c>
      <c r="H695" t="n">
        <v>0</v>
      </c>
      <c r="I695" s="39" t="n">
        <v>504700</v>
      </c>
      <c r="J695" s="39" t="n">
        <v>455000</v>
      </c>
      <c r="K695" t="inlineStr">
        <is>
          <t>Edificio</t>
        </is>
      </c>
      <c r="L695" t="inlineStr">
        <is>
          <t>A</t>
        </is>
      </c>
      <c r="M695" t="inlineStr">
        <is>
          <t>Estacionamiento</t>
        </is>
      </c>
      <c r="N695" t="inlineStr">
        <is>
          <t>E 01</t>
        </is>
      </c>
      <c r="O695" t="n">
        <v>12.5</v>
      </c>
      <c r="P695" t="n">
        <v>0</v>
      </c>
      <c r="Q695" s="39" t="n">
        <v>47500</v>
      </c>
      <c r="R695" s="39" t="n">
        <v>47500</v>
      </c>
      <c r="Y695" s="39" t="n"/>
      <c r="Z695" s="39" t="n"/>
      <c r="AG695" s="39" t="n"/>
      <c r="AH695" s="39" t="n"/>
      <c r="AI695" t="inlineStr">
        <is>
          <t>RIta Hermelinda Monje Casafranca</t>
        </is>
      </c>
      <c r="AJ695" t="inlineStr">
        <is>
          <t>23959890</t>
        </is>
      </c>
      <c r="AK695" t="inlineStr">
        <is>
          <t>Av. Gregorio Escobedo 570, Dpto N°1602</t>
        </is>
      </c>
      <c r="AL695" t="n">
        <v>0</v>
      </c>
      <c r="AM695" t="inlineStr">
        <is>
          <t>984620296</t>
        </is>
      </c>
      <c r="AN695" t="inlineStr">
        <is>
          <t>rhmc1611@gmail.com</t>
        </is>
      </c>
      <c r="AO695" t="inlineStr">
        <is>
          <t>LIMA</t>
        </is>
      </c>
      <c r="AP695" t="inlineStr">
        <is>
          <t>JESUS MARIA</t>
        </is>
      </c>
      <c r="AQ695" s="75" t="n">
        <v>46167</v>
      </c>
      <c r="AR695" s="75" t="n">
        <v>46167</v>
      </c>
      <c r="AS695" t="inlineStr">
        <is>
          <t>CUOTA INICIAL</t>
        </is>
      </c>
      <c r="AT695" t="n">
        <v>1</v>
      </c>
      <c r="AU695" t="n">
        <v>22000</v>
      </c>
      <c r="AV695" t="n">
        <v>0</v>
      </c>
      <c r="AW695" t="n">
        <v>0</v>
      </c>
      <c r="AX695" s="39" t="n">
        <v>22000</v>
      </c>
      <c r="AY695" s="39" t="n">
        <v>22000</v>
      </c>
      <c r="AZ695" s="39" t="n">
        <v>0</v>
      </c>
      <c r="BA695" t="n">
        <v>0</v>
      </c>
      <c r="BB695" t="inlineStr">
        <is>
          <t>Crédito Directo</t>
        </is>
      </c>
      <c r="BC695" t="inlineStr">
        <is>
          <t>Banco de Credito del Perú</t>
        </is>
      </c>
      <c r="BD695" t="inlineStr">
        <is>
          <t>194-7325779-0-65</t>
        </is>
      </c>
      <c r="BE695" t="inlineStr">
        <is>
          <t>TRANSFERENCIA BANCARIA</t>
        </is>
      </c>
      <c r="BG695" t="inlineStr">
        <is>
          <t>03078443</t>
        </is>
      </c>
      <c r="BH695" t="inlineStr">
        <is>
          <t>No</t>
        </is>
      </c>
      <c r="BJ695" t="n">
        <v>4</v>
      </c>
      <c r="BK695" t="inlineStr">
        <is>
          <t>VENCIDO</t>
        </is>
      </c>
      <c r="BV695" t="inlineStr">
        <is>
          <t>Si</t>
        </is>
      </c>
      <c r="BW695" s="76" t="n">
        <v>46165.40555555555</v>
      </c>
      <c r="BX695" t="inlineStr">
        <is>
          <t>Kenny Salazar S</t>
        </is>
      </c>
      <c r="BZ695" t="n">
        <v>47</v>
      </c>
      <c r="CA695" t="inlineStr">
        <is>
          <t>11/07/2026 09:42</t>
        </is>
      </c>
      <c r="CB695" t="n">
        <v>0</v>
      </c>
      <c r="CF695" t="inlineStr">
        <is>
          <t>Cobranzas_2026.csv</t>
        </is>
      </c>
      <c r="CG695" t="n">
        <v>2026</v>
      </c>
      <c r="CH695" t="inlineStr">
        <is>
          <t>01/01/2024</t>
        </is>
      </c>
      <c r="CI695" t="inlineStr">
        <is>
          <t>24/08/2031</t>
        </is>
      </c>
    </row>
    <row r="696">
      <c r="A696" t="inlineStr">
        <is>
          <t>RESIDENCIAL BEYOND</t>
        </is>
      </c>
      <c r="B696" t="inlineStr">
        <is>
          <t>Etapa 1</t>
        </is>
      </c>
      <c r="C696" t="inlineStr">
        <is>
          <t>Edificio</t>
        </is>
      </c>
      <c r="D696" t="inlineStr">
        <is>
          <t>A</t>
        </is>
      </c>
      <c r="E696" t="inlineStr">
        <is>
          <t>Departamento</t>
        </is>
      </c>
      <c r="F696" t="inlineStr">
        <is>
          <t>1503</t>
        </is>
      </c>
      <c r="G696" t="n">
        <v>68</v>
      </c>
      <c r="H696" t="n">
        <v>0</v>
      </c>
      <c r="I696" s="39" t="n">
        <v>504700</v>
      </c>
      <c r="J696" s="39" t="n">
        <v>455000</v>
      </c>
      <c r="K696" t="inlineStr">
        <is>
          <t>Edificio</t>
        </is>
      </c>
      <c r="L696" t="inlineStr">
        <is>
          <t>A</t>
        </is>
      </c>
      <c r="M696" t="inlineStr">
        <is>
          <t>Estacionamiento</t>
        </is>
      </c>
      <c r="N696" t="inlineStr">
        <is>
          <t>E 01</t>
        </is>
      </c>
      <c r="O696" t="n">
        <v>12.5</v>
      </c>
      <c r="P696" t="n">
        <v>0</v>
      </c>
      <c r="Q696" s="39" t="n">
        <v>47500</v>
      </c>
      <c r="R696" s="39" t="n">
        <v>47500</v>
      </c>
      <c r="Y696" s="39" t="n"/>
      <c r="Z696" s="39" t="n"/>
      <c r="AG696" s="39" t="n"/>
      <c r="AH696" s="39" t="n"/>
      <c r="AI696" t="inlineStr">
        <is>
          <t>RIta Hermelinda Monje Casafranca</t>
        </is>
      </c>
      <c r="AJ696" t="inlineStr">
        <is>
          <t>23959890</t>
        </is>
      </c>
      <c r="AK696" t="inlineStr">
        <is>
          <t>Av. Gregorio Escobedo 570, Dpto N°1602</t>
        </is>
      </c>
      <c r="AL696" t="n">
        <v>0</v>
      </c>
      <c r="AM696" t="inlineStr">
        <is>
          <t>984620296</t>
        </is>
      </c>
      <c r="AN696" t="inlineStr">
        <is>
          <t>rhmc1611@gmail.com</t>
        </is>
      </c>
      <c r="AO696" t="inlineStr">
        <is>
          <t>LIMA</t>
        </is>
      </c>
      <c r="AP696" t="inlineStr">
        <is>
          <t>JESUS MARIA</t>
        </is>
      </c>
      <c r="AQ696" s="75" t="n">
        <v>46167</v>
      </c>
      <c r="AR696" s="75" t="n">
        <v>46167</v>
      </c>
      <c r="AS696" t="inlineStr">
        <is>
          <t>CUOTA INICIAL</t>
        </is>
      </c>
      <c r="AT696" t="n">
        <v>1</v>
      </c>
      <c r="AU696" t="n">
        <v>0</v>
      </c>
      <c r="AV696" t="n">
        <v>0</v>
      </c>
      <c r="AW696" t="n">
        <v>0</v>
      </c>
      <c r="AX696" s="39" t="n">
        <v>0</v>
      </c>
      <c r="AY696" s="39" t="n">
        <v>22000</v>
      </c>
      <c r="AZ696" s="39" t="n">
        <v>0</v>
      </c>
      <c r="BA696" t="n">
        <v>0</v>
      </c>
      <c r="BB696" t="inlineStr">
        <is>
          <t>Crédito Directo</t>
        </is>
      </c>
      <c r="BC696" t="inlineStr">
        <is>
          <t>Banco de Credito del Perú</t>
        </is>
      </c>
      <c r="BD696" t="inlineStr">
        <is>
          <t>194-7325779-0-65</t>
        </is>
      </c>
      <c r="BE696" t="inlineStr">
        <is>
          <t>TRANSFERENCIA BANCARIA</t>
        </is>
      </c>
      <c r="BG696" t="inlineStr">
        <is>
          <t>03078443</t>
        </is>
      </c>
      <c r="BH696" t="inlineStr">
        <is>
          <t>No</t>
        </is>
      </c>
      <c r="BJ696" t="n">
        <v>4</v>
      </c>
      <c r="BK696" t="inlineStr">
        <is>
          <t>VENCIDO</t>
        </is>
      </c>
      <c r="BV696" t="inlineStr">
        <is>
          <t>No</t>
        </is>
      </c>
      <c r="BW696" s="76" t="n">
        <v>46165.40555555555</v>
      </c>
      <c r="BX696" t="inlineStr">
        <is>
          <t>Kenny Salazar S</t>
        </is>
      </c>
      <c r="BZ696" t="n">
        <v>47</v>
      </c>
      <c r="CA696" t="inlineStr">
        <is>
          <t>11/07/2026 09:42</t>
        </is>
      </c>
      <c r="CB696" t="n">
        <v>0</v>
      </c>
      <c r="CF696" t="inlineStr">
        <is>
          <t>Cobranzas_2026.csv</t>
        </is>
      </c>
      <c r="CG696" t="n">
        <v>2026</v>
      </c>
      <c r="CH696" t="inlineStr">
        <is>
          <t>01/01/2024</t>
        </is>
      </c>
      <c r="CI696" t="inlineStr">
        <is>
          <t>24/08/2031</t>
        </is>
      </c>
    </row>
    <row r="697">
      <c r="A697" t="inlineStr">
        <is>
          <t>RESIDENCIAL BEYOND</t>
        </is>
      </c>
      <c r="B697" t="inlineStr">
        <is>
          <t>Etapa 1</t>
        </is>
      </c>
      <c r="C697" t="inlineStr">
        <is>
          <t>Edificio</t>
        </is>
      </c>
      <c r="D697" t="inlineStr">
        <is>
          <t>A</t>
        </is>
      </c>
      <c r="E697" t="inlineStr">
        <is>
          <t>Departamento</t>
        </is>
      </c>
      <c r="F697" t="inlineStr">
        <is>
          <t>1503</t>
        </is>
      </c>
      <c r="G697" t="n">
        <v>68</v>
      </c>
      <c r="H697" t="n">
        <v>0</v>
      </c>
      <c r="I697" s="39" t="n">
        <v>504700</v>
      </c>
      <c r="J697" s="39" t="n">
        <v>455000</v>
      </c>
      <c r="K697" t="inlineStr">
        <is>
          <t>Edificio</t>
        </is>
      </c>
      <c r="L697" t="inlineStr">
        <is>
          <t>A</t>
        </is>
      </c>
      <c r="M697" t="inlineStr">
        <is>
          <t>Estacionamiento</t>
        </is>
      </c>
      <c r="N697" t="inlineStr">
        <is>
          <t>E 01</t>
        </is>
      </c>
      <c r="O697" t="n">
        <v>12.5</v>
      </c>
      <c r="P697" t="n">
        <v>0</v>
      </c>
      <c r="Q697" s="39" t="n">
        <v>47500</v>
      </c>
      <c r="R697" s="39" t="n">
        <v>47500</v>
      </c>
      <c r="Y697" s="39" t="n"/>
      <c r="Z697" s="39" t="n"/>
      <c r="AG697" s="39" t="n"/>
      <c r="AH697" s="39" t="n"/>
      <c r="AI697" t="inlineStr">
        <is>
          <t>RIta Hermelinda Monje Casafranca</t>
        </is>
      </c>
      <c r="AJ697" t="inlineStr">
        <is>
          <t>23959890</t>
        </is>
      </c>
      <c r="AK697" t="inlineStr">
        <is>
          <t>Av. Gregorio Escobedo 570, Dpto N°1602</t>
        </is>
      </c>
      <c r="AL697" t="n">
        <v>0</v>
      </c>
      <c r="AM697" t="inlineStr">
        <is>
          <t>984620296</t>
        </is>
      </c>
      <c r="AN697" t="inlineStr">
        <is>
          <t>rhmc1611@gmail.com</t>
        </is>
      </c>
      <c r="AO697" t="inlineStr">
        <is>
          <t>LIMA</t>
        </is>
      </c>
      <c r="AP697" t="inlineStr">
        <is>
          <t>JESUS MARIA</t>
        </is>
      </c>
      <c r="AQ697" s="75" t="n">
        <v>46188</v>
      </c>
      <c r="AR697" s="75" t="n">
        <v>46174</v>
      </c>
      <c r="AS697" t="inlineStr">
        <is>
          <t>CUOTA INICIAL</t>
        </is>
      </c>
      <c r="AT697" t="n">
        <v>2</v>
      </c>
      <c r="AU697" t="n">
        <v>25250</v>
      </c>
      <c r="AV697" t="n">
        <v>0</v>
      </c>
      <c r="AW697" t="n">
        <v>0</v>
      </c>
      <c r="AX697" s="39" t="n">
        <v>25250</v>
      </c>
      <c r="AY697" s="39" t="n">
        <v>25250</v>
      </c>
      <c r="AZ697" s="39" t="n">
        <v>0</v>
      </c>
      <c r="BA697" t="n">
        <v>0</v>
      </c>
      <c r="BB697" t="inlineStr">
        <is>
          <t>Crédito Directo</t>
        </is>
      </c>
      <c r="BC697" t="inlineStr">
        <is>
          <t>Banco de Credito del Perú</t>
        </is>
      </c>
      <c r="BD697" t="inlineStr">
        <is>
          <t>194-7325779-0-65</t>
        </is>
      </c>
      <c r="BE697" t="inlineStr">
        <is>
          <t>TRANSFERENCIA BANCARIA</t>
        </is>
      </c>
      <c r="BG697" t="inlineStr">
        <is>
          <t>04176966</t>
        </is>
      </c>
      <c r="BH697" t="inlineStr">
        <is>
          <t>No</t>
        </is>
      </c>
      <c r="BJ697" t="n">
        <v>4</v>
      </c>
      <c r="BK697" t="inlineStr">
        <is>
          <t>CANCELADO</t>
        </is>
      </c>
      <c r="BV697" t="inlineStr">
        <is>
          <t>Si</t>
        </is>
      </c>
      <c r="BW697" s="76" t="n">
        <v>46165.40555555555</v>
      </c>
      <c r="BX697" t="inlineStr">
        <is>
          <t>Kenny Salazar S</t>
        </is>
      </c>
      <c r="BZ697" t="n">
        <v>47</v>
      </c>
      <c r="CA697" t="inlineStr">
        <is>
          <t>11/07/2026 09:43</t>
        </is>
      </c>
      <c r="CB697" t="n">
        <v>0</v>
      </c>
      <c r="CF697" t="inlineStr">
        <is>
          <t>Cobranzas_2026.csv</t>
        </is>
      </c>
      <c r="CG697" t="n">
        <v>2026</v>
      </c>
      <c r="CH697" t="inlineStr">
        <is>
          <t>01/01/2024</t>
        </is>
      </c>
      <c r="CI697" t="inlineStr">
        <is>
          <t>24/08/2031</t>
        </is>
      </c>
    </row>
    <row r="698">
      <c r="A698" t="inlineStr">
        <is>
          <t>RESIDENCIAL BEYOND</t>
        </is>
      </c>
      <c r="B698" t="inlineStr">
        <is>
          <t>Etapa 1</t>
        </is>
      </c>
      <c r="C698" t="inlineStr">
        <is>
          <t>Edificio</t>
        </is>
      </c>
      <c r="D698" t="inlineStr">
        <is>
          <t>A</t>
        </is>
      </c>
      <c r="E698" t="inlineStr">
        <is>
          <t>Departamento</t>
        </is>
      </c>
      <c r="F698" t="inlineStr">
        <is>
          <t>1503</t>
        </is>
      </c>
      <c r="G698" t="n">
        <v>68</v>
      </c>
      <c r="H698" t="n">
        <v>0</v>
      </c>
      <c r="I698" s="39" t="n">
        <v>504700</v>
      </c>
      <c r="J698" s="39" t="n">
        <v>455000</v>
      </c>
      <c r="K698" t="inlineStr">
        <is>
          <t>Edificio</t>
        </is>
      </c>
      <c r="L698" t="inlineStr">
        <is>
          <t>A</t>
        </is>
      </c>
      <c r="M698" t="inlineStr">
        <is>
          <t>Estacionamiento</t>
        </is>
      </c>
      <c r="N698" t="inlineStr">
        <is>
          <t>E 01</t>
        </is>
      </c>
      <c r="O698" t="n">
        <v>12.5</v>
      </c>
      <c r="P698" t="n">
        <v>0</v>
      </c>
      <c r="Q698" s="39" t="n">
        <v>47500</v>
      </c>
      <c r="R698" s="39" t="n">
        <v>47500</v>
      </c>
      <c r="Y698" s="39" t="n"/>
      <c r="Z698" s="39" t="n"/>
      <c r="AG698" s="39" t="n"/>
      <c r="AH698" s="39" t="n"/>
      <c r="AI698" t="inlineStr">
        <is>
          <t>RIta Hermelinda Monje Casafranca</t>
        </is>
      </c>
      <c r="AJ698" t="inlineStr">
        <is>
          <t>23959890</t>
        </is>
      </c>
      <c r="AK698" t="inlineStr">
        <is>
          <t>Av. Gregorio Escobedo 570, Dpto N°1602</t>
        </is>
      </c>
      <c r="AL698" t="n">
        <v>0</v>
      </c>
      <c r="AM698" t="inlineStr">
        <is>
          <t>984620296</t>
        </is>
      </c>
      <c r="AN698" t="inlineStr">
        <is>
          <t>rhmc1611@gmail.com</t>
        </is>
      </c>
      <c r="AO698" t="inlineStr">
        <is>
          <t>LIMA</t>
        </is>
      </c>
      <c r="AP698" t="inlineStr">
        <is>
          <t>JESUS MARIA</t>
        </is>
      </c>
      <c r="AQ698" s="75" t="n">
        <v>46386</v>
      </c>
      <c r="AR698" s="75" t="n"/>
      <c r="AS698" t="inlineStr">
        <is>
          <t>CUOTA INICIAL</t>
        </is>
      </c>
      <c r="AT698" t="n">
        <v>3</v>
      </c>
      <c r="AU698" t="n">
        <v>50000</v>
      </c>
      <c r="AV698" t="n">
        <v>0</v>
      </c>
      <c r="AW698" t="n">
        <v>0</v>
      </c>
      <c r="AX698" s="39" t="n">
        <v>50000</v>
      </c>
      <c r="AY698" s="39" t="n">
        <v>0</v>
      </c>
      <c r="AZ698" s="39" t="n">
        <v>25000</v>
      </c>
      <c r="BB698" t="inlineStr">
        <is>
          <t>Crédito Directo</t>
        </is>
      </c>
      <c r="BH698" t="inlineStr">
        <is>
          <t>No</t>
        </is>
      </c>
      <c r="BK698" t="inlineStr">
        <is>
          <t>PENDIENTE</t>
        </is>
      </c>
      <c r="BV698" t="inlineStr">
        <is>
          <t>No</t>
        </is>
      </c>
      <c r="BW698" s="76" t="n">
        <v>46165.40555555555</v>
      </c>
      <c r="BX698" t="inlineStr">
        <is>
          <t>Kenny Salazar S</t>
        </is>
      </c>
      <c r="BZ698" t="n">
        <v>47</v>
      </c>
      <c r="CB698" t="n">
        <v>0</v>
      </c>
      <c r="CF698" t="inlineStr">
        <is>
          <t>Cobranzas_2026.csv</t>
        </is>
      </c>
      <c r="CG698" t="n">
        <v>2026</v>
      </c>
      <c r="CH698" t="inlineStr">
        <is>
          <t>01/01/2024</t>
        </is>
      </c>
      <c r="CI698" t="inlineStr">
        <is>
          <t>24/08/2031</t>
        </is>
      </c>
    </row>
    <row r="699">
      <c r="A699" t="inlineStr">
        <is>
          <t>RESIDENCIAL VENECIA</t>
        </is>
      </c>
      <c r="B699" t="inlineStr">
        <is>
          <t>Etapa 1</t>
        </is>
      </c>
      <c r="C699" t="inlineStr">
        <is>
          <t>Edificio</t>
        </is>
      </c>
      <c r="D699" t="inlineStr">
        <is>
          <t>A</t>
        </is>
      </c>
      <c r="E699" t="inlineStr">
        <is>
          <t>Departamento</t>
        </is>
      </c>
      <c r="F699" t="inlineStr">
        <is>
          <t>602</t>
        </is>
      </c>
      <c r="G699" t="n">
        <v>83</v>
      </c>
      <c r="H699" t="n">
        <v>0</v>
      </c>
      <c r="I699" s="39" t="n">
        <v>573000</v>
      </c>
      <c r="J699" s="39" t="n">
        <v>573000</v>
      </c>
      <c r="K699" t="inlineStr">
        <is>
          <t>Edificio</t>
        </is>
      </c>
      <c r="L699" t="inlineStr">
        <is>
          <t>A</t>
        </is>
      </c>
      <c r="M699" t="inlineStr">
        <is>
          <t>Estacionamiento</t>
        </is>
      </c>
      <c r="N699" t="inlineStr">
        <is>
          <t>E 24 - D 5</t>
        </is>
      </c>
      <c r="O699" t="n">
        <v>16.28</v>
      </c>
      <c r="P699" t="n">
        <v>0</v>
      </c>
      <c r="Q699" s="39" t="n">
        <v>51000</v>
      </c>
      <c r="R699" s="39" t="n">
        <v>51000</v>
      </c>
      <c r="Y699" s="39" t="n"/>
      <c r="Z699" s="39" t="n"/>
      <c r="AG699" s="39" t="n"/>
      <c r="AH699" s="39" t="n"/>
      <c r="AI699" t="inlineStr">
        <is>
          <t>Rocio Chuquimango Valencia</t>
        </is>
      </c>
      <c r="AJ699" t="inlineStr">
        <is>
          <t>26707781</t>
        </is>
      </c>
      <c r="AK699" t="inlineStr">
        <is>
          <t xml:space="preserve">AV.ATAHUALPA 337.INT 2 </t>
        </is>
      </c>
      <c r="AL699" t="n">
        <v>0</v>
      </c>
      <c r="AM699" t="inlineStr">
        <is>
          <t>976685767</t>
        </is>
      </c>
      <c r="AN699" t="inlineStr">
        <is>
          <t>rocio-0511@hotmail.com</t>
        </is>
      </c>
      <c r="AO699" t="inlineStr">
        <is>
          <t>CAJAMARCA</t>
        </is>
      </c>
      <c r="AP699" t="inlineStr">
        <is>
          <t>CAJAMARCA</t>
        </is>
      </c>
      <c r="AQ699" s="75" t="n">
        <v>46203</v>
      </c>
      <c r="AR699" s="75" t="n"/>
      <c r="AS699" t="inlineStr">
        <is>
          <t>CUOTA INICIAL</t>
        </is>
      </c>
      <c r="AT699" t="n">
        <v>3</v>
      </c>
      <c r="AU699" t="n">
        <v>119900</v>
      </c>
      <c r="AV699" t="n">
        <v>0</v>
      </c>
      <c r="AW699" t="n">
        <v>0</v>
      </c>
      <c r="AX699" s="39" t="n">
        <v>119900</v>
      </c>
      <c r="AY699" s="39" t="n">
        <v>0</v>
      </c>
      <c r="AZ699" s="39" t="n">
        <v>119900</v>
      </c>
      <c r="BB699" t="inlineStr">
        <is>
          <t>Crédito Directo</t>
        </is>
      </c>
      <c r="BH699" t="inlineStr">
        <is>
          <t>No</t>
        </is>
      </c>
      <c r="BK699" t="inlineStr">
        <is>
          <t>VENCIDO</t>
        </is>
      </c>
      <c r="BV699" t="inlineStr">
        <is>
          <t>No</t>
        </is>
      </c>
      <c r="BW699" s="76" t="n">
        <v>45898.34652777778</v>
      </c>
      <c r="BX699" t="inlineStr">
        <is>
          <t>Magaly Guevara Perez</t>
        </is>
      </c>
      <c r="BZ699" t="n">
        <v>12</v>
      </c>
      <c r="CB699" t="n">
        <v>0</v>
      </c>
      <c r="CF699" t="inlineStr">
        <is>
          <t>Cobranzas_2026.csv</t>
        </is>
      </c>
      <c r="CG699" t="n">
        <v>2026</v>
      </c>
      <c r="CH699" t="inlineStr">
        <is>
          <t>01/01/2024</t>
        </is>
      </c>
      <c r="CI699" t="inlineStr">
        <is>
          <t>24/08/2031</t>
        </is>
      </c>
    </row>
    <row r="700">
      <c r="A700" t="inlineStr">
        <is>
          <t>RESIDENCIAL VENECIA</t>
        </is>
      </c>
      <c r="B700" t="inlineStr">
        <is>
          <t>Etapa 1</t>
        </is>
      </c>
      <c r="C700" t="inlineStr">
        <is>
          <t>Edificio</t>
        </is>
      </c>
      <c r="D700" t="inlineStr">
        <is>
          <t>A</t>
        </is>
      </c>
      <c r="E700" t="inlineStr">
        <is>
          <t>Departamento</t>
        </is>
      </c>
      <c r="F700" t="inlineStr">
        <is>
          <t>602</t>
        </is>
      </c>
      <c r="G700" t="n">
        <v>83</v>
      </c>
      <c r="H700" t="n">
        <v>0</v>
      </c>
      <c r="I700" s="39" t="n">
        <v>573000</v>
      </c>
      <c r="J700" s="39" t="n">
        <v>573000</v>
      </c>
      <c r="K700" t="inlineStr">
        <is>
          <t>Edificio</t>
        </is>
      </c>
      <c r="L700" t="inlineStr">
        <is>
          <t>A</t>
        </is>
      </c>
      <c r="M700" t="inlineStr">
        <is>
          <t>Estacionamiento</t>
        </is>
      </c>
      <c r="N700" t="inlineStr">
        <is>
          <t>E 24 - D 5</t>
        </is>
      </c>
      <c r="O700" t="n">
        <v>16.28</v>
      </c>
      <c r="P700" t="n">
        <v>0</v>
      </c>
      <c r="Q700" s="39" t="n">
        <v>51000</v>
      </c>
      <c r="R700" s="39" t="n">
        <v>51000</v>
      </c>
      <c r="Y700" s="39" t="n"/>
      <c r="Z700" s="39" t="n"/>
      <c r="AG700" s="39" t="n"/>
      <c r="AH700" s="39" t="n"/>
      <c r="AI700" t="inlineStr">
        <is>
          <t>Rocio Chuquimango Valencia</t>
        </is>
      </c>
      <c r="AJ700" t="inlineStr">
        <is>
          <t>26707781</t>
        </is>
      </c>
      <c r="AK700" t="inlineStr">
        <is>
          <t xml:space="preserve">AV.ATAHUALPA 337.INT 2 </t>
        </is>
      </c>
      <c r="AL700" t="n">
        <v>0</v>
      </c>
      <c r="AM700" t="inlineStr">
        <is>
          <t>976685767</t>
        </is>
      </c>
      <c r="AN700" t="inlineStr">
        <is>
          <t>rocio-0511@hotmail.com</t>
        </is>
      </c>
      <c r="AO700" t="inlineStr">
        <is>
          <t>CAJAMARCA</t>
        </is>
      </c>
      <c r="AP700" t="inlineStr">
        <is>
          <t>CAJAMARCA</t>
        </is>
      </c>
      <c r="AQ700" s="75" t="n">
        <v>46234</v>
      </c>
      <c r="AR700" s="75" t="n"/>
      <c r="AS700" t="inlineStr">
        <is>
          <t>SALDO FINANCIAR</t>
        </is>
      </c>
      <c r="AT700" t="n">
        <v>1</v>
      </c>
      <c r="AU700" t="n">
        <v>24266.67</v>
      </c>
      <c r="AV700" t="n">
        <v>0</v>
      </c>
      <c r="AW700" t="n">
        <v>0</v>
      </c>
      <c r="AX700" s="39" t="n">
        <v>24266.67</v>
      </c>
      <c r="AY700" s="39" t="n">
        <v>0</v>
      </c>
      <c r="AZ700" s="39" t="n">
        <v>24266.67</v>
      </c>
      <c r="BB700" t="inlineStr">
        <is>
          <t>Crédito Directo</t>
        </is>
      </c>
      <c r="BH700" t="inlineStr">
        <is>
          <t>No</t>
        </is>
      </c>
      <c r="BK700" t="inlineStr">
        <is>
          <t>VENCIDO</t>
        </is>
      </c>
      <c r="BV700" t="inlineStr">
        <is>
          <t>No</t>
        </is>
      </c>
      <c r="BW700" s="76" t="n">
        <v>45898.34652777778</v>
      </c>
      <c r="BX700" t="inlineStr">
        <is>
          <t>Magaly Guevara Perez</t>
        </is>
      </c>
      <c r="BZ700" t="n">
        <v>12</v>
      </c>
      <c r="CB700" t="n">
        <v>0</v>
      </c>
      <c r="CF700" t="inlineStr">
        <is>
          <t>Cobranzas_2026.csv</t>
        </is>
      </c>
      <c r="CG700" t="n">
        <v>2026</v>
      </c>
      <c r="CH700" t="inlineStr">
        <is>
          <t>01/01/2024</t>
        </is>
      </c>
      <c r="CI700" t="inlineStr">
        <is>
          <t>24/08/2031</t>
        </is>
      </c>
    </row>
    <row r="701">
      <c r="A701" t="inlineStr">
        <is>
          <t>RESIDENCIAL VENECIA</t>
        </is>
      </c>
      <c r="B701" t="inlineStr">
        <is>
          <t>Etapa 1</t>
        </is>
      </c>
      <c r="C701" t="inlineStr">
        <is>
          <t>Edificio</t>
        </is>
      </c>
      <c r="D701" t="inlineStr">
        <is>
          <t>A</t>
        </is>
      </c>
      <c r="E701" t="inlineStr">
        <is>
          <t>Departamento</t>
        </is>
      </c>
      <c r="F701" t="inlineStr">
        <is>
          <t>602</t>
        </is>
      </c>
      <c r="G701" t="n">
        <v>83</v>
      </c>
      <c r="H701" t="n">
        <v>0</v>
      </c>
      <c r="I701" s="39" t="n">
        <v>573000</v>
      </c>
      <c r="J701" s="39" t="n">
        <v>573000</v>
      </c>
      <c r="K701" t="inlineStr">
        <is>
          <t>Edificio</t>
        </is>
      </c>
      <c r="L701" t="inlineStr">
        <is>
          <t>A</t>
        </is>
      </c>
      <c r="M701" t="inlineStr">
        <is>
          <t>Estacionamiento</t>
        </is>
      </c>
      <c r="N701" t="inlineStr">
        <is>
          <t>E 24 - D 5</t>
        </is>
      </c>
      <c r="O701" t="n">
        <v>16.28</v>
      </c>
      <c r="P701" t="n">
        <v>0</v>
      </c>
      <c r="Q701" s="39" t="n">
        <v>51000</v>
      </c>
      <c r="R701" s="39" t="n">
        <v>51000</v>
      </c>
      <c r="Y701" s="39" t="n"/>
      <c r="Z701" s="39" t="n"/>
      <c r="AG701" s="39" t="n"/>
      <c r="AH701" s="39" t="n"/>
      <c r="AI701" t="inlineStr">
        <is>
          <t>Rocio Chuquimango Valencia</t>
        </is>
      </c>
      <c r="AJ701" t="inlineStr">
        <is>
          <t>26707781</t>
        </is>
      </c>
      <c r="AK701" t="inlineStr">
        <is>
          <t xml:space="preserve">AV.ATAHUALPA 337.INT 2 </t>
        </is>
      </c>
      <c r="AL701" t="n">
        <v>0</v>
      </c>
      <c r="AM701" t="inlineStr">
        <is>
          <t>976685767</t>
        </is>
      </c>
      <c r="AN701" t="inlineStr">
        <is>
          <t>rocio-0511@hotmail.com</t>
        </is>
      </c>
      <c r="AO701" t="inlineStr">
        <is>
          <t>CAJAMARCA</t>
        </is>
      </c>
      <c r="AP701" t="inlineStr">
        <is>
          <t>CAJAMARCA</t>
        </is>
      </c>
      <c r="AQ701" s="75" t="n">
        <v>46265</v>
      </c>
      <c r="AR701" s="75" t="n"/>
      <c r="AS701" t="inlineStr">
        <is>
          <t>SALDO FINANCIAR</t>
        </is>
      </c>
      <c r="AT701" t="n">
        <v>2</v>
      </c>
      <c r="AU701" t="n">
        <v>24266.67</v>
      </c>
      <c r="AV701" t="n">
        <v>0</v>
      </c>
      <c r="AW701" t="n">
        <v>0</v>
      </c>
      <c r="AX701" s="39" t="n">
        <v>24266.67</v>
      </c>
      <c r="AY701" s="39" t="n">
        <v>0</v>
      </c>
      <c r="AZ701" s="39" t="n">
        <v>24266.67</v>
      </c>
      <c r="BB701" t="inlineStr">
        <is>
          <t>Crédito Directo</t>
        </is>
      </c>
      <c r="BH701" t="inlineStr">
        <is>
          <t>No</t>
        </is>
      </c>
      <c r="BK701" t="inlineStr">
        <is>
          <t>PENDIENTE</t>
        </is>
      </c>
      <c r="BV701" t="inlineStr">
        <is>
          <t>No</t>
        </is>
      </c>
      <c r="BW701" s="76" t="n">
        <v>45898.34652777778</v>
      </c>
      <c r="BX701" t="inlineStr">
        <is>
          <t>Magaly Guevara Perez</t>
        </is>
      </c>
      <c r="BZ701" t="n">
        <v>12</v>
      </c>
      <c r="CB701" t="n">
        <v>0</v>
      </c>
      <c r="CF701" t="inlineStr">
        <is>
          <t>Cobranzas_2026.csv</t>
        </is>
      </c>
      <c r="CG701" t="n">
        <v>2026</v>
      </c>
      <c r="CH701" t="inlineStr">
        <is>
          <t>01/01/2024</t>
        </is>
      </c>
      <c r="CI701" t="inlineStr">
        <is>
          <t>24/08/2031</t>
        </is>
      </c>
    </row>
    <row r="702">
      <c r="A702" t="inlineStr">
        <is>
          <t>RESIDENCIAL VENECIA</t>
        </is>
      </c>
      <c r="B702" t="inlineStr">
        <is>
          <t>Etapa 1</t>
        </is>
      </c>
      <c r="C702" t="inlineStr">
        <is>
          <t>Edificio</t>
        </is>
      </c>
      <c r="D702" t="inlineStr">
        <is>
          <t>A</t>
        </is>
      </c>
      <c r="E702" t="inlineStr">
        <is>
          <t>Departamento</t>
        </is>
      </c>
      <c r="F702" t="inlineStr">
        <is>
          <t>602</t>
        </is>
      </c>
      <c r="G702" t="n">
        <v>83</v>
      </c>
      <c r="H702" t="n">
        <v>0</v>
      </c>
      <c r="I702" s="39" t="n">
        <v>573000</v>
      </c>
      <c r="J702" s="39" t="n">
        <v>573000</v>
      </c>
      <c r="K702" t="inlineStr">
        <is>
          <t>Edificio</t>
        </is>
      </c>
      <c r="L702" t="inlineStr">
        <is>
          <t>A</t>
        </is>
      </c>
      <c r="M702" t="inlineStr">
        <is>
          <t>Estacionamiento</t>
        </is>
      </c>
      <c r="N702" t="inlineStr">
        <is>
          <t>E 24 - D 5</t>
        </is>
      </c>
      <c r="O702" t="n">
        <v>16.28</v>
      </c>
      <c r="P702" t="n">
        <v>0</v>
      </c>
      <c r="Q702" s="39" t="n">
        <v>51000</v>
      </c>
      <c r="R702" s="39" t="n">
        <v>51000</v>
      </c>
      <c r="Y702" s="39" t="n"/>
      <c r="Z702" s="39" t="n"/>
      <c r="AG702" s="39" t="n"/>
      <c r="AH702" s="39" t="n"/>
      <c r="AI702" t="inlineStr">
        <is>
          <t>Rocio Chuquimango Valencia</t>
        </is>
      </c>
      <c r="AJ702" t="inlineStr">
        <is>
          <t>26707781</t>
        </is>
      </c>
      <c r="AK702" t="inlineStr">
        <is>
          <t xml:space="preserve">AV.ATAHUALPA 337.INT 2 </t>
        </is>
      </c>
      <c r="AL702" t="n">
        <v>0</v>
      </c>
      <c r="AM702" t="inlineStr">
        <is>
          <t>976685767</t>
        </is>
      </c>
      <c r="AN702" t="inlineStr">
        <is>
          <t>rocio-0511@hotmail.com</t>
        </is>
      </c>
      <c r="AO702" t="inlineStr">
        <is>
          <t>CAJAMARCA</t>
        </is>
      </c>
      <c r="AP702" t="inlineStr">
        <is>
          <t>CAJAMARCA</t>
        </is>
      </c>
      <c r="AQ702" s="75" t="n">
        <v>46295</v>
      </c>
      <c r="AR702" s="75" t="n"/>
      <c r="AS702" t="inlineStr">
        <is>
          <t>SALDO FINANCIAR</t>
        </is>
      </c>
      <c r="AT702" t="n">
        <v>3</v>
      </c>
      <c r="AU702" t="n">
        <v>24266.67</v>
      </c>
      <c r="AV702" t="n">
        <v>0</v>
      </c>
      <c r="AW702" t="n">
        <v>0</v>
      </c>
      <c r="AX702" s="39" t="n">
        <v>24266.67</v>
      </c>
      <c r="AY702" s="39" t="n">
        <v>0</v>
      </c>
      <c r="AZ702" s="39" t="n">
        <v>24266.67</v>
      </c>
      <c r="BB702" t="inlineStr">
        <is>
          <t>Crédito Directo</t>
        </is>
      </c>
      <c r="BH702" t="inlineStr">
        <is>
          <t>No</t>
        </is>
      </c>
      <c r="BK702" t="inlineStr">
        <is>
          <t>PENDIENTE</t>
        </is>
      </c>
      <c r="BV702" t="inlineStr">
        <is>
          <t>No</t>
        </is>
      </c>
      <c r="BW702" s="76" t="n">
        <v>45898.34652777778</v>
      </c>
      <c r="BX702" t="inlineStr">
        <is>
          <t>Magaly Guevara Perez</t>
        </is>
      </c>
      <c r="BZ702" t="n">
        <v>12</v>
      </c>
      <c r="CB702" t="n">
        <v>0</v>
      </c>
      <c r="CF702" t="inlineStr">
        <is>
          <t>Cobranzas_2026.csv</t>
        </is>
      </c>
      <c r="CG702" t="n">
        <v>2026</v>
      </c>
      <c r="CH702" t="inlineStr">
        <is>
          <t>01/01/2024</t>
        </is>
      </c>
      <c r="CI702" t="inlineStr">
        <is>
          <t>24/08/2031</t>
        </is>
      </c>
    </row>
    <row r="703">
      <c r="A703" t="inlineStr">
        <is>
          <t>RESIDENCIAL VENECIA</t>
        </is>
      </c>
      <c r="B703" t="inlineStr">
        <is>
          <t>Etapa 1</t>
        </is>
      </c>
      <c r="C703" t="inlineStr">
        <is>
          <t>Edificio</t>
        </is>
      </c>
      <c r="D703" t="inlineStr">
        <is>
          <t>A</t>
        </is>
      </c>
      <c r="E703" t="inlineStr">
        <is>
          <t>Departamento</t>
        </is>
      </c>
      <c r="F703" t="inlineStr">
        <is>
          <t>602</t>
        </is>
      </c>
      <c r="G703" t="n">
        <v>83</v>
      </c>
      <c r="H703" t="n">
        <v>0</v>
      </c>
      <c r="I703" s="39" t="n">
        <v>573000</v>
      </c>
      <c r="J703" s="39" t="n">
        <v>573000</v>
      </c>
      <c r="K703" t="inlineStr">
        <is>
          <t>Edificio</t>
        </is>
      </c>
      <c r="L703" t="inlineStr">
        <is>
          <t>A</t>
        </is>
      </c>
      <c r="M703" t="inlineStr">
        <is>
          <t>Estacionamiento</t>
        </is>
      </c>
      <c r="N703" t="inlineStr">
        <is>
          <t>E 24 - D 5</t>
        </is>
      </c>
      <c r="O703" t="n">
        <v>16.28</v>
      </c>
      <c r="P703" t="n">
        <v>0</v>
      </c>
      <c r="Q703" s="39" t="n">
        <v>51000</v>
      </c>
      <c r="R703" s="39" t="n">
        <v>51000</v>
      </c>
      <c r="Y703" s="39" t="n"/>
      <c r="Z703" s="39" t="n"/>
      <c r="AG703" s="39" t="n"/>
      <c r="AH703" s="39" t="n"/>
      <c r="AI703" t="inlineStr">
        <is>
          <t>Rocio Chuquimango Valencia</t>
        </is>
      </c>
      <c r="AJ703" t="inlineStr">
        <is>
          <t>26707781</t>
        </is>
      </c>
      <c r="AK703" t="inlineStr">
        <is>
          <t xml:space="preserve">AV.ATAHUALPA 337.INT 2 </t>
        </is>
      </c>
      <c r="AL703" t="n">
        <v>0</v>
      </c>
      <c r="AM703" t="inlineStr">
        <is>
          <t>976685767</t>
        </is>
      </c>
      <c r="AN703" t="inlineStr">
        <is>
          <t>rocio-0511@hotmail.com</t>
        </is>
      </c>
      <c r="AO703" t="inlineStr">
        <is>
          <t>CAJAMARCA</t>
        </is>
      </c>
      <c r="AP703" t="inlineStr">
        <is>
          <t>CAJAMARCA</t>
        </is>
      </c>
      <c r="AQ703" s="75" t="n">
        <v>46326</v>
      </c>
      <c r="AR703" s="75" t="n"/>
      <c r="AS703" t="inlineStr">
        <is>
          <t>SALDO FINANCIAR</t>
        </is>
      </c>
      <c r="AT703" t="n">
        <v>4</v>
      </c>
      <c r="AU703" t="n">
        <v>24266.67</v>
      </c>
      <c r="AV703" t="n">
        <v>0</v>
      </c>
      <c r="AW703" t="n">
        <v>0</v>
      </c>
      <c r="AX703" s="39" t="n">
        <v>24266.67</v>
      </c>
      <c r="AY703" s="39" t="n">
        <v>0</v>
      </c>
      <c r="AZ703" s="39" t="n">
        <v>24266.67</v>
      </c>
      <c r="BB703" t="inlineStr">
        <is>
          <t>Crédito Directo</t>
        </is>
      </c>
      <c r="BH703" t="inlineStr">
        <is>
          <t>No</t>
        </is>
      </c>
      <c r="BK703" t="inlineStr">
        <is>
          <t>PENDIENTE</t>
        </is>
      </c>
      <c r="BV703" t="inlineStr">
        <is>
          <t>No</t>
        </is>
      </c>
      <c r="BW703" s="76" t="n">
        <v>45898.34652777778</v>
      </c>
      <c r="BX703" t="inlineStr">
        <is>
          <t>Magaly Guevara Perez</t>
        </is>
      </c>
      <c r="BZ703" t="n">
        <v>12</v>
      </c>
      <c r="CB703" t="n">
        <v>0</v>
      </c>
      <c r="CF703" t="inlineStr">
        <is>
          <t>Cobranzas_2026.csv</t>
        </is>
      </c>
      <c r="CG703" t="n">
        <v>2026</v>
      </c>
      <c r="CH703" t="inlineStr">
        <is>
          <t>01/01/2024</t>
        </is>
      </c>
      <c r="CI703" t="inlineStr">
        <is>
          <t>24/08/2031</t>
        </is>
      </c>
    </row>
    <row r="704">
      <c r="A704" t="inlineStr">
        <is>
          <t>RESIDENCIAL VENECIA</t>
        </is>
      </c>
      <c r="B704" t="inlineStr">
        <is>
          <t>Etapa 1</t>
        </is>
      </c>
      <c r="C704" t="inlineStr">
        <is>
          <t>Edificio</t>
        </is>
      </c>
      <c r="D704" t="inlineStr">
        <is>
          <t>A</t>
        </is>
      </c>
      <c r="E704" t="inlineStr">
        <is>
          <t>Departamento</t>
        </is>
      </c>
      <c r="F704" t="inlineStr">
        <is>
          <t>602</t>
        </is>
      </c>
      <c r="G704" t="n">
        <v>83</v>
      </c>
      <c r="H704" t="n">
        <v>0</v>
      </c>
      <c r="I704" s="39" t="n">
        <v>573000</v>
      </c>
      <c r="J704" s="39" t="n">
        <v>573000</v>
      </c>
      <c r="K704" t="inlineStr">
        <is>
          <t>Edificio</t>
        </is>
      </c>
      <c r="L704" t="inlineStr">
        <is>
          <t>A</t>
        </is>
      </c>
      <c r="M704" t="inlineStr">
        <is>
          <t>Estacionamiento</t>
        </is>
      </c>
      <c r="N704" t="inlineStr">
        <is>
          <t>E 24 - D 5</t>
        </is>
      </c>
      <c r="O704" t="n">
        <v>16.28</v>
      </c>
      <c r="P704" t="n">
        <v>0</v>
      </c>
      <c r="Q704" s="39" t="n">
        <v>51000</v>
      </c>
      <c r="R704" s="39" t="n">
        <v>51000</v>
      </c>
      <c r="Y704" s="39" t="n"/>
      <c r="Z704" s="39" t="n"/>
      <c r="AG704" s="39" t="n"/>
      <c r="AH704" s="39" t="n"/>
      <c r="AI704" t="inlineStr">
        <is>
          <t>Rocio Chuquimango Valencia</t>
        </is>
      </c>
      <c r="AJ704" t="inlineStr">
        <is>
          <t>26707781</t>
        </is>
      </c>
      <c r="AK704" t="inlineStr">
        <is>
          <t xml:space="preserve">AV.ATAHUALPA 337.INT 2 </t>
        </is>
      </c>
      <c r="AL704" t="n">
        <v>0</v>
      </c>
      <c r="AM704" t="inlineStr">
        <is>
          <t>976685767</t>
        </is>
      </c>
      <c r="AN704" t="inlineStr">
        <is>
          <t>rocio-0511@hotmail.com</t>
        </is>
      </c>
      <c r="AO704" t="inlineStr">
        <is>
          <t>CAJAMARCA</t>
        </is>
      </c>
      <c r="AP704" t="inlineStr">
        <is>
          <t>CAJAMARCA</t>
        </is>
      </c>
      <c r="AQ704" s="75" t="n">
        <v>46356</v>
      </c>
      <c r="AR704" s="75" t="n"/>
      <c r="AS704" t="inlineStr">
        <is>
          <t>SALDO FINANCIAR</t>
        </is>
      </c>
      <c r="AT704" t="n">
        <v>5</v>
      </c>
      <c r="AU704" t="n">
        <v>24266.67</v>
      </c>
      <c r="AV704" t="n">
        <v>0</v>
      </c>
      <c r="AW704" t="n">
        <v>0</v>
      </c>
      <c r="AX704" s="39" t="n">
        <v>24266.67</v>
      </c>
      <c r="AY704" s="39" t="n">
        <v>0</v>
      </c>
      <c r="AZ704" s="39" t="n">
        <v>24266.67</v>
      </c>
      <c r="BB704" t="inlineStr">
        <is>
          <t>Crédito Directo</t>
        </is>
      </c>
      <c r="BH704" t="inlineStr">
        <is>
          <t>No</t>
        </is>
      </c>
      <c r="BK704" t="inlineStr">
        <is>
          <t>PENDIENTE</t>
        </is>
      </c>
      <c r="BV704" t="inlineStr">
        <is>
          <t>No</t>
        </is>
      </c>
      <c r="BW704" s="76" t="n">
        <v>45898.34652777778</v>
      </c>
      <c r="BX704" t="inlineStr">
        <is>
          <t>Magaly Guevara Perez</t>
        </is>
      </c>
      <c r="BZ704" t="n">
        <v>12</v>
      </c>
      <c r="CB704" t="n">
        <v>0</v>
      </c>
      <c r="CF704" t="inlineStr">
        <is>
          <t>Cobranzas_2026.csv</t>
        </is>
      </c>
      <c r="CG704" t="n">
        <v>2026</v>
      </c>
      <c r="CH704" t="inlineStr">
        <is>
          <t>01/01/2024</t>
        </is>
      </c>
      <c r="CI704" t="inlineStr">
        <is>
          <t>24/08/2031</t>
        </is>
      </c>
    </row>
    <row r="705">
      <c r="A705" t="inlineStr">
        <is>
          <t>RESIDENCIAL VENECIA</t>
        </is>
      </c>
      <c r="B705" t="inlineStr">
        <is>
          <t>Etapa 1</t>
        </is>
      </c>
      <c r="C705" t="inlineStr">
        <is>
          <t>Edificio</t>
        </is>
      </c>
      <c r="D705" t="inlineStr">
        <is>
          <t>A</t>
        </is>
      </c>
      <c r="E705" t="inlineStr">
        <is>
          <t>Departamento</t>
        </is>
      </c>
      <c r="F705" t="inlineStr">
        <is>
          <t>602</t>
        </is>
      </c>
      <c r="G705" t="n">
        <v>83</v>
      </c>
      <c r="H705" t="n">
        <v>0</v>
      </c>
      <c r="I705" s="39" t="n">
        <v>573000</v>
      </c>
      <c r="J705" s="39" t="n">
        <v>573000</v>
      </c>
      <c r="K705" t="inlineStr">
        <is>
          <t>Edificio</t>
        </is>
      </c>
      <c r="L705" t="inlineStr">
        <is>
          <t>A</t>
        </is>
      </c>
      <c r="M705" t="inlineStr">
        <is>
          <t>Estacionamiento</t>
        </is>
      </c>
      <c r="N705" t="inlineStr">
        <is>
          <t>E 24 - D 5</t>
        </is>
      </c>
      <c r="O705" t="n">
        <v>16.28</v>
      </c>
      <c r="P705" t="n">
        <v>0</v>
      </c>
      <c r="Q705" s="39" t="n">
        <v>51000</v>
      </c>
      <c r="R705" s="39" t="n">
        <v>51000</v>
      </c>
      <c r="Y705" s="39" t="n"/>
      <c r="Z705" s="39" t="n"/>
      <c r="AG705" s="39" t="n"/>
      <c r="AH705" s="39" t="n"/>
      <c r="AI705" t="inlineStr">
        <is>
          <t>Rocio Chuquimango Valencia</t>
        </is>
      </c>
      <c r="AJ705" t="inlineStr">
        <is>
          <t>26707781</t>
        </is>
      </c>
      <c r="AK705" t="inlineStr">
        <is>
          <t xml:space="preserve">AV.ATAHUALPA 337.INT 2 </t>
        </is>
      </c>
      <c r="AL705" t="n">
        <v>0</v>
      </c>
      <c r="AM705" t="inlineStr">
        <is>
          <t>976685767</t>
        </is>
      </c>
      <c r="AN705" t="inlineStr">
        <is>
          <t>rocio-0511@hotmail.com</t>
        </is>
      </c>
      <c r="AO705" t="inlineStr">
        <is>
          <t>CAJAMARCA</t>
        </is>
      </c>
      <c r="AP705" t="inlineStr">
        <is>
          <t>CAJAMARCA</t>
        </is>
      </c>
      <c r="AQ705" s="75" t="n">
        <v>46387</v>
      </c>
      <c r="AR705" s="75" t="n"/>
      <c r="AS705" t="inlineStr">
        <is>
          <t>SALDO FINANCIAR</t>
        </is>
      </c>
      <c r="AT705" t="n">
        <v>6</v>
      </c>
      <c r="AU705" t="n">
        <v>24266.67</v>
      </c>
      <c r="AV705" t="n">
        <v>0</v>
      </c>
      <c r="AW705" t="n">
        <v>0</v>
      </c>
      <c r="AX705" s="39" t="n">
        <v>24266.67</v>
      </c>
      <c r="AY705" s="39" t="n">
        <v>0</v>
      </c>
      <c r="AZ705" s="39" t="n">
        <v>24266.67</v>
      </c>
      <c r="BB705" t="inlineStr">
        <is>
          <t>Crédito Directo</t>
        </is>
      </c>
      <c r="BH705" t="inlineStr">
        <is>
          <t>No</t>
        </is>
      </c>
      <c r="BK705" t="inlineStr">
        <is>
          <t>PENDIENTE</t>
        </is>
      </c>
      <c r="BV705" t="inlineStr">
        <is>
          <t>No</t>
        </is>
      </c>
      <c r="BW705" s="76" t="n">
        <v>45898.34652777778</v>
      </c>
      <c r="BX705" t="inlineStr">
        <is>
          <t>Magaly Guevara Perez</t>
        </is>
      </c>
      <c r="BZ705" t="n">
        <v>12</v>
      </c>
      <c r="CB705" t="n">
        <v>0</v>
      </c>
      <c r="CF705" t="inlineStr">
        <is>
          <t>Cobranzas_2026.csv</t>
        </is>
      </c>
      <c r="CG705" t="n">
        <v>2026</v>
      </c>
      <c r="CH705" t="inlineStr">
        <is>
          <t>01/01/2024</t>
        </is>
      </c>
      <c r="CI705" t="inlineStr">
        <is>
          <t>24/08/2031</t>
        </is>
      </c>
    </row>
    <row r="706">
      <c r="A706" t="inlineStr">
        <is>
          <t>RESIDENCIAL BEYOND</t>
        </is>
      </c>
      <c r="B706" t="inlineStr">
        <is>
          <t>Etapa 1</t>
        </is>
      </c>
      <c r="C706" t="inlineStr">
        <is>
          <t>Edificio</t>
        </is>
      </c>
      <c r="D706" t="inlineStr">
        <is>
          <t>A</t>
        </is>
      </c>
      <c r="E706" t="inlineStr">
        <is>
          <t>Departamento</t>
        </is>
      </c>
      <c r="F706" t="inlineStr">
        <is>
          <t>905</t>
        </is>
      </c>
      <c r="G706" t="n">
        <v>72</v>
      </c>
      <c r="H706" t="n">
        <v>0</v>
      </c>
      <c r="I706" s="39" t="n">
        <v>532100</v>
      </c>
      <c r="J706" s="39" t="n">
        <v>510000</v>
      </c>
      <c r="Q706" s="39" t="n"/>
      <c r="R706" s="39" t="n"/>
      <c r="Y706" s="39" t="n"/>
      <c r="Z706" s="39" t="n"/>
      <c r="AG706" s="39" t="n"/>
      <c r="AH706" s="39" t="n"/>
      <c r="AI706" t="inlineStr">
        <is>
          <t>Rocio del Pilar Quispe Vivanco</t>
        </is>
      </c>
      <c r="AJ706" t="inlineStr">
        <is>
          <t>46571077</t>
        </is>
      </c>
      <c r="AK706" t="inlineStr">
        <is>
          <t>Calle 49 MZ UU2 Lt.14 Urb. La Floresta</t>
        </is>
      </c>
      <c r="AL706" t="n">
        <v>0</v>
      </c>
      <c r="AM706" t="inlineStr">
        <is>
          <t>942198649</t>
        </is>
      </c>
      <c r="AN706" t="inlineStr">
        <is>
          <t>chio22011@hotmail.com</t>
        </is>
      </c>
      <c r="AO706" t="inlineStr">
        <is>
          <t>LIMA</t>
        </is>
      </c>
      <c r="AP706" t="inlineStr">
        <is>
          <t>LOS OLIVOS</t>
        </is>
      </c>
      <c r="AQ706" s="75" t="n">
        <v>46166</v>
      </c>
      <c r="AR706" s="75" t="n">
        <v>46166</v>
      </c>
      <c r="AS706" t="inlineStr">
        <is>
          <t>SEPARACION</t>
        </is>
      </c>
      <c r="AT706" t="n">
        <v>1</v>
      </c>
      <c r="AU706" t="n">
        <v>3000</v>
      </c>
      <c r="AV706" t="n">
        <v>0</v>
      </c>
      <c r="AW706" t="n">
        <v>0</v>
      </c>
      <c r="AX706" s="39" t="n">
        <v>3000</v>
      </c>
      <c r="AY706" s="39" t="n">
        <v>3000</v>
      </c>
      <c r="AZ706" s="39" t="n">
        <v>0</v>
      </c>
      <c r="BA706" t="n">
        <v>0</v>
      </c>
      <c r="BB706" t="inlineStr">
        <is>
          <t>Ahorro</t>
        </is>
      </c>
      <c r="BC706" t="inlineStr">
        <is>
          <t>Banco de Credito del Perú</t>
        </is>
      </c>
      <c r="BD706" t="inlineStr">
        <is>
          <t>002-19400732577906596</t>
        </is>
      </c>
      <c r="BE706" t="inlineStr">
        <is>
          <t>TRANSFERENCIA BANCARIA</t>
        </is>
      </c>
      <c r="BG706" t="inlineStr">
        <is>
          <t>4926</t>
        </is>
      </c>
      <c r="BH706" t="inlineStr">
        <is>
          <t>No</t>
        </is>
      </c>
      <c r="BJ706" t="n">
        <v>4</v>
      </c>
      <c r="BK706" t="inlineStr">
        <is>
          <t>CANCELADO</t>
        </is>
      </c>
      <c r="BV706" t="inlineStr">
        <is>
          <t>Si</t>
        </is>
      </c>
      <c r="BW706" s="76" t="n">
        <v>46174.33611111111</v>
      </c>
      <c r="BX706" t="inlineStr">
        <is>
          <t>Carla Michue M</t>
        </is>
      </c>
      <c r="BZ706" t="n">
        <v>43</v>
      </c>
      <c r="CA706" t="inlineStr">
        <is>
          <t>28/05/2026 15:37</t>
        </is>
      </c>
      <c r="CB706" t="n">
        <v>0</v>
      </c>
      <c r="CF706" t="inlineStr">
        <is>
          <t>Cobranzas_2026.csv</t>
        </is>
      </c>
      <c r="CG706" t="n">
        <v>2026</v>
      </c>
      <c r="CH706" t="inlineStr">
        <is>
          <t>01/01/2024</t>
        </is>
      </c>
      <c r="CI706" t="inlineStr">
        <is>
          <t>24/08/2031</t>
        </is>
      </c>
    </row>
    <row r="707">
      <c r="A707" t="inlineStr">
        <is>
          <t>RESIDENCIAL BEYOND</t>
        </is>
      </c>
      <c r="B707" t="inlineStr">
        <is>
          <t>Etapa 1</t>
        </is>
      </c>
      <c r="C707" t="inlineStr">
        <is>
          <t>Edificio</t>
        </is>
      </c>
      <c r="D707" t="inlineStr">
        <is>
          <t>A</t>
        </is>
      </c>
      <c r="E707" t="inlineStr">
        <is>
          <t>Departamento</t>
        </is>
      </c>
      <c r="F707" t="inlineStr">
        <is>
          <t>905</t>
        </is>
      </c>
      <c r="G707" t="n">
        <v>72</v>
      </c>
      <c r="H707" t="n">
        <v>0</v>
      </c>
      <c r="I707" s="39" t="n">
        <v>532100</v>
      </c>
      <c r="J707" s="39" t="n">
        <v>510000</v>
      </c>
      <c r="Q707" s="39" t="n"/>
      <c r="R707" s="39" t="n"/>
      <c r="Y707" s="39" t="n"/>
      <c r="Z707" s="39" t="n"/>
      <c r="AG707" s="39" t="n"/>
      <c r="AH707" s="39" t="n"/>
      <c r="AI707" t="inlineStr">
        <is>
          <t>Rocio del Pilar Quispe Vivanco</t>
        </is>
      </c>
      <c r="AJ707" t="inlineStr">
        <is>
          <t>46571077</t>
        </is>
      </c>
      <c r="AK707" t="inlineStr">
        <is>
          <t>Calle 49 MZ UU2 Lt.14 Urb. La Floresta</t>
        </is>
      </c>
      <c r="AL707" t="n">
        <v>0</v>
      </c>
      <c r="AM707" t="inlineStr">
        <is>
          <t>942198649</t>
        </is>
      </c>
      <c r="AN707" t="inlineStr">
        <is>
          <t>chio22011@hotmail.com</t>
        </is>
      </c>
      <c r="AO707" t="inlineStr">
        <is>
          <t>LIMA</t>
        </is>
      </c>
      <c r="AP707" t="inlineStr">
        <is>
          <t>LOS OLIVOS</t>
        </is>
      </c>
      <c r="AQ707" s="75" t="n">
        <v>46188</v>
      </c>
      <c r="AR707" s="75" t="n">
        <v>46174</v>
      </c>
      <c r="AS707" t="inlineStr">
        <is>
          <t>CUOTA INICIAL</t>
        </is>
      </c>
      <c r="AT707" t="n">
        <v>1</v>
      </c>
      <c r="AU707" t="n">
        <v>57000</v>
      </c>
      <c r="AV707" t="n">
        <v>0</v>
      </c>
      <c r="AW707" t="n">
        <v>0</v>
      </c>
      <c r="AX707" s="39" t="n">
        <v>57000</v>
      </c>
      <c r="AY707" s="39" t="n">
        <v>57000</v>
      </c>
      <c r="AZ707" s="39" t="n">
        <v>0</v>
      </c>
      <c r="BA707" t="n">
        <v>0</v>
      </c>
      <c r="BB707" t="inlineStr">
        <is>
          <t>Ahorro</t>
        </is>
      </c>
      <c r="BC707" t="inlineStr">
        <is>
          <t>Banco de Credito del Perú</t>
        </is>
      </c>
      <c r="BD707" t="inlineStr">
        <is>
          <t>194-7325779-0-65</t>
        </is>
      </c>
      <c r="BE707" t="inlineStr">
        <is>
          <t>TRANSFERENCIA BANCARIA</t>
        </is>
      </c>
      <c r="BG707" t="inlineStr">
        <is>
          <t>0835217</t>
        </is>
      </c>
      <c r="BH707" t="inlineStr">
        <is>
          <t>No</t>
        </is>
      </c>
      <c r="BJ707" t="n">
        <v>4</v>
      </c>
      <c r="BK707" t="inlineStr">
        <is>
          <t>CANCELADO</t>
        </is>
      </c>
      <c r="BV707" t="inlineStr">
        <is>
          <t>Si</t>
        </is>
      </c>
      <c r="BW707" s="76" t="n">
        <v>46174.33611111111</v>
      </c>
      <c r="BX707" t="inlineStr">
        <is>
          <t>Carla Michue M</t>
        </is>
      </c>
      <c r="BZ707" t="n">
        <v>43</v>
      </c>
      <c r="CA707" t="inlineStr">
        <is>
          <t>17/08/2026 13:50</t>
        </is>
      </c>
      <c r="CB707" t="n">
        <v>0</v>
      </c>
      <c r="CF707" t="inlineStr">
        <is>
          <t>Cobranzas_2026.csv</t>
        </is>
      </c>
      <c r="CG707" t="n">
        <v>2026</v>
      </c>
      <c r="CH707" t="inlineStr">
        <is>
          <t>01/01/2024</t>
        </is>
      </c>
      <c r="CI707" t="inlineStr">
        <is>
          <t>24/08/2031</t>
        </is>
      </c>
    </row>
    <row r="708">
      <c r="A708" t="inlineStr">
        <is>
          <t>RESIDENCIAL BEYOND</t>
        </is>
      </c>
      <c r="B708" t="inlineStr">
        <is>
          <t>Etapa 1</t>
        </is>
      </c>
      <c r="C708" t="inlineStr">
        <is>
          <t>Edificio</t>
        </is>
      </c>
      <c r="D708" t="inlineStr">
        <is>
          <t>A</t>
        </is>
      </c>
      <c r="E708" t="inlineStr">
        <is>
          <t>Departamento</t>
        </is>
      </c>
      <c r="F708" t="inlineStr">
        <is>
          <t>905</t>
        </is>
      </c>
      <c r="G708" t="n">
        <v>72</v>
      </c>
      <c r="H708" t="n">
        <v>0</v>
      </c>
      <c r="I708" s="39" t="n">
        <v>532100</v>
      </c>
      <c r="J708" s="39" t="n">
        <v>510000</v>
      </c>
      <c r="Q708" s="39" t="n"/>
      <c r="R708" s="39" t="n"/>
      <c r="Y708" s="39" t="n"/>
      <c r="Z708" s="39" t="n"/>
      <c r="AG708" s="39" t="n"/>
      <c r="AH708" s="39" t="n"/>
      <c r="AI708" t="inlineStr">
        <is>
          <t>Rocio del Pilar Quispe Vivanco</t>
        </is>
      </c>
      <c r="AJ708" t="inlineStr">
        <is>
          <t>46571077</t>
        </is>
      </c>
      <c r="AK708" t="inlineStr">
        <is>
          <t>Calle 49 MZ UU2 Lt.14 Urb. La Floresta</t>
        </is>
      </c>
      <c r="AL708" t="n">
        <v>0</v>
      </c>
      <c r="AM708" t="inlineStr">
        <is>
          <t>942198649</t>
        </is>
      </c>
      <c r="AN708" t="inlineStr">
        <is>
          <t>chio22011@hotmail.com</t>
        </is>
      </c>
      <c r="AO708" t="inlineStr">
        <is>
          <t>LIMA</t>
        </is>
      </c>
      <c r="AP708" t="inlineStr">
        <is>
          <t>LOS OLIVOS</t>
        </is>
      </c>
      <c r="AQ708" s="75" t="n">
        <v>46356</v>
      </c>
      <c r="AR708" s="75" t="n"/>
      <c r="AS708" t="inlineStr">
        <is>
          <t>CUOTA INICIAL</t>
        </is>
      </c>
      <c r="AT708" t="n">
        <v>2</v>
      </c>
      <c r="AU708" t="n">
        <v>42000</v>
      </c>
      <c r="AV708" t="n">
        <v>0</v>
      </c>
      <c r="AW708" t="n">
        <v>0</v>
      </c>
      <c r="AX708" s="39" t="n">
        <v>42000</v>
      </c>
      <c r="AY708" s="39" t="n">
        <v>0</v>
      </c>
      <c r="AZ708" s="39" t="n">
        <v>42000</v>
      </c>
      <c r="BB708" t="inlineStr">
        <is>
          <t>Ahorro</t>
        </is>
      </c>
      <c r="BH708" t="inlineStr">
        <is>
          <t>No</t>
        </is>
      </c>
      <c r="BK708" t="inlineStr">
        <is>
          <t>PENDIENTE</t>
        </is>
      </c>
      <c r="BV708" t="inlineStr">
        <is>
          <t>No</t>
        </is>
      </c>
      <c r="BW708" s="76" t="n">
        <v>46174.33611111111</v>
      </c>
      <c r="BX708" t="inlineStr">
        <is>
          <t>Carla Michue M</t>
        </is>
      </c>
      <c r="BZ708" t="n">
        <v>43</v>
      </c>
      <c r="CB708" t="n">
        <v>0</v>
      </c>
      <c r="CF708" t="inlineStr">
        <is>
          <t>Cobranzas_2026.csv</t>
        </is>
      </c>
      <c r="CG708" t="n">
        <v>2026</v>
      </c>
      <c r="CH708" t="inlineStr">
        <is>
          <t>01/01/2024</t>
        </is>
      </c>
      <c r="CI708" t="inlineStr">
        <is>
          <t>24/08/2031</t>
        </is>
      </c>
    </row>
    <row r="709">
      <c r="A709" t="inlineStr">
        <is>
          <t>RESIDENCIAL PRADA</t>
        </is>
      </c>
      <c r="B709" t="inlineStr">
        <is>
          <t>Etapa 1</t>
        </is>
      </c>
      <c r="C709" t="inlineStr">
        <is>
          <t>Edificio</t>
        </is>
      </c>
      <c r="D709" t="inlineStr">
        <is>
          <t>A</t>
        </is>
      </c>
      <c r="E709" t="inlineStr">
        <is>
          <t>Departamento</t>
        </is>
      </c>
      <c r="F709" t="inlineStr">
        <is>
          <t>402</t>
        </is>
      </c>
      <c r="G709" t="n">
        <v>56</v>
      </c>
      <c r="H709" t="n">
        <v>0</v>
      </c>
      <c r="I709" s="39" t="n">
        <v>517000</v>
      </c>
      <c r="J709" s="39" t="n">
        <v>457600</v>
      </c>
      <c r="K709" t="inlineStr">
        <is>
          <t>Edificio</t>
        </is>
      </c>
      <c r="L709" t="inlineStr">
        <is>
          <t>A</t>
        </is>
      </c>
      <c r="M709" t="inlineStr">
        <is>
          <t>Estacionamiento</t>
        </is>
      </c>
      <c r="N709" t="inlineStr">
        <is>
          <t>E 46 - D 35</t>
        </is>
      </c>
      <c r="O709" t="n">
        <v>13.5</v>
      </c>
      <c r="P709" t="n">
        <v>1.86</v>
      </c>
      <c r="Q709" s="39" t="n">
        <v>54400</v>
      </c>
      <c r="R709" s="39" t="n">
        <v>54400</v>
      </c>
      <c r="Y709" s="39" t="n"/>
      <c r="Z709" s="39" t="n"/>
      <c r="AG709" s="39" t="n"/>
      <c r="AH709" s="39" t="n"/>
      <c r="AI709" t="inlineStr">
        <is>
          <t>RODRIGO SANDRO CARDENAS BULLON</t>
        </is>
      </c>
      <c r="AJ709" t="inlineStr">
        <is>
          <t>72200919</t>
        </is>
      </c>
      <c r="AK709" t="inlineStr">
        <is>
          <t>CALLE LOS NEGOCIOS 280 BLOCK 3 DPTO A401</t>
        </is>
      </c>
      <c r="AL709" t="n">
        <v>0</v>
      </c>
      <c r="AM709" t="inlineStr">
        <is>
          <t>944456394</t>
        </is>
      </c>
      <c r="AN709" t="inlineStr">
        <is>
          <t>rodrigo.cardenas.bullon@gmail.com</t>
        </is>
      </c>
      <c r="AO709" t="inlineStr">
        <is>
          <t>LIMA</t>
        </is>
      </c>
      <c r="AP709" t="inlineStr">
        <is>
          <t>SURQUILLO</t>
        </is>
      </c>
      <c r="AQ709" s="75" t="n">
        <v>46159</v>
      </c>
      <c r="AR709" s="75" t="n">
        <v>46159</v>
      </c>
      <c r="AS709" t="inlineStr">
        <is>
          <t>SEPARACION</t>
        </is>
      </c>
      <c r="AT709" t="n">
        <v>1</v>
      </c>
      <c r="AU709" t="n">
        <v>3000</v>
      </c>
      <c r="AV709" t="n">
        <v>0</v>
      </c>
      <c r="AW709" t="n">
        <v>0</v>
      </c>
      <c r="AX709" s="39" t="n">
        <v>3000</v>
      </c>
      <c r="AY709" s="39" t="n">
        <v>3000</v>
      </c>
      <c r="AZ709" s="39" t="n">
        <v>0</v>
      </c>
      <c r="BA709" t="n">
        <v>0</v>
      </c>
      <c r="BB709" t="inlineStr">
        <is>
          <t>Ahorro</t>
        </is>
      </c>
      <c r="BC709" t="inlineStr">
        <is>
          <t>Scotiabank Perú</t>
        </is>
      </c>
      <c r="BD709" t="inlineStr">
        <is>
          <t>000-2768484</t>
        </is>
      </c>
      <c r="BE709" t="inlineStr">
        <is>
          <t>POS VISA</t>
        </is>
      </c>
      <c r="BF709" t="inlineStr">
        <is>
          <t>72200919</t>
        </is>
      </c>
      <c r="BG709" t="inlineStr">
        <is>
          <t>0123</t>
        </is>
      </c>
      <c r="BH709" t="inlineStr">
        <is>
          <t>No</t>
        </is>
      </c>
      <c r="BI709" t="inlineStr">
        <is>
          <t>NO PRECISA</t>
        </is>
      </c>
      <c r="BJ709" t="n">
        <v>4</v>
      </c>
      <c r="BK709" t="inlineStr">
        <is>
          <t>CANCELADO</t>
        </is>
      </c>
      <c r="BV709" t="inlineStr">
        <is>
          <t>Si</t>
        </is>
      </c>
      <c r="BW709" s="76" t="n">
        <v>46165.68263888889</v>
      </c>
      <c r="BX709" t="inlineStr">
        <is>
          <t>Magaly Guevara Perez</t>
        </is>
      </c>
      <c r="BZ709" t="n">
        <v>27</v>
      </c>
      <c r="CA709" t="inlineStr">
        <is>
          <t>18/05/2026 16:40</t>
        </is>
      </c>
      <c r="CB709" t="n">
        <v>0</v>
      </c>
      <c r="CF709" t="inlineStr">
        <is>
          <t>Cobranzas_2026.csv</t>
        </is>
      </c>
      <c r="CG709" t="n">
        <v>2026</v>
      </c>
      <c r="CH709" t="inlineStr">
        <is>
          <t>01/01/2024</t>
        </is>
      </c>
      <c r="CI709" t="inlineStr">
        <is>
          <t>24/08/2031</t>
        </is>
      </c>
    </row>
    <row r="710">
      <c r="A710" t="inlineStr">
        <is>
          <t>RESIDENCIAL PRADA</t>
        </is>
      </c>
      <c r="B710" t="inlineStr">
        <is>
          <t>Etapa 1</t>
        </is>
      </c>
      <c r="C710" t="inlineStr">
        <is>
          <t>Edificio</t>
        </is>
      </c>
      <c r="D710" t="inlineStr">
        <is>
          <t>A</t>
        </is>
      </c>
      <c r="E710" t="inlineStr">
        <is>
          <t>Departamento</t>
        </is>
      </c>
      <c r="F710" t="inlineStr">
        <is>
          <t>402</t>
        </is>
      </c>
      <c r="G710" t="n">
        <v>56</v>
      </c>
      <c r="H710" t="n">
        <v>0</v>
      </c>
      <c r="I710" s="39" t="n">
        <v>517000</v>
      </c>
      <c r="J710" s="39" t="n">
        <v>457600</v>
      </c>
      <c r="K710" t="inlineStr">
        <is>
          <t>Edificio</t>
        </is>
      </c>
      <c r="L710" t="inlineStr">
        <is>
          <t>A</t>
        </is>
      </c>
      <c r="M710" t="inlineStr">
        <is>
          <t>Estacionamiento</t>
        </is>
      </c>
      <c r="N710" t="inlineStr">
        <is>
          <t>E 46 - D 35</t>
        </is>
      </c>
      <c r="O710" t="n">
        <v>13.5</v>
      </c>
      <c r="P710" t="n">
        <v>1.86</v>
      </c>
      <c r="Q710" s="39" t="n">
        <v>54400</v>
      </c>
      <c r="R710" s="39" t="n">
        <v>54400</v>
      </c>
      <c r="Y710" s="39" t="n"/>
      <c r="Z710" s="39" t="n"/>
      <c r="AG710" s="39" t="n"/>
      <c r="AH710" s="39" t="n"/>
      <c r="AI710" t="inlineStr">
        <is>
          <t>RODRIGO SANDRO CARDENAS BULLON</t>
        </is>
      </c>
      <c r="AJ710" t="inlineStr">
        <is>
          <t>72200919</t>
        </is>
      </c>
      <c r="AK710" t="inlineStr">
        <is>
          <t>CALLE LOS NEGOCIOS 280 BLOCK 3 DPTO A401</t>
        </is>
      </c>
      <c r="AL710" t="n">
        <v>0</v>
      </c>
      <c r="AM710" t="inlineStr">
        <is>
          <t>944456394</t>
        </is>
      </c>
      <c r="AN710" t="inlineStr">
        <is>
          <t>rodrigo.cardenas.bullon@gmail.com</t>
        </is>
      </c>
      <c r="AO710" t="inlineStr">
        <is>
          <t>LIMA</t>
        </is>
      </c>
      <c r="AP710" t="inlineStr">
        <is>
          <t>SURQUILLO</t>
        </is>
      </c>
      <c r="AQ710" s="75" t="n">
        <v>46165</v>
      </c>
      <c r="AR710" s="75" t="n">
        <v>46165</v>
      </c>
      <c r="AS710" t="inlineStr">
        <is>
          <t>CUOTA INICIAL</t>
        </is>
      </c>
      <c r="AT710" t="n">
        <v>1</v>
      </c>
      <c r="AU710" t="n">
        <v>22600</v>
      </c>
      <c r="AV710" t="n">
        <v>0</v>
      </c>
      <c r="AW710" t="n">
        <v>0</v>
      </c>
      <c r="AX710" s="39" t="n">
        <v>22600</v>
      </c>
      <c r="AY710" s="39" t="n">
        <v>22600</v>
      </c>
      <c r="AZ710" s="39" t="n">
        <v>0</v>
      </c>
      <c r="BA710" t="n">
        <v>0</v>
      </c>
      <c r="BB710" t="inlineStr">
        <is>
          <t>Ahorro</t>
        </is>
      </c>
      <c r="BC710" t="inlineStr">
        <is>
          <t>Scotiabank Perú</t>
        </is>
      </c>
      <c r="BD710" t="inlineStr">
        <is>
          <t>000-2768484</t>
        </is>
      </c>
      <c r="BE710" t="inlineStr">
        <is>
          <t>TRANSFERENCIA BANCARIA</t>
        </is>
      </c>
      <c r="BG710" t="inlineStr">
        <is>
          <t>P046133</t>
        </is>
      </c>
      <c r="BH710" t="inlineStr">
        <is>
          <t>No</t>
        </is>
      </c>
      <c r="BJ710" t="n">
        <v>4</v>
      </c>
      <c r="BK710" t="inlineStr">
        <is>
          <t>CANCELADO</t>
        </is>
      </c>
      <c r="BV710" t="inlineStr">
        <is>
          <t>Si</t>
        </is>
      </c>
      <c r="BW710" s="76" t="n">
        <v>46165.68263888889</v>
      </c>
      <c r="BX710" t="inlineStr">
        <is>
          <t>Magaly Guevara Perez</t>
        </is>
      </c>
      <c r="BZ710" t="n">
        <v>27</v>
      </c>
      <c r="CA710" t="inlineStr">
        <is>
          <t>23/06/2026 15:54</t>
        </is>
      </c>
      <c r="CB710" t="n">
        <v>0</v>
      </c>
      <c r="CF710" t="inlineStr">
        <is>
          <t>Cobranzas_2026.csv</t>
        </is>
      </c>
      <c r="CG710" t="n">
        <v>2026</v>
      </c>
      <c r="CH710" t="inlineStr">
        <is>
          <t>01/01/2024</t>
        </is>
      </c>
      <c r="CI710" t="inlineStr">
        <is>
          <t>24/08/2031</t>
        </is>
      </c>
    </row>
    <row r="711">
      <c r="A711" t="inlineStr">
        <is>
          <t>RESIDENCIAL PRADA</t>
        </is>
      </c>
      <c r="B711" t="inlineStr">
        <is>
          <t>Etapa 1</t>
        </is>
      </c>
      <c r="C711" t="inlineStr">
        <is>
          <t>Edificio</t>
        </is>
      </c>
      <c r="D711" t="inlineStr">
        <is>
          <t>A</t>
        </is>
      </c>
      <c r="E711" t="inlineStr">
        <is>
          <t>Departamento</t>
        </is>
      </c>
      <c r="F711" t="inlineStr">
        <is>
          <t>402</t>
        </is>
      </c>
      <c r="G711" t="n">
        <v>56</v>
      </c>
      <c r="H711" t="n">
        <v>0</v>
      </c>
      <c r="I711" s="39" t="n">
        <v>517000</v>
      </c>
      <c r="J711" s="39" t="n">
        <v>457600</v>
      </c>
      <c r="K711" t="inlineStr">
        <is>
          <t>Edificio</t>
        </is>
      </c>
      <c r="L711" t="inlineStr">
        <is>
          <t>A</t>
        </is>
      </c>
      <c r="M711" t="inlineStr">
        <is>
          <t>Estacionamiento</t>
        </is>
      </c>
      <c r="N711" t="inlineStr">
        <is>
          <t>E 46 - D 35</t>
        </is>
      </c>
      <c r="O711" t="n">
        <v>13.5</v>
      </c>
      <c r="P711" t="n">
        <v>1.86</v>
      </c>
      <c r="Q711" s="39" t="n">
        <v>54400</v>
      </c>
      <c r="R711" s="39" t="n">
        <v>54400</v>
      </c>
      <c r="Y711" s="39" t="n"/>
      <c r="Z711" s="39" t="n"/>
      <c r="AG711" s="39" t="n"/>
      <c r="AH711" s="39" t="n"/>
      <c r="AI711" t="inlineStr">
        <is>
          <t>RODRIGO SANDRO CARDENAS BULLON</t>
        </is>
      </c>
      <c r="AJ711" t="inlineStr">
        <is>
          <t>72200919</t>
        </is>
      </c>
      <c r="AK711" t="inlineStr">
        <is>
          <t>CALLE LOS NEGOCIOS 280 BLOCK 3 DPTO A401</t>
        </is>
      </c>
      <c r="AL711" t="n">
        <v>0</v>
      </c>
      <c r="AM711" t="inlineStr">
        <is>
          <t>944456394</t>
        </is>
      </c>
      <c r="AN711" t="inlineStr">
        <is>
          <t>rodrigo.cardenas.bullon@gmail.com</t>
        </is>
      </c>
      <c r="AO711" t="inlineStr">
        <is>
          <t>LIMA</t>
        </is>
      </c>
      <c r="AP711" t="inlineStr">
        <is>
          <t>SURQUILLO</t>
        </is>
      </c>
      <c r="AQ711" s="75" t="n">
        <v>46264</v>
      </c>
      <c r="AR711" s="75" t="n"/>
      <c r="AS711" t="inlineStr">
        <is>
          <t>AHORRO CASA</t>
        </is>
      </c>
      <c r="AT711" t="n">
        <v>2</v>
      </c>
      <c r="AU711" t="n">
        <v>25600</v>
      </c>
      <c r="AV711" t="n">
        <v>0</v>
      </c>
      <c r="AW711" t="n">
        <v>0</v>
      </c>
      <c r="AX711" s="39" t="n">
        <v>25600</v>
      </c>
      <c r="AY711" s="39" t="n">
        <v>0</v>
      </c>
      <c r="AZ711" s="39" t="n">
        <v>25600</v>
      </c>
      <c r="BB711" t="inlineStr">
        <is>
          <t>Ahorro</t>
        </is>
      </c>
      <c r="BH711" t="inlineStr">
        <is>
          <t>No</t>
        </is>
      </c>
      <c r="BK711" t="inlineStr">
        <is>
          <t>PENDIENTE</t>
        </is>
      </c>
      <c r="BV711" t="inlineStr">
        <is>
          <t>No</t>
        </is>
      </c>
      <c r="BW711" s="76" t="n">
        <v>46165.68263888889</v>
      </c>
      <c r="BX711" t="inlineStr">
        <is>
          <t>Magaly Guevara Perez</t>
        </is>
      </c>
      <c r="BZ711" t="n">
        <v>27</v>
      </c>
      <c r="CB711" t="n">
        <v>0</v>
      </c>
      <c r="CF711" t="inlineStr">
        <is>
          <t>Cobranzas_2026.csv</t>
        </is>
      </c>
      <c r="CG711" t="n">
        <v>2026</v>
      </c>
      <c r="CH711" t="inlineStr">
        <is>
          <t>01/01/2024</t>
        </is>
      </c>
      <c r="CI711" t="inlineStr">
        <is>
          <t>24/08/2031</t>
        </is>
      </c>
    </row>
    <row r="712">
      <c r="A712" t="inlineStr">
        <is>
          <t>RESIDENCIAL PRADA</t>
        </is>
      </c>
      <c r="B712" t="inlineStr">
        <is>
          <t>Etapa 1</t>
        </is>
      </c>
      <c r="C712" t="inlineStr">
        <is>
          <t>Edificio</t>
        </is>
      </c>
      <c r="D712" t="inlineStr">
        <is>
          <t>A</t>
        </is>
      </c>
      <c r="E712" t="inlineStr">
        <is>
          <t>Departamento</t>
        </is>
      </c>
      <c r="F712" t="inlineStr">
        <is>
          <t>402</t>
        </is>
      </c>
      <c r="G712" t="n">
        <v>56</v>
      </c>
      <c r="H712" t="n">
        <v>0</v>
      </c>
      <c r="I712" s="39" t="n">
        <v>517000</v>
      </c>
      <c r="J712" s="39" t="n">
        <v>457600</v>
      </c>
      <c r="K712" t="inlineStr">
        <is>
          <t>Edificio</t>
        </is>
      </c>
      <c r="L712" t="inlineStr">
        <is>
          <t>A</t>
        </is>
      </c>
      <c r="M712" t="inlineStr">
        <is>
          <t>Estacionamiento</t>
        </is>
      </c>
      <c r="N712" t="inlineStr">
        <is>
          <t>E 46 - D 35</t>
        </is>
      </c>
      <c r="O712" t="n">
        <v>13.5</v>
      </c>
      <c r="P712" t="n">
        <v>1.86</v>
      </c>
      <c r="Q712" s="39" t="n">
        <v>54400</v>
      </c>
      <c r="R712" s="39" t="n">
        <v>54400</v>
      </c>
      <c r="Y712" s="39" t="n"/>
      <c r="Z712" s="39" t="n"/>
      <c r="AG712" s="39" t="n"/>
      <c r="AH712" s="39" t="n"/>
      <c r="AI712" t="inlineStr">
        <is>
          <t>RODRIGO SANDRO CARDENAS BULLON</t>
        </is>
      </c>
      <c r="AJ712" t="inlineStr">
        <is>
          <t>72200919</t>
        </is>
      </c>
      <c r="AK712" t="inlineStr">
        <is>
          <t>CALLE LOS NEGOCIOS 280 BLOCK 3 DPTO A401</t>
        </is>
      </c>
      <c r="AL712" t="n">
        <v>0</v>
      </c>
      <c r="AM712" t="inlineStr">
        <is>
          <t>944456394</t>
        </is>
      </c>
      <c r="AN712" t="inlineStr">
        <is>
          <t>rodrigo.cardenas.bullon@gmail.com</t>
        </is>
      </c>
      <c r="AO712" t="inlineStr">
        <is>
          <t>LIMA</t>
        </is>
      </c>
      <c r="AP712" t="inlineStr">
        <is>
          <t>SURQUILLO</t>
        </is>
      </c>
      <c r="AQ712" s="75" t="n">
        <v>46295</v>
      </c>
      <c r="AR712" s="75" t="n"/>
      <c r="AS712" t="inlineStr">
        <is>
          <t>SALDO FINANCIAR</t>
        </is>
      </c>
      <c r="AT712" t="n">
        <v>1</v>
      </c>
      <c r="AU712" t="n">
        <v>460800</v>
      </c>
      <c r="AV712" t="n">
        <v>0</v>
      </c>
      <c r="AW712" t="n">
        <v>0</v>
      </c>
      <c r="AX712" s="39" t="n">
        <v>460800</v>
      </c>
      <c r="AY712" s="39" t="n">
        <v>0</v>
      </c>
      <c r="AZ712" s="39" t="n">
        <v>460800</v>
      </c>
      <c r="BB712" t="inlineStr">
        <is>
          <t>Ahorro</t>
        </is>
      </c>
      <c r="BH712" t="inlineStr">
        <is>
          <t>No</t>
        </is>
      </c>
      <c r="BK712" t="inlineStr">
        <is>
          <t>PENDIENTE</t>
        </is>
      </c>
      <c r="BV712" t="inlineStr">
        <is>
          <t>No</t>
        </is>
      </c>
      <c r="BW712" s="76" t="n">
        <v>46165.68263888889</v>
      </c>
      <c r="BX712" t="inlineStr">
        <is>
          <t>Magaly Guevara Perez</t>
        </is>
      </c>
      <c r="BZ712" t="n">
        <v>27</v>
      </c>
      <c r="CB712" t="n">
        <v>0</v>
      </c>
      <c r="CF712" t="inlineStr">
        <is>
          <t>Cobranzas_2026.csv</t>
        </is>
      </c>
      <c r="CG712" t="n">
        <v>2026</v>
      </c>
      <c r="CH712" t="inlineStr">
        <is>
          <t>01/01/2024</t>
        </is>
      </c>
      <c r="CI712" t="inlineStr">
        <is>
          <t>24/08/2031</t>
        </is>
      </c>
    </row>
    <row r="713">
      <c r="A713" t="inlineStr">
        <is>
          <t>RESIDENCIAL BEYOND</t>
        </is>
      </c>
      <c r="B713" t="inlineStr">
        <is>
          <t>Etapa 1</t>
        </is>
      </c>
      <c r="C713" t="inlineStr">
        <is>
          <t>Edificio</t>
        </is>
      </c>
      <c r="D713" t="inlineStr">
        <is>
          <t>A</t>
        </is>
      </c>
      <c r="E713" t="inlineStr">
        <is>
          <t>Departamento</t>
        </is>
      </c>
      <c r="F713" t="inlineStr">
        <is>
          <t>703</t>
        </is>
      </c>
      <c r="G713" t="n">
        <v>68</v>
      </c>
      <c r="H713" t="n">
        <v>0</v>
      </c>
      <c r="I713" s="39" t="n">
        <v>474700</v>
      </c>
      <c r="J713" s="39" t="n">
        <v>474700</v>
      </c>
      <c r="K713" t="inlineStr">
        <is>
          <t>Edificio</t>
        </is>
      </c>
      <c r="L713" t="inlineStr">
        <is>
          <t>A</t>
        </is>
      </c>
      <c r="M713" t="inlineStr">
        <is>
          <t>Departamento</t>
        </is>
      </c>
      <c r="N713" t="inlineStr">
        <is>
          <t>704</t>
        </is>
      </c>
      <c r="O713" t="n">
        <v>67</v>
      </c>
      <c r="P713" t="n">
        <v>0</v>
      </c>
      <c r="Q713" s="39" t="n">
        <v>468000</v>
      </c>
      <c r="R713" s="39" t="n">
        <v>468000</v>
      </c>
      <c r="Y713" s="39" t="n"/>
      <c r="Z713" s="39" t="n"/>
      <c r="AG713" s="39" t="n"/>
      <c r="AH713" s="39" t="n"/>
      <c r="AI713" t="inlineStr">
        <is>
          <t>RONALD ANTONIO TICONA ARONES</t>
        </is>
      </c>
      <c r="AJ713" t="inlineStr">
        <is>
          <t>41639626</t>
        </is>
      </c>
      <c r="AK713" t="inlineStr">
        <is>
          <t>Av. Gregorio Escobedo 426 Dpto. N°402 - Jesus Maria.</t>
        </is>
      </c>
      <c r="AM713" t="inlineStr">
        <is>
          <t>959833373</t>
        </is>
      </c>
      <c r="AN713" t="inlineStr">
        <is>
          <t>gr103@gmail.com</t>
        </is>
      </c>
      <c r="AO713" t="inlineStr">
        <is>
          <t>LIMA</t>
        </is>
      </c>
      <c r="AP713" t="inlineStr">
        <is>
          <t>JESUS MARIA</t>
        </is>
      </c>
      <c r="AQ713" s="75" t="n">
        <v>46075</v>
      </c>
      <c r="AR713" s="75" t="n">
        <v>46075</v>
      </c>
      <c r="AS713" t="inlineStr">
        <is>
          <t>SEPARACION</t>
        </is>
      </c>
      <c r="AT713" t="n">
        <v>1</v>
      </c>
      <c r="AU713" t="n">
        <v>5000</v>
      </c>
      <c r="AV713" t="n">
        <v>0</v>
      </c>
      <c r="AW713" t="n">
        <v>0</v>
      </c>
      <c r="AX713" s="39" t="n">
        <v>5000</v>
      </c>
      <c r="AY713" s="39" t="n">
        <v>5000</v>
      </c>
      <c r="AZ713" s="39" t="n">
        <v>0</v>
      </c>
      <c r="BA713" t="n">
        <v>0</v>
      </c>
      <c r="BB713" t="inlineStr">
        <is>
          <t>Crédito Hipotecario</t>
        </is>
      </c>
      <c r="BC713" t="inlineStr">
        <is>
          <t>Banco de Credito del Perú</t>
        </is>
      </c>
      <c r="BD713" t="inlineStr">
        <is>
          <t>194-7325779-0-65</t>
        </is>
      </c>
      <c r="BE713" t="inlineStr">
        <is>
          <t>TRANSFERENCIA BANCARIA</t>
        </is>
      </c>
      <c r="BG713" t="inlineStr">
        <is>
          <t>000</t>
        </is>
      </c>
      <c r="BH713" t="inlineStr">
        <is>
          <t>No</t>
        </is>
      </c>
      <c r="BJ713" t="n">
        <v>4</v>
      </c>
      <c r="BK713" t="inlineStr">
        <is>
          <t>CANCELADO</t>
        </is>
      </c>
      <c r="BV713" t="inlineStr">
        <is>
          <t>Si</t>
        </is>
      </c>
      <c r="BW713" s="76" t="n">
        <v>46181.41111111111</v>
      </c>
      <c r="BX713" t="inlineStr">
        <is>
          <t>Kenny Salazar S</t>
        </is>
      </c>
      <c r="BZ713" t="n">
        <v>37</v>
      </c>
      <c r="CA713" t="inlineStr">
        <is>
          <t>19/08/2026 16:05</t>
        </is>
      </c>
      <c r="CB713" t="n">
        <v>0</v>
      </c>
      <c r="CF713" t="inlineStr">
        <is>
          <t>Cobranzas_2026.csv</t>
        </is>
      </c>
      <c r="CG713" t="n">
        <v>2026</v>
      </c>
      <c r="CH713" t="inlineStr">
        <is>
          <t>01/01/2024</t>
        </is>
      </c>
      <c r="CI713" t="inlineStr">
        <is>
          <t>24/08/2031</t>
        </is>
      </c>
    </row>
    <row r="714">
      <c r="A714" t="inlineStr">
        <is>
          <t>RESIDENCIAL BEYOND</t>
        </is>
      </c>
      <c r="B714" t="inlineStr">
        <is>
          <t>Etapa 1</t>
        </is>
      </c>
      <c r="C714" t="inlineStr">
        <is>
          <t>Edificio</t>
        </is>
      </c>
      <c r="D714" t="inlineStr">
        <is>
          <t>A</t>
        </is>
      </c>
      <c r="E714" t="inlineStr">
        <is>
          <t>Departamento</t>
        </is>
      </c>
      <c r="F714" t="inlineStr">
        <is>
          <t>703</t>
        </is>
      </c>
      <c r="G714" t="n">
        <v>68</v>
      </c>
      <c r="H714" t="n">
        <v>0</v>
      </c>
      <c r="I714" s="39" t="n">
        <v>474700</v>
      </c>
      <c r="J714" s="39" t="n">
        <v>474700</v>
      </c>
      <c r="K714" t="inlineStr">
        <is>
          <t>Edificio</t>
        </is>
      </c>
      <c r="L714" t="inlineStr">
        <is>
          <t>A</t>
        </is>
      </c>
      <c r="M714" t="inlineStr">
        <is>
          <t>Departamento</t>
        </is>
      </c>
      <c r="N714" t="inlineStr">
        <is>
          <t>704</t>
        </is>
      </c>
      <c r="O714" t="n">
        <v>67</v>
      </c>
      <c r="P714" t="n">
        <v>0</v>
      </c>
      <c r="Q714" s="39" t="n">
        <v>468000</v>
      </c>
      <c r="R714" s="39" t="n">
        <v>468000</v>
      </c>
      <c r="Y714" s="39" t="n"/>
      <c r="Z714" s="39" t="n"/>
      <c r="AG714" s="39" t="n"/>
      <c r="AH714" s="39" t="n"/>
      <c r="AI714" t="inlineStr">
        <is>
          <t>RONALD ANTONIO TICONA ARONES</t>
        </is>
      </c>
      <c r="AJ714" t="inlineStr">
        <is>
          <t>41639626</t>
        </is>
      </c>
      <c r="AK714" t="inlineStr">
        <is>
          <t>Av. Gregorio Escobedo 426 Dpto. N°402 - Jesus Maria.</t>
        </is>
      </c>
      <c r="AM714" t="inlineStr">
        <is>
          <t>959833373</t>
        </is>
      </c>
      <c r="AN714" t="inlineStr">
        <is>
          <t>gr103@gmail.com</t>
        </is>
      </c>
      <c r="AO714" t="inlineStr">
        <is>
          <t>LIMA</t>
        </is>
      </c>
      <c r="AP714" t="inlineStr">
        <is>
          <t>JESUS MARIA</t>
        </is>
      </c>
      <c r="AQ714" s="75" t="n">
        <v>46088</v>
      </c>
      <c r="AR714" s="75" t="n">
        <v>46088</v>
      </c>
      <c r="AS714" t="inlineStr">
        <is>
          <t>CUOTA INICIAL</t>
        </is>
      </c>
      <c r="AT714" t="n">
        <v>1</v>
      </c>
      <c r="AU714" t="n">
        <v>10000</v>
      </c>
      <c r="AV714" t="n">
        <v>0</v>
      </c>
      <c r="AW714" t="n">
        <v>0</v>
      </c>
      <c r="AX714" s="39" t="n">
        <v>10000</v>
      </c>
      <c r="AY714" s="39" t="n">
        <v>5000</v>
      </c>
      <c r="AZ714" s="39" t="n">
        <v>0</v>
      </c>
      <c r="BA714" t="n">
        <v>0</v>
      </c>
      <c r="BB714" t="inlineStr">
        <is>
          <t>Crédito Hipotecario</t>
        </is>
      </c>
      <c r="BC714" t="inlineStr">
        <is>
          <t>Banco de Credito del Perú</t>
        </is>
      </c>
      <c r="BD714" t="inlineStr">
        <is>
          <t>194-7325779-0-65</t>
        </is>
      </c>
      <c r="BE714" t="inlineStr">
        <is>
          <t>TRANSFERENCIA BANCARIA</t>
        </is>
      </c>
      <c r="BG714" t="inlineStr">
        <is>
          <t>00832062</t>
        </is>
      </c>
      <c r="BH714" t="inlineStr">
        <is>
          <t>No</t>
        </is>
      </c>
      <c r="BJ714" t="n">
        <v>4</v>
      </c>
      <c r="BK714" t="inlineStr">
        <is>
          <t>CANCELADO</t>
        </is>
      </c>
      <c r="BV714" t="inlineStr">
        <is>
          <t>Si</t>
        </is>
      </c>
      <c r="BW714" s="76" t="n">
        <v>46181.41111111111</v>
      </c>
      <c r="BX714" t="inlineStr">
        <is>
          <t>Kenny Salazar S</t>
        </is>
      </c>
      <c r="BZ714" t="n">
        <v>37</v>
      </c>
      <c r="CA714" t="inlineStr">
        <is>
          <t>17/08/2026 09:13</t>
        </is>
      </c>
      <c r="CB714" t="n">
        <v>0</v>
      </c>
      <c r="CF714" t="inlineStr">
        <is>
          <t>Cobranzas_2026.csv</t>
        </is>
      </c>
      <c r="CG714" t="n">
        <v>2026</v>
      </c>
      <c r="CH714" t="inlineStr">
        <is>
          <t>01/01/2024</t>
        </is>
      </c>
      <c r="CI714" t="inlineStr">
        <is>
          <t>24/08/2031</t>
        </is>
      </c>
    </row>
    <row r="715">
      <c r="A715" t="inlineStr">
        <is>
          <t>RESIDENCIAL BEYOND</t>
        </is>
      </c>
      <c r="B715" t="inlineStr">
        <is>
          <t>Etapa 1</t>
        </is>
      </c>
      <c r="C715" t="inlineStr">
        <is>
          <t>Edificio</t>
        </is>
      </c>
      <c r="D715" t="inlineStr">
        <is>
          <t>A</t>
        </is>
      </c>
      <c r="E715" t="inlineStr">
        <is>
          <t>Departamento</t>
        </is>
      </c>
      <c r="F715" t="inlineStr">
        <is>
          <t>703</t>
        </is>
      </c>
      <c r="G715" t="n">
        <v>68</v>
      </c>
      <c r="H715" t="n">
        <v>0</v>
      </c>
      <c r="I715" s="39" t="n">
        <v>474700</v>
      </c>
      <c r="J715" s="39" t="n">
        <v>474700</v>
      </c>
      <c r="K715" t="inlineStr">
        <is>
          <t>Edificio</t>
        </is>
      </c>
      <c r="L715" t="inlineStr">
        <is>
          <t>A</t>
        </is>
      </c>
      <c r="M715" t="inlineStr">
        <is>
          <t>Departamento</t>
        </is>
      </c>
      <c r="N715" t="inlineStr">
        <is>
          <t>704</t>
        </is>
      </c>
      <c r="O715" t="n">
        <v>67</v>
      </c>
      <c r="P715" t="n">
        <v>0</v>
      </c>
      <c r="Q715" s="39" t="n">
        <v>468000</v>
      </c>
      <c r="R715" s="39" t="n">
        <v>468000</v>
      </c>
      <c r="Y715" s="39" t="n"/>
      <c r="Z715" s="39" t="n"/>
      <c r="AG715" s="39" t="n"/>
      <c r="AH715" s="39" t="n"/>
      <c r="AI715" t="inlineStr">
        <is>
          <t>RONALD ANTONIO TICONA ARONES</t>
        </is>
      </c>
      <c r="AJ715" t="inlineStr">
        <is>
          <t>41639626</t>
        </is>
      </c>
      <c r="AK715" t="inlineStr">
        <is>
          <t>Av. Gregorio Escobedo 426 Dpto. N°402 - Jesus Maria.</t>
        </is>
      </c>
      <c r="AM715" t="inlineStr">
        <is>
          <t>959833373</t>
        </is>
      </c>
      <c r="AN715" t="inlineStr">
        <is>
          <t>gr103@gmail.com</t>
        </is>
      </c>
      <c r="AO715" t="inlineStr">
        <is>
          <t>LIMA</t>
        </is>
      </c>
      <c r="AP715" t="inlineStr">
        <is>
          <t>JESUS MARIA</t>
        </is>
      </c>
      <c r="AQ715" s="75" t="n">
        <v>46088</v>
      </c>
      <c r="AR715" s="75" t="n">
        <v>46088</v>
      </c>
      <c r="AS715" t="inlineStr">
        <is>
          <t>CUOTA INICIAL</t>
        </is>
      </c>
      <c r="AT715" t="n">
        <v>1</v>
      </c>
      <c r="AU715" t="n">
        <v>0</v>
      </c>
      <c r="AV715" t="n">
        <v>0</v>
      </c>
      <c r="AW715" t="n">
        <v>0</v>
      </c>
      <c r="AX715" s="39" t="n">
        <v>0</v>
      </c>
      <c r="AY715" s="39" t="n">
        <v>5000</v>
      </c>
      <c r="AZ715" s="39" t="n">
        <v>0</v>
      </c>
      <c r="BA715" t="n">
        <v>0</v>
      </c>
      <c r="BB715" t="inlineStr">
        <is>
          <t>Crédito Hipotecario</t>
        </is>
      </c>
      <c r="BC715" t="inlineStr">
        <is>
          <t>Banco de Credito del Perú</t>
        </is>
      </c>
      <c r="BD715" t="inlineStr">
        <is>
          <t>194-7325779-0-65</t>
        </is>
      </c>
      <c r="BE715" t="inlineStr">
        <is>
          <t>TRANSFERENCIA BANCARIA</t>
        </is>
      </c>
      <c r="BG715" t="inlineStr">
        <is>
          <t>00843529</t>
        </is>
      </c>
      <c r="BH715" t="inlineStr">
        <is>
          <t>No</t>
        </is>
      </c>
      <c r="BJ715" t="n">
        <v>4</v>
      </c>
      <c r="BK715" t="inlineStr">
        <is>
          <t>CANCELADO</t>
        </is>
      </c>
      <c r="BV715" t="inlineStr">
        <is>
          <t>Si</t>
        </is>
      </c>
      <c r="BW715" s="76" t="n">
        <v>46181.41111111111</v>
      </c>
      <c r="BX715" t="inlineStr">
        <is>
          <t>Kenny Salazar S</t>
        </is>
      </c>
      <c r="BZ715" t="n">
        <v>37</v>
      </c>
      <c r="CA715" t="inlineStr">
        <is>
          <t>17/08/2026 09:14</t>
        </is>
      </c>
      <c r="CB715" t="n">
        <v>0</v>
      </c>
      <c r="CF715" t="inlineStr">
        <is>
          <t>Cobranzas_2026.csv</t>
        </is>
      </c>
      <c r="CG715" t="n">
        <v>2026</v>
      </c>
      <c r="CH715" t="inlineStr">
        <is>
          <t>01/01/2024</t>
        </is>
      </c>
      <c r="CI715" t="inlineStr">
        <is>
          <t>24/08/2031</t>
        </is>
      </c>
    </row>
    <row r="716">
      <c r="A716" t="inlineStr">
        <is>
          <t>RESIDENCIAL BEYOND</t>
        </is>
      </c>
      <c r="B716" t="inlineStr">
        <is>
          <t>Etapa 1</t>
        </is>
      </c>
      <c r="C716" t="inlineStr">
        <is>
          <t>Edificio</t>
        </is>
      </c>
      <c r="D716" t="inlineStr">
        <is>
          <t>A</t>
        </is>
      </c>
      <c r="E716" t="inlineStr">
        <is>
          <t>Departamento</t>
        </is>
      </c>
      <c r="F716" t="inlineStr">
        <is>
          <t>703</t>
        </is>
      </c>
      <c r="G716" t="n">
        <v>68</v>
      </c>
      <c r="H716" t="n">
        <v>0</v>
      </c>
      <c r="I716" s="39" t="n">
        <v>474700</v>
      </c>
      <c r="J716" s="39" t="n">
        <v>474700</v>
      </c>
      <c r="K716" t="inlineStr">
        <is>
          <t>Edificio</t>
        </is>
      </c>
      <c r="L716" t="inlineStr">
        <is>
          <t>A</t>
        </is>
      </c>
      <c r="M716" t="inlineStr">
        <is>
          <t>Departamento</t>
        </is>
      </c>
      <c r="N716" t="inlineStr">
        <is>
          <t>704</t>
        </is>
      </c>
      <c r="O716" t="n">
        <v>67</v>
      </c>
      <c r="P716" t="n">
        <v>0</v>
      </c>
      <c r="Q716" s="39" t="n">
        <v>468000</v>
      </c>
      <c r="R716" s="39" t="n">
        <v>468000</v>
      </c>
      <c r="Y716" s="39" t="n"/>
      <c r="Z716" s="39" t="n"/>
      <c r="AG716" s="39" t="n"/>
      <c r="AH716" s="39" t="n"/>
      <c r="AI716" t="inlineStr">
        <is>
          <t>RONALD ANTONIO TICONA ARONES</t>
        </is>
      </c>
      <c r="AJ716" t="inlineStr">
        <is>
          <t>41639626</t>
        </is>
      </c>
      <c r="AK716" t="inlineStr">
        <is>
          <t>Av. Gregorio Escobedo 426 Dpto. N°402 - Jesus Maria.</t>
        </is>
      </c>
      <c r="AM716" t="inlineStr">
        <is>
          <t>959833373</t>
        </is>
      </c>
      <c r="AN716" t="inlineStr">
        <is>
          <t>gr103@gmail.com</t>
        </is>
      </c>
      <c r="AO716" t="inlineStr">
        <is>
          <t>LIMA</t>
        </is>
      </c>
      <c r="AP716" t="inlineStr">
        <is>
          <t>JESUS MARIA</t>
        </is>
      </c>
      <c r="AQ716" s="75" t="n">
        <v>46094</v>
      </c>
      <c r="AR716" s="75" t="n">
        <v>46094</v>
      </c>
      <c r="AS716" t="inlineStr">
        <is>
          <t>CUOTA INICIAL</t>
        </is>
      </c>
      <c r="AT716" t="n">
        <v>2</v>
      </c>
      <c r="AU716" t="n">
        <v>0</v>
      </c>
      <c r="AV716" t="n">
        <v>0</v>
      </c>
      <c r="AW716" t="n">
        <v>0</v>
      </c>
      <c r="AX716" s="39" t="n">
        <v>32135</v>
      </c>
      <c r="AY716" s="39" t="n">
        <v>30000</v>
      </c>
      <c r="AZ716" s="39" t="n">
        <v>0</v>
      </c>
      <c r="BA716" t="n">
        <v>0</v>
      </c>
      <c r="BB716" t="inlineStr">
        <is>
          <t>Crédito Hipotecario</t>
        </is>
      </c>
      <c r="BC716" t="inlineStr">
        <is>
          <t>Banco de Credito del Perú</t>
        </is>
      </c>
      <c r="BD716" t="inlineStr">
        <is>
          <t>194-7325779-0-65</t>
        </is>
      </c>
      <c r="BE716" t="inlineStr">
        <is>
          <t>TRANSFERENCIA BANCARIA</t>
        </is>
      </c>
      <c r="BG716" t="inlineStr">
        <is>
          <t>193.6699</t>
        </is>
      </c>
      <c r="BH716" t="inlineStr">
        <is>
          <t>No</t>
        </is>
      </c>
      <c r="BJ716" t="n">
        <v>4</v>
      </c>
      <c r="BK716" t="inlineStr">
        <is>
          <t>CANCELADO</t>
        </is>
      </c>
      <c r="BV716" t="inlineStr">
        <is>
          <t>Si</t>
        </is>
      </c>
      <c r="BW716" s="76" t="n">
        <v>46181.41111111111</v>
      </c>
      <c r="BX716" t="inlineStr">
        <is>
          <t>Kenny Salazar S</t>
        </is>
      </c>
      <c r="BZ716" t="n">
        <v>37</v>
      </c>
      <c r="CA716" t="inlineStr">
        <is>
          <t>17/08/2026 09:15</t>
        </is>
      </c>
      <c r="CB716" t="n">
        <v>0</v>
      </c>
      <c r="CF716" t="inlineStr">
        <is>
          <t>Cobranzas_2026.csv</t>
        </is>
      </c>
      <c r="CG716" t="n">
        <v>2026</v>
      </c>
      <c r="CH716" t="inlineStr">
        <is>
          <t>01/01/2024</t>
        </is>
      </c>
      <c r="CI716" t="inlineStr">
        <is>
          <t>24/08/2031</t>
        </is>
      </c>
    </row>
    <row r="717">
      <c r="A717" t="inlineStr">
        <is>
          <t>RESIDENCIAL BEYOND</t>
        </is>
      </c>
      <c r="B717" t="inlineStr">
        <is>
          <t>Etapa 1</t>
        </is>
      </c>
      <c r="C717" t="inlineStr">
        <is>
          <t>Edificio</t>
        </is>
      </c>
      <c r="D717" t="inlineStr">
        <is>
          <t>A</t>
        </is>
      </c>
      <c r="E717" t="inlineStr">
        <is>
          <t>Departamento</t>
        </is>
      </c>
      <c r="F717" t="inlineStr">
        <is>
          <t>703</t>
        </is>
      </c>
      <c r="G717" t="n">
        <v>68</v>
      </c>
      <c r="H717" t="n">
        <v>0</v>
      </c>
      <c r="I717" s="39" t="n">
        <v>474700</v>
      </c>
      <c r="J717" s="39" t="n">
        <v>474700</v>
      </c>
      <c r="K717" t="inlineStr">
        <is>
          <t>Edificio</t>
        </is>
      </c>
      <c r="L717" t="inlineStr">
        <is>
          <t>A</t>
        </is>
      </c>
      <c r="M717" t="inlineStr">
        <is>
          <t>Departamento</t>
        </is>
      </c>
      <c r="N717" t="inlineStr">
        <is>
          <t>704</t>
        </is>
      </c>
      <c r="O717" t="n">
        <v>67</v>
      </c>
      <c r="P717" t="n">
        <v>0</v>
      </c>
      <c r="Q717" s="39" t="n">
        <v>468000</v>
      </c>
      <c r="R717" s="39" t="n">
        <v>468000</v>
      </c>
      <c r="Y717" s="39" t="n"/>
      <c r="Z717" s="39" t="n"/>
      <c r="AG717" s="39" t="n"/>
      <c r="AH717" s="39" t="n"/>
      <c r="AI717" t="inlineStr">
        <is>
          <t>RONALD ANTONIO TICONA ARONES</t>
        </is>
      </c>
      <c r="AJ717" t="inlineStr">
        <is>
          <t>41639626</t>
        </is>
      </c>
      <c r="AK717" t="inlineStr">
        <is>
          <t>Av. Gregorio Escobedo 426 Dpto. N°402 - Jesus Maria.</t>
        </is>
      </c>
      <c r="AM717" t="inlineStr">
        <is>
          <t>959833373</t>
        </is>
      </c>
      <c r="AN717" t="inlineStr">
        <is>
          <t>gr103@gmail.com</t>
        </is>
      </c>
      <c r="AO717" t="inlineStr">
        <is>
          <t>LIMA</t>
        </is>
      </c>
      <c r="AP717" t="inlineStr">
        <is>
          <t>JESUS MARIA</t>
        </is>
      </c>
      <c r="AQ717" s="75" t="n">
        <v>46094</v>
      </c>
      <c r="AR717" s="75" t="n">
        <v>46094</v>
      </c>
      <c r="AS717" t="inlineStr">
        <is>
          <t>CUOTA INICIAL</t>
        </is>
      </c>
      <c r="AT717" t="n">
        <v>2</v>
      </c>
      <c r="AU717" t="n">
        <v>32135</v>
      </c>
      <c r="AV717" t="n">
        <v>0</v>
      </c>
      <c r="AW717" t="n">
        <v>0</v>
      </c>
      <c r="AX717" s="39" t="n">
        <v>0</v>
      </c>
      <c r="AY717" s="39" t="n">
        <v>2135</v>
      </c>
      <c r="AZ717" s="39" t="n">
        <v>0</v>
      </c>
      <c r="BA717" t="n">
        <v>0</v>
      </c>
      <c r="BB717" t="inlineStr">
        <is>
          <t>Crédito Hipotecario</t>
        </is>
      </c>
      <c r="BC717" t="inlineStr">
        <is>
          <t>Banco de Credito del Perú</t>
        </is>
      </c>
      <c r="BD717" t="inlineStr">
        <is>
          <t>194-7325779-0-65</t>
        </is>
      </c>
      <c r="BE717" t="inlineStr">
        <is>
          <t>TRANSFERENCIA BANCARIA</t>
        </is>
      </c>
      <c r="BG717" t="inlineStr">
        <is>
          <t>193.6798</t>
        </is>
      </c>
      <c r="BH717" t="inlineStr">
        <is>
          <t>No</t>
        </is>
      </c>
      <c r="BJ717" t="n">
        <v>4</v>
      </c>
      <c r="BK717" t="inlineStr">
        <is>
          <t>CANCELADO</t>
        </is>
      </c>
      <c r="BV717" t="inlineStr">
        <is>
          <t>Si</t>
        </is>
      </c>
      <c r="BW717" s="76" t="n">
        <v>46181.41111111111</v>
      </c>
      <c r="BX717" t="inlineStr">
        <is>
          <t>Kenny Salazar S</t>
        </is>
      </c>
      <c r="BZ717" t="n">
        <v>37</v>
      </c>
      <c r="CA717" t="inlineStr">
        <is>
          <t>17/08/2026 09:15</t>
        </is>
      </c>
      <c r="CB717" t="n">
        <v>0</v>
      </c>
      <c r="CF717" t="inlineStr">
        <is>
          <t>Cobranzas_2026.csv</t>
        </is>
      </c>
      <c r="CG717" t="n">
        <v>2026</v>
      </c>
      <c r="CH717" t="inlineStr">
        <is>
          <t>01/01/2024</t>
        </is>
      </c>
      <c r="CI717" t="inlineStr">
        <is>
          <t>24/08/2031</t>
        </is>
      </c>
    </row>
    <row r="718">
      <c r="A718" t="inlineStr">
        <is>
          <t>RESIDENCIAL BEYOND</t>
        </is>
      </c>
      <c r="B718" t="inlineStr">
        <is>
          <t>Etapa 1</t>
        </is>
      </c>
      <c r="C718" t="inlineStr">
        <is>
          <t>Edificio</t>
        </is>
      </c>
      <c r="D718" t="inlineStr">
        <is>
          <t>A</t>
        </is>
      </c>
      <c r="E718" t="inlineStr">
        <is>
          <t>Departamento</t>
        </is>
      </c>
      <c r="F718" t="inlineStr">
        <is>
          <t>703</t>
        </is>
      </c>
      <c r="G718" t="n">
        <v>68</v>
      </c>
      <c r="H718" t="n">
        <v>0</v>
      </c>
      <c r="I718" s="39" t="n">
        <v>474700</v>
      </c>
      <c r="J718" s="39" t="n">
        <v>474700</v>
      </c>
      <c r="K718" t="inlineStr">
        <is>
          <t>Edificio</t>
        </is>
      </c>
      <c r="L718" t="inlineStr">
        <is>
          <t>A</t>
        </is>
      </c>
      <c r="M718" t="inlineStr">
        <is>
          <t>Departamento</t>
        </is>
      </c>
      <c r="N718" t="inlineStr">
        <is>
          <t>704</t>
        </is>
      </c>
      <c r="O718" t="n">
        <v>67</v>
      </c>
      <c r="P718" t="n">
        <v>0</v>
      </c>
      <c r="Q718" s="39" t="n">
        <v>468000</v>
      </c>
      <c r="R718" s="39" t="n">
        <v>468000</v>
      </c>
      <c r="Y718" s="39" t="n"/>
      <c r="Z718" s="39" t="n"/>
      <c r="AG718" s="39" t="n"/>
      <c r="AH718" s="39" t="n"/>
      <c r="AI718" t="inlineStr">
        <is>
          <t>RONALD ANTONIO TICONA ARONES</t>
        </is>
      </c>
      <c r="AJ718" t="inlineStr">
        <is>
          <t>41639626</t>
        </is>
      </c>
      <c r="AK718" t="inlineStr">
        <is>
          <t>Av. Gregorio Escobedo 426 Dpto. N°402 - Jesus Maria.</t>
        </is>
      </c>
      <c r="AM718" t="inlineStr">
        <is>
          <t>959833373</t>
        </is>
      </c>
      <c r="AN718" t="inlineStr">
        <is>
          <t>gr103@gmail.com</t>
        </is>
      </c>
      <c r="AO718" t="inlineStr">
        <is>
          <t>LIMA</t>
        </is>
      </c>
      <c r="AP718" t="inlineStr">
        <is>
          <t>JESUS MARIA</t>
        </is>
      </c>
      <c r="AQ718" s="75" t="n">
        <v>46142</v>
      </c>
      <c r="AR718" s="75" t="n">
        <v>46142</v>
      </c>
      <c r="AS718" t="inlineStr">
        <is>
          <t>CUOTA INICIAL</t>
        </is>
      </c>
      <c r="AT718" t="n">
        <v>3</v>
      </c>
      <c r="AU718" t="n">
        <v>47135</v>
      </c>
      <c r="AV718" t="n">
        <v>0</v>
      </c>
      <c r="AW718" t="n">
        <v>0</v>
      </c>
      <c r="AX718" s="39" t="n">
        <v>47135</v>
      </c>
      <c r="AY718" s="39" t="n">
        <v>7135</v>
      </c>
      <c r="AZ718" s="39" t="n">
        <v>0</v>
      </c>
      <c r="BA718" t="n">
        <v>0</v>
      </c>
      <c r="BB718" t="inlineStr">
        <is>
          <t>Crédito Hipotecario</t>
        </is>
      </c>
      <c r="BC718" t="inlineStr">
        <is>
          <t>Banco de Credito del Perú</t>
        </is>
      </c>
      <c r="BD718" t="inlineStr">
        <is>
          <t>194-7325779-0-65</t>
        </is>
      </c>
      <c r="BE718" t="inlineStr">
        <is>
          <t>TRANSFERENCIA BANCARIA</t>
        </is>
      </c>
      <c r="BG718" t="inlineStr">
        <is>
          <t>06620675</t>
        </is>
      </c>
      <c r="BH718" t="inlineStr">
        <is>
          <t>No</t>
        </is>
      </c>
      <c r="BJ718" t="n">
        <v>4</v>
      </c>
      <c r="BK718" t="inlineStr">
        <is>
          <t>CANCELADO</t>
        </is>
      </c>
      <c r="BV718" t="inlineStr">
        <is>
          <t>Si</t>
        </is>
      </c>
      <c r="BW718" s="76" t="n">
        <v>46181.41111111111</v>
      </c>
      <c r="BX718" t="inlineStr">
        <is>
          <t>Kenny Salazar S</t>
        </is>
      </c>
      <c r="BZ718" t="n">
        <v>37</v>
      </c>
      <c r="CA718" t="inlineStr">
        <is>
          <t>17/08/2026 09:18</t>
        </is>
      </c>
      <c r="CB718" t="n">
        <v>0</v>
      </c>
      <c r="CF718" t="inlineStr">
        <is>
          <t>Cobranzas_2026.csv</t>
        </is>
      </c>
      <c r="CG718" t="n">
        <v>2026</v>
      </c>
      <c r="CH718" t="inlineStr">
        <is>
          <t>01/01/2024</t>
        </is>
      </c>
      <c r="CI718" t="inlineStr">
        <is>
          <t>24/08/2031</t>
        </is>
      </c>
    </row>
    <row r="719">
      <c r="A719" t="inlineStr">
        <is>
          <t>RESIDENCIAL BEYOND</t>
        </is>
      </c>
      <c r="B719" t="inlineStr">
        <is>
          <t>Etapa 1</t>
        </is>
      </c>
      <c r="C719" t="inlineStr">
        <is>
          <t>Edificio</t>
        </is>
      </c>
      <c r="D719" t="inlineStr">
        <is>
          <t>A</t>
        </is>
      </c>
      <c r="E719" t="inlineStr">
        <is>
          <t>Departamento</t>
        </is>
      </c>
      <c r="F719" t="inlineStr">
        <is>
          <t>703</t>
        </is>
      </c>
      <c r="G719" t="n">
        <v>68</v>
      </c>
      <c r="H719" t="n">
        <v>0</v>
      </c>
      <c r="I719" s="39" t="n">
        <v>474700</v>
      </c>
      <c r="J719" s="39" t="n">
        <v>474700</v>
      </c>
      <c r="K719" t="inlineStr">
        <is>
          <t>Edificio</t>
        </is>
      </c>
      <c r="L719" t="inlineStr">
        <is>
          <t>A</t>
        </is>
      </c>
      <c r="M719" t="inlineStr">
        <is>
          <t>Departamento</t>
        </is>
      </c>
      <c r="N719" t="inlineStr">
        <is>
          <t>704</t>
        </is>
      </c>
      <c r="O719" t="n">
        <v>67</v>
      </c>
      <c r="P719" t="n">
        <v>0</v>
      </c>
      <c r="Q719" s="39" t="n">
        <v>468000</v>
      </c>
      <c r="R719" s="39" t="n">
        <v>468000</v>
      </c>
      <c r="Y719" s="39" t="n"/>
      <c r="Z719" s="39" t="n"/>
      <c r="AG719" s="39" t="n"/>
      <c r="AH719" s="39" t="n"/>
      <c r="AI719" t="inlineStr">
        <is>
          <t>RONALD ANTONIO TICONA ARONES</t>
        </is>
      </c>
      <c r="AJ719" t="inlineStr">
        <is>
          <t>41639626</t>
        </is>
      </c>
      <c r="AK719" t="inlineStr">
        <is>
          <t>Av. Gregorio Escobedo 426 Dpto. N°402 - Jesus Maria.</t>
        </is>
      </c>
      <c r="AM719" t="inlineStr">
        <is>
          <t>959833373</t>
        </is>
      </c>
      <c r="AN719" t="inlineStr">
        <is>
          <t>gr103@gmail.com</t>
        </is>
      </c>
      <c r="AO719" t="inlineStr">
        <is>
          <t>LIMA</t>
        </is>
      </c>
      <c r="AP719" t="inlineStr">
        <is>
          <t>JESUS MARIA</t>
        </is>
      </c>
      <c r="AQ719" s="75" t="n">
        <v>46142</v>
      </c>
      <c r="AR719" s="75" t="n">
        <v>46142</v>
      </c>
      <c r="AS719" t="inlineStr">
        <is>
          <t>CUOTA INICIAL</t>
        </is>
      </c>
      <c r="AT719" t="n">
        <v>3</v>
      </c>
      <c r="AU719" t="n">
        <v>0</v>
      </c>
      <c r="AV719" t="n">
        <v>0</v>
      </c>
      <c r="AW719" t="n">
        <v>0</v>
      </c>
      <c r="AX719" s="39" t="n">
        <v>0</v>
      </c>
      <c r="AY719" s="39" t="n">
        <v>10000</v>
      </c>
      <c r="AZ719" s="39" t="n">
        <v>0</v>
      </c>
      <c r="BA719" t="n">
        <v>0</v>
      </c>
      <c r="BB719" t="inlineStr">
        <is>
          <t>Crédito Hipotecario</t>
        </is>
      </c>
      <c r="BC719" t="inlineStr">
        <is>
          <t>Banco de Credito del Perú</t>
        </is>
      </c>
      <c r="BD719" t="inlineStr">
        <is>
          <t>194-7325779-0-65</t>
        </is>
      </c>
      <c r="BE719" t="inlineStr">
        <is>
          <t>TRANSFERENCIA BANCARIA</t>
        </is>
      </c>
      <c r="BG719" t="inlineStr">
        <is>
          <t>06666092</t>
        </is>
      </c>
      <c r="BH719" t="inlineStr">
        <is>
          <t>No</t>
        </is>
      </c>
      <c r="BJ719" t="n">
        <v>4</v>
      </c>
      <c r="BK719" t="inlineStr">
        <is>
          <t>CANCELADO</t>
        </is>
      </c>
      <c r="BV719" t="inlineStr">
        <is>
          <t>Si</t>
        </is>
      </c>
      <c r="BW719" s="76" t="n">
        <v>46181.41111111111</v>
      </c>
      <c r="BX719" t="inlineStr">
        <is>
          <t>Kenny Salazar S</t>
        </is>
      </c>
      <c r="BZ719" t="n">
        <v>37</v>
      </c>
      <c r="CA719" t="inlineStr">
        <is>
          <t>17/08/2026 09:22</t>
        </is>
      </c>
      <c r="CB719" t="n">
        <v>0</v>
      </c>
      <c r="CF719" t="inlineStr">
        <is>
          <t>Cobranzas_2026.csv</t>
        </is>
      </c>
      <c r="CG719" t="n">
        <v>2026</v>
      </c>
      <c r="CH719" t="inlineStr">
        <is>
          <t>01/01/2024</t>
        </is>
      </c>
      <c r="CI719" t="inlineStr">
        <is>
          <t>24/08/2031</t>
        </is>
      </c>
    </row>
    <row r="720">
      <c r="A720" t="inlineStr">
        <is>
          <t>RESIDENCIAL BEYOND</t>
        </is>
      </c>
      <c r="B720" t="inlineStr">
        <is>
          <t>Etapa 1</t>
        </is>
      </c>
      <c r="C720" t="inlineStr">
        <is>
          <t>Edificio</t>
        </is>
      </c>
      <c r="D720" t="inlineStr">
        <is>
          <t>A</t>
        </is>
      </c>
      <c r="E720" t="inlineStr">
        <is>
          <t>Departamento</t>
        </is>
      </c>
      <c r="F720" t="inlineStr">
        <is>
          <t>703</t>
        </is>
      </c>
      <c r="G720" t="n">
        <v>68</v>
      </c>
      <c r="H720" t="n">
        <v>0</v>
      </c>
      <c r="I720" s="39" t="n">
        <v>474700</v>
      </c>
      <c r="J720" s="39" t="n">
        <v>474700</v>
      </c>
      <c r="K720" t="inlineStr">
        <is>
          <t>Edificio</t>
        </is>
      </c>
      <c r="L720" t="inlineStr">
        <is>
          <t>A</t>
        </is>
      </c>
      <c r="M720" t="inlineStr">
        <is>
          <t>Departamento</t>
        </is>
      </c>
      <c r="N720" t="inlineStr">
        <is>
          <t>704</t>
        </is>
      </c>
      <c r="O720" t="n">
        <v>67</v>
      </c>
      <c r="P720" t="n">
        <v>0</v>
      </c>
      <c r="Q720" s="39" t="n">
        <v>468000</v>
      </c>
      <c r="R720" s="39" t="n">
        <v>468000</v>
      </c>
      <c r="Y720" s="39" t="n"/>
      <c r="Z720" s="39" t="n"/>
      <c r="AG720" s="39" t="n"/>
      <c r="AH720" s="39" t="n"/>
      <c r="AI720" t="inlineStr">
        <is>
          <t>RONALD ANTONIO TICONA ARONES</t>
        </is>
      </c>
      <c r="AJ720" t="inlineStr">
        <is>
          <t>41639626</t>
        </is>
      </c>
      <c r="AK720" t="inlineStr">
        <is>
          <t>Av. Gregorio Escobedo 426 Dpto. N°402 - Jesus Maria.</t>
        </is>
      </c>
      <c r="AM720" t="inlineStr">
        <is>
          <t>959833373</t>
        </is>
      </c>
      <c r="AN720" t="inlineStr">
        <is>
          <t>gr103@gmail.com</t>
        </is>
      </c>
      <c r="AO720" t="inlineStr">
        <is>
          <t>LIMA</t>
        </is>
      </c>
      <c r="AP720" t="inlineStr">
        <is>
          <t>JESUS MARIA</t>
        </is>
      </c>
      <c r="AQ720" s="75" t="n">
        <v>46142</v>
      </c>
      <c r="AR720" s="75" t="n">
        <v>46142</v>
      </c>
      <c r="AS720" t="inlineStr">
        <is>
          <t>CUOTA INICIAL</t>
        </is>
      </c>
      <c r="AT720" t="n">
        <v>3</v>
      </c>
      <c r="AU720" t="n">
        <v>0</v>
      </c>
      <c r="AV720" t="n">
        <v>0</v>
      </c>
      <c r="AW720" t="n">
        <v>0</v>
      </c>
      <c r="AX720" s="39" t="n">
        <v>0</v>
      </c>
      <c r="AY720" s="39" t="n">
        <v>20000</v>
      </c>
      <c r="AZ720" s="39" t="n">
        <v>0</v>
      </c>
      <c r="BA720" t="n">
        <v>0</v>
      </c>
      <c r="BB720" t="inlineStr">
        <is>
          <t>Crédito Hipotecario</t>
        </is>
      </c>
      <c r="BC720" t="inlineStr">
        <is>
          <t>Banco de Credito del Perú</t>
        </is>
      </c>
      <c r="BD720" t="inlineStr">
        <is>
          <t>194-7325779-0-65</t>
        </is>
      </c>
      <c r="BE720" t="inlineStr">
        <is>
          <t>TRANSFERENCIA BANCARIA</t>
        </is>
      </c>
      <c r="BG720" t="inlineStr">
        <is>
          <t>06667712</t>
        </is>
      </c>
      <c r="BH720" t="inlineStr">
        <is>
          <t>No</t>
        </is>
      </c>
      <c r="BJ720" t="n">
        <v>4</v>
      </c>
      <c r="BK720" t="inlineStr">
        <is>
          <t>CANCELADO</t>
        </is>
      </c>
      <c r="BV720" t="inlineStr">
        <is>
          <t>Si</t>
        </is>
      </c>
      <c r="BW720" s="76" t="n">
        <v>46181.41111111111</v>
      </c>
      <c r="BX720" t="inlineStr">
        <is>
          <t>Kenny Salazar S</t>
        </is>
      </c>
      <c r="BZ720" t="n">
        <v>37</v>
      </c>
      <c r="CA720" t="inlineStr">
        <is>
          <t>17/08/2026 09:23</t>
        </is>
      </c>
      <c r="CB720" t="n">
        <v>0</v>
      </c>
      <c r="CF720" t="inlineStr">
        <is>
          <t>Cobranzas_2026.csv</t>
        </is>
      </c>
      <c r="CG720" t="n">
        <v>2026</v>
      </c>
      <c r="CH720" t="inlineStr">
        <is>
          <t>01/01/2024</t>
        </is>
      </c>
      <c r="CI720" t="inlineStr">
        <is>
          <t>24/08/2031</t>
        </is>
      </c>
    </row>
    <row r="721">
      <c r="A721" t="inlineStr">
        <is>
          <t>RESIDENCIAL BEYOND</t>
        </is>
      </c>
      <c r="B721" t="inlineStr">
        <is>
          <t>Etapa 1</t>
        </is>
      </c>
      <c r="C721" t="inlineStr">
        <is>
          <t>Edificio</t>
        </is>
      </c>
      <c r="D721" t="inlineStr">
        <is>
          <t>A</t>
        </is>
      </c>
      <c r="E721" t="inlineStr">
        <is>
          <t>Departamento</t>
        </is>
      </c>
      <c r="F721" t="inlineStr">
        <is>
          <t>703</t>
        </is>
      </c>
      <c r="G721" t="n">
        <v>68</v>
      </c>
      <c r="H721" t="n">
        <v>0</v>
      </c>
      <c r="I721" s="39" t="n">
        <v>474700</v>
      </c>
      <c r="J721" s="39" t="n">
        <v>474700</v>
      </c>
      <c r="K721" t="inlineStr">
        <is>
          <t>Edificio</t>
        </is>
      </c>
      <c r="L721" t="inlineStr">
        <is>
          <t>A</t>
        </is>
      </c>
      <c r="M721" t="inlineStr">
        <is>
          <t>Departamento</t>
        </is>
      </c>
      <c r="N721" t="inlineStr">
        <is>
          <t>704</t>
        </is>
      </c>
      <c r="O721" t="n">
        <v>67</v>
      </c>
      <c r="P721" t="n">
        <v>0</v>
      </c>
      <c r="Q721" s="39" t="n">
        <v>468000</v>
      </c>
      <c r="R721" s="39" t="n">
        <v>468000</v>
      </c>
      <c r="Y721" s="39" t="n"/>
      <c r="Z721" s="39" t="n"/>
      <c r="AG721" s="39" t="n"/>
      <c r="AH721" s="39" t="n"/>
      <c r="AI721" t="inlineStr">
        <is>
          <t>RONALD ANTONIO TICONA ARONES</t>
        </is>
      </c>
      <c r="AJ721" t="inlineStr">
        <is>
          <t>41639626</t>
        </is>
      </c>
      <c r="AK721" t="inlineStr">
        <is>
          <t>Av. Gregorio Escobedo 426 Dpto. N°402 - Jesus Maria.</t>
        </is>
      </c>
      <c r="AM721" t="inlineStr">
        <is>
          <t>959833373</t>
        </is>
      </c>
      <c r="AN721" t="inlineStr">
        <is>
          <t>gr103@gmail.com</t>
        </is>
      </c>
      <c r="AO721" t="inlineStr">
        <is>
          <t>LIMA</t>
        </is>
      </c>
      <c r="AP721" t="inlineStr">
        <is>
          <t>JESUS MARIA</t>
        </is>
      </c>
      <c r="AQ721" s="75" t="n">
        <v>46142</v>
      </c>
      <c r="AR721" s="75" t="n">
        <v>46142</v>
      </c>
      <c r="AS721" t="inlineStr">
        <is>
          <t>CUOTA INICIAL</t>
        </is>
      </c>
      <c r="AT721" t="n">
        <v>3</v>
      </c>
      <c r="AU721" t="n">
        <v>0</v>
      </c>
      <c r="AV721" t="n">
        <v>0</v>
      </c>
      <c r="AW721" t="n">
        <v>0</v>
      </c>
      <c r="AX721" s="39" t="n">
        <v>0</v>
      </c>
      <c r="AY721" s="39" t="n">
        <v>10000</v>
      </c>
      <c r="AZ721" s="39" t="n">
        <v>0</v>
      </c>
      <c r="BA721" t="n">
        <v>0</v>
      </c>
      <c r="BB721" t="inlineStr">
        <is>
          <t>Crédito Hipotecario</t>
        </is>
      </c>
      <c r="BC721" t="inlineStr">
        <is>
          <t>Banco de Credito del Perú</t>
        </is>
      </c>
      <c r="BD721" t="inlineStr">
        <is>
          <t>194-7325779-0-65</t>
        </is>
      </c>
      <c r="BE721" t="inlineStr">
        <is>
          <t>TRANSFERENCIA BANCARIA</t>
        </is>
      </c>
      <c r="BG721" t="inlineStr">
        <is>
          <t>06684580</t>
        </is>
      </c>
      <c r="BH721" t="inlineStr">
        <is>
          <t>No</t>
        </is>
      </c>
      <c r="BJ721" t="n">
        <v>4</v>
      </c>
      <c r="BK721" t="inlineStr">
        <is>
          <t>CANCELADO</t>
        </is>
      </c>
      <c r="BV721" t="inlineStr">
        <is>
          <t>Si</t>
        </is>
      </c>
      <c r="BW721" s="76" t="n">
        <v>46181.41111111111</v>
      </c>
      <c r="BX721" t="inlineStr">
        <is>
          <t>Kenny Salazar S</t>
        </is>
      </c>
      <c r="BZ721" t="n">
        <v>37</v>
      </c>
      <c r="CA721" t="inlineStr">
        <is>
          <t>17/08/2026 09:24</t>
        </is>
      </c>
      <c r="CB721" t="n">
        <v>0</v>
      </c>
      <c r="CF721" t="inlineStr">
        <is>
          <t>Cobranzas_2026.csv</t>
        </is>
      </c>
      <c r="CG721" t="n">
        <v>2026</v>
      </c>
      <c r="CH721" t="inlineStr">
        <is>
          <t>01/01/2024</t>
        </is>
      </c>
      <c r="CI721" t="inlineStr">
        <is>
          <t>24/08/2031</t>
        </is>
      </c>
    </row>
    <row r="722">
      <c r="A722" t="inlineStr">
        <is>
          <t>RESIDENCIAL BEYOND</t>
        </is>
      </c>
      <c r="B722" t="inlineStr">
        <is>
          <t>Etapa 1</t>
        </is>
      </c>
      <c r="C722" t="inlineStr">
        <is>
          <t>Edificio</t>
        </is>
      </c>
      <c r="D722" t="inlineStr">
        <is>
          <t>A</t>
        </is>
      </c>
      <c r="E722" t="inlineStr">
        <is>
          <t>Departamento</t>
        </is>
      </c>
      <c r="F722" t="inlineStr">
        <is>
          <t>703</t>
        </is>
      </c>
      <c r="G722" t="n">
        <v>68</v>
      </c>
      <c r="H722" t="n">
        <v>0</v>
      </c>
      <c r="I722" s="39" t="n">
        <v>474700</v>
      </c>
      <c r="J722" s="39" t="n">
        <v>474700</v>
      </c>
      <c r="K722" t="inlineStr">
        <is>
          <t>Edificio</t>
        </is>
      </c>
      <c r="L722" t="inlineStr">
        <is>
          <t>A</t>
        </is>
      </c>
      <c r="M722" t="inlineStr">
        <is>
          <t>Departamento</t>
        </is>
      </c>
      <c r="N722" t="inlineStr">
        <is>
          <t>704</t>
        </is>
      </c>
      <c r="O722" t="n">
        <v>67</v>
      </c>
      <c r="P722" t="n">
        <v>0</v>
      </c>
      <c r="Q722" s="39" t="n">
        <v>468000</v>
      </c>
      <c r="R722" s="39" t="n">
        <v>468000</v>
      </c>
      <c r="Y722" s="39" t="n"/>
      <c r="Z722" s="39" t="n"/>
      <c r="AG722" s="39" t="n"/>
      <c r="AH722" s="39" t="n"/>
      <c r="AI722" t="inlineStr">
        <is>
          <t>RONALD ANTONIO TICONA ARONES</t>
        </is>
      </c>
      <c r="AJ722" t="inlineStr">
        <is>
          <t>41639626</t>
        </is>
      </c>
      <c r="AK722" t="inlineStr">
        <is>
          <t>Av. Gregorio Escobedo 426 Dpto. N°402 - Jesus Maria.</t>
        </is>
      </c>
      <c r="AM722" t="inlineStr">
        <is>
          <t>959833373</t>
        </is>
      </c>
      <c r="AN722" t="inlineStr">
        <is>
          <t>gr103@gmail.com</t>
        </is>
      </c>
      <c r="AO722" t="inlineStr">
        <is>
          <t>LIMA</t>
        </is>
      </c>
      <c r="AP722" t="inlineStr">
        <is>
          <t>JESUS MARIA</t>
        </is>
      </c>
      <c r="AQ722" s="75" t="n">
        <v>46172</v>
      </c>
      <c r="AR722" s="75" t="n"/>
      <c r="AS722" t="inlineStr">
        <is>
          <t>SALDO FINANCIAR</t>
        </is>
      </c>
      <c r="AT722" t="n">
        <v>1</v>
      </c>
      <c r="AU722" t="n">
        <v>848430</v>
      </c>
      <c r="AV722" t="n">
        <v>0</v>
      </c>
      <c r="AW722" t="n">
        <v>0</v>
      </c>
      <c r="AX722" s="39" t="n">
        <v>848430</v>
      </c>
      <c r="AY722" s="39" t="n">
        <v>0</v>
      </c>
      <c r="AZ722" s="39" t="n">
        <v>848430</v>
      </c>
      <c r="BB722" t="inlineStr">
        <is>
          <t>Crédito Hipotecario</t>
        </is>
      </c>
      <c r="BH722" t="inlineStr">
        <is>
          <t>No</t>
        </is>
      </c>
      <c r="BK722" t="inlineStr">
        <is>
          <t>VENCIDO</t>
        </is>
      </c>
      <c r="BV722" t="inlineStr">
        <is>
          <t>No</t>
        </is>
      </c>
      <c r="BW722" s="76" t="n">
        <v>46181.41111111111</v>
      </c>
      <c r="BX722" t="inlineStr">
        <is>
          <t>Kenny Salazar S</t>
        </is>
      </c>
      <c r="BZ722" t="n">
        <v>37</v>
      </c>
      <c r="CB722" t="n">
        <v>0</v>
      </c>
      <c r="CF722" t="inlineStr">
        <is>
          <t>Cobranzas_2026.csv</t>
        </is>
      </c>
      <c r="CG722" t="n">
        <v>2026</v>
      </c>
      <c r="CH722" t="inlineStr">
        <is>
          <t>01/01/2024</t>
        </is>
      </c>
      <c r="CI722" t="inlineStr">
        <is>
          <t>24/08/2031</t>
        </is>
      </c>
    </row>
    <row r="723">
      <c r="A723" t="inlineStr">
        <is>
          <t>RESIDENCIAL BEYOND</t>
        </is>
      </c>
      <c r="B723" t="inlineStr">
        <is>
          <t>Etapa 1</t>
        </is>
      </c>
      <c r="C723" t="inlineStr">
        <is>
          <t>Edificio</t>
        </is>
      </c>
      <c r="D723" t="inlineStr">
        <is>
          <t>A</t>
        </is>
      </c>
      <c r="E723" t="inlineStr">
        <is>
          <t>Departamento</t>
        </is>
      </c>
      <c r="F723" t="inlineStr">
        <is>
          <t>504</t>
        </is>
      </c>
      <c r="G723" t="n">
        <v>67</v>
      </c>
      <c r="H723" t="n">
        <v>0</v>
      </c>
      <c r="I723" s="39" t="n">
        <v>498000</v>
      </c>
      <c r="J723" s="39" t="n">
        <v>464400</v>
      </c>
      <c r="K723" t="inlineStr">
        <is>
          <t>Edificio</t>
        </is>
      </c>
      <c r="L723" t="inlineStr">
        <is>
          <t>A</t>
        </is>
      </c>
      <c r="M723" t="inlineStr">
        <is>
          <t>Estacionamiento</t>
        </is>
      </c>
      <c r="N723" t="inlineStr">
        <is>
          <t>E 07</t>
        </is>
      </c>
      <c r="O723" t="n">
        <v>12</v>
      </c>
      <c r="P723" t="n">
        <v>0</v>
      </c>
      <c r="Q723" s="39" t="n">
        <v>45600</v>
      </c>
      <c r="R723" s="39" t="n">
        <v>45600</v>
      </c>
      <c r="Y723" s="39" t="n"/>
      <c r="Z723" s="39" t="n"/>
      <c r="AG723" s="39" t="n"/>
      <c r="AH723" s="39" t="n"/>
      <c r="AI723" t="inlineStr">
        <is>
          <t>Ronald José Claudio Ramírez</t>
        </is>
      </c>
      <c r="AJ723" t="inlineStr">
        <is>
          <t>41129584</t>
        </is>
      </c>
      <c r="AK723" t="inlineStr">
        <is>
          <t>Av. Nicolas Allyon 7550 torre 2 dpto. 302</t>
        </is>
      </c>
      <c r="AL723" t="n">
        <v>0</v>
      </c>
      <c r="AM723" t="inlineStr">
        <is>
          <t>991470542</t>
        </is>
      </c>
      <c r="AN723" t="inlineStr">
        <is>
          <t>ronald.claudio@gmail.com</t>
        </is>
      </c>
      <c r="AO723" t="inlineStr">
        <is>
          <t>LIMA</t>
        </is>
      </c>
      <c r="AP723" t="inlineStr">
        <is>
          <t>ATE</t>
        </is>
      </c>
      <c r="AQ723" s="75" t="n">
        <v>46071</v>
      </c>
      <c r="AR723" s="75" t="n">
        <v>46070</v>
      </c>
      <c r="AS723" t="inlineStr">
        <is>
          <t>CUOTA INICIAL</t>
        </is>
      </c>
      <c r="AT723" t="n">
        <v>1</v>
      </c>
      <c r="AU723" t="n">
        <v>0</v>
      </c>
      <c r="AV723" t="n">
        <v>0</v>
      </c>
      <c r="AW723" t="n">
        <v>0</v>
      </c>
      <c r="AX723" s="39" t="n">
        <v>49500</v>
      </c>
      <c r="AY723" s="39" t="n">
        <v>25000</v>
      </c>
      <c r="AZ723" s="39" t="n">
        <v>0</v>
      </c>
      <c r="BA723" t="n">
        <v>0</v>
      </c>
      <c r="BB723" t="inlineStr">
        <is>
          <t>Ahorro</t>
        </is>
      </c>
      <c r="BC723" t="inlineStr">
        <is>
          <t>Banco de Credito del Perú</t>
        </is>
      </c>
      <c r="BD723" t="inlineStr">
        <is>
          <t>194-7325779-0-65</t>
        </is>
      </c>
      <c r="BE723" t="inlineStr">
        <is>
          <t>TRANSFERENCIA BANCARIA</t>
        </is>
      </c>
      <c r="BG723" t="inlineStr">
        <is>
          <t>01529879</t>
        </is>
      </c>
      <c r="BH723" t="inlineStr">
        <is>
          <t>No</t>
        </is>
      </c>
      <c r="BJ723" t="n">
        <v>4</v>
      </c>
      <c r="BK723" t="inlineStr">
        <is>
          <t>CANCELADO</t>
        </is>
      </c>
      <c r="BV723" t="inlineStr">
        <is>
          <t>Si</t>
        </is>
      </c>
      <c r="BW723" s="76" t="n">
        <v>46071.40208333333</v>
      </c>
      <c r="BX723" t="inlineStr">
        <is>
          <t>Magaly Guevara Perez</t>
        </is>
      </c>
      <c r="BZ723" t="n">
        <v>32</v>
      </c>
      <c r="CA723" t="inlineStr">
        <is>
          <t>13/08/2026 17:18</t>
        </is>
      </c>
      <c r="CB723" t="n">
        <v>0</v>
      </c>
      <c r="CF723" t="inlineStr">
        <is>
          <t>Cobranzas_2026.csv</t>
        </is>
      </c>
      <c r="CG723" t="n">
        <v>2026</v>
      </c>
      <c r="CH723" t="inlineStr">
        <is>
          <t>01/01/2024</t>
        </is>
      </c>
      <c r="CI723" t="inlineStr">
        <is>
          <t>24/08/2031</t>
        </is>
      </c>
    </row>
    <row r="724">
      <c r="A724" t="inlineStr">
        <is>
          <t>RESIDENCIAL BEYOND</t>
        </is>
      </c>
      <c r="B724" t="inlineStr">
        <is>
          <t>Etapa 1</t>
        </is>
      </c>
      <c r="C724" t="inlineStr">
        <is>
          <t>Edificio</t>
        </is>
      </c>
      <c r="D724" t="inlineStr">
        <is>
          <t>A</t>
        </is>
      </c>
      <c r="E724" t="inlineStr">
        <is>
          <t>Departamento</t>
        </is>
      </c>
      <c r="F724" t="inlineStr">
        <is>
          <t>504</t>
        </is>
      </c>
      <c r="G724" t="n">
        <v>67</v>
      </c>
      <c r="H724" t="n">
        <v>0</v>
      </c>
      <c r="I724" s="39" t="n">
        <v>498000</v>
      </c>
      <c r="J724" s="39" t="n">
        <v>464400</v>
      </c>
      <c r="K724" t="inlineStr">
        <is>
          <t>Edificio</t>
        </is>
      </c>
      <c r="L724" t="inlineStr">
        <is>
          <t>A</t>
        </is>
      </c>
      <c r="M724" t="inlineStr">
        <is>
          <t>Estacionamiento</t>
        </is>
      </c>
      <c r="N724" t="inlineStr">
        <is>
          <t>E 07</t>
        </is>
      </c>
      <c r="O724" t="n">
        <v>12</v>
      </c>
      <c r="P724" t="n">
        <v>0</v>
      </c>
      <c r="Q724" s="39" t="n">
        <v>45600</v>
      </c>
      <c r="R724" s="39" t="n">
        <v>45600</v>
      </c>
      <c r="Y724" s="39" t="n"/>
      <c r="Z724" s="39" t="n"/>
      <c r="AG724" s="39" t="n"/>
      <c r="AH724" s="39" t="n"/>
      <c r="AI724" t="inlineStr">
        <is>
          <t>Ronald José Claudio Ramírez</t>
        </is>
      </c>
      <c r="AJ724" t="inlineStr">
        <is>
          <t>41129584</t>
        </is>
      </c>
      <c r="AK724" t="inlineStr">
        <is>
          <t>Av. Nicolas Allyon 7550 torre 2 dpto. 302</t>
        </is>
      </c>
      <c r="AL724" t="n">
        <v>0</v>
      </c>
      <c r="AM724" t="inlineStr">
        <is>
          <t>991470542</t>
        </is>
      </c>
      <c r="AN724" t="inlineStr">
        <is>
          <t>ronald.claudio@gmail.com</t>
        </is>
      </c>
      <c r="AO724" t="inlineStr">
        <is>
          <t>LIMA</t>
        </is>
      </c>
      <c r="AP724" t="inlineStr">
        <is>
          <t>ATE</t>
        </is>
      </c>
      <c r="AQ724" s="75" t="n">
        <v>46071</v>
      </c>
      <c r="AR724" s="75" t="n">
        <v>46071</v>
      </c>
      <c r="AS724" t="inlineStr">
        <is>
          <t>CUOTA INICIAL</t>
        </is>
      </c>
      <c r="AT724" t="n">
        <v>1</v>
      </c>
      <c r="AU724" t="n">
        <v>49500</v>
      </c>
      <c r="AV724" t="n">
        <v>0</v>
      </c>
      <c r="AW724" t="n">
        <v>0</v>
      </c>
      <c r="AX724" s="39" t="n">
        <v>0</v>
      </c>
      <c r="AY724" s="39" t="n">
        <v>24500</v>
      </c>
      <c r="AZ724" s="39" t="n">
        <v>0</v>
      </c>
      <c r="BA724" t="n">
        <v>0</v>
      </c>
      <c r="BB724" t="inlineStr">
        <is>
          <t>Ahorro</t>
        </is>
      </c>
      <c r="BC724" t="inlineStr">
        <is>
          <t>Banco de Credito del Perú</t>
        </is>
      </c>
      <c r="BD724" t="inlineStr">
        <is>
          <t>194-7325779-0-65</t>
        </is>
      </c>
      <c r="BE724" t="inlineStr">
        <is>
          <t>TRANSFERENCIA BANCARIA</t>
        </is>
      </c>
      <c r="BG724" t="inlineStr">
        <is>
          <t>00471002</t>
        </is>
      </c>
      <c r="BH724" t="inlineStr">
        <is>
          <t>No</t>
        </is>
      </c>
      <c r="BJ724" t="n">
        <v>4</v>
      </c>
      <c r="BK724" t="inlineStr">
        <is>
          <t>CANCELADO</t>
        </is>
      </c>
      <c r="BV724" t="inlineStr">
        <is>
          <t>Si</t>
        </is>
      </c>
      <c r="BW724" s="76" t="n">
        <v>46071.40208333333</v>
      </c>
      <c r="BX724" t="inlineStr">
        <is>
          <t>Magaly Guevara Perez</t>
        </is>
      </c>
      <c r="BZ724" t="n">
        <v>32</v>
      </c>
      <c r="CA724" t="inlineStr">
        <is>
          <t>13/08/2026 17:20</t>
        </is>
      </c>
      <c r="CB724" t="n">
        <v>0</v>
      </c>
      <c r="CF724" t="inlineStr">
        <is>
          <t>Cobranzas_2026.csv</t>
        </is>
      </c>
      <c r="CG724" t="n">
        <v>2026</v>
      </c>
      <c r="CH724" t="inlineStr">
        <is>
          <t>01/01/2024</t>
        </is>
      </c>
      <c r="CI724" t="inlineStr">
        <is>
          <t>24/08/2031</t>
        </is>
      </c>
    </row>
    <row r="725">
      <c r="A725" t="inlineStr">
        <is>
          <t>RESIDENCIAL BEYOND</t>
        </is>
      </c>
      <c r="B725" t="inlineStr">
        <is>
          <t>Etapa 1</t>
        </is>
      </c>
      <c r="C725" t="inlineStr">
        <is>
          <t>Edificio</t>
        </is>
      </c>
      <c r="D725" t="inlineStr">
        <is>
          <t>A</t>
        </is>
      </c>
      <c r="E725" t="inlineStr">
        <is>
          <t>Departamento</t>
        </is>
      </c>
      <c r="F725" t="inlineStr">
        <is>
          <t>504</t>
        </is>
      </c>
      <c r="G725" t="n">
        <v>67</v>
      </c>
      <c r="H725" t="n">
        <v>0</v>
      </c>
      <c r="I725" s="39" t="n">
        <v>498000</v>
      </c>
      <c r="J725" s="39" t="n">
        <v>464400</v>
      </c>
      <c r="K725" t="inlineStr">
        <is>
          <t>Edificio</t>
        </is>
      </c>
      <c r="L725" t="inlineStr">
        <is>
          <t>A</t>
        </is>
      </c>
      <c r="M725" t="inlineStr">
        <is>
          <t>Estacionamiento</t>
        </is>
      </c>
      <c r="N725" t="inlineStr">
        <is>
          <t>E 07</t>
        </is>
      </c>
      <c r="O725" t="n">
        <v>12</v>
      </c>
      <c r="P725" t="n">
        <v>0</v>
      </c>
      <c r="Q725" s="39" t="n">
        <v>45600</v>
      </c>
      <c r="R725" s="39" t="n">
        <v>45600</v>
      </c>
      <c r="Y725" s="39" t="n"/>
      <c r="Z725" s="39" t="n"/>
      <c r="AG725" s="39" t="n"/>
      <c r="AH725" s="39" t="n"/>
      <c r="AI725" t="inlineStr">
        <is>
          <t>Ronald José Claudio Ramírez</t>
        </is>
      </c>
      <c r="AJ725" t="inlineStr">
        <is>
          <t>41129584</t>
        </is>
      </c>
      <c r="AK725" t="inlineStr">
        <is>
          <t>Av. Nicolas Allyon 7550 torre 2 dpto. 302</t>
        </is>
      </c>
      <c r="AL725" t="n">
        <v>0</v>
      </c>
      <c r="AM725" t="inlineStr">
        <is>
          <t>991470542</t>
        </is>
      </c>
      <c r="AN725" t="inlineStr">
        <is>
          <t>ronald.claudio@gmail.com</t>
        </is>
      </c>
      <c r="AO725" t="inlineStr">
        <is>
          <t>LIMA</t>
        </is>
      </c>
      <c r="AP725" t="inlineStr">
        <is>
          <t>ATE</t>
        </is>
      </c>
      <c r="AQ725" s="75" t="n">
        <v>46233</v>
      </c>
      <c r="AR725" s="75" t="n"/>
      <c r="AS725" t="inlineStr">
        <is>
          <t>CUOTA INICIAL</t>
        </is>
      </c>
      <c r="AT725" t="n">
        <v>2</v>
      </c>
      <c r="AU725" t="n">
        <v>49500</v>
      </c>
      <c r="AV725" t="n">
        <v>0</v>
      </c>
      <c r="AW725" t="n">
        <v>0</v>
      </c>
      <c r="AX725" s="39" t="n">
        <v>49500</v>
      </c>
      <c r="AY725" s="39" t="n">
        <v>0</v>
      </c>
      <c r="AZ725" s="39" t="n">
        <v>49500</v>
      </c>
      <c r="BB725" t="inlineStr">
        <is>
          <t>Ahorro</t>
        </is>
      </c>
      <c r="BH725" t="inlineStr">
        <is>
          <t>No</t>
        </is>
      </c>
      <c r="BK725" t="inlineStr">
        <is>
          <t>VENCIDO</t>
        </is>
      </c>
      <c r="BV725" t="inlineStr">
        <is>
          <t>No</t>
        </is>
      </c>
      <c r="BW725" s="76" t="n">
        <v>46071.40208333333</v>
      </c>
      <c r="BX725" t="inlineStr">
        <is>
          <t>Magaly Guevara Perez</t>
        </is>
      </c>
      <c r="BZ725" t="n">
        <v>32</v>
      </c>
      <c r="CB725" t="n">
        <v>0</v>
      </c>
      <c r="CF725" t="inlineStr">
        <is>
          <t>Cobranzas_2026.csv</t>
        </is>
      </c>
      <c r="CG725" t="n">
        <v>2026</v>
      </c>
      <c r="CH725" t="inlineStr">
        <is>
          <t>01/01/2024</t>
        </is>
      </c>
      <c r="CI725" t="inlineStr">
        <is>
          <t>24/08/2031</t>
        </is>
      </c>
    </row>
    <row r="726">
      <c r="A726" t="inlineStr">
        <is>
          <t>RESIDENCIAL BEYOND</t>
        </is>
      </c>
      <c r="B726" t="inlineStr">
        <is>
          <t>Etapa 1</t>
        </is>
      </c>
      <c r="C726" t="inlineStr">
        <is>
          <t>Edificio</t>
        </is>
      </c>
      <c r="D726" t="inlineStr">
        <is>
          <t>A</t>
        </is>
      </c>
      <c r="E726" t="inlineStr">
        <is>
          <t>Departamento</t>
        </is>
      </c>
      <c r="F726" t="inlineStr">
        <is>
          <t>504</t>
        </is>
      </c>
      <c r="G726" t="n">
        <v>67</v>
      </c>
      <c r="H726" t="n">
        <v>0</v>
      </c>
      <c r="I726" s="39" t="n">
        <v>498000</v>
      </c>
      <c r="J726" s="39" t="n">
        <v>464400</v>
      </c>
      <c r="K726" t="inlineStr">
        <is>
          <t>Edificio</t>
        </is>
      </c>
      <c r="L726" t="inlineStr">
        <is>
          <t>A</t>
        </is>
      </c>
      <c r="M726" t="inlineStr">
        <is>
          <t>Estacionamiento</t>
        </is>
      </c>
      <c r="N726" t="inlineStr">
        <is>
          <t>E 07</t>
        </is>
      </c>
      <c r="O726" t="n">
        <v>12</v>
      </c>
      <c r="P726" t="n">
        <v>0</v>
      </c>
      <c r="Q726" s="39" t="n">
        <v>45600</v>
      </c>
      <c r="R726" s="39" t="n">
        <v>45600</v>
      </c>
      <c r="Y726" s="39" t="n"/>
      <c r="Z726" s="39" t="n"/>
      <c r="AG726" s="39" t="n"/>
      <c r="AH726" s="39" t="n"/>
      <c r="AI726" t="inlineStr">
        <is>
          <t>Ronald José Claudio Ramírez</t>
        </is>
      </c>
      <c r="AJ726" t="inlineStr">
        <is>
          <t>41129584</t>
        </is>
      </c>
      <c r="AK726" t="inlineStr">
        <is>
          <t>Av. Nicolas Allyon 7550 torre 2 dpto. 302</t>
        </is>
      </c>
      <c r="AL726" t="n">
        <v>0</v>
      </c>
      <c r="AM726" t="inlineStr">
        <is>
          <t>991470542</t>
        </is>
      </c>
      <c r="AN726" t="inlineStr">
        <is>
          <t>ronald.claudio@gmail.com</t>
        </is>
      </c>
      <c r="AO726" t="inlineStr">
        <is>
          <t>LIMA</t>
        </is>
      </c>
      <c r="AP726" t="inlineStr">
        <is>
          <t>ATE</t>
        </is>
      </c>
      <c r="AQ726" s="75" t="n">
        <v>46295</v>
      </c>
      <c r="AR726" s="75" t="n"/>
      <c r="AS726" t="inlineStr">
        <is>
          <t>SALDO FINANCIAR</t>
        </is>
      </c>
      <c r="AT726" t="n">
        <v>1</v>
      </c>
      <c r="AU726" t="n">
        <v>408000</v>
      </c>
      <c r="AV726" t="n">
        <v>0</v>
      </c>
      <c r="AW726" t="n">
        <v>0</v>
      </c>
      <c r="AX726" s="39" t="n">
        <v>408000</v>
      </c>
      <c r="AY726" s="39" t="n">
        <v>0</v>
      </c>
      <c r="AZ726" s="39" t="n">
        <v>408000</v>
      </c>
      <c r="BB726" t="inlineStr">
        <is>
          <t>Ahorro</t>
        </is>
      </c>
      <c r="BH726" t="inlineStr">
        <is>
          <t>No</t>
        </is>
      </c>
      <c r="BK726" t="inlineStr">
        <is>
          <t>PENDIENTE</t>
        </is>
      </c>
      <c r="BV726" t="inlineStr">
        <is>
          <t>No</t>
        </is>
      </c>
      <c r="BW726" s="76" t="n">
        <v>46071.40208333333</v>
      </c>
      <c r="BX726" t="inlineStr">
        <is>
          <t>Magaly Guevara Perez</t>
        </is>
      </c>
      <c r="BZ726" t="n">
        <v>32</v>
      </c>
      <c r="CB726" t="n">
        <v>0</v>
      </c>
      <c r="CF726" t="inlineStr">
        <is>
          <t>Cobranzas_2026.csv</t>
        </is>
      </c>
      <c r="CG726" t="n">
        <v>2026</v>
      </c>
      <c r="CH726" t="inlineStr">
        <is>
          <t>01/01/2024</t>
        </is>
      </c>
      <c r="CI726" t="inlineStr">
        <is>
          <t>24/08/2031</t>
        </is>
      </c>
    </row>
    <row r="727">
      <c r="A727" t="inlineStr">
        <is>
          <t>RESIDENCIAL PRADA</t>
        </is>
      </c>
      <c r="B727" t="inlineStr">
        <is>
          <t>Etapa 1</t>
        </is>
      </c>
      <c r="C727" t="inlineStr">
        <is>
          <t>Edificio</t>
        </is>
      </c>
      <c r="D727" t="inlineStr">
        <is>
          <t>A</t>
        </is>
      </c>
      <c r="E727" t="inlineStr">
        <is>
          <t>Departamento</t>
        </is>
      </c>
      <c r="F727" t="inlineStr">
        <is>
          <t>1005</t>
        </is>
      </c>
      <c r="G727" t="n">
        <v>68.72</v>
      </c>
      <c r="H727" t="n">
        <v>0</v>
      </c>
      <c r="I727" s="39" t="n">
        <v>480000</v>
      </c>
      <c r="J727" s="39" t="n">
        <v>480000</v>
      </c>
      <c r="Q727" s="39" t="n"/>
      <c r="R727" s="39" t="n"/>
      <c r="Y727" s="39" t="n"/>
      <c r="Z727" s="39" t="n"/>
      <c r="AG727" s="39" t="n"/>
      <c r="AH727" s="39" t="n"/>
      <c r="AI727" t="inlineStr">
        <is>
          <t>STEPHANIE LIZETH AQUINO HERRERA</t>
        </is>
      </c>
      <c r="AJ727" t="inlineStr">
        <is>
          <t>70292339</t>
        </is>
      </c>
      <c r="AK727" t="inlineStr">
        <is>
          <t xml:space="preserve">Jr. Juan Olaechea Arnao 1217 URB. Elio 1era Et. Lima - Lima </t>
        </is>
      </c>
      <c r="AL727" t="n">
        <v>966050658</v>
      </c>
      <c r="AM727" t="inlineStr">
        <is>
          <t>966050658</t>
        </is>
      </c>
      <c r="AN727" t="inlineStr">
        <is>
          <t>nxtsyox@gmail.com</t>
        </is>
      </c>
      <c r="AO727" t="inlineStr">
        <is>
          <t>LIMA</t>
        </is>
      </c>
      <c r="AP727" t="inlineStr">
        <is>
          <t>PUEBLO LIBRE</t>
        </is>
      </c>
      <c r="AQ727" s="75" t="n">
        <v>46111</v>
      </c>
      <c r="AR727" s="75" t="n">
        <v>46111</v>
      </c>
      <c r="AS727" t="inlineStr">
        <is>
          <t>SEPARACION</t>
        </is>
      </c>
      <c r="AT727" t="n">
        <v>1</v>
      </c>
      <c r="AU727" t="n">
        <v>3000</v>
      </c>
      <c r="AV727" t="n">
        <v>0</v>
      </c>
      <c r="AW727" t="n">
        <v>0</v>
      </c>
      <c r="AX727" s="39" t="n">
        <v>3000</v>
      </c>
      <c r="AY727" s="39" t="n">
        <v>3000</v>
      </c>
      <c r="AZ727" s="39" t="n">
        <v>0</v>
      </c>
      <c r="BA727" t="n">
        <v>0</v>
      </c>
      <c r="BB727" t="inlineStr">
        <is>
          <t>Crédito Hipotecario</t>
        </is>
      </c>
      <c r="BC727" t="inlineStr">
        <is>
          <t>Scotiabank Perú</t>
        </is>
      </c>
      <c r="BD727" t="inlineStr">
        <is>
          <t>000-2768484</t>
        </is>
      </c>
      <c r="BE727" t="inlineStr">
        <is>
          <t>TRANSFERENCIA BANCARIA</t>
        </is>
      </c>
      <c r="BG727" t="inlineStr">
        <is>
          <t>60423122</t>
        </is>
      </c>
      <c r="BH727" t="inlineStr">
        <is>
          <t>No</t>
        </is>
      </c>
      <c r="BJ727" t="n">
        <v>4</v>
      </c>
      <c r="BK727" t="inlineStr">
        <is>
          <t>CANCELADO</t>
        </is>
      </c>
      <c r="BV727" t="inlineStr">
        <is>
          <t>Si</t>
        </is>
      </c>
      <c r="BW727" s="76" t="n">
        <v>46112.58958333333</v>
      </c>
      <c r="BX727" t="inlineStr">
        <is>
          <t>Kenny Salazar S</t>
        </is>
      </c>
      <c r="BZ727" t="n">
        <v>48</v>
      </c>
      <c r="CA727" t="inlineStr">
        <is>
          <t>03/06/2026 15:38</t>
        </is>
      </c>
      <c r="CB727" t="n">
        <v>0</v>
      </c>
      <c r="CF727" t="inlineStr">
        <is>
          <t>Cobranzas_2026.csv</t>
        </is>
      </c>
      <c r="CG727" t="n">
        <v>2026</v>
      </c>
      <c r="CH727" t="inlineStr">
        <is>
          <t>01/01/2024</t>
        </is>
      </c>
      <c r="CI727" t="inlineStr">
        <is>
          <t>24/08/2031</t>
        </is>
      </c>
    </row>
    <row r="728">
      <c r="A728" t="inlineStr">
        <is>
          <t>RESIDENCIAL PRADA</t>
        </is>
      </c>
      <c r="B728" t="inlineStr">
        <is>
          <t>Etapa 1</t>
        </is>
      </c>
      <c r="C728" t="inlineStr">
        <is>
          <t>Edificio</t>
        </is>
      </c>
      <c r="D728" t="inlineStr">
        <is>
          <t>A</t>
        </is>
      </c>
      <c r="E728" t="inlineStr">
        <is>
          <t>Departamento</t>
        </is>
      </c>
      <c r="F728" t="inlineStr">
        <is>
          <t>1005</t>
        </is>
      </c>
      <c r="G728" t="n">
        <v>68.72</v>
      </c>
      <c r="H728" t="n">
        <v>0</v>
      </c>
      <c r="I728" s="39" t="n">
        <v>480000</v>
      </c>
      <c r="J728" s="39" t="n">
        <v>480000</v>
      </c>
      <c r="Q728" s="39" t="n"/>
      <c r="R728" s="39" t="n"/>
      <c r="Y728" s="39" t="n"/>
      <c r="Z728" s="39" t="n"/>
      <c r="AG728" s="39" t="n"/>
      <c r="AH728" s="39" t="n"/>
      <c r="AI728" t="inlineStr">
        <is>
          <t>STEPHANIE LIZETH AQUINO HERRERA</t>
        </is>
      </c>
      <c r="AJ728" t="inlineStr">
        <is>
          <t>70292339</t>
        </is>
      </c>
      <c r="AK728" t="inlineStr">
        <is>
          <t xml:space="preserve">Jr. Juan Olaechea Arnao 1217 URB. Elio 1era Et. Lima - Lima </t>
        </is>
      </c>
      <c r="AL728" t="n">
        <v>966050658</v>
      </c>
      <c r="AM728" t="inlineStr">
        <is>
          <t>966050658</t>
        </is>
      </c>
      <c r="AN728" t="inlineStr">
        <is>
          <t>nxtsyox@gmail.com</t>
        </is>
      </c>
      <c r="AO728" t="inlineStr">
        <is>
          <t>LIMA</t>
        </is>
      </c>
      <c r="AP728" t="inlineStr">
        <is>
          <t>PUEBLO LIBRE</t>
        </is>
      </c>
      <c r="AQ728" s="75" t="n">
        <v>46112</v>
      </c>
      <c r="AR728" s="75" t="n">
        <v>46112</v>
      </c>
      <c r="AS728" t="inlineStr">
        <is>
          <t>CUOTA INICIAL</t>
        </is>
      </c>
      <c r="AT728" t="n">
        <v>1</v>
      </c>
      <c r="AU728" t="n">
        <v>10000</v>
      </c>
      <c r="AV728" t="n">
        <v>0</v>
      </c>
      <c r="AW728" t="n">
        <v>0</v>
      </c>
      <c r="AX728" s="39" t="n">
        <v>10000</v>
      </c>
      <c r="AY728" s="39" t="n">
        <v>10000</v>
      </c>
      <c r="AZ728" s="39" t="n">
        <v>0</v>
      </c>
      <c r="BA728" t="n">
        <v>0</v>
      </c>
      <c r="BB728" t="inlineStr">
        <is>
          <t>Crédito Hipotecario</t>
        </is>
      </c>
      <c r="BC728" t="inlineStr">
        <is>
          <t>Scotiabank Perú</t>
        </is>
      </c>
      <c r="BD728" t="inlineStr">
        <is>
          <t>00917000000276848424</t>
        </is>
      </c>
      <c r="BE728" t="inlineStr">
        <is>
          <t>TRANSFERENCIA BANCARIA</t>
        </is>
      </c>
      <c r="BF728" t="inlineStr">
        <is>
          <t>70292339</t>
        </is>
      </c>
      <c r="BG728" t="inlineStr">
        <is>
          <t>06360653</t>
        </is>
      </c>
      <c r="BH728" t="inlineStr">
        <is>
          <t>No</t>
        </is>
      </c>
      <c r="BI728" t="inlineStr">
        <is>
          <t>NO PRECISA</t>
        </is>
      </c>
      <c r="BJ728" t="n">
        <v>4</v>
      </c>
      <c r="BK728" t="inlineStr">
        <is>
          <t>CANCELADO</t>
        </is>
      </c>
      <c r="BV728" t="inlineStr">
        <is>
          <t>Si</t>
        </is>
      </c>
      <c r="BW728" s="76" t="n">
        <v>46112.58958333333</v>
      </c>
      <c r="BX728" t="inlineStr">
        <is>
          <t>Kenny Salazar S</t>
        </is>
      </c>
      <c r="BZ728" t="n">
        <v>48</v>
      </c>
      <c r="CA728" t="inlineStr">
        <is>
          <t>05/06/2026 14:53</t>
        </is>
      </c>
      <c r="CB728" t="n">
        <v>0</v>
      </c>
      <c r="CF728" t="inlineStr">
        <is>
          <t>Cobranzas_2026.csv</t>
        </is>
      </c>
      <c r="CG728" t="n">
        <v>2026</v>
      </c>
      <c r="CH728" t="inlineStr">
        <is>
          <t>01/01/2024</t>
        </is>
      </c>
      <c r="CI728" t="inlineStr">
        <is>
          <t>24/08/2031</t>
        </is>
      </c>
    </row>
    <row r="729">
      <c r="A729" t="inlineStr">
        <is>
          <t>RESIDENCIAL PRADA</t>
        </is>
      </c>
      <c r="B729" t="inlineStr">
        <is>
          <t>Etapa 1</t>
        </is>
      </c>
      <c r="C729" t="inlineStr">
        <is>
          <t>Edificio</t>
        </is>
      </c>
      <c r="D729" t="inlineStr">
        <is>
          <t>A</t>
        </is>
      </c>
      <c r="E729" t="inlineStr">
        <is>
          <t>Departamento</t>
        </is>
      </c>
      <c r="F729" t="inlineStr">
        <is>
          <t>1005</t>
        </is>
      </c>
      <c r="G729" t="n">
        <v>68.72</v>
      </c>
      <c r="H729" t="n">
        <v>0</v>
      </c>
      <c r="I729" s="39" t="n">
        <v>480000</v>
      </c>
      <c r="J729" s="39" t="n">
        <v>480000</v>
      </c>
      <c r="Q729" s="39" t="n"/>
      <c r="R729" s="39" t="n"/>
      <c r="Y729" s="39" t="n"/>
      <c r="Z729" s="39" t="n"/>
      <c r="AG729" s="39" t="n"/>
      <c r="AH729" s="39" t="n"/>
      <c r="AI729" t="inlineStr">
        <is>
          <t>STEPHANIE LIZETH AQUINO HERRERA</t>
        </is>
      </c>
      <c r="AJ729" t="inlineStr">
        <is>
          <t>70292339</t>
        </is>
      </c>
      <c r="AK729" t="inlineStr">
        <is>
          <t xml:space="preserve">Jr. Juan Olaechea Arnao 1217 URB. Elio 1era Et. Lima - Lima </t>
        </is>
      </c>
      <c r="AL729" t="n">
        <v>966050658</v>
      </c>
      <c r="AM729" t="inlineStr">
        <is>
          <t>966050658</t>
        </is>
      </c>
      <c r="AN729" t="inlineStr">
        <is>
          <t>nxtsyox@gmail.com</t>
        </is>
      </c>
      <c r="AO729" t="inlineStr">
        <is>
          <t>LIMA</t>
        </is>
      </c>
      <c r="AP729" t="inlineStr">
        <is>
          <t>PUEBLO LIBRE</t>
        </is>
      </c>
      <c r="AQ729" s="75" t="n">
        <v>46142</v>
      </c>
      <c r="AR729" s="75" t="n">
        <v>46140</v>
      </c>
      <c r="AS729" t="inlineStr">
        <is>
          <t>CUOTA INICIAL</t>
        </is>
      </c>
      <c r="AT729" t="n">
        <v>2</v>
      </c>
      <c r="AU729" t="n">
        <v>11000</v>
      </c>
      <c r="AV729" t="n">
        <v>0</v>
      </c>
      <c r="AW729" t="n">
        <v>0</v>
      </c>
      <c r="AX729" s="39" t="n">
        <v>11000</v>
      </c>
      <c r="AY729" s="39" t="n">
        <v>11000</v>
      </c>
      <c r="AZ729" s="39" t="n">
        <v>0</v>
      </c>
      <c r="BA729" t="n">
        <v>0</v>
      </c>
      <c r="BB729" t="inlineStr">
        <is>
          <t>Crédito Hipotecario</t>
        </is>
      </c>
      <c r="BC729" t="inlineStr">
        <is>
          <t>Scotiabank Perú</t>
        </is>
      </c>
      <c r="BD729" t="inlineStr">
        <is>
          <t>000-2768484</t>
        </is>
      </c>
      <c r="BE729" t="inlineStr">
        <is>
          <t>TRANSFERENCIA BANCARIA</t>
        </is>
      </c>
      <c r="BF729" t="inlineStr">
        <is>
          <t>70292339</t>
        </is>
      </c>
      <c r="BG729" t="inlineStr">
        <is>
          <t>06494216</t>
        </is>
      </c>
      <c r="BH729" t="inlineStr">
        <is>
          <t>No</t>
        </is>
      </c>
      <c r="BI729" t="inlineStr">
        <is>
          <t>NO PRECISA</t>
        </is>
      </c>
      <c r="BJ729" t="n">
        <v>4</v>
      </c>
      <c r="BK729" t="inlineStr">
        <is>
          <t>CANCELADO</t>
        </is>
      </c>
      <c r="BV729" t="inlineStr">
        <is>
          <t>Si</t>
        </is>
      </c>
      <c r="BW729" s="76" t="n">
        <v>46112.58958333333</v>
      </c>
      <c r="BX729" t="inlineStr">
        <is>
          <t>Kenny Salazar S</t>
        </is>
      </c>
      <c r="BZ729" t="n">
        <v>48</v>
      </c>
      <c r="CA729" t="inlineStr">
        <is>
          <t>05/06/2026 14:54</t>
        </is>
      </c>
      <c r="CB729" t="n">
        <v>0</v>
      </c>
      <c r="CF729" t="inlineStr">
        <is>
          <t>Cobranzas_2026.csv</t>
        </is>
      </c>
      <c r="CG729" t="n">
        <v>2026</v>
      </c>
      <c r="CH729" t="inlineStr">
        <is>
          <t>01/01/2024</t>
        </is>
      </c>
      <c r="CI729" t="inlineStr">
        <is>
          <t>24/08/2031</t>
        </is>
      </c>
    </row>
    <row r="730">
      <c r="A730" t="inlineStr">
        <is>
          <t>RESIDENCIAL PRADA</t>
        </is>
      </c>
      <c r="B730" t="inlineStr">
        <is>
          <t>Etapa 1</t>
        </is>
      </c>
      <c r="C730" t="inlineStr">
        <is>
          <t>Edificio</t>
        </is>
      </c>
      <c r="D730" t="inlineStr">
        <is>
          <t>A</t>
        </is>
      </c>
      <c r="E730" t="inlineStr">
        <is>
          <t>Departamento</t>
        </is>
      </c>
      <c r="F730" t="inlineStr">
        <is>
          <t>1005</t>
        </is>
      </c>
      <c r="G730" t="n">
        <v>68.72</v>
      </c>
      <c r="H730" t="n">
        <v>0</v>
      </c>
      <c r="I730" s="39" t="n">
        <v>480000</v>
      </c>
      <c r="J730" s="39" t="n">
        <v>480000</v>
      </c>
      <c r="Q730" s="39" t="n"/>
      <c r="R730" s="39" t="n"/>
      <c r="Y730" s="39" t="n"/>
      <c r="Z730" s="39" t="n"/>
      <c r="AG730" s="39" t="n"/>
      <c r="AH730" s="39" t="n"/>
      <c r="AI730" t="inlineStr">
        <is>
          <t>STEPHANIE LIZETH AQUINO HERRERA</t>
        </is>
      </c>
      <c r="AJ730" t="inlineStr">
        <is>
          <t>70292339</t>
        </is>
      </c>
      <c r="AK730" t="inlineStr">
        <is>
          <t xml:space="preserve">Jr. Juan Olaechea Arnao 1217 URB. Elio 1era Et. Lima - Lima </t>
        </is>
      </c>
      <c r="AL730" t="n">
        <v>966050658</v>
      </c>
      <c r="AM730" t="inlineStr">
        <is>
          <t>966050658</t>
        </is>
      </c>
      <c r="AN730" t="inlineStr">
        <is>
          <t>nxtsyox@gmail.com</t>
        </is>
      </c>
      <c r="AO730" t="inlineStr">
        <is>
          <t>LIMA</t>
        </is>
      </c>
      <c r="AP730" t="inlineStr">
        <is>
          <t>PUEBLO LIBRE</t>
        </is>
      </c>
      <c r="AQ730" s="75" t="n">
        <v>46203</v>
      </c>
      <c r="AR730" s="75" t="n"/>
      <c r="AS730" t="inlineStr">
        <is>
          <t>CUOTA INICIAL</t>
        </is>
      </c>
      <c r="AT730" t="n">
        <v>3</v>
      </c>
      <c r="AU730" t="n">
        <v>24000</v>
      </c>
      <c r="AV730" t="n">
        <v>0</v>
      </c>
      <c r="AW730" t="n">
        <v>0</v>
      </c>
      <c r="AX730" s="39" t="n">
        <v>24000</v>
      </c>
      <c r="AY730" s="39" t="n">
        <v>0</v>
      </c>
      <c r="AZ730" s="39" t="n">
        <v>24000</v>
      </c>
      <c r="BB730" t="inlineStr">
        <is>
          <t>Crédito Hipotecario</t>
        </is>
      </c>
      <c r="BH730" t="inlineStr">
        <is>
          <t>No</t>
        </is>
      </c>
      <c r="BK730" t="inlineStr">
        <is>
          <t>VENCIDO</t>
        </is>
      </c>
      <c r="BV730" t="inlineStr">
        <is>
          <t>No</t>
        </is>
      </c>
      <c r="BW730" s="76" t="n">
        <v>46112.58958333333</v>
      </c>
      <c r="BX730" t="inlineStr">
        <is>
          <t>Kenny Salazar S</t>
        </is>
      </c>
      <c r="BZ730" t="n">
        <v>48</v>
      </c>
      <c r="CB730" t="n">
        <v>0</v>
      </c>
      <c r="CF730" t="inlineStr">
        <is>
          <t>Cobranzas_2026.csv</t>
        </is>
      </c>
      <c r="CG730" t="n">
        <v>2026</v>
      </c>
      <c r="CH730" t="inlineStr">
        <is>
          <t>01/01/2024</t>
        </is>
      </c>
      <c r="CI730" t="inlineStr">
        <is>
          <t>24/08/2031</t>
        </is>
      </c>
    </row>
    <row r="731">
      <c r="A731" t="inlineStr">
        <is>
          <t>RESIDENCIAL PRADA</t>
        </is>
      </c>
      <c r="B731" t="inlineStr">
        <is>
          <t>Etapa 1</t>
        </is>
      </c>
      <c r="C731" t="inlineStr">
        <is>
          <t>Edificio</t>
        </is>
      </c>
      <c r="D731" t="inlineStr">
        <is>
          <t>A</t>
        </is>
      </c>
      <c r="E731" t="inlineStr">
        <is>
          <t>Departamento</t>
        </is>
      </c>
      <c r="F731" t="inlineStr">
        <is>
          <t>1005</t>
        </is>
      </c>
      <c r="G731" t="n">
        <v>68.72</v>
      </c>
      <c r="H731" t="n">
        <v>0</v>
      </c>
      <c r="I731" s="39" t="n">
        <v>480000</v>
      </c>
      <c r="J731" s="39" t="n">
        <v>480000</v>
      </c>
      <c r="Q731" s="39" t="n"/>
      <c r="R731" s="39" t="n"/>
      <c r="Y731" s="39" t="n"/>
      <c r="Z731" s="39" t="n"/>
      <c r="AG731" s="39" t="n"/>
      <c r="AH731" s="39" t="n"/>
      <c r="AI731" t="inlineStr">
        <is>
          <t>STEPHANIE LIZETH AQUINO HERRERA</t>
        </is>
      </c>
      <c r="AJ731" t="inlineStr">
        <is>
          <t>70292339</t>
        </is>
      </c>
      <c r="AK731" t="inlineStr">
        <is>
          <t xml:space="preserve">Jr. Juan Olaechea Arnao 1217 URB. Elio 1era Et. Lima - Lima </t>
        </is>
      </c>
      <c r="AL731" t="n">
        <v>966050658</v>
      </c>
      <c r="AM731" t="inlineStr">
        <is>
          <t>966050658</t>
        </is>
      </c>
      <c r="AN731" t="inlineStr">
        <is>
          <t>nxtsyox@gmail.com</t>
        </is>
      </c>
      <c r="AO731" t="inlineStr">
        <is>
          <t>LIMA</t>
        </is>
      </c>
      <c r="AP731" t="inlineStr">
        <is>
          <t>PUEBLO LIBRE</t>
        </is>
      </c>
      <c r="AQ731" s="75" t="n">
        <v>46233</v>
      </c>
      <c r="AR731" s="75" t="n"/>
      <c r="AS731" t="inlineStr">
        <is>
          <t>SALDO FINANCIAR</t>
        </is>
      </c>
      <c r="AT731" t="n">
        <v>1</v>
      </c>
      <c r="AU731" t="n">
        <v>432000</v>
      </c>
      <c r="AV731" t="n">
        <v>0</v>
      </c>
      <c r="AW731" t="n">
        <v>0</v>
      </c>
      <c r="AX731" s="39" t="n">
        <v>432000</v>
      </c>
      <c r="AY731" s="39" t="n">
        <v>0</v>
      </c>
      <c r="AZ731" s="39" t="n">
        <v>432000</v>
      </c>
      <c r="BB731" t="inlineStr">
        <is>
          <t>Crédito Hipotecario</t>
        </is>
      </c>
      <c r="BH731" t="inlineStr">
        <is>
          <t>No</t>
        </is>
      </c>
      <c r="BK731" t="inlineStr">
        <is>
          <t>VENCIDO</t>
        </is>
      </c>
      <c r="BV731" t="inlineStr">
        <is>
          <t>No</t>
        </is>
      </c>
      <c r="BW731" s="76" t="n">
        <v>46112.58958333333</v>
      </c>
      <c r="BX731" t="inlineStr">
        <is>
          <t>Kenny Salazar S</t>
        </is>
      </c>
      <c r="BZ731" t="n">
        <v>48</v>
      </c>
      <c r="CB731" t="n">
        <v>0</v>
      </c>
      <c r="CF731" t="inlineStr">
        <is>
          <t>Cobranzas_2026.csv</t>
        </is>
      </c>
      <c r="CG731" t="n">
        <v>2026</v>
      </c>
      <c r="CH731" t="inlineStr">
        <is>
          <t>01/01/2024</t>
        </is>
      </c>
      <c r="CI731" t="inlineStr">
        <is>
          <t>24/08/2031</t>
        </is>
      </c>
    </row>
    <row r="732">
      <c r="A732" t="inlineStr">
        <is>
          <t>RESIDENCIAL PRADA</t>
        </is>
      </c>
      <c r="B732" t="inlineStr">
        <is>
          <t>Etapa 1</t>
        </is>
      </c>
      <c r="C732" t="inlineStr">
        <is>
          <t>Edificio</t>
        </is>
      </c>
      <c r="D732" t="inlineStr">
        <is>
          <t>A</t>
        </is>
      </c>
      <c r="E732" t="inlineStr">
        <is>
          <t>Departamento</t>
        </is>
      </c>
      <c r="F732" t="inlineStr">
        <is>
          <t>805</t>
        </is>
      </c>
      <c r="G732" t="n">
        <v>68.72</v>
      </c>
      <c r="H732" t="n">
        <v>0</v>
      </c>
      <c r="I732" s="39" t="n">
        <v>470500</v>
      </c>
      <c r="J732" s="39" t="n">
        <v>470500</v>
      </c>
      <c r="Q732" s="39" t="n"/>
      <c r="R732" s="39" t="n"/>
      <c r="Y732" s="39" t="n"/>
      <c r="Z732" s="39" t="n"/>
      <c r="AG732" s="39" t="n"/>
      <c r="AH732" s="39" t="n"/>
      <c r="AI732" t="inlineStr">
        <is>
          <t>Sussan Yassmine Rubin Domínguez</t>
        </is>
      </c>
      <c r="AJ732" t="inlineStr">
        <is>
          <t>46963168</t>
        </is>
      </c>
      <c r="AK732" t="inlineStr">
        <is>
          <t xml:space="preserve">URB LOS PORTALES MZ E LT 21 </t>
        </is>
      </c>
      <c r="AL732" t="n">
        <v>0</v>
      </c>
      <c r="AM732" t="inlineStr">
        <is>
          <t>962099777</t>
        </is>
      </c>
      <c r="AN732" t="inlineStr">
        <is>
          <t>yassmine.rubin12@gmail.com</t>
        </is>
      </c>
      <c r="AO732" t="inlineStr">
        <is>
          <t>HUANUCO</t>
        </is>
      </c>
      <c r="AP732" t="inlineStr">
        <is>
          <t>AMARILIS</t>
        </is>
      </c>
      <c r="AQ732" s="75" t="n">
        <v>46233</v>
      </c>
      <c r="AR732" s="75" t="n"/>
      <c r="AS732" t="inlineStr">
        <is>
          <t>SALDO FINANCIAR</t>
        </is>
      </c>
      <c r="AT732" t="n">
        <v>1</v>
      </c>
      <c r="AU732" t="n">
        <v>370500</v>
      </c>
      <c r="AV732" t="n">
        <v>0</v>
      </c>
      <c r="AW732" t="n">
        <v>0</v>
      </c>
      <c r="AX732" s="39" t="n">
        <v>370500</v>
      </c>
      <c r="AY732" s="39" t="n">
        <v>0</v>
      </c>
      <c r="AZ732" s="39" t="n">
        <v>370500</v>
      </c>
      <c r="BB732" t="inlineStr">
        <is>
          <t>Ahorro</t>
        </is>
      </c>
      <c r="BH732" t="inlineStr">
        <is>
          <t>No</t>
        </is>
      </c>
      <c r="BK732" t="inlineStr">
        <is>
          <t>VENCIDO</t>
        </is>
      </c>
      <c r="BV732" t="inlineStr">
        <is>
          <t>No</t>
        </is>
      </c>
      <c r="BW732" s="76" t="n">
        <v>45834.63611111111</v>
      </c>
      <c r="BX732" t="inlineStr">
        <is>
          <t>Magaly Guevara Perez</t>
        </is>
      </c>
      <c r="BZ732" t="n">
        <v>50</v>
      </c>
      <c r="CB732" t="n">
        <v>0</v>
      </c>
      <c r="CF732" t="inlineStr">
        <is>
          <t>Cobranzas_2026.csv</t>
        </is>
      </c>
      <c r="CG732" t="n">
        <v>2026</v>
      </c>
      <c r="CH732" t="inlineStr">
        <is>
          <t>01/01/2024</t>
        </is>
      </c>
      <c r="CI732" t="inlineStr">
        <is>
          <t>24/08/2031</t>
        </is>
      </c>
    </row>
    <row r="733">
      <c r="A733" t="inlineStr">
        <is>
          <t>RESIDENCIAL BEYOND</t>
        </is>
      </c>
      <c r="B733" t="inlineStr">
        <is>
          <t>Etapa 1</t>
        </is>
      </c>
      <c r="C733" t="inlineStr">
        <is>
          <t>Edificio</t>
        </is>
      </c>
      <c r="D733" t="inlineStr">
        <is>
          <t>A</t>
        </is>
      </c>
      <c r="E733" t="inlineStr">
        <is>
          <t>Departamento</t>
        </is>
      </c>
      <c r="F733" t="inlineStr">
        <is>
          <t>1001</t>
        </is>
      </c>
      <c r="G733" t="n">
        <v>70</v>
      </c>
      <c r="H733" t="n">
        <v>0</v>
      </c>
      <c r="I733" s="39" t="n">
        <v>531100</v>
      </c>
      <c r="J733" s="39" t="n">
        <v>518500</v>
      </c>
      <c r="Q733" s="39" t="n"/>
      <c r="R733" s="39" t="n"/>
      <c r="Y733" s="39" t="n"/>
      <c r="Z733" s="39" t="n"/>
      <c r="AG733" s="39" t="n"/>
      <c r="AH733" s="39" t="n"/>
      <c r="AI733" t="inlineStr">
        <is>
          <t>Tania Jackeline Valladares Timana</t>
        </is>
      </c>
      <c r="AJ733" t="inlineStr">
        <is>
          <t>43216992</t>
        </is>
      </c>
      <c r="AK733" t="inlineStr">
        <is>
          <t>Jr. Maria Antonieta 130 Dpto. 301</t>
        </is>
      </c>
      <c r="AL733" t="n">
        <v>0</v>
      </c>
      <c r="AM733" t="inlineStr">
        <is>
          <t>990000227</t>
        </is>
      </c>
      <c r="AN733" t="inlineStr">
        <is>
          <t>tania.valladarest@gmail.com</t>
        </is>
      </c>
      <c r="AO733" t="inlineStr">
        <is>
          <t>LIMA</t>
        </is>
      </c>
      <c r="AP733" t="inlineStr">
        <is>
          <t>SAN MARTIN DE PORRES</t>
        </is>
      </c>
      <c r="AQ733" s="75" t="n">
        <v>46053</v>
      </c>
      <c r="AR733" s="75" t="n"/>
      <c r="AS733" t="inlineStr">
        <is>
          <t>AFP TITULAR</t>
        </is>
      </c>
      <c r="AT733" t="n">
        <v>3</v>
      </c>
      <c r="AU733" t="n">
        <v>12125</v>
      </c>
      <c r="AV733" t="n">
        <v>0</v>
      </c>
      <c r="AW733" t="n">
        <v>0</v>
      </c>
      <c r="AX733" s="39" t="n">
        <v>12125</v>
      </c>
      <c r="AY733" s="39" t="n">
        <v>0</v>
      </c>
      <c r="AZ733" s="39" t="n">
        <v>12125</v>
      </c>
      <c r="BB733" t="inlineStr">
        <is>
          <t>Ahorro</t>
        </is>
      </c>
      <c r="BH733" t="inlineStr">
        <is>
          <t>No</t>
        </is>
      </c>
      <c r="BK733" t="inlineStr">
        <is>
          <t>VENCIDO</t>
        </is>
      </c>
      <c r="BV733" t="inlineStr">
        <is>
          <t>No</t>
        </is>
      </c>
      <c r="BW733" s="76" t="n">
        <v>45870.43402777778</v>
      </c>
      <c r="BX733" t="inlineStr">
        <is>
          <t>Magaly Guevara Perez</t>
        </is>
      </c>
      <c r="BZ733" t="n">
        <v>16</v>
      </c>
      <c r="CB733" t="n">
        <v>0</v>
      </c>
      <c r="CF733" t="inlineStr">
        <is>
          <t>Cobranzas_2026.csv</t>
        </is>
      </c>
      <c r="CG733" t="n">
        <v>2026</v>
      </c>
      <c r="CH733" t="inlineStr">
        <is>
          <t>01/01/2024</t>
        </is>
      </c>
      <c r="CI733" t="inlineStr">
        <is>
          <t>24/08/2031</t>
        </is>
      </c>
    </row>
    <row r="734">
      <c r="A734" t="inlineStr">
        <is>
          <t>RESIDENCIAL BEYOND</t>
        </is>
      </c>
      <c r="B734" t="inlineStr">
        <is>
          <t>Etapa 1</t>
        </is>
      </c>
      <c r="C734" t="inlineStr">
        <is>
          <t>Edificio</t>
        </is>
      </c>
      <c r="D734" t="inlineStr">
        <is>
          <t>A</t>
        </is>
      </c>
      <c r="E734" t="inlineStr">
        <is>
          <t>Departamento</t>
        </is>
      </c>
      <c r="F734" t="inlineStr">
        <is>
          <t>1001</t>
        </is>
      </c>
      <c r="G734" t="n">
        <v>70</v>
      </c>
      <c r="H734" t="n">
        <v>0</v>
      </c>
      <c r="I734" s="39" t="n">
        <v>531100</v>
      </c>
      <c r="J734" s="39" t="n">
        <v>518500</v>
      </c>
      <c r="Q734" s="39" t="n"/>
      <c r="R734" s="39" t="n"/>
      <c r="Y734" s="39" t="n"/>
      <c r="Z734" s="39" t="n"/>
      <c r="AG734" s="39" t="n"/>
      <c r="AH734" s="39" t="n"/>
      <c r="AI734" t="inlineStr">
        <is>
          <t>Tania Jackeline Valladares Timana</t>
        </is>
      </c>
      <c r="AJ734" t="inlineStr">
        <is>
          <t>43216992</t>
        </is>
      </c>
      <c r="AK734" t="inlineStr">
        <is>
          <t>Jr. Maria Antonieta 130 Dpto. 301</t>
        </is>
      </c>
      <c r="AL734" t="n">
        <v>0</v>
      </c>
      <c r="AM734" t="inlineStr">
        <is>
          <t>990000227</t>
        </is>
      </c>
      <c r="AN734" t="inlineStr">
        <is>
          <t>tania.valladarest@gmail.com</t>
        </is>
      </c>
      <c r="AO734" t="inlineStr">
        <is>
          <t>LIMA</t>
        </is>
      </c>
      <c r="AP734" t="inlineStr">
        <is>
          <t>SAN MARTIN DE PORRES</t>
        </is>
      </c>
      <c r="AQ734" s="75" t="n">
        <v>46053</v>
      </c>
      <c r="AR734" s="75" t="n"/>
      <c r="AS734" t="inlineStr">
        <is>
          <t>SALDO FINANCIAR</t>
        </is>
      </c>
      <c r="AT734" t="n">
        <v>1</v>
      </c>
      <c r="AU734" t="n">
        <v>466650</v>
      </c>
      <c r="AV734" t="n">
        <v>0</v>
      </c>
      <c r="AW734" t="n">
        <v>0</v>
      </c>
      <c r="AX734" s="39" t="n">
        <v>466650</v>
      </c>
      <c r="AY734" s="39" t="n">
        <v>0</v>
      </c>
      <c r="AZ734" s="39" t="n">
        <v>466650</v>
      </c>
      <c r="BB734" t="inlineStr">
        <is>
          <t>Ahorro</t>
        </is>
      </c>
      <c r="BH734" t="inlineStr">
        <is>
          <t>No</t>
        </is>
      </c>
      <c r="BK734" t="inlineStr">
        <is>
          <t>VENCIDO</t>
        </is>
      </c>
      <c r="BV734" t="inlineStr">
        <is>
          <t>No</t>
        </is>
      </c>
      <c r="BW734" s="76" t="n">
        <v>45870.43402777778</v>
      </c>
      <c r="BX734" t="inlineStr">
        <is>
          <t>Magaly Guevara Perez</t>
        </is>
      </c>
      <c r="BZ734" t="n">
        <v>16</v>
      </c>
      <c r="CB734" t="n">
        <v>0</v>
      </c>
      <c r="CF734" t="inlineStr">
        <is>
          <t>Cobranzas_2026.csv</t>
        </is>
      </c>
      <c r="CG734" t="n">
        <v>2026</v>
      </c>
      <c r="CH734" t="inlineStr">
        <is>
          <t>01/01/2024</t>
        </is>
      </c>
      <c r="CI734" t="inlineStr">
        <is>
          <t>24/08/2031</t>
        </is>
      </c>
    </row>
    <row r="735">
      <c r="A735" t="inlineStr">
        <is>
          <t>RESIDENCIAL BEYOND</t>
        </is>
      </c>
      <c r="B735" t="inlineStr">
        <is>
          <t>Etapa 1</t>
        </is>
      </c>
      <c r="C735" t="inlineStr">
        <is>
          <t>Edificio</t>
        </is>
      </c>
      <c r="D735" t="inlineStr">
        <is>
          <t>A</t>
        </is>
      </c>
      <c r="E735" t="inlineStr">
        <is>
          <t>Departamento</t>
        </is>
      </c>
      <c r="F735" t="inlineStr">
        <is>
          <t>205</t>
        </is>
      </c>
      <c r="G735" t="n">
        <v>72</v>
      </c>
      <c r="H735" t="n">
        <v>16</v>
      </c>
      <c r="I735" s="39" t="n">
        <v>587000</v>
      </c>
      <c r="J735" s="39" t="n">
        <v>577000</v>
      </c>
      <c r="Q735" s="39" t="n"/>
      <c r="R735" s="39" t="n"/>
      <c r="Y735" s="39" t="n"/>
      <c r="Z735" s="39" t="n"/>
      <c r="AG735" s="39" t="n"/>
      <c r="AH735" s="39" t="n"/>
      <c r="AI735" t="inlineStr">
        <is>
          <t>Tania Milagros Cotrina Vara</t>
        </is>
      </c>
      <c r="AJ735" t="inlineStr">
        <is>
          <t>10140034</t>
        </is>
      </c>
      <c r="AK735" t="inlineStr">
        <is>
          <t>Av. Arnaldo Marquez 1526 Dpto. 26</t>
        </is>
      </c>
      <c r="AL735" t="n">
        <v>0</v>
      </c>
      <c r="AM735" t="inlineStr">
        <is>
          <t>941461159</t>
        </is>
      </c>
      <c r="AN735" t="inlineStr">
        <is>
          <t>tamicov@hotmail.com</t>
        </is>
      </c>
      <c r="AO735" t="inlineStr">
        <is>
          <t>LIMA</t>
        </is>
      </c>
      <c r="AP735" t="inlineStr">
        <is>
          <t>JESUS MARIA</t>
        </is>
      </c>
      <c r="AQ735" s="75" t="n">
        <v>46188</v>
      </c>
      <c r="AR735" s="75" t="n"/>
      <c r="AS735" t="inlineStr">
        <is>
          <t>CUOTA INICIAL</t>
        </is>
      </c>
      <c r="AT735" t="n">
        <v>2</v>
      </c>
      <c r="AU735" t="n">
        <v>27600</v>
      </c>
      <c r="AV735" t="n">
        <v>0</v>
      </c>
      <c r="AW735" t="n">
        <v>0</v>
      </c>
      <c r="AX735" s="39" t="n">
        <v>27600</v>
      </c>
      <c r="AY735" s="39" t="n">
        <v>0</v>
      </c>
      <c r="AZ735" s="39" t="n">
        <v>27600</v>
      </c>
      <c r="BB735" t="inlineStr">
        <is>
          <t>Ahorro</t>
        </is>
      </c>
      <c r="BH735" t="inlineStr">
        <is>
          <t>No</t>
        </is>
      </c>
      <c r="BK735" t="inlineStr">
        <is>
          <t>VENCIDO</t>
        </is>
      </c>
      <c r="BV735" t="inlineStr">
        <is>
          <t>No</t>
        </is>
      </c>
      <c r="BW735" s="76" t="n">
        <v>45918.41597222222</v>
      </c>
      <c r="BX735" t="inlineStr">
        <is>
          <t>Magaly Guevara Perez</t>
        </is>
      </c>
      <c r="BZ735" t="n">
        <v>4</v>
      </c>
      <c r="CB735" t="n">
        <v>0</v>
      </c>
      <c r="CF735" t="inlineStr">
        <is>
          <t>Cobranzas_2026.csv</t>
        </is>
      </c>
      <c r="CG735" t="n">
        <v>2026</v>
      </c>
      <c r="CH735" t="inlineStr">
        <is>
          <t>01/01/2024</t>
        </is>
      </c>
      <c r="CI735" t="inlineStr">
        <is>
          <t>24/08/2031</t>
        </is>
      </c>
    </row>
    <row r="736">
      <c r="A736" t="inlineStr">
        <is>
          <t>RESIDENCIAL BEYOND</t>
        </is>
      </c>
      <c r="B736" t="inlineStr">
        <is>
          <t>Etapa 1</t>
        </is>
      </c>
      <c r="C736" t="inlineStr">
        <is>
          <t>Edificio</t>
        </is>
      </c>
      <c r="D736" t="inlineStr">
        <is>
          <t>A</t>
        </is>
      </c>
      <c r="E736" t="inlineStr">
        <is>
          <t>Departamento</t>
        </is>
      </c>
      <c r="F736" t="inlineStr">
        <is>
          <t>205</t>
        </is>
      </c>
      <c r="G736" t="n">
        <v>72</v>
      </c>
      <c r="H736" t="n">
        <v>16</v>
      </c>
      <c r="I736" s="39" t="n">
        <v>587000</v>
      </c>
      <c r="J736" s="39" t="n">
        <v>577000</v>
      </c>
      <c r="Q736" s="39" t="n"/>
      <c r="R736" s="39" t="n"/>
      <c r="Y736" s="39" t="n"/>
      <c r="Z736" s="39" t="n"/>
      <c r="AG736" s="39" t="n"/>
      <c r="AH736" s="39" t="n"/>
      <c r="AI736" t="inlineStr">
        <is>
          <t>Tania Milagros Cotrina Vara</t>
        </is>
      </c>
      <c r="AJ736" t="inlineStr">
        <is>
          <t>10140034</t>
        </is>
      </c>
      <c r="AK736" t="inlineStr">
        <is>
          <t>Av. Arnaldo Marquez 1526 Dpto. 26</t>
        </is>
      </c>
      <c r="AL736" t="n">
        <v>0</v>
      </c>
      <c r="AM736" t="inlineStr">
        <is>
          <t>941461159</t>
        </is>
      </c>
      <c r="AN736" t="inlineStr">
        <is>
          <t>tamicov@hotmail.com</t>
        </is>
      </c>
      <c r="AO736" t="inlineStr">
        <is>
          <t>LIMA</t>
        </is>
      </c>
      <c r="AP736" t="inlineStr">
        <is>
          <t>JESUS MARIA</t>
        </is>
      </c>
      <c r="AQ736" s="75" t="n">
        <v>46234</v>
      </c>
      <c r="AR736" s="75" t="n"/>
      <c r="AS736" t="inlineStr">
        <is>
          <t>SALDO FINANCIAR</t>
        </is>
      </c>
      <c r="AT736" t="n">
        <v>1</v>
      </c>
      <c r="AU736" t="n">
        <v>457000</v>
      </c>
      <c r="AV736" t="n">
        <v>0</v>
      </c>
      <c r="AW736" t="n">
        <v>0</v>
      </c>
      <c r="AX736" s="39" t="n">
        <v>457000</v>
      </c>
      <c r="AY736" s="39" t="n">
        <v>0</v>
      </c>
      <c r="AZ736" s="39" t="n">
        <v>457000</v>
      </c>
      <c r="BB736" t="inlineStr">
        <is>
          <t>Ahorro</t>
        </is>
      </c>
      <c r="BH736" t="inlineStr">
        <is>
          <t>No</t>
        </is>
      </c>
      <c r="BK736" t="inlineStr">
        <is>
          <t>VENCIDO</t>
        </is>
      </c>
      <c r="BV736" t="inlineStr">
        <is>
          <t>No</t>
        </is>
      </c>
      <c r="BW736" s="76" t="n">
        <v>45918.41597222222</v>
      </c>
      <c r="BX736" t="inlineStr">
        <is>
          <t>Magaly Guevara Perez</t>
        </is>
      </c>
      <c r="BZ736" t="n">
        <v>4</v>
      </c>
      <c r="CB736" t="n">
        <v>0</v>
      </c>
      <c r="CF736" t="inlineStr">
        <is>
          <t>Cobranzas_2026.csv</t>
        </is>
      </c>
      <c r="CG736" t="n">
        <v>2026</v>
      </c>
      <c r="CH736" t="inlineStr">
        <is>
          <t>01/01/2024</t>
        </is>
      </c>
      <c r="CI736" t="inlineStr">
        <is>
          <t>24/08/2031</t>
        </is>
      </c>
    </row>
    <row r="737">
      <c r="A737" t="inlineStr">
        <is>
          <t>RESIDENCIAL VENECIA</t>
        </is>
      </c>
      <c r="B737" t="inlineStr">
        <is>
          <t>Etapa 1</t>
        </is>
      </c>
      <c r="C737" t="inlineStr">
        <is>
          <t>Edificio</t>
        </is>
      </c>
      <c r="D737" t="inlineStr">
        <is>
          <t>A</t>
        </is>
      </c>
      <c r="E737" t="inlineStr">
        <is>
          <t>Departamento</t>
        </is>
      </c>
      <c r="F737" t="inlineStr">
        <is>
          <t>402</t>
        </is>
      </c>
      <c r="G737" t="n">
        <v>83</v>
      </c>
      <c r="H737" t="n">
        <v>0</v>
      </c>
      <c r="I737" s="39" t="n">
        <v>623000</v>
      </c>
      <c r="J737" s="39" t="n">
        <v>623000</v>
      </c>
      <c r="Q737" s="39" t="n"/>
      <c r="R737" s="39" t="n"/>
      <c r="Y737" s="39" t="n"/>
      <c r="Z737" s="39" t="n"/>
      <c r="AG737" s="39" t="n"/>
      <c r="AH737" s="39" t="n"/>
      <c r="AI737" t="inlineStr">
        <is>
          <t>Ubaldo Yovera Puruguay</t>
        </is>
      </c>
      <c r="AJ737" t="inlineStr">
        <is>
          <t>44369489</t>
        </is>
      </c>
      <c r="AK737" t="inlineStr">
        <is>
          <t>Av. Gerardo Unger 3601</t>
        </is>
      </c>
      <c r="AL737" t="n">
        <v>0</v>
      </c>
      <c r="AM737" t="inlineStr">
        <is>
          <t>916692937</t>
        </is>
      </c>
      <c r="AN737" t="inlineStr">
        <is>
          <t>ubaldoyoverap@gmail.com</t>
        </is>
      </c>
      <c r="AO737" t="inlineStr">
        <is>
          <t>LIMA</t>
        </is>
      </c>
      <c r="AP737" t="inlineStr">
        <is>
          <t>INDEPENDENCIA</t>
        </is>
      </c>
      <c r="AQ737" s="75" t="n">
        <v>46041</v>
      </c>
      <c r="AR737" s="75" t="n">
        <v>46041</v>
      </c>
      <c r="AS737" t="inlineStr">
        <is>
          <t>SEPARACION</t>
        </is>
      </c>
      <c r="AT737" t="n">
        <v>1</v>
      </c>
      <c r="AU737" t="n">
        <v>3000</v>
      </c>
      <c r="AV737" t="n">
        <v>0</v>
      </c>
      <c r="AW737" t="n">
        <v>0</v>
      </c>
      <c r="AX737" s="39" t="n">
        <v>3000</v>
      </c>
      <c r="AY737" s="39" t="n">
        <v>3000</v>
      </c>
      <c r="AZ737" s="39" t="n">
        <v>0</v>
      </c>
      <c r="BA737" t="n">
        <v>0</v>
      </c>
      <c r="BB737" t="inlineStr">
        <is>
          <t>Ahorro</t>
        </is>
      </c>
      <c r="BC737" t="inlineStr">
        <is>
          <t>Scotiabank Perú</t>
        </is>
      </c>
      <c r="BD737" t="inlineStr">
        <is>
          <t>0004071419</t>
        </is>
      </c>
      <c r="BE737" t="inlineStr">
        <is>
          <t>TRANSFERENCIA BANCARIA</t>
        </is>
      </c>
      <c r="BG737" t="inlineStr">
        <is>
          <t>04099142</t>
        </is>
      </c>
      <c r="BH737" t="inlineStr">
        <is>
          <t>No</t>
        </is>
      </c>
      <c r="BJ737" t="n">
        <v>4</v>
      </c>
      <c r="BK737" t="inlineStr">
        <is>
          <t>CANCELADO</t>
        </is>
      </c>
      <c r="BV737" t="inlineStr">
        <is>
          <t>Si</t>
        </is>
      </c>
      <c r="BW737" s="76" t="n">
        <v>46071.34027777778</v>
      </c>
      <c r="BX737" t="inlineStr">
        <is>
          <t>Magaly Guevara Perez</t>
        </is>
      </c>
      <c r="BZ737" t="n">
        <v>7</v>
      </c>
      <c r="CA737" t="inlineStr">
        <is>
          <t>24/05/2026 18:53</t>
        </is>
      </c>
      <c r="CB737" t="n">
        <v>0</v>
      </c>
      <c r="CF737" t="inlineStr">
        <is>
          <t>Cobranzas_2026.csv</t>
        </is>
      </c>
      <c r="CG737" t="n">
        <v>2026</v>
      </c>
      <c r="CH737" t="inlineStr">
        <is>
          <t>01/01/2024</t>
        </is>
      </c>
      <c r="CI737" t="inlineStr">
        <is>
          <t>24/08/2031</t>
        </is>
      </c>
    </row>
    <row r="738">
      <c r="A738" t="inlineStr">
        <is>
          <t>RESIDENCIAL VENECIA</t>
        </is>
      </c>
      <c r="B738" t="inlineStr">
        <is>
          <t>Etapa 1</t>
        </is>
      </c>
      <c r="C738" t="inlineStr">
        <is>
          <t>Edificio</t>
        </is>
      </c>
      <c r="D738" t="inlineStr">
        <is>
          <t>A</t>
        </is>
      </c>
      <c r="E738" t="inlineStr">
        <is>
          <t>Departamento</t>
        </is>
      </c>
      <c r="F738" t="inlineStr">
        <is>
          <t>402</t>
        </is>
      </c>
      <c r="G738" t="n">
        <v>83</v>
      </c>
      <c r="H738" t="n">
        <v>0</v>
      </c>
      <c r="I738" s="39" t="n">
        <v>623000</v>
      </c>
      <c r="J738" s="39" t="n">
        <v>623000</v>
      </c>
      <c r="Q738" s="39" t="n"/>
      <c r="R738" s="39" t="n"/>
      <c r="Y738" s="39" t="n"/>
      <c r="Z738" s="39" t="n"/>
      <c r="AG738" s="39" t="n"/>
      <c r="AH738" s="39" t="n"/>
      <c r="AI738" t="inlineStr">
        <is>
          <t>Ubaldo Yovera Puruguay</t>
        </is>
      </c>
      <c r="AJ738" t="inlineStr">
        <is>
          <t>44369489</t>
        </is>
      </c>
      <c r="AK738" t="inlineStr">
        <is>
          <t>Av. Gerardo Unger 3601</t>
        </is>
      </c>
      <c r="AL738" t="n">
        <v>0</v>
      </c>
      <c r="AM738" t="inlineStr">
        <is>
          <t>916692937</t>
        </is>
      </c>
      <c r="AN738" t="inlineStr">
        <is>
          <t>ubaldoyoverap@gmail.com</t>
        </is>
      </c>
      <c r="AO738" t="inlineStr">
        <is>
          <t>LIMA</t>
        </is>
      </c>
      <c r="AP738" t="inlineStr">
        <is>
          <t>INDEPENDENCIA</t>
        </is>
      </c>
      <c r="AQ738" s="75" t="n">
        <v>46071</v>
      </c>
      <c r="AR738" s="75" t="n">
        <v>46071</v>
      </c>
      <c r="AS738" t="inlineStr">
        <is>
          <t>CUOTA INICIAL</t>
        </is>
      </c>
      <c r="AT738" t="n">
        <v>1</v>
      </c>
      <c r="AU738" t="n">
        <v>7000</v>
      </c>
      <c r="AV738" t="n">
        <v>0</v>
      </c>
      <c r="AW738" t="n">
        <v>0</v>
      </c>
      <c r="AX738" s="39" t="n">
        <v>7000</v>
      </c>
      <c r="AY738" s="39" t="n">
        <v>7000</v>
      </c>
      <c r="AZ738" s="39" t="n">
        <v>0</v>
      </c>
      <c r="BA738" t="n">
        <v>0</v>
      </c>
      <c r="BB738" t="inlineStr">
        <is>
          <t>Ahorro</t>
        </is>
      </c>
      <c r="BC738" t="inlineStr">
        <is>
          <t>Scotiabank Perú</t>
        </is>
      </c>
      <c r="BD738" t="inlineStr">
        <is>
          <t>0004071419</t>
        </is>
      </c>
      <c r="BE738" t="inlineStr">
        <is>
          <t>TRANSFERENCIA BANCARIA</t>
        </is>
      </c>
      <c r="BG738" t="inlineStr">
        <is>
          <t>01539288</t>
        </is>
      </c>
      <c r="BH738" t="inlineStr">
        <is>
          <t>No</t>
        </is>
      </c>
      <c r="BJ738" t="n">
        <v>4</v>
      </c>
      <c r="BK738" t="inlineStr">
        <is>
          <t>CANCELADO</t>
        </is>
      </c>
      <c r="BV738" t="inlineStr">
        <is>
          <t>Si</t>
        </is>
      </c>
      <c r="BW738" s="76" t="n">
        <v>46071.34027777778</v>
      </c>
      <c r="BX738" t="inlineStr">
        <is>
          <t>Magaly Guevara Perez</t>
        </is>
      </c>
      <c r="BZ738" t="n">
        <v>7</v>
      </c>
      <c r="CA738" t="inlineStr">
        <is>
          <t>24/05/2026 18:56</t>
        </is>
      </c>
      <c r="CB738" t="n">
        <v>0</v>
      </c>
      <c r="CF738" t="inlineStr">
        <is>
          <t>Cobranzas_2026.csv</t>
        </is>
      </c>
      <c r="CG738" t="n">
        <v>2026</v>
      </c>
      <c r="CH738" t="inlineStr">
        <is>
          <t>01/01/2024</t>
        </is>
      </c>
      <c r="CI738" t="inlineStr">
        <is>
          <t>24/08/2031</t>
        </is>
      </c>
    </row>
    <row r="739">
      <c r="A739" t="inlineStr">
        <is>
          <t>RESIDENCIAL VENECIA</t>
        </is>
      </c>
      <c r="B739" t="inlineStr">
        <is>
          <t>Etapa 1</t>
        </is>
      </c>
      <c r="C739" t="inlineStr">
        <is>
          <t>Edificio</t>
        </is>
      </c>
      <c r="D739" t="inlineStr">
        <is>
          <t>A</t>
        </is>
      </c>
      <c r="E739" t="inlineStr">
        <is>
          <t>Departamento</t>
        </is>
      </c>
      <c r="F739" t="inlineStr">
        <is>
          <t>402</t>
        </is>
      </c>
      <c r="G739" t="n">
        <v>83</v>
      </c>
      <c r="H739" t="n">
        <v>0</v>
      </c>
      <c r="I739" s="39" t="n">
        <v>623000</v>
      </c>
      <c r="J739" s="39" t="n">
        <v>623000</v>
      </c>
      <c r="Q739" s="39" t="n"/>
      <c r="R739" s="39" t="n"/>
      <c r="Y739" s="39" t="n"/>
      <c r="Z739" s="39" t="n"/>
      <c r="AG739" s="39" t="n"/>
      <c r="AH739" s="39" t="n"/>
      <c r="AI739" t="inlineStr">
        <is>
          <t>Ubaldo Yovera Puruguay</t>
        </is>
      </c>
      <c r="AJ739" t="inlineStr">
        <is>
          <t>44369489</t>
        </is>
      </c>
      <c r="AK739" t="inlineStr">
        <is>
          <t>Av. Gerardo Unger 3601</t>
        </is>
      </c>
      <c r="AL739" t="n">
        <v>0</v>
      </c>
      <c r="AM739" t="inlineStr">
        <is>
          <t>916692937</t>
        </is>
      </c>
      <c r="AN739" t="inlineStr">
        <is>
          <t>ubaldoyoverap@gmail.com</t>
        </is>
      </c>
      <c r="AO739" t="inlineStr">
        <is>
          <t>LIMA</t>
        </is>
      </c>
      <c r="AP739" t="inlineStr">
        <is>
          <t>INDEPENDENCIA</t>
        </is>
      </c>
      <c r="AQ739" s="75" t="n">
        <v>46234</v>
      </c>
      <c r="AR739" s="75" t="n"/>
      <c r="AS739" t="inlineStr">
        <is>
          <t>AHORRO CASA</t>
        </is>
      </c>
      <c r="AT739" t="n">
        <v>2</v>
      </c>
      <c r="AU739" t="n">
        <v>52300</v>
      </c>
      <c r="AV739" t="n">
        <v>0</v>
      </c>
      <c r="AW739" t="n">
        <v>0</v>
      </c>
      <c r="AX739" s="39" t="n">
        <v>52300</v>
      </c>
      <c r="AY739" s="39" t="n">
        <v>0</v>
      </c>
      <c r="AZ739" s="39" t="n">
        <v>52300</v>
      </c>
      <c r="BB739" t="inlineStr">
        <is>
          <t>Ahorro</t>
        </is>
      </c>
      <c r="BH739" t="inlineStr">
        <is>
          <t>No</t>
        </is>
      </c>
      <c r="BK739" t="inlineStr">
        <is>
          <t>VENCIDO</t>
        </is>
      </c>
      <c r="BV739" t="inlineStr">
        <is>
          <t>No</t>
        </is>
      </c>
      <c r="BW739" s="76" t="n">
        <v>46071.34027777778</v>
      </c>
      <c r="BX739" t="inlineStr">
        <is>
          <t>Magaly Guevara Perez</t>
        </is>
      </c>
      <c r="BZ739" t="n">
        <v>7</v>
      </c>
      <c r="CB739" t="n">
        <v>0</v>
      </c>
      <c r="CF739" t="inlineStr">
        <is>
          <t>Cobranzas_2026.csv</t>
        </is>
      </c>
      <c r="CG739" t="n">
        <v>2026</v>
      </c>
      <c r="CH739" t="inlineStr">
        <is>
          <t>01/01/2024</t>
        </is>
      </c>
      <c r="CI739" t="inlineStr">
        <is>
          <t>24/08/2031</t>
        </is>
      </c>
    </row>
    <row r="740">
      <c r="A740" t="inlineStr">
        <is>
          <t>RESIDENCIAL VENECIA</t>
        </is>
      </c>
      <c r="B740" t="inlineStr">
        <is>
          <t>Etapa 1</t>
        </is>
      </c>
      <c r="C740" t="inlineStr">
        <is>
          <t>Edificio</t>
        </is>
      </c>
      <c r="D740" t="inlineStr">
        <is>
          <t>A</t>
        </is>
      </c>
      <c r="E740" t="inlineStr">
        <is>
          <t>Departamento</t>
        </is>
      </c>
      <c r="F740" t="inlineStr">
        <is>
          <t>402</t>
        </is>
      </c>
      <c r="G740" t="n">
        <v>83</v>
      </c>
      <c r="H740" t="n">
        <v>0</v>
      </c>
      <c r="I740" s="39" t="n">
        <v>623000</v>
      </c>
      <c r="J740" s="39" t="n">
        <v>623000</v>
      </c>
      <c r="Q740" s="39" t="n"/>
      <c r="R740" s="39" t="n"/>
      <c r="Y740" s="39" t="n"/>
      <c r="Z740" s="39" t="n"/>
      <c r="AG740" s="39" t="n"/>
      <c r="AH740" s="39" t="n"/>
      <c r="AI740" t="inlineStr">
        <is>
          <t>Ubaldo Yovera Puruguay</t>
        </is>
      </c>
      <c r="AJ740" t="inlineStr">
        <is>
          <t>44369489</t>
        </is>
      </c>
      <c r="AK740" t="inlineStr">
        <is>
          <t>Av. Gerardo Unger 3601</t>
        </is>
      </c>
      <c r="AL740" t="n">
        <v>0</v>
      </c>
      <c r="AM740" t="inlineStr">
        <is>
          <t>916692937</t>
        </is>
      </c>
      <c r="AN740" t="inlineStr">
        <is>
          <t>ubaldoyoverap@gmail.com</t>
        </is>
      </c>
      <c r="AO740" t="inlineStr">
        <is>
          <t>LIMA</t>
        </is>
      </c>
      <c r="AP740" t="inlineStr">
        <is>
          <t>INDEPENDENCIA</t>
        </is>
      </c>
      <c r="AQ740" s="75" t="n">
        <v>46249</v>
      </c>
      <c r="AR740" s="75" t="n"/>
      <c r="AS740" t="inlineStr">
        <is>
          <t>CUOTA INICIAL</t>
        </is>
      </c>
      <c r="AT740" t="n">
        <v>3</v>
      </c>
      <c r="AU740" t="n">
        <v>23000</v>
      </c>
      <c r="AV740" t="n">
        <v>0</v>
      </c>
      <c r="AW740" t="n">
        <v>0</v>
      </c>
      <c r="AX740" s="39" t="n">
        <v>23000</v>
      </c>
      <c r="AY740" s="39" t="n">
        <v>0</v>
      </c>
      <c r="AZ740" s="39" t="n">
        <v>23000</v>
      </c>
      <c r="BB740" t="inlineStr">
        <is>
          <t>Ahorro</t>
        </is>
      </c>
      <c r="BH740" t="inlineStr">
        <is>
          <t>No</t>
        </is>
      </c>
      <c r="BK740" t="inlineStr">
        <is>
          <t>VENCIDO</t>
        </is>
      </c>
      <c r="BV740" t="inlineStr">
        <is>
          <t>No</t>
        </is>
      </c>
      <c r="BW740" s="76" t="n">
        <v>46071.34027777778</v>
      </c>
      <c r="BX740" t="inlineStr">
        <is>
          <t>Magaly Guevara Perez</t>
        </is>
      </c>
      <c r="BZ740" t="n">
        <v>7</v>
      </c>
      <c r="CB740" t="n">
        <v>0</v>
      </c>
      <c r="CF740" t="inlineStr">
        <is>
          <t>Cobranzas_2026.csv</t>
        </is>
      </c>
      <c r="CG740" t="n">
        <v>2026</v>
      </c>
      <c r="CH740" t="inlineStr">
        <is>
          <t>01/01/2024</t>
        </is>
      </c>
      <c r="CI740" t="inlineStr">
        <is>
          <t>24/08/2031</t>
        </is>
      </c>
    </row>
    <row r="741">
      <c r="A741" t="inlineStr">
        <is>
          <t>RESIDENCIAL VENECIA</t>
        </is>
      </c>
      <c r="B741" t="inlineStr">
        <is>
          <t>Etapa 1</t>
        </is>
      </c>
      <c r="C741" t="inlineStr">
        <is>
          <t>Edificio</t>
        </is>
      </c>
      <c r="D741" t="inlineStr">
        <is>
          <t>A</t>
        </is>
      </c>
      <c r="E741" t="inlineStr">
        <is>
          <t>Departamento</t>
        </is>
      </c>
      <c r="F741" t="inlineStr">
        <is>
          <t>402</t>
        </is>
      </c>
      <c r="G741" t="n">
        <v>83</v>
      </c>
      <c r="H741" t="n">
        <v>0</v>
      </c>
      <c r="I741" s="39" t="n">
        <v>623000</v>
      </c>
      <c r="J741" s="39" t="n">
        <v>623000</v>
      </c>
      <c r="Q741" s="39" t="n"/>
      <c r="R741" s="39" t="n"/>
      <c r="Y741" s="39" t="n"/>
      <c r="Z741" s="39" t="n"/>
      <c r="AG741" s="39" t="n"/>
      <c r="AH741" s="39" t="n"/>
      <c r="AI741" t="inlineStr">
        <is>
          <t>Ubaldo Yovera Puruguay</t>
        </is>
      </c>
      <c r="AJ741" t="inlineStr">
        <is>
          <t>44369489</t>
        </is>
      </c>
      <c r="AK741" t="inlineStr">
        <is>
          <t>Av. Gerardo Unger 3601</t>
        </is>
      </c>
      <c r="AL741" t="n">
        <v>0</v>
      </c>
      <c r="AM741" t="inlineStr">
        <is>
          <t>916692937</t>
        </is>
      </c>
      <c r="AN741" t="inlineStr">
        <is>
          <t>ubaldoyoverap@gmail.com</t>
        </is>
      </c>
      <c r="AO741" t="inlineStr">
        <is>
          <t>LIMA</t>
        </is>
      </c>
      <c r="AP741" t="inlineStr">
        <is>
          <t>INDEPENDENCIA</t>
        </is>
      </c>
      <c r="AQ741" s="75" t="n">
        <v>46295</v>
      </c>
      <c r="AR741" s="75" t="n"/>
      <c r="AS741" t="inlineStr">
        <is>
          <t>SALDO FINANCIAR</t>
        </is>
      </c>
      <c r="AT741" t="n">
        <v>1</v>
      </c>
      <c r="AU741" t="n">
        <v>537700</v>
      </c>
      <c r="AV741" t="n">
        <v>0</v>
      </c>
      <c r="AW741" t="n">
        <v>0</v>
      </c>
      <c r="AX741" s="39" t="n">
        <v>537700</v>
      </c>
      <c r="AY741" s="39" t="n">
        <v>0</v>
      </c>
      <c r="AZ741" s="39" t="n">
        <v>537700</v>
      </c>
      <c r="BB741" t="inlineStr">
        <is>
          <t>Ahorro</t>
        </is>
      </c>
      <c r="BH741" t="inlineStr">
        <is>
          <t>No</t>
        </is>
      </c>
      <c r="BK741" t="inlineStr">
        <is>
          <t>PENDIENTE</t>
        </is>
      </c>
      <c r="BV741" t="inlineStr">
        <is>
          <t>No</t>
        </is>
      </c>
      <c r="BW741" s="76" t="n">
        <v>46071.34027777778</v>
      </c>
      <c r="BX741" t="inlineStr">
        <is>
          <t>Magaly Guevara Perez</t>
        </is>
      </c>
      <c r="BZ741" t="n">
        <v>7</v>
      </c>
      <c r="CB741" t="n">
        <v>0</v>
      </c>
      <c r="CF741" t="inlineStr">
        <is>
          <t>Cobranzas_2026.csv</t>
        </is>
      </c>
      <c r="CG741" t="n">
        <v>2026</v>
      </c>
      <c r="CH741" t="inlineStr">
        <is>
          <t>01/01/2024</t>
        </is>
      </c>
      <c r="CI741" t="inlineStr">
        <is>
          <t>24/08/2031</t>
        </is>
      </c>
    </row>
    <row r="742">
      <c r="A742" t="inlineStr">
        <is>
          <t>RESIDENCIAL BEYOND</t>
        </is>
      </c>
      <c r="B742" t="inlineStr">
        <is>
          <t>Etapa 1</t>
        </is>
      </c>
      <c r="C742" t="inlineStr">
        <is>
          <t>Edificio</t>
        </is>
      </c>
      <c r="D742" t="inlineStr">
        <is>
          <t>A</t>
        </is>
      </c>
      <c r="E742" t="inlineStr">
        <is>
          <t>Departamento</t>
        </is>
      </c>
      <c r="F742" t="inlineStr">
        <is>
          <t>702</t>
        </is>
      </c>
      <c r="G742" t="n">
        <v>57</v>
      </c>
      <c r="H742" t="n">
        <v>0</v>
      </c>
      <c r="I742" s="39" t="n">
        <v>430000</v>
      </c>
      <c r="J742" s="39" t="n">
        <v>382000</v>
      </c>
      <c r="Q742" s="39" t="n"/>
      <c r="R742" s="39" t="n"/>
      <c r="Y742" s="39" t="n"/>
      <c r="Z742" s="39" t="n"/>
      <c r="AG742" s="39" t="n"/>
      <c r="AH742" s="39" t="n"/>
      <c r="AI742" t="inlineStr">
        <is>
          <t>Víctor Daniel Chuquihuaccha Hernandez</t>
        </is>
      </c>
      <c r="AJ742" t="inlineStr">
        <is>
          <t>73229140</t>
        </is>
      </c>
      <c r="AK742" t="inlineStr">
        <is>
          <t>Calle Los Licopodios 468</t>
        </is>
      </c>
      <c r="AL742" t="n">
        <v>999533600</v>
      </c>
      <c r="AM742" t="inlineStr">
        <is>
          <t>999533600</t>
        </is>
      </c>
      <c r="AN742" t="inlineStr">
        <is>
          <t>victor.d.ch.h@gmail.com</t>
        </is>
      </c>
      <c r="AO742" t="inlineStr">
        <is>
          <t>LIMA</t>
        </is>
      </c>
      <c r="AP742" t="inlineStr">
        <is>
          <t>SAN JUAN DE LURIGANCHO</t>
        </is>
      </c>
      <c r="AQ742" s="75" t="n">
        <v>46032</v>
      </c>
      <c r="AR742" s="75" t="n">
        <v>46031</v>
      </c>
      <c r="AS742" t="inlineStr">
        <is>
          <t>CUOTA INICIAL</t>
        </is>
      </c>
      <c r="AT742" t="n">
        <v>1</v>
      </c>
      <c r="AU742" t="n">
        <v>10000</v>
      </c>
      <c r="AV742" t="n">
        <v>0</v>
      </c>
      <c r="AW742" t="n">
        <v>0</v>
      </c>
      <c r="AX742" s="39" t="n">
        <v>10000</v>
      </c>
      <c r="AY742" s="39" t="n">
        <v>10000</v>
      </c>
      <c r="AZ742" s="39" t="n">
        <v>0</v>
      </c>
      <c r="BA742" t="n">
        <v>0</v>
      </c>
      <c r="BB742" t="inlineStr">
        <is>
          <t>Crédito Hipotecario</t>
        </is>
      </c>
      <c r="BC742" t="inlineStr">
        <is>
          <t>Banco de Credito del Perú</t>
        </is>
      </c>
      <c r="BD742" t="inlineStr">
        <is>
          <t>194-7325779-0-65</t>
        </is>
      </c>
      <c r="BE742" t="inlineStr">
        <is>
          <t>TRANSFERENCIA BANCARIA</t>
        </is>
      </c>
      <c r="BG742" t="inlineStr">
        <is>
          <t>00672532</t>
        </is>
      </c>
      <c r="BH742" t="inlineStr">
        <is>
          <t>No</t>
        </is>
      </c>
      <c r="BJ742" t="n">
        <v>4</v>
      </c>
      <c r="BK742" t="inlineStr">
        <is>
          <t>CANCELADO</t>
        </is>
      </c>
      <c r="BV742" t="inlineStr">
        <is>
          <t>Si</t>
        </is>
      </c>
      <c r="BW742" s="76" t="n">
        <v>46031.40972222222</v>
      </c>
      <c r="BX742" t="inlineStr">
        <is>
          <t>Magaly Guevara Perez</t>
        </is>
      </c>
      <c r="BZ742" t="n">
        <v>20</v>
      </c>
      <c r="CA742" t="inlineStr">
        <is>
          <t>23/05/2026 23:59</t>
        </is>
      </c>
      <c r="CB742" t="n">
        <v>0</v>
      </c>
      <c r="CF742" t="inlineStr">
        <is>
          <t>Cobranzas_2026.csv</t>
        </is>
      </c>
      <c r="CG742" t="n">
        <v>2026</v>
      </c>
      <c r="CH742" t="inlineStr">
        <is>
          <t>01/01/2024</t>
        </is>
      </c>
      <c r="CI742" t="inlineStr">
        <is>
          <t>24/08/2031</t>
        </is>
      </c>
    </row>
    <row r="743">
      <c r="A743" t="inlineStr">
        <is>
          <t>RESIDENCIAL BEYOND</t>
        </is>
      </c>
      <c r="B743" t="inlineStr">
        <is>
          <t>Etapa 1</t>
        </is>
      </c>
      <c r="C743" t="inlineStr">
        <is>
          <t>Edificio</t>
        </is>
      </c>
      <c r="D743" t="inlineStr">
        <is>
          <t>A</t>
        </is>
      </c>
      <c r="E743" t="inlineStr">
        <is>
          <t>Departamento</t>
        </is>
      </c>
      <c r="F743" t="inlineStr">
        <is>
          <t>702</t>
        </is>
      </c>
      <c r="G743" t="n">
        <v>57</v>
      </c>
      <c r="H743" t="n">
        <v>0</v>
      </c>
      <c r="I743" s="39" t="n">
        <v>430000</v>
      </c>
      <c r="J743" s="39" t="n">
        <v>382000</v>
      </c>
      <c r="Q743" s="39" t="n"/>
      <c r="R743" s="39" t="n"/>
      <c r="Y743" s="39" t="n"/>
      <c r="Z743" s="39" t="n"/>
      <c r="AG743" s="39" t="n"/>
      <c r="AH743" s="39" t="n"/>
      <c r="AI743" t="inlineStr">
        <is>
          <t>Víctor Daniel Chuquihuaccha Hernandez</t>
        </is>
      </c>
      <c r="AJ743" t="inlineStr">
        <is>
          <t>73229140</t>
        </is>
      </c>
      <c r="AK743" t="inlineStr">
        <is>
          <t>Calle Los Licopodios 468</t>
        </is>
      </c>
      <c r="AL743" t="n">
        <v>999533600</v>
      </c>
      <c r="AM743" t="inlineStr">
        <is>
          <t>999533600</t>
        </is>
      </c>
      <c r="AN743" t="inlineStr">
        <is>
          <t>victor.d.ch.h@gmail.com</t>
        </is>
      </c>
      <c r="AO743" t="inlineStr">
        <is>
          <t>LIMA</t>
        </is>
      </c>
      <c r="AP743" t="inlineStr">
        <is>
          <t>SAN JUAN DE LURIGANCHO</t>
        </is>
      </c>
      <c r="AQ743" s="75" t="n">
        <v>46063</v>
      </c>
      <c r="AR743" s="75" t="n">
        <v>46031</v>
      </c>
      <c r="AS743" t="inlineStr">
        <is>
          <t>CUOTA INICIAL</t>
        </is>
      </c>
      <c r="AT743" t="n">
        <v>2</v>
      </c>
      <c r="AU743" t="n">
        <v>10000</v>
      </c>
      <c r="AV743" t="n">
        <v>0</v>
      </c>
      <c r="AW743" t="n">
        <v>0</v>
      </c>
      <c r="AX743" s="39" t="n">
        <v>10000</v>
      </c>
      <c r="AY743" s="39" t="n">
        <v>10000</v>
      </c>
      <c r="AZ743" s="39" t="n">
        <v>0</v>
      </c>
      <c r="BA743" t="n">
        <v>0</v>
      </c>
      <c r="BB743" t="inlineStr">
        <is>
          <t>Crédito Hipotecario</t>
        </is>
      </c>
      <c r="BC743" t="inlineStr">
        <is>
          <t>Banco de Credito del Perú</t>
        </is>
      </c>
      <c r="BD743" t="inlineStr">
        <is>
          <t>194-7325779-0-65</t>
        </is>
      </c>
      <c r="BE743" t="inlineStr">
        <is>
          <t>TRANSFERENCIA BANCARIA</t>
        </is>
      </c>
      <c r="BG743" t="inlineStr">
        <is>
          <t>02493584</t>
        </is>
      </c>
      <c r="BH743" t="inlineStr">
        <is>
          <t>No</t>
        </is>
      </c>
      <c r="BJ743" t="n">
        <v>4</v>
      </c>
      <c r="BK743" t="inlineStr">
        <is>
          <t>CANCELADO</t>
        </is>
      </c>
      <c r="BV743" t="inlineStr">
        <is>
          <t>Si</t>
        </is>
      </c>
      <c r="BW743" s="76" t="n">
        <v>46031.40972222222</v>
      </c>
      <c r="BX743" t="inlineStr">
        <is>
          <t>Magaly Guevara Perez</t>
        </is>
      </c>
      <c r="BZ743" t="n">
        <v>20</v>
      </c>
      <c r="CA743" t="inlineStr">
        <is>
          <t>23/05/2026 23:59</t>
        </is>
      </c>
      <c r="CB743" t="n">
        <v>0</v>
      </c>
      <c r="CF743" t="inlineStr">
        <is>
          <t>Cobranzas_2026.csv</t>
        </is>
      </c>
      <c r="CG743" t="n">
        <v>2026</v>
      </c>
      <c r="CH743" t="inlineStr">
        <is>
          <t>01/01/2024</t>
        </is>
      </c>
      <c r="CI743" t="inlineStr">
        <is>
          <t>24/08/2031</t>
        </is>
      </c>
    </row>
    <row r="744">
      <c r="A744" t="inlineStr">
        <is>
          <t>RESIDENCIAL BEYOND</t>
        </is>
      </c>
      <c r="B744" t="inlineStr">
        <is>
          <t>Etapa 1</t>
        </is>
      </c>
      <c r="C744" t="inlineStr">
        <is>
          <t>Edificio</t>
        </is>
      </c>
      <c r="D744" t="inlineStr">
        <is>
          <t>A</t>
        </is>
      </c>
      <c r="E744" t="inlineStr">
        <is>
          <t>Departamento</t>
        </is>
      </c>
      <c r="F744" t="inlineStr">
        <is>
          <t>702</t>
        </is>
      </c>
      <c r="G744" t="n">
        <v>57</v>
      </c>
      <c r="H744" t="n">
        <v>0</v>
      </c>
      <c r="I744" s="39" t="n">
        <v>430000</v>
      </c>
      <c r="J744" s="39" t="n">
        <v>382000</v>
      </c>
      <c r="Q744" s="39" t="n"/>
      <c r="R744" s="39" t="n"/>
      <c r="Y744" s="39" t="n"/>
      <c r="Z744" s="39" t="n"/>
      <c r="AG744" s="39" t="n"/>
      <c r="AH744" s="39" t="n"/>
      <c r="AI744" t="inlineStr">
        <is>
          <t>Víctor Daniel Chuquihuaccha Hernandez</t>
        </is>
      </c>
      <c r="AJ744" t="inlineStr">
        <is>
          <t>73229140</t>
        </is>
      </c>
      <c r="AK744" t="inlineStr">
        <is>
          <t>Calle Los Licopodios 468</t>
        </is>
      </c>
      <c r="AL744" t="n">
        <v>999533600</v>
      </c>
      <c r="AM744" t="inlineStr">
        <is>
          <t>999533600</t>
        </is>
      </c>
      <c r="AN744" t="inlineStr">
        <is>
          <t>victor.d.ch.h@gmail.com</t>
        </is>
      </c>
      <c r="AO744" t="inlineStr">
        <is>
          <t>LIMA</t>
        </is>
      </c>
      <c r="AP744" t="inlineStr">
        <is>
          <t>SAN JUAN DE LURIGANCHO</t>
        </is>
      </c>
      <c r="AQ744" s="75" t="n">
        <v>46091</v>
      </c>
      <c r="AR744" s="75" t="n">
        <v>46108</v>
      </c>
      <c r="AS744" t="inlineStr">
        <is>
          <t>CUOTA INICIAL</t>
        </is>
      </c>
      <c r="AT744" t="n">
        <v>3</v>
      </c>
      <c r="AU744" t="n">
        <v>15200</v>
      </c>
      <c r="AV744" t="n">
        <v>0</v>
      </c>
      <c r="AW744" t="n">
        <v>0</v>
      </c>
      <c r="AX744" s="39" t="n">
        <v>15200</v>
      </c>
      <c r="AY744" s="39" t="n">
        <v>7000</v>
      </c>
      <c r="AZ744" s="39" t="n">
        <v>0</v>
      </c>
      <c r="BA744" t="n">
        <v>0</v>
      </c>
      <c r="BB744" t="inlineStr">
        <is>
          <t>Crédito Hipotecario</t>
        </is>
      </c>
      <c r="BC744" t="inlineStr">
        <is>
          <t>Banco de Credito del Perú</t>
        </is>
      </c>
      <c r="BD744" t="inlineStr">
        <is>
          <t>194-7325779-0-65</t>
        </is>
      </c>
      <c r="BE744" t="inlineStr">
        <is>
          <t>TRANSFERENCIA BANCARIA</t>
        </is>
      </c>
      <c r="BG744" t="inlineStr">
        <is>
          <t>7844651926764</t>
        </is>
      </c>
      <c r="BH744" t="inlineStr">
        <is>
          <t>No</t>
        </is>
      </c>
      <c r="BJ744" t="n">
        <v>4</v>
      </c>
      <c r="BK744" t="inlineStr">
        <is>
          <t>CANCELADO</t>
        </is>
      </c>
      <c r="BV744" t="inlineStr">
        <is>
          <t>Si</t>
        </is>
      </c>
      <c r="BW744" s="76" t="n">
        <v>46031.40972222222</v>
      </c>
      <c r="BX744" t="inlineStr">
        <is>
          <t>Magaly Guevara Perez</t>
        </is>
      </c>
      <c r="BZ744" t="n">
        <v>20</v>
      </c>
      <c r="CA744" t="inlineStr">
        <is>
          <t>24/05/2026 00:00</t>
        </is>
      </c>
      <c r="CB744" t="n">
        <v>0</v>
      </c>
      <c r="CF744" t="inlineStr">
        <is>
          <t>Cobranzas_2026.csv</t>
        </is>
      </c>
      <c r="CG744" t="n">
        <v>2026</v>
      </c>
      <c r="CH744" t="inlineStr">
        <is>
          <t>01/01/2024</t>
        </is>
      </c>
      <c r="CI744" t="inlineStr">
        <is>
          <t>24/08/2031</t>
        </is>
      </c>
    </row>
    <row r="745">
      <c r="A745" t="inlineStr">
        <is>
          <t>RESIDENCIAL BEYOND</t>
        </is>
      </c>
      <c r="B745" t="inlineStr">
        <is>
          <t>Etapa 1</t>
        </is>
      </c>
      <c r="C745" t="inlineStr">
        <is>
          <t>Edificio</t>
        </is>
      </c>
      <c r="D745" t="inlineStr">
        <is>
          <t>A</t>
        </is>
      </c>
      <c r="E745" t="inlineStr">
        <is>
          <t>Departamento</t>
        </is>
      </c>
      <c r="F745" t="inlineStr">
        <is>
          <t>702</t>
        </is>
      </c>
      <c r="G745" t="n">
        <v>57</v>
      </c>
      <c r="H745" t="n">
        <v>0</v>
      </c>
      <c r="I745" s="39" t="n">
        <v>430000</v>
      </c>
      <c r="J745" s="39" t="n">
        <v>382000</v>
      </c>
      <c r="Q745" s="39" t="n"/>
      <c r="R745" s="39" t="n"/>
      <c r="Y745" s="39" t="n"/>
      <c r="Z745" s="39" t="n"/>
      <c r="AG745" s="39" t="n"/>
      <c r="AH745" s="39" t="n"/>
      <c r="AI745" t="inlineStr">
        <is>
          <t>Víctor Daniel Chuquihuaccha Hernandez</t>
        </is>
      </c>
      <c r="AJ745" t="inlineStr">
        <is>
          <t>73229140</t>
        </is>
      </c>
      <c r="AK745" t="inlineStr">
        <is>
          <t>Calle Los Licopodios 468</t>
        </is>
      </c>
      <c r="AL745" t="n">
        <v>999533600</v>
      </c>
      <c r="AM745" t="inlineStr">
        <is>
          <t>999533600</t>
        </is>
      </c>
      <c r="AN745" t="inlineStr">
        <is>
          <t>victor.d.ch.h@gmail.com</t>
        </is>
      </c>
      <c r="AO745" t="inlineStr">
        <is>
          <t>LIMA</t>
        </is>
      </c>
      <c r="AP745" t="inlineStr">
        <is>
          <t>SAN JUAN DE LURIGANCHO</t>
        </is>
      </c>
      <c r="AQ745" s="75" t="n">
        <v>46091</v>
      </c>
      <c r="AR745" s="75" t="n">
        <v>46169</v>
      </c>
      <c r="AS745" t="inlineStr">
        <is>
          <t>CUOTA INICIAL</t>
        </is>
      </c>
      <c r="AT745" t="n">
        <v>3</v>
      </c>
      <c r="AU745" t="n">
        <v>0</v>
      </c>
      <c r="AV745" t="n">
        <v>0</v>
      </c>
      <c r="AW745" t="n">
        <v>0</v>
      </c>
      <c r="AX745" s="39" t="n">
        <v>0</v>
      </c>
      <c r="AY745" s="39" t="n">
        <v>8200</v>
      </c>
      <c r="AZ745" s="39" t="n">
        <v>0</v>
      </c>
      <c r="BA745" t="n">
        <v>0</v>
      </c>
      <c r="BB745" t="inlineStr">
        <is>
          <t>Crédito Hipotecario</t>
        </is>
      </c>
      <c r="BC745" t="inlineStr">
        <is>
          <t>Banco de Credito del Perú</t>
        </is>
      </c>
      <c r="BD745" t="inlineStr">
        <is>
          <t>194-7325779-0-65</t>
        </is>
      </c>
      <c r="BE745" t="inlineStr">
        <is>
          <t>TRANSFERENCIA BANCARIA</t>
        </is>
      </c>
      <c r="BG745" t="inlineStr">
        <is>
          <t>013309973</t>
        </is>
      </c>
      <c r="BH745" t="inlineStr">
        <is>
          <t>No</t>
        </is>
      </c>
      <c r="BJ745" t="n">
        <v>4</v>
      </c>
      <c r="BK745" t="inlineStr">
        <is>
          <t>CANCELADO</t>
        </is>
      </c>
      <c r="BV745" t="inlineStr">
        <is>
          <t>Si</t>
        </is>
      </c>
      <c r="BW745" s="76" t="n">
        <v>46031.40972222222</v>
      </c>
      <c r="BX745" t="inlineStr">
        <is>
          <t>Magaly Guevara Perez</t>
        </is>
      </c>
      <c r="BZ745" t="n">
        <v>20</v>
      </c>
      <c r="CA745" t="inlineStr">
        <is>
          <t>24/05/2026 00:01</t>
        </is>
      </c>
      <c r="CB745" t="n">
        <v>0</v>
      </c>
      <c r="CF745" t="inlineStr">
        <is>
          <t>Cobranzas_2026.csv</t>
        </is>
      </c>
      <c r="CG745" t="n">
        <v>2026</v>
      </c>
      <c r="CH745" t="inlineStr">
        <is>
          <t>01/01/2024</t>
        </is>
      </c>
      <c r="CI745" t="inlineStr">
        <is>
          <t>24/08/2031</t>
        </is>
      </c>
    </row>
    <row r="746">
      <c r="A746" t="inlineStr">
        <is>
          <t>RESIDENCIAL BEYOND</t>
        </is>
      </c>
      <c r="B746" t="inlineStr">
        <is>
          <t>Etapa 1</t>
        </is>
      </c>
      <c r="C746" t="inlineStr">
        <is>
          <t>Edificio</t>
        </is>
      </c>
      <c r="D746" t="inlineStr">
        <is>
          <t>A</t>
        </is>
      </c>
      <c r="E746" t="inlineStr">
        <is>
          <t>Departamento</t>
        </is>
      </c>
      <c r="F746" t="inlineStr">
        <is>
          <t>702</t>
        </is>
      </c>
      <c r="G746" t="n">
        <v>57</v>
      </c>
      <c r="H746" t="n">
        <v>0</v>
      </c>
      <c r="I746" s="39" t="n">
        <v>430000</v>
      </c>
      <c r="J746" s="39" t="n">
        <v>382000</v>
      </c>
      <c r="Q746" s="39" t="n"/>
      <c r="R746" s="39" t="n"/>
      <c r="Y746" s="39" t="n"/>
      <c r="Z746" s="39" t="n"/>
      <c r="AG746" s="39" t="n"/>
      <c r="AH746" s="39" t="n"/>
      <c r="AI746" t="inlineStr">
        <is>
          <t>Víctor Daniel Chuquihuaccha Hernandez</t>
        </is>
      </c>
      <c r="AJ746" t="inlineStr">
        <is>
          <t>73229140</t>
        </is>
      </c>
      <c r="AK746" t="inlineStr">
        <is>
          <t>Calle Los Licopodios 468</t>
        </is>
      </c>
      <c r="AL746" t="n">
        <v>999533600</v>
      </c>
      <c r="AM746" t="inlineStr">
        <is>
          <t>999533600</t>
        </is>
      </c>
      <c r="AN746" t="inlineStr">
        <is>
          <t>victor.d.ch.h@gmail.com</t>
        </is>
      </c>
      <c r="AO746" t="inlineStr">
        <is>
          <t>LIMA</t>
        </is>
      </c>
      <c r="AP746" t="inlineStr">
        <is>
          <t>SAN JUAN DE LURIGANCHO</t>
        </is>
      </c>
      <c r="AQ746" s="75" t="n">
        <v>46084</v>
      </c>
      <c r="AR746" s="75" t="n"/>
      <c r="AS746" t="inlineStr">
        <is>
          <t>SALDO FINANCIAR</t>
        </is>
      </c>
      <c r="AT746" t="n">
        <v>1</v>
      </c>
      <c r="AU746" t="n">
        <v>343800</v>
      </c>
      <c r="AV746" t="n">
        <v>0</v>
      </c>
      <c r="AW746" t="n">
        <v>0</v>
      </c>
      <c r="AX746" s="39" t="n">
        <v>343800</v>
      </c>
      <c r="AY746" s="39" t="n">
        <v>0</v>
      </c>
      <c r="AZ746" s="39" t="n">
        <v>343800</v>
      </c>
      <c r="BB746" t="inlineStr">
        <is>
          <t>Crédito Hipotecario</t>
        </is>
      </c>
      <c r="BH746" t="inlineStr">
        <is>
          <t>No</t>
        </is>
      </c>
      <c r="BK746" t="inlineStr">
        <is>
          <t>VENCIDO</t>
        </is>
      </c>
      <c r="BV746" t="inlineStr">
        <is>
          <t>No</t>
        </is>
      </c>
      <c r="BW746" s="76" t="n">
        <v>46031.40972222222</v>
      </c>
      <c r="BX746" t="inlineStr">
        <is>
          <t>Magaly Guevara Perez</t>
        </is>
      </c>
      <c r="BZ746" t="n">
        <v>20</v>
      </c>
      <c r="CB746" t="n">
        <v>0</v>
      </c>
      <c r="CF746" t="inlineStr">
        <is>
          <t>Cobranzas_2026.csv</t>
        </is>
      </c>
      <c r="CG746" t="n">
        <v>2026</v>
      </c>
      <c r="CH746" t="inlineStr">
        <is>
          <t>01/01/2024</t>
        </is>
      </c>
      <c r="CI746" t="inlineStr">
        <is>
          <t>24/08/2031</t>
        </is>
      </c>
    </row>
    <row r="747">
      <c r="A747" t="inlineStr">
        <is>
          <t>RESIDENCIAL BEYOND</t>
        </is>
      </c>
      <c r="B747" t="inlineStr">
        <is>
          <t>Etapa 1</t>
        </is>
      </c>
      <c r="C747" t="inlineStr">
        <is>
          <t>Edificio</t>
        </is>
      </c>
      <c r="D747" t="inlineStr">
        <is>
          <t>A</t>
        </is>
      </c>
      <c r="E747" t="inlineStr">
        <is>
          <t>Departamento</t>
        </is>
      </c>
      <c r="F747" t="inlineStr">
        <is>
          <t>603</t>
        </is>
      </c>
      <c r="G747" t="n">
        <v>68</v>
      </c>
      <c r="H747" t="n">
        <v>0</v>
      </c>
      <c r="I747" s="39" t="n">
        <v>504700</v>
      </c>
      <c r="J747" s="39" t="n">
        <v>478000</v>
      </c>
      <c r="K747" t="inlineStr">
        <is>
          <t>Edificio</t>
        </is>
      </c>
      <c r="L747" t="inlineStr">
        <is>
          <t>A</t>
        </is>
      </c>
      <c r="M747" t="inlineStr">
        <is>
          <t>Estacionamiento</t>
        </is>
      </c>
      <c r="N747" t="inlineStr">
        <is>
          <t>E 37 - D 23</t>
        </is>
      </c>
      <c r="O747" t="n">
        <v>12.5</v>
      </c>
      <c r="P747" t="n">
        <v>2.78</v>
      </c>
      <c r="Q747" s="39" t="n">
        <v>50000</v>
      </c>
      <c r="R747" s="39" t="n">
        <v>50000</v>
      </c>
      <c r="Y747" s="39" t="n"/>
      <c r="Z747" s="39" t="n"/>
      <c r="AG747" s="39" t="n"/>
      <c r="AH747" s="39" t="n"/>
      <c r="AI747" t="inlineStr">
        <is>
          <t>Vivina Pasco Blas Vda. De Saenz</t>
        </is>
      </c>
      <c r="AJ747" t="inlineStr">
        <is>
          <t>08494885</t>
        </is>
      </c>
      <c r="AK747" t="inlineStr">
        <is>
          <t>Av. Cordialidad 8079 Urb. Floresta De Pro</t>
        </is>
      </c>
      <c r="AL747" t="n">
        <v>0</v>
      </c>
      <c r="AM747" t="inlineStr">
        <is>
          <t>992686657</t>
        </is>
      </c>
      <c r="AN747" t="inlineStr">
        <is>
          <t>g.saenz22@gmail.com</t>
        </is>
      </c>
      <c r="AO747" t="inlineStr">
        <is>
          <t>LIMA</t>
        </is>
      </c>
      <c r="AP747" t="inlineStr">
        <is>
          <t>LOS OLIVOS</t>
        </is>
      </c>
      <c r="AQ747" s="75" t="n">
        <v>46096</v>
      </c>
      <c r="AR747" s="75" t="n">
        <v>46096</v>
      </c>
      <c r="AS747" t="inlineStr">
        <is>
          <t>SEPARACION</t>
        </is>
      </c>
      <c r="AT747" t="n">
        <v>1</v>
      </c>
      <c r="AU747" t="n">
        <v>3000</v>
      </c>
      <c r="AV747" t="n">
        <v>0</v>
      </c>
      <c r="AW747" t="n">
        <v>0</v>
      </c>
      <c r="AX747" s="39" t="n">
        <v>3000</v>
      </c>
      <c r="AY747" s="39" t="n">
        <v>3000</v>
      </c>
      <c r="AZ747" s="39" t="n">
        <v>0</v>
      </c>
      <c r="BA747" t="n">
        <v>0</v>
      </c>
      <c r="BB747" t="inlineStr">
        <is>
          <t>Ahorro</t>
        </is>
      </c>
      <c r="BC747" t="inlineStr">
        <is>
          <t>Banco de Credito del Perú</t>
        </is>
      </c>
      <c r="BD747" t="inlineStr">
        <is>
          <t>194-7325779-0-65</t>
        </is>
      </c>
      <c r="BE747" t="inlineStr">
        <is>
          <t>POS VISA</t>
        </is>
      </c>
      <c r="BG747" t="inlineStr">
        <is>
          <t>0046485044</t>
        </is>
      </c>
      <c r="BH747" t="inlineStr">
        <is>
          <t>No</t>
        </is>
      </c>
      <c r="BJ747" t="n">
        <v>4</v>
      </c>
      <c r="BK747" t="inlineStr">
        <is>
          <t>CANCELADO</t>
        </is>
      </c>
      <c r="BV747" t="inlineStr">
        <is>
          <t>Si</t>
        </is>
      </c>
      <c r="BW747" s="76" t="n">
        <v>46112.40555555555</v>
      </c>
      <c r="BX747" t="inlineStr">
        <is>
          <t>Magaly Guevara Perez</t>
        </is>
      </c>
      <c r="BZ747" t="n">
        <v>23</v>
      </c>
      <c r="CA747" t="inlineStr">
        <is>
          <t>01/05/2026 20:31</t>
        </is>
      </c>
      <c r="CB747" t="n">
        <v>0</v>
      </c>
      <c r="CF747" t="inlineStr">
        <is>
          <t>Cobranzas_2026.csv</t>
        </is>
      </c>
      <c r="CG747" t="n">
        <v>2026</v>
      </c>
      <c r="CH747" t="inlineStr">
        <is>
          <t>01/01/2024</t>
        </is>
      </c>
      <c r="CI747" t="inlineStr">
        <is>
          <t>24/08/2031</t>
        </is>
      </c>
    </row>
    <row r="748">
      <c r="A748" t="inlineStr">
        <is>
          <t>RESIDENCIAL BEYOND</t>
        </is>
      </c>
      <c r="B748" t="inlineStr">
        <is>
          <t>Etapa 1</t>
        </is>
      </c>
      <c r="C748" t="inlineStr">
        <is>
          <t>Edificio</t>
        </is>
      </c>
      <c r="D748" t="inlineStr">
        <is>
          <t>A</t>
        </is>
      </c>
      <c r="E748" t="inlineStr">
        <is>
          <t>Departamento</t>
        </is>
      </c>
      <c r="F748" t="inlineStr">
        <is>
          <t>603</t>
        </is>
      </c>
      <c r="G748" t="n">
        <v>68</v>
      </c>
      <c r="H748" t="n">
        <v>0</v>
      </c>
      <c r="I748" s="39" t="n">
        <v>504700</v>
      </c>
      <c r="J748" s="39" t="n">
        <v>478000</v>
      </c>
      <c r="K748" t="inlineStr">
        <is>
          <t>Edificio</t>
        </is>
      </c>
      <c r="L748" t="inlineStr">
        <is>
          <t>A</t>
        </is>
      </c>
      <c r="M748" t="inlineStr">
        <is>
          <t>Estacionamiento</t>
        </is>
      </c>
      <c r="N748" t="inlineStr">
        <is>
          <t>E 37 - D 23</t>
        </is>
      </c>
      <c r="O748" t="n">
        <v>12.5</v>
      </c>
      <c r="P748" t="n">
        <v>2.78</v>
      </c>
      <c r="Q748" s="39" t="n">
        <v>50000</v>
      </c>
      <c r="R748" s="39" t="n">
        <v>50000</v>
      </c>
      <c r="Y748" s="39" t="n"/>
      <c r="Z748" s="39" t="n"/>
      <c r="AG748" s="39" t="n"/>
      <c r="AH748" s="39" t="n"/>
      <c r="AI748" t="inlineStr">
        <is>
          <t>Vivina Pasco Blas Vda. De Saenz</t>
        </is>
      </c>
      <c r="AJ748" t="inlineStr">
        <is>
          <t>08494885</t>
        </is>
      </c>
      <c r="AK748" t="inlineStr">
        <is>
          <t>Av. Cordialidad 8079 Urb. Floresta De Pro</t>
        </is>
      </c>
      <c r="AL748" t="n">
        <v>0</v>
      </c>
      <c r="AM748" t="inlineStr">
        <is>
          <t>992686657</t>
        </is>
      </c>
      <c r="AN748" t="inlineStr">
        <is>
          <t>g.saenz22@gmail.com</t>
        </is>
      </c>
      <c r="AO748" t="inlineStr">
        <is>
          <t>LIMA</t>
        </is>
      </c>
      <c r="AP748" t="inlineStr">
        <is>
          <t>LOS OLIVOS</t>
        </is>
      </c>
      <c r="AQ748" s="75" t="n">
        <v>46112</v>
      </c>
      <c r="AR748" s="75" t="n">
        <v>46112</v>
      </c>
      <c r="AS748" t="inlineStr">
        <is>
          <t>CUOTA INICIAL</t>
        </is>
      </c>
      <c r="AT748" t="n">
        <v>1</v>
      </c>
      <c r="AU748" t="n">
        <v>100000</v>
      </c>
      <c r="AV748" t="n">
        <v>0</v>
      </c>
      <c r="AW748" t="n">
        <v>0</v>
      </c>
      <c r="AX748" s="39" t="n">
        <v>100000</v>
      </c>
      <c r="AY748" s="39" t="n">
        <v>100000</v>
      </c>
      <c r="AZ748" s="39" t="n">
        <v>0</v>
      </c>
      <c r="BA748" t="n">
        <v>0</v>
      </c>
      <c r="BB748" t="inlineStr">
        <is>
          <t>Ahorro</t>
        </is>
      </c>
      <c r="BC748" t="inlineStr">
        <is>
          <t>Banco de Credito del Perú</t>
        </is>
      </c>
      <c r="BD748" t="inlineStr">
        <is>
          <t>194-7325779-0-65</t>
        </is>
      </c>
      <c r="BE748" t="inlineStr">
        <is>
          <t>TRANSFERENCIA BANCARIA</t>
        </is>
      </c>
      <c r="BG748" t="inlineStr">
        <is>
          <t>00034</t>
        </is>
      </c>
      <c r="BH748" t="inlineStr">
        <is>
          <t>No</t>
        </is>
      </c>
      <c r="BJ748" t="n">
        <v>3.47</v>
      </c>
      <c r="BK748" t="inlineStr">
        <is>
          <t>CANCELADO</t>
        </is>
      </c>
      <c r="BV748" t="inlineStr">
        <is>
          <t>Si</t>
        </is>
      </c>
      <c r="BW748" s="76" t="n">
        <v>46112.40555555555</v>
      </c>
      <c r="BX748" t="inlineStr">
        <is>
          <t>Magaly Guevara Perez</t>
        </is>
      </c>
      <c r="BZ748" t="n">
        <v>23</v>
      </c>
      <c r="CA748" t="inlineStr">
        <is>
          <t>20/08/2026 07:55</t>
        </is>
      </c>
      <c r="CB748" t="n">
        <v>0</v>
      </c>
      <c r="CF748" t="inlineStr">
        <is>
          <t>Cobranzas_2026.csv</t>
        </is>
      </c>
      <c r="CG748" t="n">
        <v>2026</v>
      </c>
      <c r="CH748" t="inlineStr">
        <is>
          <t>01/01/2024</t>
        </is>
      </c>
      <c r="CI748" t="inlineStr">
        <is>
          <t>24/08/2031</t>
        </is>
      </c>
    </row>
    <row r="749">
      <c r="A749" t="inlineStr">
        <is>
          <t>RESIDENCIAL BEYOND</t>
        </is>
      </c>
      <c r="B749" t="inlineStr">
        <is>
          <t>Etapa 1</t>
        </is>
      </c>
      <c r="C749" t="inlineStr">
        <is>
          <t>Edificio</t>
        </is>
      </c>
      <c r="D749" t="inlineStr">
        <is>
          <t>A</t>
        </is>
      </c>
      <c r="E749" t="inlineStr">
        <is>
          <t>Departamento</t>
        </is>
      </c>
      <c r="F749" t="inlineStr">
        <is>
          <t>603</t>
        </is>
      </c>
      <c r="G749" t="n">
        <v>68</v>
      </c>
      <c r="H749" t="n">
        <v>0</v>
      </c>
      <c r="I749" s="39" t="n">
        <v>504700</v>
      </c>
      <c r="J749" s="39" t="n">
        <v>478000</v>
      </c>
      <c r="K749" t="inlineStr">
        <is>
          <t>Edificio</t>
        </is>
      </c>
      <c r="L749" t="inlineStr">
        <is>
          <t>A</t>
        </is>
      </c>
      <c r="M749" t="inlineStr">
        <is>
          <t>Estacionamiento</t>
        </is>
      </c>
      <c r="N749" t="inlineStr">
        <is>
          <t>E 37 - D 23</t>
        </is>
      </c>
      <c r="O749" t="n">
        <v>12.5</v>
      </c>
      <c r="P749" t="n">
        <v>2.78</v>
      </c>
      <c r="Q749" s="39" t="n">
        <v>50000</v>
      </c>
      <c r="R749" s="39" t="n">
        <v>50000</v>
      </c>
      <c r="Y749" s="39" t="n"/>
      <c r="Z749" s="39" t="n"/>
      <c r="AG749" s="39" t="n"/>
      <c r="AH749" s="39" t="n"/>
      <c r="AI749" t="inlineStr">
        <is>
          <t>Vivina Pasco Blas Vda. De Saenz</t>
        </is>
      </c>
      <c r="AJ749" t="inlineStr">
        <is>
          <t>08494885</t>
        </is>
      </c>
      <c r="AK749" t="inlineStr">
        <is>
          <t>Av. Cordialidad 8079 Urb. Floresta De Pro</t>
        </is>
      </c>
      <c r="AL749" t="n">
        <v>0</v>
      </c>
      <c r="AM749" t="inlineStr">
        <is>
          <t>992686657</t>
        </is>
      </c>
      <c r="AN749" t="inlineStr">
        <is>
          <t>g.saenz22@gmail.com</t>
        </is>
      </c>
      <c r="AO749" t="inlineStr">
        <is>
          <t>LIMA</t>
        </is>
      </c>
      <c r="AP749" t="inlineStr">
        <is>
          <t>LOS OLIVOS</t>
        </is>
      </c>
      <c r="AQ749" s="75" t="n">
        <v>46127</v>
      </c>
      <c r="AR749" s="75" t="n">
        <v>46127</v>
      </c>
      <c r="AS749" t="inlineStr">
        <is>
          <t>CUOTA INICIAL</t>
        </is>
      </c>
      <c r="AT749" t="n">
        <v>2</v>
      </c>
      <c r="AU749" t="n">
        <v>161000</v>
      </c>
      <c r="AV749" t="n">
        <v>0</v>
      </c>
      <c r="AW749" t="n">
        <v>0</v>
      </c>
      <c r="AX749" s="39" t="n">
        <v>161000</v>
      </c>
      <c r="AY749" s="39" t="n">
        <v>161000</v>
      </c>
      <c r="AZ749" s="39" t="n">
        <v>0</v>
      </c>
      <c r="BA749" t="n">
        <v>0</v>
      </c>
      <c r="BB749" t="inlineStr">
        <is>
          <t>Ahorro</t>
        </is>
      </c>
      <c r="BC749" t="inlineStr">
        <is>
          <t>Banco de Credito del Perú</t>
        </is>
      </c>
      <c r="BD749" t="inlineStr">
        <is>
          <t>194-7325779-0-65</t>
        </is>
      </c>
      <c r="BE749" t="inlineStr">
        <is>
          <t>TRANSFERENCIA BANCARIA</t>
        </is>
      </c>
      <c r="BG749" t="inlineStr">
        <is>
          <t>00112</t>
        </is>
      </c>
      <c r="BH749" t="inlineStr">
        <is>
          <t>No</t>
        </is>
      </c>
      <c r="BJ749" t="n">
        <v>3.47</v>
      </c>
      <c r="BK749" t="inlineStr">
        <is>
          <t>CANCELADO</t>
        </is>
      </c>
      <c r="BV749" t="inlineStr">
        <is>
          <t>Si</t>
        </is>
      </c>
      <c r="BW749" s="76" t="n">
        <v>46112.40555555555</v>
      </c>
      <c r="BX749" t="inlineStr">
        <is>
          <t>Magaly Guevara Perez</t>
        </is>
      </c>
      <c r="BZ749" t="n">
        <v>23</v>
      </c>
      <c r="CA749" t="inlineStr">
        <is>
          <t>20/08/2026 07:55</t>
        </is>
      </c>
      <c r="CB749" t="n">
        <v>0</v>
      </c>
      <c r="CF749" t="inlineStr">
        <is>
          <t>Cobranzas_2026.csv</t>
        </is>
      </c>
      <c r="CG749" t="n">
        <v>2026</v>
      </c>
      <c r="CH749" t="inlineStr">
        <is>
          <t>01/01/2024</t>
        </is>
      </c>
      <c r="CI749" t="inlineStr">
        <is>
          <t>24/08/2031</t>
        </is>
      </c>
    </row>
    <row r="750">
      <c r="A750" t="inlineStr">
        <is>
          <t>RESIDENCIAL BEYOND</t>
        </is>
      </c>
      <c r="B750" t="inlineStr">
        <is>
          <t>Etapa 1</t>
        </is>
      </c>
      <c r="C750" t="inlineStr">
        <is>
          <t>Edificio</t>
        </is>
      </c>
      <c r="D750" t="inlineStr">
        <is>
          <t>A</t>
        </is>
      </c>
      <c r="E750" t="inlineStr">
        <is>
          <t>Departamento</t>
        </is>
      </c>
      <c r="F750" t="inlineStr">
        <is>
          <t>603</t>
        </is>
      </c>
      <c r="G750" t="n">
        <v>68</v>
      </c>
      <c r="H750" t="n">
        <v>0</v>
      </c>
      <c r="I750" s="39" t="n">
        <v>504700</v>
      </c>
      <c r="J750" s="39" t="n">
        <v>478000</v>
      </c>
      <c r="K750" t="inlineStr">
        <is>
          <t>Edificio</t>
        </is>
      </c>
      <c r="L750" t="inlineStr">
        <is>
          <t>A</t>
        </is>
      </c>
      <c r="M750" t="inlineStr">
        <is>
          <t>Estacionamiento</t>
        </is>
      </c>
      <c r="N750" t="inlineStr">
        <is>
          <t>E 37 - D 23</t>
        </is>
      </c>
      <c r="O750" t="n">
        <v>12.5</v>
      </c>
      <c r="P750" t="n">
        <v>2.78</v>
      </c>
      <c r="Q750" s="39" t="n">
        <v>50000</v>
      </c>
      <c r="R750" s="39" t="n">
        <v>50000</v>
      </c>
      <c r="Y750" s="39" t="n"/>
      <c r="Z750" s="39" t="n"/>
      <c r="AG750" s="39" t="n"/>
      <c r="AH750" s="39" t="n"/>
      <c r="AI750" t="inlineStr">
        <is>
          <t>Vivina Pasco Blas Vda. De Saenz</t>
        </is>
      </c>
      <c r="AJ750" t="inlineStr">
        <is>
          <t>08494885</t>
        </is>
      </c>
      <c r="AK750" t="inlineStr">
        <is>
          <t>Av. Cordialidad 8079 Urb. Floresta De Pro</t>
        </is>
      </c>
      <c r="AL750" t="n">
        <v>0</v>
      </c>
      <c r="AM750" t="inlineStr">
        <is>
          <t>992686657</t>
        </is>
      </c>
      <c r="AN750" t="inlineStr">
        <is>
          <t>g.saenz22@gmail.com</t>
        </is>
      </c>
      <c r="AO750" t="inlineStr">
        <is>
          <t>LIMA</t>
        </is>
      </c>
      <c r="AP750" t="inlineStr">
        <is>
          <t>LOS OLIVOS</t>
        </is>
      </c>
      <c r="AQ750" s="75" t="n">
        <v>46387</v>
      </c>
      <c r="AR750" s="75" t="n"/>
      <c r="AS750" t="inlineStr">
        <is>
          <t>SALDO FINANCIAR</t>
        </is>
      </c>
      <c r="AT750" t="n">
        <v>1</v>
      </c>
      <c r="AU750" t="n">
        <v>66000</v>
      </c>
      <c r="AV750" t="n">
        <v>0</v>
      </c>
      <c r="AW750" t="n">
        <v>0</v>
      </c>
      <c r="AX750" s="39" t="n">
        <v>66000</v>
      </c>
      <c r="AY750" s="39" t="n">
        <v>0</v>
      </c>
      <c r="AZ750" s="39" t="n">
        <v>66000</v>
      </c>
      <c r="BB750" t="inlineStr">
        <is>
          <t>Ahorro</t>
        </is>
      </c>
      <c r="BH750" t="inlineStr">
        <is>
          <t>No</t>
        </is>
      </c>
      <c r="BK750" t="inlineStr">
        <is>
          <t>PENDIENTE</t>
        </is>
      </c>
      <c r="BV750" t="inlineStr">
        <is>
          <t>No</t>
        </is>
      </c>
      <c r="BW750" s="76" t="n">
        <v>46112.40555555555</v>
      </c>
      <c r="BX750" t="inlineStr">
        <is>
          <t>Magaly Guevara Perez</t>
        </is>
      </c>
      <c r="BZ750" t="n">
        <v>23</v>
      </c>
      <c r="CB750" t="n">
        <v>0</v>
      </c>
      <c r="CF750" t="inlineStr">
        <is>
          <t>Cobranzas_2026.csv</t>
        </is>
      </c>
      <c r="CG750" t="n">
        <v>2026</v>
      </c>
      <c r="CH750" t="inlineStr">
        <is>
          <t>01/01/2024</t>
        </is>
      </c>
      <c r="CI750" t="inlineStr">
        <is>
          <t>24/08/2031</t>
        </is>
      </c>
    </row>
    <row r="751">
      <c r="A751" t="inlineStr">
        <is>
          <t>RESIDENCIAL PRADA</t>
        </is>
      </c>
      <c r="B751" t="inlineStr">
        <is>
          <t>Etapa 1</t>
        </is>
      </c>
      <c r="C751" t="inlineStr">
        <is>
          <t>Edificio</t>
        </is>
      </c>
      <c r="D751" t="inlineStr">
        <is>
          <t>A</t>
        </is>
      </c>
      <c r="E751" t="inlineStr">
        <is>
          <t>Departamento</t>
        </is>
      </c>
      <c r="F751" t="inlineStr">
        <is>
          <t>905</t>
        </is>
      </c>
      <c r="G751" t="n">
        <v>68.72</v>
      </c>
      <c r="H751" t="n">
        <v>0</v>
      </c>
      <c r="I751" s="39" t="n">
        <v>489000</v>
      </c>
      <c r="J751" s="39" t="n">
        <v>489000</v>
      </c>
      <c r="K751" t="inlineStr">
        <is>
          <t>Edificio</t>
        </is>
      </c>
      <c r="L751" t="inlineStr">
        <is>
          <t>A</t>
        </is>
      </c>
      <c r="M751" t="inlineStr">
        <is>
          <t>Estacionamiento</t>
        </is>
      </c>
      <c r="N751" t="inlineStr">
        <is>
          <t>E 36</t>
        </is>
      </c>
      <c r="O751" t="n">
        <v>12.51</v>
      </c>
      <c r="P751" t="n">
        <v>0</v>
      </c>
      <c r="Q751" s="39" t="n">
        <v>46000</v>
      </c>
      <c r="R751" s="39" t="n">
        <v>46000</v>
      </c>
      <c r="Y751" s="39" t="n"/>
      <c r="Z751" s="39" t="n"/>
      <c r="AG751" s="39" t="n"/>
      <c r="AH751" s="39" t="n"/>
      <c r="AI751" t="inlineStr">
        <is>
          <t>Walther Antonio Espinoza Gomez</t>
        </is>
      </c>
      <c r="AJ751" t="inlineStr">
        <is>
          <t>08657121</t>
        </is>
      </c>
      <c r="AK751" t="inlineStr">
        <is>
          <t>Jr. El Chaco 2422</t>
        </is>
      </c>
      <c r="AL751" t="n">
        <v>0</v>
      </c>
      <c r="AM751" t="inlineStr">
        <is>
          <t>998144198</t>
        </is>
      </c>
      <c r="AN751" t="inlineStr">
        <is>
          <t>wespinozawaeg@gmail.com</t>
        </is>
      </c>
      <c r="AO751" t="inlineStr">
        <is>
          <t>LIMA</t>
        </is>
      </c>
      <c r="AP751" t="inlineStr">
        <is>
          <t>SAN MARTIN DE PORRES</t>
        </is>
      </c>
      <c r="AQ751" s="75" t="n">
        <v>46033</v>
      </c>
      <c r="AR751" s="75" t="n">
        <v>46027</v>
      </c>
      <c r="AS751" t="inlineStr">
        <is>
          <t>CUOTA INICIAL</t>
        </is>
      </c>
      <c r="AT751" t="n">
        <v>1</v>
      </c>
      <c r="AU751" t="n">
        <v>53500</v>
      </c>
      <c r="AV751" t="n">
        <v>0</v>
      </c>
      <c r="AW751" t="n">
        <v>0</v>
      </c>
      <c r="AX751" s="39" t="n">
        <v>53500</v>
      </c>
      <c r="AY751" s="39" t="n">
        <v>3000</v>
      </c>
      <c r="AZ751" s="39" t="n">
        <v>0</v>
      </c>
      <c r="BA751" t="n">
        <v>0</v>
      </c>
      <c r="BB751" t="inlineStr">
        <is>
          <t>Crédito Hipotecario</t>
        </is>
      </c>
      <c r="BC751" t="inlineStr">
        <is>
          <t>Scotiabank Perú</t>
        </is>
      </c>
      <c r="BD751" t="inlineStr">
        <is>
          <t>000-2768484</t>
        </is>
      </c>
      <c r="BE751" t="inlineStr">
        <is>
          <t>TRANSFERENCIA BANCARIA</t>
        </is>
      </c>
      <c r="BG751" t="inlineStr">
        <is>
          <t>7844655534658</t>
        </is>
      </c>
      <c r="BH751" t="inlineStr">
        <is>
          <t>No</t>
        </is>
      </c>
      <c r="BJ751" t="n">
        <v>4</v>
      </c>
      <c r="BK751" t="inlineStr">
        <is>
          <t>CANCELADO</t>
        </is>
      </c>
      <c r="BV751" t="inlineStr">
        <is>
          <t>Si</t>
        </is>
      </c>
      <c r="BW751" s="76" t="n">
        <v>46033.65763888889</v>
      </c>
      <c r="BX751" t="inlineStr">
        <is>
          <t>Magaly Guevara Perez</t>
        </is>
      </c>
      <c r="BZ751" t="n">
        <v>51</v>
      </c>
      <c r="CA751" t="inlineStr">
        <is>
          <t>07/07/2026 15:44</t>
        </is>
      </c>
      <c r="CB751" t="n">
        <v>0</v>
      </c>
      <c r="CF751" t="inlineStr">
        <is>
          <t>Cobranzas_2026.csv</t>
        </is>
      </c>
      <c r="CG751" t="n">
        <v>2026</v>
      </c>
      <c r="CH751" t="inlineStr">
        <is>
          <t>01/01/2024</t>
        </is>
      </c>
      <c r="CI751" t="inlineStr">
        <is>
          <t>24/08/2031</t>
        </is>
      </c>
    </row>
    <row r="752">
      <c r="A752" t="inlineStr">
        <is>
          <t>RESIDENCIAL PRADA</t>
        </is>
      </c>
      <c r="B752" t="inlineStr">
        <is>
          <t>Etapa 1</t>
        </is>
      </c>
      <c r="C752" t="inlineStr">
        <is>
          <t>Edificio</t>
        </is>
      </c>
      <c r="D752" t="inlineStr">
        <is>
          <t>A</t>
        </is>
      </c>
      <c r="E752" t="inlineStr">
        <is>
          <t>Departamento</t>
        </is>
      </c>
      <c r="F752" t="inlineStr">
        <is>
          <t>905</t>
        </is>
      </c>
      <c r="G752" t="n">
        <v>68.72</v>
      </c>
      <c r="H752" t="n">
        <v>0</v>
      </c>
      <c r="I752" s="39" t="n">
        <v>489000</v>
      </c>
      <c r="J752" s="39" t="n">
        <v>489000</v>
      </c>
      <c r="K752" t="inlineStr">
        <is>
          <t>Edificio</t>
        </is>
      </c>
      <c r="L752" t="inlineStr">
        <is>
          <t>A</t>
        </is>
      </c>
      <c r="M752" t="inlineStr">
        <is>
          <t>Estacionamiento</t>
        </is>
      </c>
      <c r="N752" t="inlineStr">
        <is>
          <t>E 36</t>
        </is>
      </c>
      <c r="O752" t="n">
        <v>12.51</v>
      </c>
      <c r="P752" t="n">
        <v>0</v>
      </c>
      <c r="Q752" s="39" t="n">
        <v>46000</v>
      </c>
      <c r="R752" s="39" t="n">
        <v>46000</v>
      </c>
      <c r="Y752" s="39" t="n"/>
      <c r="Z752" s="39" t="n"/>
      <c r="AG752" s="39" t="n"/>
      <c r="AH752" s="39" t="n"/>
      <c r="AI752" t="inlineStr">
        <is>
          <t>Walther Antonio Espinoza Gomez</t>
        </is>
      </c>
      <c r="AJ752" t="inlineStr">
        <is>
          <t>08657121</t>
        </is>
      </c>
      <c r="AK752" t="inlineStr">
        <is>
          <t>Jr. El Chaco 2422</t>
        </is>
      </c>
      <c r="AL752" t="n">
        <v>0</v>
      </c>
      <c r="AM752" t="inlineStr">
        <is>
          <t>998144198</t>
        </is>
      </c>
      <c r="AN752" t="inlineStr">
        <is>
          <t>wespinozawaeg@gmail.com</t>
        </is>
      </c>
      <c r="AO752" t="inlineStr">
        <is>
          <t>LIMA</t>
        </is>
      </c>
      <c r="AP752" t="inlineStr">
        <is>
          <t>SAN MARTIN DE PORRES</t>
        </is>
      </c>
      <c r="AQ752" s="75" t="n">
        <v>46033</v>
      </c>
      <c r="AR752" s="75" t="n">
        <v>46033</v>
      </c>
      <c r="AS752" t="inlineStr">
        <is>
          <t>CUOTA INICIAL</t>
        </is>
      </c>
      <c r="AT752" t="n">
        <v>1</v>
      </c>
      <c r="AU752" t="n">
        <v>0</v>
      </c>
      <c r="AV752" t="n">
        <v>0</v>
      </c>
      <c r="AW752" t="n">
        <v>0</v>
      </c>
      <c r="AX752" s="39" t="n">
        <v>0</v>
      </c>
      <c r="AY752" s="39" t="n">
        <v>50500</v>
      </c>
      <c r="AZ752" s="39" t="n">
        <v>0</v>
      </c>
      <c r="BA752" t="n">
        <v>0</v>
      </c>
      <c r="BB752" t="inlineStr">
        <is>
          <t>Crédito Hipotecario</t>
        </is>
      </c>
      <c r="BC752" t="inlineStr">
        <is>
          <t>Scotiabank Perú</t>
        </is>
      </c>
      <c r="BD752" t="inlineStr">
        <is>
          <t>000-2768484</t>
        </is>
      </c>
      <c r="BE752" t="inlineStr">
        <is>
          <t>TRANSFERENCIA BANCARIA</t>
        </is>
      </c>
      <c r="BG752" t="inlineStr">
        <is>
          <t>039000000012211</t>
        </is>
      </c>
      <c r="BH752" t="inlineStr">
        <is>
          <t>No</t>
        </is>
      </c>
      <c r="BJ752" t="n">
        <v>4</v>
      </c>
      <c r="BK752" t="inlineStr">
        <is>
          <t>CANCELADO</t>
        </is>
      </c>
      <c r="BV752" t="inlineStr">
        <is>
          <t>Si</t>
        </is>
      </c>
      <c r="BW752" s="76" t="n">
        <v>46033.65763888889</v>
      </c>
      <c r="BX752" t="inlineStr">
        <is>
          <t>Magaly Guevara Perez</t>
        </is>
      </c>
      <c r="BZ752" t="n">
        <v>51</v>
      </c>
      <c r="CA752" t="inlineStr">
        <is>
          <t>07/07/2026 15:45</t>
        </is>
      </c>
      <c r="CB752" t="n">
        <v>0</v>
      </c>
      <c r="CF752" t="inlineStr">
        <is>
          <t>Cobranzas_2026.csv</t>
        </is>
      </c>
      <c r="CG752" t="n">
        <v>2026</v>
      </c>
      <c r="CH752" t="inlineStr">
        <is>
          <t>01/01/2024</t>
        </is>
      </c>
      <c r="CI752" t="inlineStr">
        <is>
          <t>24/08/2031</t>
        </is>
      </c>
    </row>
    <row r="753">
      <c r="A753" t="inlineStr">
        <is>
          <t>RESIDENCIAL PRADA</t>
        </is>
      </c>
      <c r="B753" t="inlineStr">
        <is>
          <t>Etapa 1</t>
        </is>
      </c>
      <c r="C753" t="inlineStr">
        <is>
          <t>Edificio</t>
        </is>
      </c>
      <c r="D753" t="inlineStr">
        <is>
          <t>A</t>
        </is>
      </c>
      <c r="E753" t="inlineStr">
        <is>
          <t>Departamento</t>
        </is>
      </c>
      <c r="F753" t="inlineStr">
        <is>
          <t>905</t>
        </is>
      </c>
      <c r="G753" t="n">
        <v>68.72</v>
      </c>
      <c r="H753" t="n">
        <v>0</v>
      </c>
      <c r="I753" s="39" t="n">
        <v>489000</v>
      </c>
      <c r="J753" s="39" t="n">
        <v>489000</v>
      </c>
      <c r="K753" t="inlineStr">
        <is>
          <t>Edificio</t>
        </is>
      </c>
      <c r="L753" t="inlineStr">
        <is>
          <t>A</t>
        </is>
      </c>
      <c r="M753" t="inlineStr">
        <is>
          <t>Estacionamiento</t>
        </is>
      </c>
      <c r="N753" t="inlineStr">
        <is>
          <t>E 36</t>
        </is>
      </c>
      <c r="O753" t="n">
        <v>12.51</v>
      </c>
      <c r="P753" t="n">
        <v>0</v>
      </c>
      <c r="Q753" s="39" t="n">
        <v>46000</v>
      </c>
      <c r="R753" s="39" t="n">
        <v>46000</v>
      </c>
      <c r="Y753" s="39" t="n"/>
      <c r="Z753" s="39" t="n"/>
      <c r="AG753" s="39" t="n"/>
      <c r="AH753" s="39" t="n"/>
      <c r="AI753" t="inlineStr">
        <is>
          <t>Walther Antonio Espinoza Gomez</t>
        </is>
      </c>
      <c r="AJ753" t="inlineStr">
        <is>
          <t>08657121</t>
        </is>
      </c>
      <c r="AK753" t="inlineStr">
        <is>
          <t>Jr. El Chaco 2422</t>
        </is>
      </c>
      <c r="AL753" t="n">
        <v>0</v>
      </c>
      <c r="AM753" t="inlineStr">
        <is>
          <t>998144198</t>
        </is>
      </c>
      <c r="AN753" t="inlineStr">
        <is>
          <t>wespinozawaeg@gmail.com</t>
        </is>
      </c>
      <c r="AO753" t="inlineStr">
        <is>
          <t>LIMA</t>
        </is>
      </c>
      <c r="AP753" t="inlineStr">
        <is>
          <t>SAN MARTIN DE PORRES</t>
        </is>
      </c>
      <c r="AQ753" s="75" t="n">
        <v>46081</v>
      </c>
      <c r="AR753" s="75" t="n">
        <v>46053</v>
      </c>
      <c r="AS753" t="inlineStr">
        <is>
          <t>SALDO FINANCIAR</t>
        </is>
      </c>
      <c r="AT753" t="n">
        <v>1</v>
      </c>
      <c r="AU753" t="n">
        <v>481500</v>
      </c>
      <c r="AV753" t="n">
        <v>0</v>
      </c>
      <c r="AW753" t="n">
        <v>0</v>
      </c>
      <c r="AX753" s="39" t="n">
        <v>481500</v>
      </c>
      <c r="AY753" s="39" t="n">
        <v>481500</v>
      </c>
      <c r="AZ753" s="39" t="n">
        <v>0</v>
      </c>
      <c r="BA753" t="n">
        <v>0</v>
      </c>
      <c r="BB753" t="inlineStr">
        <is>
          <t>Crédito Hipotecario</t>
        </is>
      </c>
      <c r="BC753" t="inlineStr">
        <is>
          <t>Scotiabank Perú</t>
        </is>
      </c>
      <c r="BD753" t="inlineStr">
        <is>
          <t>000-2768484</t>
        </is>
      </c>
      <c r="BE753" t="inlineStr">
        <is>
          <t>TRANSFERENCIA BANCARIA</t>
        </is>
      </c>
      <c r="BG753" t="inlineStr">
        <is>
          <t>0270800039</t>
        </is>
      </c>
      <c r="BH753" t="inlineStr">
        <is>
          <t>No</t>
        </is>
      </c>
      <c r="BJ753" t="n">
        <v>4</v>
      </c>
      <c r="BK753" t="inlineStr">
        <is>
          <t>CANCELADO</t>
        </is>
      </c>
      <c r="BV753" t="inlineStr">
        <is>
          <t>Si</t>
        </is>
      </c>
      <c r="BW753" s="76" t="n">
        <v>46033.65763888889</v>
      </c>
      <c r="BX753" t="inlineStr">
        <is>
          <t>Magaly Guevara Perez</t>
        </is>
      </c>
      <c r="BZ753" t="n">
        <v>51</v>
      </c>
      <c r="CA753" t="inlineStr">
        <is>
          <t>07/07/2026 15:46</t>
        </is>
      </c>
      <c r="CB753" t="n">
        <v>0</v>
      </c>
      <c r="CF753" t="inlineStr">
        <is>
          <t>Cobranzas_2026.csv</t>
        </is>
      </c>
      <c r="CG753" t="n">
        <v>2026</v>
      </c>
      <c r="CH753" t="inlineStr">
        <is>
          <t>01/01/2024</t>
        </is>
      </c>
      <c r="CI753" t="inlineStr">
        <is>
          <t>24/08/2031</t>
        </is>
      </c>
    </row>
    <row r="754">
      <c r="A754" t="inlineStr">
        <is>
          <t>RESIDENCIAL BEYOND</t>
        </is>
      </c>
      <c r="B754" t="inlineStr">
        <is>
          <t>Etapa 1</t>
        </is>
      </c>
      <c r="C754" t="inlineStr">
        <is>
          <t>Edificio</t>
        </is>
      </c>
      <c r="D754" t="inlineStr">
        <is>
          <t>A</t>
        </is>
      </c>
      <c r="E754" t="inlineStr">
        <is>
          <t>Departamento</t>
        </is>
      </c>
      <c r="F754" t="inlineStr">
        <is>
          <t>1705</t>
        </is>
      </c>
      <c r="G754" t="n">
        <v>72</v>
      </c>
      <c r="H754" t="n">
        <v>0</v>
      </c>
      <c r="I754" s="39" t="n">
        <v>482100</v>
      </c>
      <c r="J754" s="39" t="n">
        <v>482100</v>
      </c>
      <c r="K754" t="inlineStr">
        <is>
          <t>Edificio</t>
        </is>
      </c>
      <c r="L754" t="inlineStr">
        <is>
          <t>A</t>
        </is>
      </c>
      <c r="M754" t="inlineStr">
        <is>
          <t>Estacionamiento</t>
        </is>
      </c>
      <c r="N754" t="inlineStr">
        <is>
          <t>E 13 - D 11</t>
        </is>
      </c>
      <c r="O754" t="n">
        <v>12.5</v>
      </c>
      <c r="P754" t="n">
        <v>2</v>
      </c>
      <c r="Q754" s="39" t="n">
        <v>54000</v>
      </c>
      <c r="R754" s="39" t="n">
        <v>54000</v>
      </c>
      <c r="Y754" s="39" t="n"/>
      <c r="Z754" s="39" t="n"/>
      <c r="AG754" s="39" t="n"/>
      <c r="AH754" s="39" t="n"/>
      <c r="AI754" t="inlineStr">
        <is>
          <t>Alejandro David Dianderas Leyzaquia</t>
        </is>
      </c>
      <c r="AJ754" t="inlineStr">
        <is>
          <t>71802853</t>
        </is>
      </c>
      <c r="AK754" t="inlineStr">
        <is>
          <t>Av. Revolucion 530 - Urb. Collique Etapa 1</t>
        </is>
      </c>
      <c r="AL754" t="n">
        <v>0</v>
      </c>
      <c r="AM754" t="inlineStr">
        <is>
          <t>926428673</t>
        </is>
      </c>
      <c r="AN754" t="inlineStr">
        <is>
          <t>926428673@gmail.com</t>
        </is>
      </c>
      <c r="AO754" t="inlineStr">
        <is>
          <t>LIMA</t>
        </is>
      </c>
      <c r="AP754" t="inlineStr">
        <is>
          <t>COMAS</t>
        </is>
      </c>
      <c r="AQ754" s="75" t="n">
        <v>46446</v>
      </c>
      <c r="AR754" s="75" t="n"/>
      <c r="AS754" t="inlineStr">
        <is>
          <t>SALDO FINANCIAR</t>
        </is>
      </c>
      <c r="AT754" t="n">
        <v>1</v>
      </c>
      <c r="AU754" t="n">
        <v>428880</v>
      </c>
      <c r="AV754" t="n">
        <v>0</v>
      </c>
      <c r="AW754" t="n">
        <v>0</v>
      </c>
      <c r="AX754" s="39" t="n">
        <v>428880</v>
      </c>
      <c r="AY754" s="39" t="n">
        <v>0</v>
      </c>
      <c r="AZ754" s="39" t="n">
        <v>428880</v>
      </c>
      <c r="BB754" t="inlineStr">
        <is>
          <t>Ahorro</t>
        </is>
      </c>
      <c r="BH754" t="inlineStr">
        <is>
          <t>No</t>
        </is>
      </c>
      <c r="BK754" t="inlineStr">
        <is>
          <t>PENDIENTE</t>
        </is>
      </c>
      <c r="BV754" t="inlineStr">
        <is>
          <t>No</t>
        </is>
      </c>
      <c r="BW754" s="76" t="n">
        <v>46172.7375</v>
      </c>
      <c r="BX754" t="inlineStr">
        <is>
          <t>Magaly Guevara Perez</t>
        </is>
      </c>
      <c r="BZ754" t="n">
        <v>41</v>
      </c>
      <c r="CB754" t="n">
        <v>0</v>
      </c>
      <c r="CF754" t="inlineStr">
        <is>
          <t>Cobranzas_2027.csv</t>
        </is>
      </c>
      <c r="CG754" t="n">
        <v>2027</v>
      </c>
      <c r="CH754" t="inlineStr">
        <is>
          <t>01/01/2024</t>
        </is>
      </c>
      <c r="CI754" t="inlineStr">
        <is>
          <t>24/08/2031</t>
        </is>
      </c>
    </row>
    <row r="755">
      <c r="A755" t="inlineStr">
        <is>
          <t>RESIDENCIAL BEYOND</t>
        </is>
      </c>
      <c r="B755" t="inlineStr">
        <is>
          <t>Etapa 1</t>
        </is>
      </c>
      <c r="C755" t="inlineStr">
        <is>
          <t>Edificio</t>
        </is>
      </c>
      <c r="D755" t="inlineStr">
        <is>
          <t>A</t>
        </is>
      </c>
      <c r="E755" t="inlineStr">
        <is>
          <t>Departamento</t>
        </is>
      </c>
      <c r="F755" t="inlineStr">
        <is>
          <t>1202</t>
        </is>
      </c>
      <c r="G755" t="n">
        <v>57</v>
      </c>
      <c r="H755" t="n">
        <v>0</v>
      </c>
      <c r="I755" s="39" t="n">
        <v>422000</v>
      </c>
      <c r="J755" s="39" t="n">
        <v>370000</v>
      </c>
      <c r="Q755" s="39" t="n"/>
      <c r="R755" s="39" t="n"/>
      <c r="Y755" s="39" t="n"/>
      <c r="Z755" s="39" t="n"/>
      <c r="AG755" s="39" t="n"/>
      <c r="AH755" s="39" t="n"/>
      <c r="AI755" t="inlineStr">
        <is>
          <t>Diana Carolina Asmat Cuno</t>
        </is>
      </c>
      <c r="AJ755" t="inlineStr">
        <is>
          <t>47198881</t>
        </is>
      </c>
      <c r="AK755" t="inlineStr">
        <is>
          <t>Jr. Las Cidras 684 Coop Las Flores</t>
        </is>
      </c>
      <c r="AL755" t="n">
        <v>0</v>
      </c>
      <c r="AM755" t="inlineStr">
        <is>
          <t>+61451852811</t>
        </is>
      </c>
      <c r="AN755" t="inlineStr">
        <is>
          <t>ianikro@outlook.com</t>
        </is>
      </c>
      <c r="AO755" t="inlineStr">
        <is>
          <t>LIMA</t>
        </is>
      </c>
      <c r="AP755" t="inlineStr">
        <is>
          <t>SAN JUAN DE LURIGANCHO</t>
        </is>
      </c>
      <c r="AQ755" s="75" t="n">
        <v>46598</v>
      </c>
      <c r="AR755" s="75" t="n"/>
      <c r="AS755" t="inlineStr">
        <is>
          <t>SALDO FINANCIAR</t>
        </is>
      </c>
      <c r="AT755" t="n">
        <v>2</v>
      </c>
      <c r="AU755" t="n">
        <v>240500</v>
      </c>
      <c r="AV755" t="n">
        <v>0</v>
      </c>
      <c r="AW755" t="n">
        <v>0</v>
      </c>
      <c r="AX755" s="39" t="n">
        <v>240500</v>
      </c>
      <c r="AY755" s="39" t="n">
        <v>0</v>
      </c>
      <c r="AZ755" s="39" t="n">
        <v>240500</v>
      </c>
      <c r="BB755" t="inlineStr">
        <is>
          <t>Crédito Directo</t>
        </is>
      </c>
      <c r="BH755" t="inlineStr">
        <is>
          <t>No</t>
        </is>
      </c>
      <c r="BK755" t="inlineStr">
        <is>
          <t>PENDIENTE</t>
        </is>
      </c>
      <c r="BV755" t="inlineStr">
        <is>
          <t>No</t>
        </is>
      </c>
      <c r="BW755" s="76" t="n">
        <v>46079.4375</v>
      </c>
      <c r="BX755" t="inlineStr">
        <is>
          <t>Magaly Guevara Perez</t>
        </is>
      </c>
      <c r="BZ755" t="n">
        <v>15</v>
      </c>
      <c r="CB755" t="n">
        <v>0</v>
      </c>
      <c r="CF755" t="inlineStr">
        <is>
          <t>Cobranzas_2027.csv</t>
        </is>
      </c>
      <c r="CG755" t="n">
        <v>2027</v>
      </c>
      <c r="CH755" t="inlineStr">
        <is>
          <t>01/01/2024</t>
        </is>
      </c>
      <c r="CI755" t="inlineStr">
        <is>
          <t>24/08/2031</t>
        </is>
      </c>
    </row>
    <row r="756">
      <c r="A756" t="inlineStr">
        <is>
          <t>RESIDENCIAL BEYOND</t>
        </is>
      </c>
      <c r="B756" t="inlineStr">
        <is>
          <t>Etapa 1</t>
        </is>
      </c>
      <c r="C756" t="inlineStr">
        <is>
          <t>Edificio</t>
        </is>
      </c>
      <c r="D756" t="inlineStr">
        <is>
          <t>A</t>
        </is>
      </c>
      <c r="E756" t="inlineStr">
        <is>
          <t>Departamento</t>
        </is>
      </c>
      <c r="F756" t="inlineStr">
        <is>
          <t>503</t>
        </is>
      </c>
      <c r="G756" t="n">
        <v>68</v>
      </c>
      <c r="H756" t="n">
        <v>0</v>
      </c>
      <c r="I756" s="39" t="n">
        <v>504700</v>
      </c>
      <c r="J756" s="39" t="n">
        <v>470000</v>
      </c>
      <c r="K756" t="inlineStr">
        <is>
          <t>Edificio</t>
        </is>
      </c>
      <c r="L756" t="inlineStr">
        <is>
          <t>A</t>
        </is>
      </c>
      <c r="M756" t="inlineStr">
        <is>
          <t>Estacionamiento</t>
        </is>
      </c>
      <c r="N756" t="inlineStr">
        <is>
          <t>E 12 - D 10</t>
        </is>
      </c>
      <c r="O756" t="n">
        <v>12.5</v>
      </c>
      <c r="P756" t="n">
        <v>1.77</v>
      </c>
      <c r="Q756" s="39" t="n">
        <v>51500</v>
      </c>
      <c r="R756" s="39" t="n">
        <v>51500</v>
      </c>
      <c r="Y756" s="39" t="n"/>
      <c r="Z756" s="39" t="n"/>
      <c r="AG756" s="39" t="n"/>
      <c r="AH756" s="39" t="n"/>
      <c r="AI756" t="inlineStr">
        <is>
          <t>ERICK RAUL BEDOYA BACA</t>
        </is>
      </c>
      <c r="AJ756" t="inlineStr">
        <is>
          <t>47551103</t>
        </is>
      </c>
      <c r="AK756" t="inlineStr">
        <is>
          <t>Urb. Virgen del Rosario I Etapa Mz D Lt 11</t>
        </is>
      </c>
      <c r="AL756" t="n">
        <v>0</v>
      </c>
      <c r="AM756" t="inlineStr">
        <is>
          <t>961968687</t>
        </is>
      </c>
      <c r="AN756" t="inlineStr">
        <is>
          <t>ebedoyaba@gmail.com</t>
        </is>
      </c>
      <c r="AO756" t="inlineStr">
        <is>
          <t>LIMA</t>
        </is>
      </c>
      <c r="AP756" t="inlineStr">
        <is>
          <t>SAN MARTIN DE PORRES</t>
        </is>
      </c>
      <c r="AQ756" s="75" t="n">
        <v>46477</v>
      </c>
      <c r="AR756" s="75" t="n"/>
      <c r="AS756" t="inlineStr">
        <is>
          <t>SALDO FINANCIAR</t>
        </is>
      </c>
      <c r="AT756" t="n">
        <v>3</v>
      </c>
      <c r="AU756" t="n">
        <v>107750</v>
      </c>
      <c r="AV756" t="n">
        <v>0</v>
      </c>
      <c r="AW756" t="n">
        <v>0</v>
      </c>
      <c r="AX756" s="39" t="n">
        <v>107750</v>
      </c>
      <c r="AY756" s="39" t="n">
        <v>0</v>
      </c>
      <c r="AZ756" s="39" t="n">
        <v>107750</v>
      </c>
      <c r="BB756" t="inlineStr">
        <is>
          <t>Crédito Hipotecario</t>
        </is>
      </c>
      <c r="BH756" t="inlineStr">
        <is>
          <t>No</t>
        </is>
      </c>
      <c r="BK756" t="inlineStr">
        <is>
          <t>PENDIENTE</t>
        </is>
      </c>
      <c r="BV756" t="inlineStr">
        <is>
          <t>No</t>
        </is>
      </c>
      <c r="BW756" s="76" t="n">
        <v>46049.39861111111</v>
      </c>
      <c r="BX756" t="inlineStr">
        <is>
          <t>Magaly Guevara Perez</t>
        </is>
      </c>
      <c r="BZ756" t="n">
        <v>31</v>
      </c>
      <c r="CB756" t="n">
        <v>0</v>
      </c>
      <c r="CF756" t="inlineStr">
        <is>
          <t>Cobranzas_2027.csv</t>
        </is>
      </c>
      <c r="CG756" t="n">
        <v>2027</v>
      </c>
      <c r="CH756" t="inlineStr">
        <is>
          <t>01/01/2024</t>
        </is>
      </c>
      <c r="CI756" t="inlineStr">
        <is>
          <t>24/08/2031</t>
        </is>
      </c>
    </row>
    <row r="757">
      <c r="A757" t="inlineStr">
        <is>
          <t>RESIDENCIAL BEYOND</t>
        </is>
      </c>
      <c r="B757" t="inlineStr">
        <is>
          <t>Etapa 1</t>
        </is>
      </c>
      <c r="C757" t="inlineStr">
        <is>
          <t>Edificio</t>
        </is>
      </c>
      <c r="D757" t="inlineStr">
        <is>
          <t>A</t>
        </is>
      </c>
      <c r="E757" t="inlineStr">
        <is>
          <t>Departamento</t>
        </is>
      </c>
      <c r="F757" t="inlineStr">
        <is>
          <t>503</t>
        </is>
      </c>
      <c r="G757" t="n">
        <v>68</v>
      </c>
      <c r="H757" t="n">
        <v>0</v>
      </c>
      <c r="I757" s="39" t="n">
        <v>504700</v>
      </c>
      <c r="J757" s="39" t="n">
        <v>470000</v>
      </c>
      <c r="K757" t="inlineStr">
        <is>
          <t>Edificio</t>
        </is>
      </c>
      <c r="L757" t="inlineStr">
        <is>
          <t>A</t>
        </is>
      </c>
      <c r="M757" t="inlineStr">
        <is>
          <t>Estacionamiento</t>
        </is>
      </c>
      <c r="N757" t="inlineStr">
        <is>
          <t>E 12 - D 10</t>
        </is>
      </c>
      <c r="O757" t="n">
        <v>12.5</v>
      </c>
      <c r="P757" t="n">
        <v>1.77</v>
      </c>
      <c r="Q757" s="39" t="n">
        <v>51500</v>
      </c>
      <c r="R757" s="39" t="n">
        <v>51500</v>
      </c>
      <c r="Y757" s="39" t="n"/>
      <c r="Z757" s="39" t="n"/>
      <c r="AG757" s="39" t="n"/>
      <c r="AH757" s="39" t="n"/>
      <c r="AI757" t="inlineStr">
        <is>
          <t>ERICK RAUL BEDOYA BACA</t>
        </is>
      </c>
      <c r="AJ757" t="inlineStr">
        <is>
          <t>47551103</t>
        </is>
      </c>
      <c r="AK757" t="inlineStr">
        <is>
          <t>Urb. Virgen del Rosario I Etapa Mz D Lt 11</t>
        </is>
      </c>
      <c r="AL757" t="n">
        <v>0</v>
      </c>
      <c r="AM757" t="inlineStr">
        <is>
          <t>961968687</t>
        </is>
      </c>
      <c r="AN757" t="inlineStr">
        <is>
          <t>ebedoyaba@gmail.com</t>
        </is>
      </c>
      <c r="AO757" t="inlineStr">
        <is>
          <t>LIMA</t>
        </is>
      </c>
      <c r="AP757" t="inlineStr">
        <is>
          <t>SAN MARTIN DE PORRES</t>
        </is>
      </c>
      <c r="AQ757" s="75" t="n">
        <v>46599</v>
      </c>
      <c r="AR757" s="75" t="n"/>
      <c r="AS757" t="inlineStr">
        <is>
          <t>SALDO FINANCIAR</t>
        </is>
      </c>
      <c r="AT757" t="n">
        <v>4</v>
      </c>
      <c r="AU757" t="n">
        <v>107750</v>
      </c>
      <c r="AV757" t="n">
        <v>0</v>
      </c>
      <c r="AW757" t="n">
        <v>0</v>
      </c>
      <c r="AX757" s="39" t="n">
        <v>107750</v>
      </c>
      <c r="AY757" s="39" t="n">
        <v>0</v>
      </c>
      <c r="AZ757" s="39" t="n">
        <v>107750</v>
      </c>
      <c r="BB757" t="inlineStr">
        <is>
          <t>Crédito Hipotecario</t>
        </is>
      </c>
      <c r="BH757" t="inlineStr">
        <is>
          <t>No</t>
        </is>
      </c>
      <c r="BK757" t="inlineStr">
        <is>
          <t>PENDIENTE</t>
        </is>
      </c>
      <c r="BV757" t="inlineStr">
        <is>
          <t>No</t>
        </is>
      </c>
      <c r="BW757" s="76" t="n">
        <v>46049.39861111111</v>
      </c>
      <c r="BX757" t="inlineStr">
        <is>
          <t>Magaly Guevara Perez</t>
        </is>
      </c>
      <c r="BZ757" t="n">
        <v>31</v>
      </c>
      <c r="CB757" t="n">
        <v>0</v>
      </c>
      <c r="CF757" t="inlineStr">
        <is>
          <t>Cobranzas_2027.csv</t>
        </is>
      </c>
      <c r="CG757" t="n">
        <v>2027</v>
      </c>
      <c r="CH757" t="inlineStr">
        <is>
          <t>01/01/2024</t>
        </is>
      </c>
      <c r="CI757" t="inlineStr">
        <is>
          <t>24/08/2031</t>
        </is>
      </c>
    </row>
    <row r="758">
      <c r="A758" t="inlineStr">
        <is>
          <t>RESIDENCIAL BEYOND</t>
        </is>
      </c>
      <c r="B758" t="inlineStr">
        <is>
          <t>Etapa 1</t>
        </is>
      </c>
      <c r="C758" t="inlineStr">
        <is>
          <t>Edificio</t>
        </is>
      </c>
      <c r="D758" t="inlineStr">
        <is>
          <t>A</t>
        </is>
      </c>
      <c r="E758" t="inlineStr">
        <is>
          <t>Departamento</t>
        </is>
      </c>
      <c r="F758" t="inlineStr">
        <is>
          <t>1205</t>
        </is>
      </c>
      <c r="G758" t="n">
        <v>72</v>
      </c>
      <c r="H758" t="n">
        <v>0</v>
      </c>
      <c r="I758" s="39" t="n">
        <v>520100</v>
      </c>
      <c r="J758" s="39" t="n">
        <v>467100</v>
      </c>
      <c r="Q758" s="39" t="n"/>
      <c r="R758" s="39" t="n"/>
      <c r="Y758" s="39" t="n"/>
      <c r="Z758" s="39" t="n"/>
      <c r="AG758" s="39" t="n"/>
      <c r="AH758" s="39" t="n"/>
      <c r="AI758" t="inlineStr">
        <is>
          <t>Fabiola Maria Lecca Vargas</t>
        </is>
      </c>
      <c r="AJ758" t="inlineStr">
        <is>
          <t>08034254</t>
        </is>
      </c>
      <c r="AK758" t="inlineStr">
        <is>
          <t>Jr. Manuel Irribarren 1012 dpto 1</t>
        </is>
      </c>
      <c r="AL758" t="n">
        <v>0</v>
      </c>
      <c r="AM758" t="inlineStr">
        <is>
          <t>988708317</t>
        </is>
      </c>
      <c r="AN758" t="inlineStr">
        <is>
          <t>fabiolaleccavargas@g.mail.com</t>
        </is>
      </c>
      <c r="AO758" t="inlineStr">
        <is>
          <t>LIMA</t>
        </is>
      </c>
      <c r="AP758" t="inlineStr">
        <is>
          <t>RIMAC</t>
        </is>
      </c>
      <c r="AQ758" s="75" t="n">
        <v>46417</v>
      </c>
      <c r="AR758" s="75" t="n"/>
      <c r="AS758" t="inlineStr">
        <is>
          <t>SALDO FINANCIAR</t>
        </is>
      </c>
      <c r="AT758" t="n">
        <v>10</v>
      </c>
      <c r="AU758" t="n">
        <v>10000</v>
      </c>
      <c r="AV758" t="n">
        <v>0</v>
      </c>
      <c r="AW758" t="n">
        <v>0</v>
      </c>
      <c r="AX758" s="39" t="n">
        <v>10000</v>
      </c>
      <c r="AY758" s="39" t="n">
        <v>0</v>
      </c>
      <c r="AZ758" s="39" t="n">
        <v>10000</v>
      </c>
      <c r="BB758" t="inlineStr">
        <is>
          <t>Crédito Directo</t>
        </is>
      </c>
      <c r="BH758" t="inlineStr">
        <is>
          <t>No</t>
        </is>
      </c>
      <c r="BK758" t="inlineStr">
        <is>
          <t>PENDIENTE</t>
        </is>
      </c>
      <c r="BV758" t="inlineStr">
        <is>
          <t>No</t>
        </is>
      </c>
      <c r="BW758" s="76" t="n">
        <v>46055.34027777778</v>
      </c>
      <c r="BX758" t="inlineStr">
        <is>
          <t>Magaly Guevara Perez</t>
        </is>
      </c>
      <c r="BZ758" t="n">
        <v>14</v>
      </c>
      <c r="CB758" t="n">
        <v>0</v>
      </c>
      <c r="CF758" t="inlineStr">
        <is>
          <t>Cobranzas_2027.csv</t>
        </is>
      </c>
      <c r="CG758" t="n">
        <v>2027</v>
      </c>
      <c r="CH758" t="inlineStr">
        <is>
          <t>01/01/2024</t>
        </is>
      </c>
      <c r="CI758" t="inlineStr">
        <is>
          <t>24/08/2031</t>
        </is>
      </c>
    </row>
    <row r="759">
      <c r="A759" t="inlineStr">
        <is>
          <t>RESIDENCIAL BEYOND</t>
        </is>
      </c>
      <c r="B759" t="inlineStr">
        <is>
          <t>Etapa 1</t>
        </is>
      </c>
      <c r="C759" t="inlineStr">
        <is>
          <t>Edificio</t>
        </is>
      </c>
      <c r="D759" t="inlineStr">
        <is>
          <t>A</t>
        </is>
      </c>
      <c r="E759" t="inlineStr">
        <is>
          <t>Departamento</t>
        </is>
      </c>
      <c r="F759" t="inlineStr">
        <is>
          <t>1205</t>
        </is>
      </c>
      <c r="G759" t="n">
        <v>72</v>
      </c>
      <c r="H759" t="n">
        <v>0</v>
      </c>
      <c r="I759" s="39" t="n">
        <v>520100</v>
      </c>
      <c r="J759" s="39" t="n">
        <v>467100</v>
      </c>
      <c r="Q759" s="39" t="n"/>
      <c r="R759" s="39" t="n"/>
      <c r="Y759" s="39" t="n"/>
      <c r="Z759" s="39" t="n"/>
      <c r="AG759" s="39" t="n"/>
      <c r="AH759" s="39" t="n"/>
      <c r="AI759" t="inlineStr">
        <is>
          <t>Fabiola Maria Lecca Vargas</t>
        </is>
      </c>
      <c r="AJ759" t="inlineStr">
        <is>
          <t>08034254</t>
        </is>
      </c>
      <c r="AK759" t="inlineStr">
        <is>
          <t>Jr. Manuel Irribarren 1012 dpto 1</t>
        </is>
      </c>
      <c r="AL759" t="n">
        <v>0</v>
      </c>
      <c r="AM759" t="inlineStr">
        <is>
          <t>988708317</t>
        </is>
      </c>
      <c r="AN759" t="inlineStr">
        <is>
          <t>fabiolaleccavargas@g.mail.com</t>
        </is>
      </c>
      <c r="AO759" t="inlineStr">
        <is>
          <t>LIMA</t>
        </is>
      </c>
      <c r="AP759" t="inlineStr">
        <is>
          <t>RIMAC</t>
        </is>
      </c>
      <c r="AQ759" s="75" t="n">
        <v>46446</v>
      </c>
      <c r="AR759" s="75" t="n"/>
      <c r="AS759" t="inlineStr">
        <is>
          <t>SALDO FINANCIAR</t>
        </is>
      </c>
      <c r="AT759" t="n">
        <v>11</v>
      </c>
      <c r="AU759" t="n">
        <v>10000</v>
      </c>
      <c r="AV759" t="n">
        <v>0</v>
      </c>
      <c r="AW759" t="n">
        <v>0</v>
      </c>
      <c r="AX759" s="39" t="n">
        <v>10000</v>
      </c>
      <c r="AY759" s="39" t="n">
        <v>0</v>
      </c>
      <c r="AZ759" s="39" t="n">
        <v>10000</v>
      </c>
      <c r="BB759" t="inlineStr">
        <is>
          <t>Crédito Directo</t>
        </is>
      </c>
      <c r="BH759" t="inlineStr">
        <is>
          <t>No</t>
        </is>
      </c>
      <c r="BK759" t="inlineStr">
        <is>
          <t>PENDIENTE</t>
        </is>
      </c>
      <c r="BV759" t="inlineStr">
        <is>
          <t>No</t>
        </is>
      </c>
      <c r="BW759" s="76" t="n">
        <v>46055.34027777778</v>
      </c>
      <c r="BX759" t="inlineStr">
        <is>
          <t>Magaly Guevara Perez</t>
        </is>
      </c>
      <c r="BZ759" t="n">
        <v>14</v>
      </c>
      <c r="CB759" t="n">
        <v>0</v>
      </c>
      <c r="CF759" t="inlineStr">
        <is>
          <t>Cobranzas_2027.csv</t>
        </is>
      </c>
      <c r="CG759" t="n">
        <v>2027</v>
      </c>
      <c r="CH759" t="inlineStr">
        <is>
          <t>01/01/2024</t>
        </is>
      </c>
      <c r="CI759" t="inlineStr">
        <is>
          <t>24/08/2031</t>
        </is>
      </c>
    </row>
    <row r="760">
      <c r="A760" t="inlineStr">
        <is>
          <t>RESIDENCIAL BEYOND</t>
        </is>
      </c>
      <c r="B760" t="inlineStr">
        <is>
          <t>Etapa 1</t>
        </is>
      </c>
      <c r="C760" t="inlineStr">
        <is>
          <t>Edificio</t>
        </is>
      </c>
      <c r="D760" t="inlineStr">
        <is>
          <t>A</t>
        </is>
      </c>
      <c r="E760" t="inlineStr">
        <is>
          <t>Departamento</t>
        </is>
      </c>
      <c r="F760" t="inlineStr">
        <is>
          <t>1205</t>
        </is>
      </c>
      <c r="G760" t="n">
        <v>72</v>
      </c>
      <c r="H760" t="n">
        <v>0</v>
      </c>
      <c r="I760" s="39" t="n">
        <v>520100</v>
      </c>
      <c r="J760" s="39" t="n">
        <v>467100</v>
      </c>
      <c r="Q760" s="39" t="n"/>
      <c r="R760" s="39" t="n"/>
      <c r="Y760" s="39" t="n"/>
      <c r="Z760" s="39" t="n"/>
      <c r="AG760" s="39" t="n"/>
      <c r="AH760" s="39" t="n"/>
      <c r="AI760" t="inlineStr">
        <is>
          <t>Fabiola Maria Lecca Vargas</t>
        </is>
      </c>
      <c r="AJ760" t="inlineStr">
        <is>
          <t>08034254</t>
        </is>
      </c>
      <c r="AK760" t="inlineStr">
        <is>
          <t>Jr. Manuel Irribarren 1012 dpto 1</t>
        </is>
      </c>
      <c r="AL760" t="n">
        <v>0</v>
      </c>
      <c r="AM760" t="inlineStr">
        <is>
          <t>988708317</t>
        </is>
      </c>
      <c r="AN760" t="inlineStr">
        <is>
          <t>fabiolaleccavargas@g.mail.com</t>
        </is>
      </c>
      <c r="AO760" t="inlineStr">
        <is>
          <t>LIMA</t>
        </is>
      </c>
      <c r="AP760" t="inlineStr">
        <is>
          <t>RIMAC</t>
        </is>
      </c>
      <c r="AQ760" s="75" t="n">
        <v>46476</v>
      </c>
      <c r="AR760" s="75" t="n"/>
      <c r="AS760" t="inlineStr">
        <is>
          <t>SALDO FINANCIAR</t>
        </is>
      </c>
      <c r="AT760" t="n">
        <v>12</v>
      </c>
      <c r="AU760" t="n">
        <v>10000</v>
      </c>
      <c r="AV760" t="n">
        <v>0</v>
      </c>
      <c r="AW760" t="n">
        <v>0</v>
      </c>
      <c r="AX760" s="39" t="n">
        <v>10000</v>
      </c>
      <c r="AY760" s="39" t="n">
        <v>0</v>
      </c>
      <c r="AZ760" s="39" t="n">
        <v>10000</v>
      </c>
      <c r="BB760" t="inlineStr">
        <is>
          <t>Crédito Directo</t>
        </is>
      </c>
      <c r="BH760" t="inlineStr">
        <is>
          <t>No</t>
        </is>
      </c>
      <c r="BK760" t="inlineStr">
        <is>
          <t>PENDIENTE</t>
        </is>
      </c>
      <c r="BV760" t="inlineStr">
        <is>
          <t>No</t>
        </is>
      </c>
      <c r="BW760" s="76" t="n">
        <v>46055.34027777778</v>
      </c>
      <c r="BX760" t="inlineStr">
        <is>
          <t>Magaly Guevara Perez</t>
        </is>
      </c>
      <c r="BZ760" t="n">
        <v>14</v>
      </c>
      <c r="CB760" t="n">
        <v>0</v>
      </c>
      <c r="CF760" t="inlineStr">
        <is>
          <t>Cobranzas_2027.csv</t>
        </is>
      </c>
      <c r="CG760" t="n">
        <v>2027</v>
      </c>
      <c r="CH760" t="inlineStr">
        <is>
          <t>01/01/2024</t>
        </is>
      </c>
      <c r="CI760" t="inlineStr">
        <is>
          <t>24/08/2031</t>
        </is>
      </c>
    </row>
    <row r="761">
      <c r="A761" t="inlineStr">
        <is>
          <t>RESIDENCIAL BEYOND</t>
        </is>
      </c>
      <c r="B761" t="inlineStr">
        <is>
          <t>Etapa 1</t>
        </is>
      </c>
      <c r="C761" t="inlineStr">
        <is>
          <t>Edificio</t>
        </is>
      </c>
      <c r="D761" t="inlineStr">
        <is>
          <t>A</t>
        </is>
      </c>
      <c r="E761" t="inlineStr">
        <is>
          <t>Departamento</t>
        </is>
      </c>
      <c r="F761" t="inlineStr">
        <is>
          <t>1205</t>
        </is>
      </c>
      <c r="G761" t="n">
        <v>72</v>
      </c>
      <c r="H761" t="n">
        <v>0</v>
      </c>
      <c r="I761" s="39" t="n">
        <v>520100</v>
      </c>
      <c r="J761" s="39" t="n">
        <v>467100</v>
      </c>
      <c r="Q761" s="39" t="n"/>
      <c r="R761" s="39" t="n"/>
      <c r="Y761" s="39" t="n"/>
      <c r="Z761" s="39" t="n"/>
      <c r="AG761" s="39" t="n"/>
      <c r="AH761" s="39" t="n"/>
      <c r="AI761" t="inlineStr">
        <is>
          <t>Fabiola Maria Lecca Vargas</t>
        </is>
      </c>
      <c r="AJ761" t="inlineStr">
        <is>
          <t>08034254</t>
        </is>
      </c>
      <c r="AK761" t="inlineStr">
        <is>
          <t>Jr. Manuel Irribarren 1012 dpto 1</t>
        </is>
      </c>
      <c r="AL761" t="n">
        <v>0</v>
      </c>
      <c r="AM761" t="inlineStr">
        <is>
          <t>988708317</t>
        </is>
      </c>
      <c r="AN761" t="inlineStr">
        <is>
          <t>fabiolaleccavargas@g.mail.com</t>
        </is>
      </c>
      <c r="AO761" t="inlineStr">
        <is>
          <t>LIMA</t>
        </is>
      </c>
      <c r="AP761" t="inlineStr">
        <is>
          <t>RIMAC</t>
        </is>
      </c>
      <c r="AQ761" s="75" t="n">
        <v>46507</v>
      </c>
      <c r="AR761" s="75" t="n"/>
      <c r="AS761" t="inlineStr">
        <is>
          <t>SALDO FINANCIAR</t>
        </is>
      </c>
      <c r="AT761" t="n">
        <v>13</v>
      </c>
      <c r="AU761" t="n">
        <v>10000</v>
      </c>
      <c r="AV761" t="n">
        <v>0</v>
      </c>
      <c r="AW761" t="n">
        <v>0</v>
      </c>
      <c r="AX761" s="39" t="n">
        <v>10000</v>
      </c>
      <c r="AY761" s="39" t="n">
        <v>0</v>
      </c>
      <c r="AZ761" s="39" t="n">
        <v>10000</v>
      </c>
      <c r="BB761" t="inlineStr">
        <is>
          <t>Crédito Directo</t>
        </is>
      </c>
      <c r="BH761" t="inlineStr">
        <is>
          <t>No</t>
        </is>
      </c>
      <c r="BK761" t="inlineStr">
        <is>
          <t>PENDIENTE</t>
        </is>
      </c>
      <c r="BV761" t="inlineStr">
        <is>
          <t>No</t>
        </is>
      </c>
      <c r="BW761" s="76" t="n">
        <v>46055.34027777778</v>
      </c>
      <c r="BX761" t="inlineStr">
        <is>
          <t>Magaly Guevara Perez</t>
        </is>
      </c>
      <c r="BZ761" t="n">
        <v>14</v>
      </c>
      <c r="CB761" t="n">
        <v>0</v>
      </c>
      <c r="CF761" t="inlineStr">
        <is>
          <t>Cobranzas_2027.csv</t>
        </is>
      </c>
      <c r="CG761" t="n">
        <v>2027</v>
      </c>
      <c r="CH761" t="inlineStr">
        <is>
          <t>01/01/2024</t>
        </is>
      </c>
      <c r="CI761" t="inlineStr">
        <is>
          <t>24/08/2031</t>
        </is>
      </c>
    </row>
    <row r="762">
      <c r="A762" t="inlineStr">
        <is>
          <t>RESIDENCIAL BEYOND</t>
        </is>
      </c>
      <c r="B762" t="inlineStr">
        <is>
          <t>Etapa 1</t>
        </is>
      </c>
      <c r="C762" t="inlineStr">
        <is>
          <t>Edificio</t>
        </is>
      </c>
      <c r="D762" t="inlineStr">
        <is>
          <t>A</t>
        </is>
      </c>
      <c r="E762" t="inlineStr">
        <is>
          <t>Departamento</t>
        </is>
      </c>
      <c r="F762" t="inlineStr">
        <is>
          <t>1205</t>
        </is>
      </c>
      <c r="G762" t="n">
        <v>72</v>
      </c>
      <c r="H762" t="n">
        <v>0</v>
      </c>
      <c r="I762" s="39" t="n">
        <v>520100</v>
      </c>
      <c r="J762" s="39" t="n">
        <v>467100</v>
      </c>
      <c r="Q762" s="39" t="n"/>
      <c r="R762" s="39" t="n"/>
      <c r="Y762" s="39" t="n"/>
      <c r="Z762" s="39" t="n"/>
      <c r="AG762" s="39" t="n"/>
      <c r="AH762" s="39" t="n"/>
      <c r="AI762" t="inlineStr">
        <is>
          <t>Fabiola Maria Lecca Vargas</t>
        </is>
      </c>
      <c r="AJ762" t="inlineStr">
        <is>
          <t>08034254</t>
        </is>
      </c>
      <c r="AK762" t="inlineStr">
        <is>
          <t>Jr. Manuel Irribarren 1012 dpto 1</t>
        </is>
      </c>
      <c r="AL762" t="n">
        <v>0</v>
      </c>
      <c r="AM762" t="inlineStr">
        <is>
          <t>988708317</t>
        </is>
      </c>
      <c r="AN762" t="inlineStr">
        <is>
          <t>fabiolaleccavargas@g.mail.com</t>
        </is>
      </c>
      <c r="AO762" t="inlineStr">
        <is>
          <t>LIMA</t>
        </is>
      </c>
      <c r="AP762" t="inlineStr">
        <is>
          <t>RIMAC</t>
        </is>
      </c>
      <c r="AQ762" s="75" t="n">
        <v>46537</v>
      </c>
      <c r="AR762" s="75" t="n"/>
      <c r="AS762" t="inlineStr">
        <is>
          <t>SALDO FINANCIAR</t>
        </is>
      </c>
      <c r="AT762" t="n">
        <v>14</v>
      </c>
      <c r="AU762" t="n">
        <v>10000</v>
      </c>
      <c r="AV762" t="n">
        <v>0</v>
      </c>
      <c r="AW762" t="n">
        <v>0</v>
      </c>
      <c r="AX762" s="39" t="n">
        <v>10000</v>
      </c>
      <c r="AY762" s="39" t="n">
        <v>0</v>
      </c>
      <c r="AZ762" s="39" t="n">
        <v>10000</v>
      </c>
      <c r="BB762" t="inlineStr">
        <is>
          <t>Crédito Directo</t>
        </is>
      </c>
      <c r="BH762" t="inlineStr">
        <is>
          <t>No</t>
        </is>
      </c>
      <c r="BK762" t="inlineStr">
        <is>
          <t>PENDIENTE</t>
        </is>
      </c>
      <c r="BV762" t="inlineStr">
        <is>
          <t>No</t>
        </is>
      </c>
      <c r="BW762" s="76" t="n">
        <v>46055.34027777778</v>
      </c>
      <c r="BX762" t="inlineStr">
        <is>
          <t>Magaly Guevara Perez</t>
        </is>
      </c>
      <c r="BZ762" t="n">
        <v>14</v>
      </c>
      <c r="CB762" t="n">
        <v>0</v>
      </c>
      <c r="CF762" t="inlineStr">
        <is>
          <t>Cobranzas_2027.csv</t>
        </is>
      </c>
      <c r="CG762" t="n">
        <v>2027</v>
      </c>
      <c r="CH762" t="inlineStr">
        <is>
          <t>01/01/2024</t>
        </is>
      </c>
      <c r="CI762" t="inlineStr">
        <is>
          <t>24/08/2031</t>
        </is>
      </c>
    </row>
    <row r="763">
      <c r="A763" t="inlineStr">
        <is>
          <t>RESIDENCIAL BEYOND</t>
        </is>
      </c>
      <c r="B763" t="inlineStr">
        <is>
          <t>Etapa 1</t>
        </is>
      </c>
      <c r="C763" t="inlineStr">
        <is>
          <t>Edificio</t>
        </is>
      </c>
      <c r="D763" t="inlineStr">
        <is>
          <t>A</t>
        </is>
      </c>
      <c r="E763" t="inlineStr">
        <is>
          <t>Departamento</t>
        </is>
      </c>
      <c r="F763" t="inlineStr">
        <is>
          <t>1205</t>
        </is>
      </c>
      <c r="G763" t="n">
        <v>72</v>
      </c>
      <c r="H763" t="n">
        <v>0</v>
      </c>
      <c r="I763" s="39" t="n">
        <v>520100</v>
      </c>
      <c r="J763" s="39" t="n">
        <v>467100</v>
      </c>
      <c r="Q763" s="39" t="n"/>
      <c r="R763" s="39" t="n"/>
      <c r="Y763" s="39" t="n"/>
      <c r="Z763" s="39" t="n"/>
      <c r="AG763" s="39" t="n"/>
      <c r="AH763" s="39" t="n"/>
      <c r="AI763" t="inlineStr">
        <is>
          <t>Fabiola Maria Lecca Vargas</t>
        </is>
      </c>
      <c r="AJ763" t="inlineStr">
        <is>
          <t>08034254</t>
        </is>
      </c>
      <c r="AK763" t="inlineStr">
        <is>
          <t>Jr. Manuel Irribarren 1012 dpto 1</t>
        </is>
      </c>
      <c r="AL763" t="n">
        <v>0</v>
      </c>
      <c r="AM763" t="inlineStr">
        <is>
          <t>988708317</t>
        </is>
      </c>
      <c r="AN763" t="inlineStr">
        <is>
          <t>fabiolaleccavargas@g.mail.com</t>
        </is>
      </c>
      <c r="AO763" t="inlineStr">
        <is>
          <t>LIMA</t>
        </is>
      </c>
      <c r="AP763" t="inlineStr">
        <is>
          <t>RIMAC</t>
        </is>
      </c>
      <c r="AQ763" s="75" t="n">
        <v>46568</v>
      </c>
      <c r="AR763" s="75" t="n"/>
      <c r="AS763" t="inlineStr">
        <is>
          <t>SALDO FINANCIAR</t>
        </is>
      </c>
      <c r="AT763" t="n">
        <v>15</v>
      </c>
      <c r="AU763" t="n">
        <v>217630</v>
      </c>
      <c r="AV763" t="n">
        <v>0</v>
      </c>
      <c r="AW763" t="n">
        <v>0</v>
      </c>
      <c r="AX763" s="39" t="n">
        <v>217630</v>
      </c>
      <c r="AY763" s="39" t="n">
        <v>0</v>
      </c>
      <c r="AZ763" s="39" t="n">
        <v>217630</v>
      </c>
      <c r="BB763" t="inlineStr">
        <is>
          <t>Crédito Directo</t>
        </is>
      </c>
      <c r="BH763" t="inlineStr">
        <is>
          <t>No</t>
        </is>
      </c>
      <c r="BK763" t="inlineStr">
        <is>
          <t>PENDIENTE</t>
        </is>
      </c>
      <c r="BV763" t="inlineStr">
        <is>
          <t>No</t>
        </is>
      </c>
      <c r="BW763" s="76" t="n">
        <v>46055.34027777778</v>
      </c>
      <c r="BX763" t="inlineStr">
        <is>
          <t>Magaly Guevara Perez</t>
        </is>
      </c>
      <c r="BZ763" t="n">
        <v>14</v>
      </c>
      <c r="CB763" t="n">
        <v>0</v>
      </c>
      <c r="CF763" t="inlineStr">
        <is>
          <t>Cobranzas_2027.csv</t>
        </is>
      </c>
      <c r="CG763" t="n">
        <v>2027</v>
      </c>
      <c r="CH763" t="inlineStr">
        <is>
          <t>01/01/2024</t>
        </is>
      </c>
      <c r="CI763" t="inlineStr">
        <is>
          <t>24/08/2031</t>
        </is>
      </c>
    </row>
    <row r="764">
      <c r="A764" t="inlineStr">
        <is>
          <t>RESIDENCIAL BEYOND</t>
        </is>
      </c>
      <c r="B764" t="inlineStr">
        <is>
          <t>Etapa 1</t>
        </is>
      </c>
      <c r="C764" t="inlineStr">
        <is>
          <t>Edificio</t>
        </is>
      </c>
      <c r="D764" t="inlineStr">
        <is>
          <t>A</t>
        </is>
      </c>
      <c r="E764" t="inlineStr">
        <is>
          <t>Departamento</t>
        </is>
      </c>
      <c r="F764" t="inlineStr">
        <is>
          <t>402</t>
        </is>
      </c>
      <c r="G764" t="n">
        <v>57</v>
      </c>
      <c r="H764" t="n">
        <v>0</v>
      </c>
      <c r="I764" s="39" t="n">
        <v>430000</v>
      </c>
      <c r="J764" s="39" t="n">
        <v>400000</v>
      </c>
      <c r="K764" t="inlineStr">
        <is>
          <t>Edificio</t>
        </is>
      </c>
      <c r="L764" t="inlineStr">
        <is>
          <t>A</t>
        </is>
      </c>
      <c r="M764" t="inlineStr">
        <is>
          <t>Estacionamiento</t>
        </is>
      </c>
      <c r="N764" t="inlineStr">
        <is>
          <t>E 44 - D 26</t>
        </is>
      </c>
      <c r="O764" t="n">
        <v>12.5</v>
      </c>
      <c r="P764" t="n">
        <v>2.45</v>
      </c>
      <c r="Q764" s="39" t="n">
        <v>48500</v>
      </c>
      <c r="R764" s="39" t="n">
        <v>48500</v>
      </c>
      <c r="Y764" s="39" t="n"/>
      <c r="Z764" s="39" t="n"/>
      <c r="AG764" s="39" t="n"/>
      <c r="AH764" s="39" t="n"/>
      <c r="AI764" t="inlineStr">
        <is>
          <t>Gina Victoria Saenz Pasco</t>
        </is>
      </c>
      <c r="AJ764" t="inlineStr">
        <is>
          <t>70436237</t>
        </is>
      </c>
      <c r="AK764" t="inlineStr">
        <is>
          <t>Av. Cordialidad 8079 Urb. La Floresta</t>
        </is>
      </c>
      <c r="AL764" t="n">
        <v>0</v>
      </c>
      <c r="AM764" t="inlineStr">
        <is>
          <t>992686657</t>
        </is>
      </c>
      <c r="AN764" t="inlineStr">
        <is>
          <t>g.saenz22@gmail.com</t>
        </is>
      </c>
      <c r="AO764" t="inlineStr">
        <is>
          <t>LIMA</t>
        </is>
      </c>
      <c r="AP764" t="inlineStr">
        <is>
          <t>LOS OLIVOS</t>
        </is>
      </c>
      <c r="AQ764" s="75" t="n">
        <v>46476</v>
      </c>
      <c r="AR764" s="75" t="n"/>
      <c r="AS764" t="inlineStr">
        <is>
          <t>SALDO FINANCIAR</t>
        </is>
      </c>
      <c r="AT764" t="n">
        <v>2</v>
      </c>
      <c r="AU764" t="n">
        <v>98375</v>
      </c>
      <c r="AV764" t="n">
        <v>0</v>
      </c>
      <c r="AW764" t="n">
        <v>0</v>
      </c>
      <c r="AX764" s="39" t="n">
        <v>98375</v>
      </c>
      <c r="AY764" s="39" t="n">
        <v>0</v>
      </c>
      <c r="AZ764" s="39" t="n">
        <v>98375</v>
      </c>
      <c r="BB764" t="inlineStr">
        <is>
          <t>Ahorro</t>
        </is>
      </c>
      <c r="BH764" t="inlineStr">
        <is>
          <t>No</t>
        </is>
      </c>
      <c r="BK764" t="inlineStr">
        <is>
          <t>PENDIENTE</t>
        </is>
      </c>
      <c r="BV764" t="inlineStr">
        <is>
          <t>No</t>
        </is>
      </c>
      <c r="BW764" s="76" t="n">
        <v>46111.42430555556</v>
      </c>
      <c r="BX764" t="inlineStr">
        <is>
          <t>Magaly Guevara Perez</t>
        </is>
      </c>
      <c r="BZ764" t="n">
        <v>27</v>
      </c>
      <c r="CB764" t="n">
        <v>0</v>
      </c>
      <c r="CF764" t="inlineStr">
        <is>
          <t>Cobranzas_2027.csv</t>
        </is>
      </c>
      <c r="CG764" t="n">
        <v>2027</v>
      </c>
      <c r="CH764" t="inlineStr">
        <is>
          <t>01/01/2024</t>
        </is>
      </c>
      <c r="CI764" t="inlineStr">
        <is>
          <t>24/08/2031</t>
        </is>
      </c>
    </row>
    <row r="765">
      <c r="A765" t="inlineStr">
        <is>
          <t>RESIDENCIAL BEYOND</t>
        </is>
      </c>
      <c r="B765" t="inlineStr">
        <is>
          <t>Etapa 1</t>
        </is>
      </c>
      <c r="C765" t="inlineStr">
        <is>
          <t>Edificio</t>
        </is>
      </c>
      <c r="D765" t="inlineStr">
        <is>
          <t>A</t>
        </is>
      </c>
      <c r="E765" t="inlineStr">
        <is>
          <t>Departamento</t>
        </is>
      </c>
      <c r="F765" t="inlineStr">
        <is>
          <t>402</t>
        </is>
      </c>
      <c r="G765" t="n">
        <v>57</v>
      </c>
      <c r="H765" t="n">
        <v>0</v>
      </c>
      <c r="I765" s="39" t="n">
        <v>430000</v>
      </c>
      <c r="J765" s="39" t="n">
        <v>400000</v>
      </c>
      <c r="K765" t="inlineStr">
        <is>
          <t>Edificio</t>
        </is>
      </c>
      <c r="L765" t="inlineStr">
        <is>
          <t>A</t>
        </is>
      </c>
      <c r="M765" t="inlineStr">
        <is>
          <t>Estacionamiento</t>
        </is>
      </c>
      <c r="N765" t="inlineStr">
        <is>
          <t>E 44 - D 26</t>
        </is>
      </c>
      <c r="O765" t="n">
        <v>12.5</v>
      </c>
      <c r="P765" t="n">
        <v>2.45</v>
      </c>
      <c r="Q765" s="39" t="n">
        <v>48500</v>
      </c>
      <c r="R765" s="39" t="n">
        <v>48500</v>
      </c>
      <c r="Y765" s="39" t="n"/>
      <c r="Z765" s="39" t="n"/>
      <c r="AG765" s="39" t="n"/>
      <c r="AH765" s="39" t="n"/>
      <c r="AI765" t="inlineStr">
        <is>
          <t>Gina Victoria Saenz Pasco</t>
        </is>
      </c>
      <c r="AJ765" t="inlineStr">
        <is>
          <t>70436237</t>
        </is>
      </c>
      <c r="AK765" t="inlineStr">
        <is>
          <t>Av. Cordialidad 8079 Urb. La Floresta</t>
        </is>
      </c>
      <c r="AL765" t="n">
        <v>0</v>
      </c>
      <c r="AM765" t="inlineStr">
        <is>
          <t>992686657</t>
        </is>
      </c>
      <c r="AN765" t="inlineStr">
        <is>
          <t>g.saenz22@gmail.com</t>
        </is>
      </c>
      <c r="AO765" t="inlineStr">
        <is>
          <t>LIMA</t>
        </is>
      </c>
      <c r="AP765" t="inlineStr">
        <is>
          <t>LOS OLIVOS</t>
        </is>
      </c>
      <c r="AQ765" s="75" t="n">
        <v>46568</v>
      </c>
      <c r="AR765" s="75" t="n"/>
      <c r="AS765" t="inlineStr">
        <is>
          <t>SALDO FINANCIAR</t>
        </is>
      </c>
      <c r="AT765" t="n">
        <v>3</v>
      </c>
      <c r="AU765" t="n">
        <v>98375</v>
      </c>
      <c r="AV765" t="n">
        <v>0</v>
      </c>
      <c r="AW765" t="n">
        <v>0</v>
      </c>
      <c r="AX765" s="39" t="n">
        <v>98375</v>
      </c>
      <c r="AY765" s="39" t="n">
        <v>0</v>
      </c>
      <c r="AZ765" s="39" t="n">
        <v>98375</v>
      </c>
      <c r="BB765" t="inlineStr">
        <is>
          <t>Ahorro</t>
        </is>
      </c>
      <c r="BH765" t="inlineStr">
        <is>
          <t>No</t>
        </is>
      </c>
      <c r="BK765" t="inlineStr">
        <is>
          <t>PENDIENTE</t>
        </is>
      </c>
      <c r="BV765" t="inlineStr">
        <is>
          <t>No</t>
        </is>
      </c>
      <c r="BW765" s="76" t="n">
        <v>46111.42430555556</v>
      </c>
      <c r="BX765" t="inlineStr">
        <is>
          <t>Magaly Guevara Perez</t>
        </is>
      </c>
      <c r="BZ765" t="n">
        <v>27</v>
      </c>
      <c r="CB765" t="n">
        <v>0</v>
      </c>
      <c r="CF765" t="inlineStr">
        <is>
          <t>Cobranzas_2027.csv</t>
        </is>
      </c>
      <c r="CG765" t="n">
        <v>2027</v>
      </c>
      <c r="CH765" t="inlineStr">
        <is>
          <t>01/01/2024</t>
        </is>
      </c>
      <c r="CI765" t="inlineStr">
        <is>
          <t>24/08/2031</t>
        </is>
      </c>
    </row>
    <row r="766">
      <c r="A766" t="inlineStr">
        <is>
          <t>RESIDENCIAL BEYOND</t>
        </is>
      </c>
      <c r="B766" t="inlineStr">
        <is>
          <t>Etapa 1</t>
        </is>
      </c>
      <c r="C766" t="inlineStr">
        <is>
          <t>Edificio</t>
        </is>
      </c>
      <c r="D766" t="inlineStr">
        <is>
          <t>A</t>
        </is>
      </c>
      <c r="E766" t="inlineStr">
        <is>
          <t>Departamento</t>
        </is>
      </c>
      <c r="F766" t="inlineStr">
        <is>
          <t>402</t>
        </is>
      </c>
      <c r="G766" t="n">
        <v>57</v>
      </c>
      <c r="H766" t="n">
        <v>0</v>
      </c>
      <c r="I766" s="39" t="n">
        <v>430000</v>
      </c>
      <c r="J766" s="39" t="n">
        <v>400000</v>
      </c>
      <c r="K766" t="inlineStr">
        <is>
          <t>Edificio</t>
        </is>
      </c>
      <c r="L766" t="inlineStr">
        <is>
          <t>A</t>
        </is>
      </c>
      <c r="M766" t="inlineStr">
        <is>
          <t>Estacionamiento</t>
        </is>
      </c>
      <c r="N766" t="inlineStr">
        <is>
          <t>E 44 - D 26</t>
        </is>
      </c>
      <c r="O766" t="n">
        <v>12.5</v>
      </c>
      <c r="P766" t="n">
        <v>2.45</v>
      </c>
      <c r="Q766" s="39" t="n">
        <v>48500</v>
      </c>
      <c r="R766" s="39" t="n">
        <v>48500</v>
      </c>
      <c r="Y766" s="39" t="n"/>
      <c r="Z766" s="39" t="n"/>
      <c r="AG766" s="39" t="n"/>
      <c r="AH766" s="39" t="n"/>
      <c r="AI766" t="inlineStr">
        <is>
          <t>Gina Victoria Saenz Pasco</t>
        </is>
      </c>
      <c r="AJ766" t="inlineStr">
        <is>
          <t>70436237</t>
        </is>
      </c>
      <c r="AK766" t="inlineStr">
        <is>
          <t>Av. Cordialidad 8079 Urb. La Floresta</t>
        </is>
      </c>
      <c r="AL766" t="n">
        <v>0</v>
      </c>
      <c r="AM766" t="inlineStr">
        <is>
          <t>992686657</t>
        </is>
      </c>
      <c r="AN766" t="inlineStr">
        <is>
          <t>g.saenz22@gmail.com</t>
        </is>
      </c>
      <c r="AO766" t="inlineStr">
        <is>
          <t>LIMA</t>
        </is>
      </c>
      <c r="AP766" t="inlineStr">
        <is>
          <t>LOS OLIVOS</t>
        </is>
      </c>
      <c r="AQ766" s="75" t="n">
        <v>46598</v>
      </c>
      <c r="AR766" s="75" t="n"/>
      <c r="AS766" t="inlineStr">
        <is>
          <t>SALDO FINANCIAR</t>
        </is>
      </c>
      <c r="AT766" t="n">
        <v>4</v>
      </c>
      <c r="AU766" t="n">
        <v>98375</v>
      </c>
      <c r="AV766" t="n">
        <v>0</v>
      </c>
      <c r="AW766" t="n">
        <v>0</v>
      </c>
      <c r="AX766" s="39" t="n">
        <v>98375</v>
      </c>
      <c r="AY766" s="39" t="n">
        <v>0</v>
      </c>
      <c r="AZ766" s="39" t="n">
        <v>98375</v>
      </c>
      <c r="BB766" t="inlineStr">
        <is>
          <t>Ahorro</t>
        </is>
      </c>
      <c r="BH766" t="inlineStr">
        <is>
          <t>No</t>
        </is>
      </c>
      <c r="BK766" t="inlineStr">
        <is>
          <t>PENDIENTE</t>
        </is>
      </c>
      <c r="BV766" t="inlineStr">
        <is>
          <t>No</t>
        </is>
      </c>
      <c r="BW766" s="76" t="n">
        <v>46111.42430555556</v>
      </c>
      <c r="BX766" t="inlineStr">
        <is>
          <t>Magaly Guevara Perez</t>
        </is>
      </c>
      <c r="BZ766" t="n">
        <v>27</v>
      </c>
      <c r="CB766" t="n">
        <v>0</v>
      </c>
      <c r="CF766" t="inlineStr">
        <is>
          <t>Cobranzas_2027.csv</t>
        </is>
      </c>
      <c r="CG766" t="n">
        <v>2027</v>
      </c>
      <c r="CH766" t="inlineStr">
        <is>
          <t>01/01/2024</t>
        </is>
      </c>
      <c r="CI766" t="inlineStr">
        <is>
          <t>24/08/2031</t>
        </is>
      </c>
    </row>
    <row r="767">
      <c r="A767" t="inlineStr">
        <is>
          <t>RESIDENCIAL BEYOND</t>
        </is>
      </c>
      <c r="B767" t="inlineStr">
        <is>
          <t>Etapa 1</t>
        </is>
      </c>
      <c r="C767" t="inlineStr">
        <is>
          <t>Edificio</t>
        </is>
      </c>
      <c r="D767" t="inlineStr">
        <is>
          <t>A</t>
        </is>
      </c>
      <c r="E767" t="inlineStr">
        <is>
          <t>Departamento</t>
        </is>
      </c>
      <c r="F767" t="inlineStr">
        <is>
          <t>1401</t>
        </is>
      </c>
      <c r="G767" t="n">
        <v>70</v>
      </c>
      <c r="H767" t="n">
        <v>0</v>
      </c>
      <c r="I767" s="39" t="n">
        <v>531100</v>
      </c>
      <c r="J767" s="39" t="n">
        <v>483000</v>
      </c>
      <c r="Q767" s="39" t="n"/>
      <c r="R767" s="39" t="n"/>
      <c r="Y767" s="39" t="n"/>
      <c r="Z767" s="39" t="n"/>
      <c r="AG767" s="39" t="n"/>
      <c r="AH767" s="39" t="n"/>
      <c r="AI767" t="inlineStr">
        <is>
          <t>Jacqueline Elsa Moreno Huaman</t>
        </is>
      </c>
      <c r="AJ767" t="inlineStr">
        <is>
          <t>28276212</t>
        </is>
      </c>
      <c r="AK767" t="inlineStr">
        <is>
          <t>Calle Padr Urraca 111 Edifc. 6 - Dpto. 603</t>
        </is>
      </c>
      <c r="AL767" t="n">
        <v>0</v>
      </c>
      <c r="AM767" t="inlineStr">
        <is>
          <t>966689822</t>
        </is>
      </c>
      <c r="AN767" t="inlineStr">
        <is>
          <t>jmoreno.incorp@gmail.com</t>
        </is>
      </c>
      <c r="AO767" t="inlineStr">
        <is>
          <t>LIMA</t>
        </is>
      </c>
      <c r="AP767" t="inlineStr">
        <is>
          <t>SAN MIGUEL</t>
        </is>
      </c>
      <c r="AQ767" s="75" t="n">
        <v>46445</v>
      </c>
      <c r="AR767" s="75" t="n"/>
      <c r="AS767" t="inlineStr">
        <is>
          <t>SALDO FINANCIAR</t>
        </is>
      </c>
      <c r="AT767" t="n">
        <v>1</v>
      </c>
      <c r="AU767" t="n">
        <v>363000</v>
      </c>
      <c r="AV767" t="n">
        <v>0</v>
      </c>
      <c r="AW767" t="n">
        <v>0</v>
      </c>
      <c r="AX767" s="39" t="n">
        <v>363000</v>
      </c>
      <c r="AY767" s="39" t="n">
        <v>0</v>
      </c>
      <c r="AZ767" s="39" t="n">
        <v>363000</v>
      </c>
      <c r="BB767" t="inlineStr">
        <is>
          <t>Ahorro</t>
        </is>
      </c>
      <c r="BH767" t="inlineStr">
        <is>
          <t>No</t>
        </is>
      </c>
      <c r="BK767" t="inlineStr">
        <is>
          <t>PENDIENTE</t>
        </is>
      </c>
      <c r="BV767" t="inlineStr">
        <is>
          <t>No</t>
        </is>
      </c>
      <c r="BW767" s="76" t="n">
        <v>46172.40138888889</v>
      </c>
      <c r="BX767" t="inlineStr">
        <is>
          <t>Carla Michue M</t>
        </is>
      </c>
      <c r="BZ767" t="n">
        <v>46</v>
      </c>
      <c r="CB767" t="n">
        <v>0</v>
      </c>
      <c r="CF767" t="inlineStr">
        <is>
          <t>Cobranzas_2027.csv</t>
        </is>
      </c>
      <c r="CG767" t="n">
        <v>2027</v>
      </c>
      <c r="CH767" t="inlineStr">
        <is>
          <t>01/01/2024</t>
        </is>
      </c>
      <c r="CI767" t="inlineStr">
        <is>
          <t>24/08/2031</t>
        </is>
      </c>
    </row>
    <row r="768">
      <c r="A768" t="inlineStr">
        <is>
          <t>RESIDENCIAL BEYOND</t>
        </is>
      </c>
      <c r="B768" t="inlineStr">
        <is>
          <t>Etapa 1</t>
        </is>
      </c>
      <c r="C768" t="inlineStr">
        <is>
          <t>Edificio</t>
        </is>
      </c>
      <c r="D768" t="inlineStr">
        <is>
          <t>A</t>
        </is>
      </c>
      <c r="E768" t="inlineStr">
        <is>
          <t>Departamento</t>
        </is>
      </c>
      <c r="F768" t="inlineStr">
        <is>
          <t>1303</t>
        </is>
      </c>
      <c r="G768" t="n">
        <v>68</v>
      </c>
      <c r="H768" t="n">
        <v>0</v>
      </c>
      <c r="I768" s="39" t="n">
        <v>504700</v>
      </c>
      <c r="J768" s="39" t="n">
        <v>453700</v>
      </c>
      <c r="K768" t="inlineStr">
        <is>
          <t>Edificio</t>
        </is>
      </c>
      <c r="L768" t="inlineStr">
        <is>
          <t>A</t>
        </is>
      </c>
      <c r="M768" t="inlineStr">
        <is>
          <t>Estacionamiento</t>
        </is>
      </c>
      <c r="N768" t="inlineStr">
        <is>
          <t>E 50 - D 30</t>
        </is>
      </c>
      <c r="O768" t="n">
        <v>12.5</v>
      </c>
      <c r="P768" t="n">
        <v>2.8</v>
      </c>
      <c r="Q768" s="39" t="n">
        <v>50000</v>
      </c>
      <c r="R768" s="39" t="n">
        <v>50000</v>
      </c>
      <c r="Y768" s="39" t="n"/>
      <c r="Z768" s="39" t="n"/>
      <c r="AG768" s="39" t="n"/>
      <c r="AH768" s="39" t="n"/>
      <c r="AI768" t="inlineStr">
        <is>
          <t>Jimena Melissa Huayanca Lopez</t>
        </is>
      </c>
      <c r="AJ768" t="inlineStr">
        <is>
          <t>73268311</t>
        </is>
      </c>
      <c r="AK768" t="inlineStr">
        <is>
          <t xml:space="preserve">Av. Cuba 560, Dpto N°1703 </t>
        </is>
      </c>
      <c r="AL768" t="n">
        <v>0</v>
      </c>
      <c r="AM768" t="inlineStr">
        <is>
          <t>923732315</t>
        </is>
      </c>
      <c r="AN768" t="inlineStr">
        <is>
          <t>jimelissahl@gmail.com</t>
        </is>
      </c>
      <c r="AO768" t="inlineStr">
        <is>
          <t>LIMA</t>
        </is>
      </c>
      <c r="AP768" t="inlineStr">
        <is>
          <t>JESUS MARIA</t>
        </is>
      </c>
      <c r="AQ768" s="75" t="n">
        <v>46418</v>
      </c>
      <c r="AR768" s="75" t="n"/>
      <c r="AS768" t="inlineStr">
        <is>
          <t>SALDO FINANCIAR</t>
        </is>
      </c>
      <c r="AT768" t="n">
        <v>1</v>
      </c>
      <c r="AU768" t="n">
        <v>453330</v>
      </c>
      <c r="AV768" t="n">
        <v>0</v>
      </c>
      <c r="AW768" t="n">
        <v>0</v>
      </c>
      <c r="AX768" s="39" t="n">
        <v>453330</v>
      </c>
      <c r="AY768" s="39" t="n">
        <v>0</v>
      </c>
      <c r="AZ768" s="39" t="n">
        <v>453330</v>
      </c>
      <c r="BB768" t="inlineStr">
        <is>
          <t>Ahorro</t>
        </is>
      </c>
      <c r="BH768" t="inlineStr">
        <is>
          <t>No</t>
        </is>
      </c>
      <c r="BK768" t="inlineStr">
        <is>
          <t>PENDIENTE</t>
        </is>
      </c>
      <c r="BV768" t="inlineStr">
        <is>
          <t>No</t>
        </is>
      </c>
      <c r="BW768" s="76" t="n">
        <v>46170.44652777778</v>
      </c>
      <c r="BX768" t="inlineStr">
        <is>
          <t>Kenny Salazar S</t>
        </is>
      </c>
      <c r="BZ768" t="n">
        <v>40</v>
      </c>
      <c r="CB768" t="n">
        <v>0</v>
      </c>
      <c r="CF768" t="inlineStr">
        <is>
          <t>Cobranzas_2027.csv</t>
        </is>
      </c>
      <c r="CG768" t="n">
        <v>2027</v>
      </c>
      <c r="CH768" t="inlineStr">
        <is>
          <t>01/01/2024</t>
        </is>
      </c>
      <c r="CI768" t="inlineStr">
        <is>
          <t>24/08/2031</t>
        </is>
      </c>
    </row>
    <row r="769">
      <c r="A769" t="inlineStr">
        <is>
          <t>RESIDENCIAL BEYOND</t>
        </is>
      </c>
      <c r="B769" t="inlineStr">
        <is>
          <t>Etapa 1</t>
        </is>
      </c>
      <c r="C769" t="inlineStr">
        <is>
          <t>Edificio</t>
        </is>
      </c>
      <c r="D769" t="inlineStr">
        <is>
          <t>A</t>
        </is>
      </c>
      <c r="E769" t="inlineStr">
        <is>
          <t>Departamento</t>
        </is>
      </c>
      <c r="F769" t="inlineStr">
        <is>
          <t>405</t>
        </is>
      </c>
      <c r="G769" t="n">
        <v>72</v>
      </c>
      <c r="H769" t="n">
        <v>0</v>
      </c>
      <c r="I769" s="39" t="n">
        <v>532100</v>
      </c>
      <c r="J769" s="39" t="n">
        <v>501100</v>
      </c>
      <c r="Q769" s="39" t="n"/>
      <c r="R769" s="39" t="n"/>
      <c r="Y769" s="39" t="n"/>
      <c r="Z769" s="39" t="n"/>
      <c r="AG769" s="39" t="n"/>
      <c r="AH769" s="39" t="n"/>
      <c r="AI769" t="inlineStr">
        <is>
          <t>Jiri Ruzicka R</t>
        </is>
      </c>
      <c r="AJ769" t="inlineStr">
        <is>
          <t>001831906</t>
        </is>
      </c>
      <c r="AK769" t="inlineStr">
        <is>
          <t xml:space="preserve">Calle Los Mirtos 230 Edificio Live Lima Flats Torre C </t>
        </is>
      </c>
      <c r="AL769" t="n">
        <v>0</v>
      </c>
      <c r="AM769" t="inlineStr">
        <is>
          <t>943541529</t>
        </is>
      </c>
      <c r="AN769" t="inlineStr">
        <is>
          <t>jiriruzicka@web.de</t>
        </is>
      </c>
      <c r="AO769" t="inlineStr">
        <is>
          <t>LIMA</t>
        </is>
      </c>
      <c r="AP769" t="inlineStr">
        <is>
          <t>LINCE</t>
        </is>
      </c>
      <c r="AQ769" s="75" t="n">
        <v>46446</v>
      </c>
      <c r="AR769" s="75" t="n"/>
      <c r="AS769" t="inlineStr">
        <is>
          <t>AHORRO CASA</t>
        </is>
      </c>
      <c r="AT769" t="n">
        <v>2</v>
      </c>
      <c r="AU769" t="n">
        <v>25055</v>
      </c>
      <c r="AV769" t="n">
        <v>0</v>
      </c>
      <c r="AW769" t="n">
        <v>0</v>
      </c>
      <c r="AX769" s="39" t="n">
        <v>25055</v>
      </c>
      <c r="AY769" s="39" t="n">
        <v>0</v>
      </c>
      <c r="AZ769" s="39" t="n">
        <v>25055</v>
      </c>
      <c r="BB769" t="inlineStr">
        <is>
          <t>Ahorro</t>
        </is>
      </c>
      <c r="BH769" t="inlineStr">
        <is>
          <t>No</t>
        </is>
      </c>
      <c r="BK769" t="inlineStr">
        <is>
          <t>PENDIENTE</t>
        </is>
      </c>
      <c r="BV769" t="inlineStr">
        <is>
          <t>No</t>
        </is>
      </c>
      <c r="BW769" s="76" t="n">
        <v>46164.38958333333</v>
      </c>
      <c r="BX769" t="inlineStr">
        <is>
          <t>Josue andres Perez Chamorro</t>
        </is>
      </c>
      <c r="BZ769" t="n">
        <v>8</v>
      </c>
      <c r="CB769" t="n">
        <v>0</v>
      </c>
      <c r="CF769" t="inlineStr">
        <is>
          <t>Cobranzas_2027.csv</t>
        </is>
      </c>
      <c r="CG769" t="n">
        <v>2027</v>
      </c>
      <c r="CH769" t="inlineStr">
        <is>
          <t>01/01/2024</t>
        </is>
      </c>
      <c r="CI769" t="inlineStr">
        <is>
          <t>24/08/2031</t>
        </is>
      </c>
    </row>
    <row r="770">
      <c r="A770" t="inlineStr">
        <is>
          <t>RESIDENCIAL BEYOND</t>
        </is>
      </c>
      <c r="B770" t="inlineStr">
        <is>
          <t>Etapa 1</t>
        </is>
      </c>
      <c r="C770" t="inlineStr">
        <is>
          <t>Edificio</t>
        </is>
      </c>
      <c r="D770" t="inlineStr">
        <is>
          <t>A</t>
        </is>
      </c>
      <c r="E770" t="inlineStr">
        <is>
          <t>Departamento</t>
        </is>
      </c>
      <c r="F770" t="inlineStr">
        <is>
          <t>405</t>
        </is>
      </c>
      <c r="G770" t="n">
        <v>72</v>
      </c>
      <c r="H770" t="n">
        <v>0</v>
      </c>
      <c r="I770" s="39" t="n">
        <v>532100</v>
      </c>
      <c r="J770" s="39" t="n">
        <v>501100</v>
      </c>
      <c r="Q770" s="39" t="n"/>
      <c r="R770" s="39" t="n"/>
      <c r="Y770" s="39" t="n"/>
      <c r="Z770" s="39" t="n"/>
      <c r="AG770" s="39" t="n"/>
      <c r="AH770" s="39" t="n"/>
      <c r="AI770" t="inlineStr">
        <is>
          <t>Jiri Ruzicka R</t>
        </is>
      </c>
      <c r="AJ770" t="inlineStr">
        <is>
          <t>001831906</t>
        </is>
      </c>
      <c r="AK770" t="inlineStr">
        <is>
          <t xml:space="preserve">Calle Los Mirtos 230 Edificio Live Lima Flats Torre C </t>
        </is>
      </c>
      <c r="AL770" t="n">
        <v>0</v>
      </c>
      <c r="AM770" t="inlineStr">
        <is>
          <t>943541529</t>
        </is>
      </c>
      <c r="AN770" t="inlineStr">
        <is>
          <t>jiriruzicka@web.de</t>
        </is>
      </c>
      <c r="AO770" t="inlineStr">
        <is>
          <t>LIMA</t>
        </is>
      </c>
      <c r="AP770" t="inlineStr">
        <is>
          <t>LINCE</t>
        </is>
      </c>
      <c r="AQ770" s="75" t="n">
        <v>46477</v>
      </c>
      <c r="AR770" s="75" t="n"/>
      <c r="AS770" t="inlineStr">
        <is>
          <t>SALDO FINANCIAR</t>
        </is>
      </c>
      <c r="AT770" t="n">
        <v>1</v>
      </c>
      <c r="AU770" t="n">
        <v>450990</v>
      </c>
      <c r="AV770" t="n">
        <v>0</v>
      </c>
      <c r="AW770" t="n">
        <v>0</v>
      </c>
      <c r="AX770" s="39" t="n">
        <v>450990</v>
      </c>
      <c r="AY770" s="39" t="n">
        <v>0</v>
      </c>
      <c r="AZ770" s="39" t="n">
        <v>450990</v>
      </c>
      <c r="BB770" t="inlineStr">
        <is>
          <t>Ahorro</t>
        </is>
      </c>
      <c r="BH770" t="inlineStr">
        <is>
          <t>No</t>
        </is>
      </c>
      <c r="BK770" t="inlineStr">
        <is>
          <t>PENDIENTE</t>
        </is>
      </c>
      <c r="BV770" t="inlineStr">
        <is>
          <t>No</t>
        </is>
      </c>
      <c r="BW770" s="76" t="n">
        <v>46164.38958333333</v>
      </c>
      <c r="BX770" t="inlineStr">
        <is>
          <t>Josue andres Perez Chamorro</t>
        </is>
      </c>
      <c r="BZ770" t="n">
        <v>8</v>
      </c>
      <c r="CB770" t="n">
        <v>0</v>
      </c>
      <c r="CF770" t="inlineStr">
        <is>
          <t>Cobranzas_2027.csv</t>
        </is>
      </c>
      <c r="CG770" t="n">
        <v>2027</v>
      </c>
      <c r="CH770" t="inlineStr">
        <is>
          <t>01/01/2024</t>
        </is>
      </c>
      <c r="CI770" t="inlineStr">
        <is>
          <t>24/08/2031</t>
        </is>
      </c>
    </row>
    <row r="771">
      <c r="A771" t="inlineStr">
        <is>
          <t>RESIDENCIAL BEYOND</t>
        </is>
      </c>
      <c r="B771" t="inlineStr">
        <is>
          <t>Etapa 1</t>
        </is>
      </c>
      <c r="C771" t="inlineStr">
        <is>
          <t>Edificio</t>
        </is>
      </c>
      <c r="D771" t="inlineStr">
        <is>
          <t>A</t>
        </is>
      </c>
      <c r="E771" t="inlineStr">
        <is>
          <t>Departamento</t>
        </is>
      </c>
      <c r="F771" t="inlineStr">
        <is>
          <t>803</t>
        </is>
      </c>
      <c r="G771" t="n">
        <v>68</v>
      </c>
      <c r="H771" t="n">
        <v>0</v>
      </c>
      <c r="I771" s="39" t="n">
        <v>510000</v>
      </c>
      <c r="J771" s="39" t="n">
        <v>476700</v>
      </c>
      <c r="K771" t="inlineStr">
        <is>
          <t>Edificio</t>
        </is>
      </c>
      <c r="L771" t="inlineStr">
        <is>
          <t>A</t>
        </is>
      </c>
      <c r="M771" t="inlineStr">
        <is>
          <t>Estacionamiento</t>
        </is>
      </c>
      <c r="N771" t="inlineStr">
        <is>
          <t>E 28 - D 18</t>
        </is>
      </c>
      <c r="O771" t="n">
        <v>12.5</v>
      </c>
      <c r="P771" t="n">
        <v>1.72</v>
      </c>
      <c r="Q771" s="39" t="n">
        <v>48600</v>
      </c>
      <c r="R771" s="39" t="n">
        <v>48600</v>
      </c>
      <c r="Y771" s="39" t="n"/>
      <c r="Z771" s="39" t="n"/>
      <c r="AG771" s="39" t="n"/>
      <c r="AH771" s="39" t="n"/>
      <c r="AI771" t="inlineStr">
        <is>
          <t>Jorge Luis Montoya Mendoza</t>
        </is>
      </c>
      <c r="AJ771" t="inlineStr">
        <is>
          <t>21458250</t>
        </is>
      </c>
      <c r="AK771" t="inlineStr">
        <is>
          <t>luismm65@hotmail.com</t>
        </is>
      </c>
      <c r="AL771" t="n">
        <v>0</v>
      </c>
      <c r="AM771" t="inlineStr">
        <is>
          <t>962673705</t>
        </is>
      </c>
      <c r="AN771" t="inlineStr">
        <is>
          <t>luismm65@hotmail.com</t>
        </is>
      </c>
      <c r="AO771" t="inlineStr">
        <is>
          <t>LIMA</t>
        </is>
      </c>
      <c r="AP771" t="inlineStr">
        <is>
          <t>PUEBLO LIBRE</t>
        </is>
      </c>
      <c r="AQ771" s="75" t="n">
        <v>46568</v>
      </c>
      <c r="AR771" s="75" t="n"/>
      <c r="AS771" t="inlineStr">
        <is>
          <t>SALDO FINANCIAR</t>
        </is>
      </c>
      <c r="AT771" t="n">
        <v>2</v>
      </c>
      <c r="AU771" t="n">
        <v>262650</v>
      </c>
      <c r="AV771" t="n">
        <v>0</v>
      </c>
      <c r="AW771" t="n">
        <v>0</v>
      </c>
      <c r="AX771" s="39" t="n">
        <v>262650</v>
      </c>
      <c r="AY771" s="39" t="n">
        <v>0</v>
      </c>
      <c r="AZ771" s="39" t="n">
        <v>262650</v>
      </c>
      <c r="BB771" t="inlineStr">
        <is>
          <t>Crédito Directo</t>
        </is>
      </c>
      <c r="BH771" t="inlineStr">
        <is>
          <t>No</t>
        </is>
      </c>
      <c r="BK771" t="inlineStr">
        <is>
          <t>PENDIENTE</t>
        </is>
      </c>
      <c r="BV771" t="inlineStr">
        <is>
          <t>No</t>
        </is>
      </c>
      <c r="BW771" s="76" t="n">
        <v>46142.41805555556</v>
      </c>
      <c r="BX771" t="inlineStr">
        <is>
          <t>Magaly Guevara Perez</t>
        </is>
      </c>
      <c r="BZ771" t="n">
        <v>18</v>
      </c>
      <c r="CB771" t="n">
        <v>0</v>
      </c>
      <c r="CF771" t="inlineStr">
        <is>
          <t>Cobranzas_2027.csv</t>
        </is>
      </c>
      <c r="CG771" t="n">
        <v>2027</v>
      </c>
      <c r="CH771" t="inlineStr">
        <is>
          <t>01/01/2024</t>
        </is>
      </c>
      <c r="CI771" t="inlineStr">
        <is>
          <t>24/08/2031</t>
        </is>
      </c>
    </row>
    <row r="772">
      <c r="A772" t="inlineStr">
        <is>
          <t>RESIDENCIAL VENECIA</t>
        </is>
      </c>
      <c r="B772" t="inlineStr">
        <is>
          <t>Etapa 1</t>
        </is>
      </c>
      <c r="C772" t="inlineStr">
        <is>
          <t>Edificio</t>
        </is>
      </c>
      <c r="D772" t="inlineStr">
        <is>
          <t>A</t>
        </is>
      </c>
      <c r="E772" t="inlineStr">
        <is>
          <t>Estacionamiento</t>
        </is>
      </c>
      <c r="F772" t="inlineStr">
        <is>
          <t>E 10 - D 1</t>
        </is>
      </c>
      <c r="G772" t="n">
        <v>15.35</v>
      </c>
      <c r="H772" t="n">
        <v>0</v>
      </c>
      <c r="I772" s="39" t="n">
        <v>54000</v>
      </c>
      <c r="J772" s="39" t="n">
        <v>54000</v>
      </c>
      <c r="Q772" s="39" t="n"/>
      <c r="R772" s="39" t="n"/>
      <c r="Y772" s="39" t="n"/>
      <c r="Z772" s="39" t="n"/>
      <c r="AG772" s="39" t="n"/>
      <c r="AH772" s="39" t="n"/>
      <c r="AI772" t="inlineStr">
        <is>
          <t>Jose Edgardo Cespedes Camacho</t>
        </is>
      </c>
      <c r="AJ772" t="inlineStr">
        <is>
          <t>16631860</t>
        </is>
      </c>
      <c r="AK772" t="inlineStr">
        <is>
          <t>Jr. Huamachuco 1961Urb.Fundo Oyague</t>
        </is>
      </c>
      <c r="AL772" t="n">
        <v>0</v>
      </c>
      <c r="AM772" t="inlineStr">
        <is>
          <t>985758164</t>
        </is>
      </c>
      <c r="AN772" t="inlineStr">
        <is>
          <t>edgardocc1ro@gmail.com</t>
        </is>
      </c>
      <c r="AO772" t="inlineStr">
        <is>
          <t>LIMA</t>
        </is>
      </c>
      <c r="AP772" t="inlineStr">
        <is>
          <t>JESUS MARIA</t>
        </is>
      </c>
      <c r="AQ772" s="75" t="n">
        <v>46417</v>
      </c>
      <c r="AR772" s="75" t="n"/>
      <c r="AS772" t="inlineStr">
        <is>
          <t>SALDO FINANCIAR</t>
        </is>
      </c>
      <c r="AT772" t="n">
        <v>8</v>
      </c>
      <c r="AU772" t="n">
        <v>3666.67</v>
      </c>
      <c r="AV772" t="n">
        <v>0</v>
      </c>
      <c r="AW772" t="n">
        <v>0</v>
      </c>
      <c r="AX772" s="39" t="n">
        <v>3666.67</v>
      </c>
      <c r="AY772" s="39" t="n">
        <v>0</v>
      </c>
      <c r="AZ772" s="39" t="n">
        <v>3666.67</v>
      </c>
      <c r="BB772" t="inlineStr">
        <is>
          <t>Crédito Directo</t>
        </is>
      </c>
      <c r="BH772" t="inlineStr">
        <is>
          <t>No</t>
        </is>
      </c>
      <c r="BK772" t="inlineStr">
        <is>
          <t>PENDIENTE</t>
        </is>
      </c>
      <c r="BV772" t="inlineStr">
        <is>
          <t>No</t>
        </is>
      </c>
      <c r="BW772" s="76" t="n">
        <v>46079.41944444444</v>
      </c>
      <c r="BX772" t="inlineStr">
        <is>
          <t>Magaly Guevara Perez</t>
        </is>
      </c>
      <c r="BZ772" t="n">
        <v>17</v>
      </c>
      <c r="CB772" t="n">
        <v>0</v>
      </c>
      <c r="CF772" t="inlineStr">
        <is>
          <t>Cobranzas_2027.csv</t>
        </is>
      </c>
      <c r="CG772" t="n">
        <v>2027</v>
      </c>
      <c r="CH772" t="inlineStr">
        <is>
          <t>01/01/2024</t>
        </is>
      </c>
      <c r="CI772" t="inlineStr">
        <is>
          <t>24/08/2031</t>
        </is>
      </c>
    </row>
    <row r="773">
      <c r="A773" t="inlineStr">
        <is>
          <t>RESIDENCIAL VENECIA</t>
        </is>
      </c>
      <c r="B773" t="inlineStr">
        <is>
          <t>Etapa 1</t>
        </is>
      </c>
      <c r="C773" t="inlineStr">
        <is>
          <t>Edificio</t>
        </is>
      </c>
      <c r="D773" t="inlineStr">
        <is>
          <t>A</t>
        </is>
      </c>
      <c r="E773" t="inlineStr">
        <is>
          <t>Estacionamiento</t>
        </is>
      </c>
      <c r="F773" t="inlineStr">
        <is>
          <t>E 10 - D 1</t>
        </is>
      </c>
      <c r="G773" t="n">
        <v>15.35</v>
      </c>
      <c r="H773" t="n">
        <v>0</v>
      </c>
      <c r="I773" s="39" t="n">
        <v>54000</v>
      </c>
      <c r="J773" s="39" t="n">
        <v>54000</v>
      </c>
      <c r="Q773" s="39" t="n"/>
      <c r="R773" s="39" t="n"/>
      <c r="Y773" s="39" t="n"/>
      <c r="Z773" s="39" t="n"/>
      <c r="AG773" s="39" t="n"/>
      <c r="AH773" s="39" t="n"/>
      <c r="AI773" t="inlineStr">
        <is>
          <t>Jose Edgardo Cespedes Camacho</t>
        </is>
      </c>
      <c r="AJ773" t="inlineStr">
        <is>
          <t>16631860</t>
        </is>
      </c>
      <c r="AK773" t="inlineStr">
        <is>
          <t>Jr. Huamachuco 1961Urb.Fundo Oyague</t>
        </is>
      </c>
      <c r="AL773" t="n">
        <v>0</v>
      </c>
      <c r="AM773" t="inlineStr">
        <is>
          <t>985758164</t>
        </is>
      </c>
      <c r="AN773" t="inlineStr">
        <is>
          <t>edgardocc1ro@gmail.com</t>
        </is>
      </c>
      <c r="AO773" t="inlineStr">
        <is>
          <t>LIMA</t>
        </is>
      </c>
      <c r="AP773" t="inlineStr">
        <is>
          <t>JESUS MARIA</t>
        </is>
      </c>
      <c r="AQ773" s="75" t="n">
        <v>46446</v>
      </c>
      <c r="AR773" s="75" t="n"/>
      <c r="AS773" t="inlineStr">
        <is>
          <t>SALDO FINANCIAR</t>
        </is>
      </c>
      <c r="AT773" t="n">
        <v>9</v>
      </c>
      <c r="AU773" t="n">
        <v>3666.67</v>
      </c>
      <c r="AV773" t="n">
        <v>0</v>
      </c>
      <c r="AW773" t="n">
        <v>0</v>
      </c>
      <c r="AX773" s="39" t="n">
        <v>3666.67</v>
      </c>
      <c r="AY773" s="39" t="n">
        <v>0</v>
      </c>
      <c r="AZ773" s="39" t="n">
        <v>3666.67</v>
      </c>
      <c r="BB773" t="inlineStr">
        <is>
          <t>Crédito Directo</t>
        </is>
      </c>
      <c r="BH773" t="inlineStr">
        <is>
          <t>No</t>
        </is>
      </c>
      <c r="BK773" t="inlineStr">
        <is>
          <t>PENDIENTE</t>
        </is>
      </c>
      <c r="BV773" t="inlineStr">
        <is>
          <t>No</t>
        </is>
      </c>
      <c r="BW773" s="76" t="n">
        <v>46079.41944444444</v>
      </c>
      <c r="BX773" t="inlineStr">
        <is>
          <t>Magaly Guevara Perez</t>
        </is>
      </c>
      <c r="BZ773" t="n">
        <v>17</v>
      </c>
      <c r="CB773" t="n">
        <v>0</v>
      </c>
      <c r="CF773" t="inlineStr">
        <is>
          <t>Cobranzas_2027.csv</t>
        </is>
      </c>
      <c r="CG773" t="n">
        <v>2027</v>
      </c>
      <c r="CH773" t="inlineStr">
        <is>
          <t>01/01/2024</t>
        </is>
      </c>
      <c r="CI773" t="inlineStr">
        <is>
          <t>24/08/2031</t>
        </is>
      </c>
    </row>
    <row r="774">
      <c r="A774" t="inlineStr">
        <is>
          <t>RESIDENCIAL VENECIA</t>
        </is>
      </c>
      <c r="B774" t="inlineStr">
        <is>
          <t>Etapa 1</t>
        </is>
      </c>
      <c r="C774" t="inlineStr">
        <is>
          <t>Edificio</t>
        </is>
      </c>
      <c r="D774" t="inlineStr">
        <is>
          <t>A</t>
        </is>
      </c>
      <c r="E774" t="inlineStr">
        <is>
          <t>Estacionamiento</t>
        </is>
      </c>
      <c r="F774" t="inlineStr">
        <is>
          <t>E 10 - D 1</t>
        </is>
      </c>
      <c r="G774" t="n">
        <v>15.35</v>
      </c>
      <c r="H774" t="n">
        <v>0</v>
      </c>
      <c r="I774" s="39" t="n">
        <v>54000</v>
      </c>
      <c r="J774" s="39" t="n">
        <v>54000</v>
      </c>
      <c r="Q774" s="39" t="n"/>
      <c r="R774" s="39" t="n"/>
      <c r="Y774" s="39" t="n"/>
      <c r="Z774" s="39" t="n"/>
      <c r="AG774" s="39" t="n"/>
      <c r="AH774" s="39" t="n"/>
      <c r="AI774" t="inlineStr">
        <is>
          <t>Jose Edgardo Cespedes Camacho</t>
        </is>
      </c>
      <c r="AJ774" t="inlineStr">
        <is>
          <t>16631860</t>
        </is>
      </c>
      <c r="AK774" t="inlineStr">
        <is>
          <t>Jr. Huamachuco 1961Urb.Fundo Oyague</t>
        </is>
      </c>
      <c r="AL774" t="n">
        <v>0</v>
      </c>
      <c r="AM774" t="inlineStr">
        <is>
          <t>985758164</t>
        </is>
      </c>
      <c r="AN774" t="inlineStr">
        <is>
          <t>edgardocc1ro@gmail.com</t>
        </is>
      </c>
      <c r="AO774" t="inlineStr">
        <is>
          <t>LIMA</t>
        </is>
      </c>
      <c r="AP774" t="inlineStr">
        <is>
          <t>JESUS MARIA</t>
        </is>
      </c>
      <c r="AQ774" s="75" t="n">
        <v>46476</v>
      </c>
      <c r="AR774" s="75" t="n"/>
      <c r="AS774" t="inlineStr">
        <is>
          <t>SALDO FINANCIAR</t>
        </is>
      </c>
      <c r="AT774" t="n">
        <v>10</v>
      </c>
      <c r="AU774" t="n">
        <v>3666.67</v>
      </c>
      <c r="AV774" t="n">
        <v>0</v>
      </c>
      <c r="AW774" t="n">
        <v>0</v>
      </c>
      <c r="AX774" s="39" t="n">
        <v>3666.67</v>
      </c>
      <c r="AY774" s="39" t="n">
        <v>0</v>
      </c>
      <c r="AZ774" s="39" t="n">
        <v>3666.67</v>
      </c>
      <c r="BB774" t="inlineStr">
        <is>
          <t>Crédito Directo</t>
        </is>
      </c>
      <c r="BH774" t="inlineStr">
        <is>
          <t>No</t>
        </is>
      </c>
      <c r="BK774" t="inlineStr">
        <is>
          <t>PENDIENTE</t>
        </is>
      </c>
      <c r="BV774" t="inlineStr">
        <is>
          <t>No</t>
        </is>
      </c>
      <c r="BW774" s="76" t="n">
        <v>46079.41944444444</v>
      </c>
      <c r="BX774" t="inlineStr">
        <is>
          <t>Magaly Guevara Perez</t>
        </is>
      </c>
      <c r="BZ774" t="n">
        <v>17</v>
      </c>
      <c r="CB774" t="n">
        <v>0</v>
      </c>
      <c r="CF774" t="inlineStr">
        <is>
          <t>Cobranzas_2027.csv</t>
        </is>
      </c>
      <c r="CG774" t="n">
        <v>2027</v>
      </c>
      <c r="CH774" t="inlineStr">
        <is>
          <t>01/01/2024</t>
        </is>
      </c>
      <c r="CI774" t="inlineStr">
        <is>
          <t>24/08/2031</t>
        </is>
      </c>
    </row>
    <row r="775">
      <c r="A775" t="inlineStr">
        <is>
          <t>RESIDENCIAL VENECIA</t>
        </is>
      </c>
      <c r="B775" t="inlineStr">
        <is>
          <t>Etapa 1</t>
        </is>
      </c>
      <c r="C775" t="inlineStr">
        <is>
          <t>Edificio</t>
        </is>
      </c>
      <c r="D775" t="inlineStr">
        <is>
          <t>A</t>
        </is>
      </c>
      <c r="E775" t="inlineStr">
        <is>
          <t>Estacionamiento</t>
        </is>
      </c>
      <c r="F775" t="inlineStr">
        <is>
          <t>E 10 - D 1</t>
        </is>
      </c>
      <c r="G775" t="n">
        <v>15.35</v>
      </c>
      <c r="H775" t="n">
        <v>0</v>
      </c>
      <c r="I775" s="39" t="n">
        <v>54000</v>
      </c>
      <c r="J775" s="39" t="n">
        <v>54000</v>
      </c>
      <c r="Q775" s="39" t="n"/>
      <c r="R775" s="39" t="n"/>
      <c r="Y775" s="39" t="n"/>
      <c r="Z775" s="39" t="n"/>
      <c r="AG775" s="39" t="n"/>
      <c r="AH775" s="39" t="n"/>
      <c r="AI775" t="inlineStr">
        <is>
          <t>Jose Edgardo Cespedes Camacho</t>
        </is>
      </c>
      <c r="AJ775" t="inlineStr">
        <is>
          <t>16631860</t>
        </is>
      </c>
      <c r="AK775" t="inlineStr">
        <is>
          <t>Jr. Huamachuco 1961Urb.Fundo Oyague</t>
        </is>
      </c>
      <c r="AL775" t="n">
        <v>0</v>
      </c>
      <c r="AM775" t="inlineStr">
        <is>
          <t>985758164</t>
        </is>
      </c>
      <c r="AN775" t="inlineStr">
        <is>
          <t>edgardocc1ro@gmail.com</t>
        </is>
      </c>
      <c r="AO775" t="inlineStr">
        <is>
          <t>LIMA</t>
        </is>
      </c>
      <c r="AP775" t="inlineStr">
        <is>
          <t>JESUS MARIA</t>
        </is>
      </c>
      <c r="AQ775" s="75" t="n">
        <v>46507</v>
      </c>
      <c r="AR775" s="75" t="n"/>
      <c r="AS775" t="inlineStr">
        <is>
          <t>SALDO FINANCIAR</t>
        </is>
      </c>
      <c r="AT775" t="n">
        <v>11</v>
      </c>
      <c r="AU775" t="n">
        <v>3666.67</v>
      </c>
      <c r="AV775" t="n">
        <v>0</v>
      </c>
      <c r="AW775" t="n">
        <v>0</v>
      </c>
      <c r="AX775" s="39" t="n">
        <v>3666.67</v>
      </c>
      <c r="AY775" s="39" t="n">
        <v>0</v>
      </c>
      <c r="AZ775" s="39" t="n">
        <v>3666.67</v>
      </c>
      <c r="BB775" t="inlineStr">
        <is>
          <t>Crédito Directo</t>
        </is>
      </c>
      <c r="BH775" t="inlineStr">
        <is>
          <t>No</t>
        </is>
      </c>
      <c r="BK775" t="inlineStr">
        <is>
          <t>PENDIENTE</t>
        </is>
      </c>
      <c r="BV775" t="inlineStr">
        <is>
          <t>No</t>
        </is>
      </c>
      <c r="BW775" s="76" t="n">
        <v>46079.41944444444</v>
      </c>
      <c r="BX775" t="inlineStr">
        <is>
          <t>Magaly Guevara Perez</t>
        </is>
      </c>
      <c r="BZ775" t="n">
        <v>17</v>
      </c>
      <c r="CB775" t="n">
        <v>0</v>
      </c>
      <c r="CF775" t="inlineStr">
        <is>
          <t>Cobranzas_2027.csv</t>
        </is>
      </c>
      <c r="CG775" t="n">
        <v>2027</v>
      </c>
      <c r="CH775" t="inlineStr">
        <is>
          <t>01/01/2024</t>
        </is>
      </c>
      <c r="CI775" t="inlineStr">
        <is>
          <t>24/08/2031</t>
        </is>
      </c>
    </row>
    <row r="776">
      <c r="A776" t="inlineStr">
        <is>
          <t>RESIDENCIAL VENECIA</t>
        </is>
      </c>
      <c r="B776" t="inlineStr">
        <is>
          <t>Etapa 1</t>
        </is>
      </c>
      <c r="C776" t="inlineStr">
        <is>
          <t>Edificio</t>
        </is>
      </c>
      <c r="D776" t="inlineStr">
        <is>
          <t>A</t>
        </is>
      </c>
      <c r="E776" t="inlineStr">
        <is>
          <t>Estacionamiento</t>
        </is>
      </c>
      <c r="F776" t="inlineStr">
        <is>
          <t>E 10 - D 1</t>
        </is>
      </c>
      <c r="G776" t="n">
        <v>15.35</v>
      </c>
      <c r="H776" t="n">
        <v>0</v>
      </c>
      <c r="I776" s="39" t="n">
        <v>54000</v>
      </c>
      <c r="J776" s="39" t="n">
        <v>54000</v>
      </c>
      <c r="Q776" s="39" t="n"/>
      <c r="R776" s="39" t="n"/>
      <c r="Y776" s="39" t="n"/>
      <c r="Z776" s="39" t="n"/>
      <c r="AG776" s="39" t="n"/>
      <c r="AH776" s="39" t="n"/>
      <c r="AI776" t="inlineStr">
        <is>
          <t>Jose Edgardo Cespedes Camacho</t>
        </is>
      </c>
      <c r="AJ776" t="inlineStr">
        <is>
          <t>16631860</t>
        </is>
      </c>
      <c r="AK776" t="inlineStr">
        <is>
          <t>Jr. Huamachuco 1961Urb.Fundo Oyague</t>
        </is>
      </c>
      <c r="AL776" t="n">
        <v>0</v>
      </c>
      <c r="AM776" t="inlineStr">
        <is>
          <t>985758164</t>
        </is>
      </c>
      <c r="AN776" t="inlineStr">
        <is>
          <t>edgardocc1ro@gmail.com</t>
        </is>
      </c>
      <c r="AO776" t="inlineStr">
        <is>
          <t>LIMA</t>
        </is>
      </c>
      <c r="AP776" t="inlineStr">
        <is>
          <t>JESUS MARIA</t>
        </is>
      </c>
      <c r="AQ776" s="75" t="n">
        <v>46537</v>
      </c>
      <c r="AR776" s="75" t="n"/>
      <c r="AS776" t="inlineStr">
        <is>
          <t>SALDO FINANCIAR</t>
        </is>
      </c>
      <c r="AT776" t="n">
        <v>12</v>
      </c>
      <c r="AU776" t="n">
        <v>3666.63</v>
      </c>
      <c r="AV776" t="n">
        <v>0</v>
      </c>
      <c r="AW776" t="n">
        <v>0</v>
      </c>
      <c r="AX776" s="39" t="n">
        <v>3666.63</v>
      </c>
      <c r="AY776" s="39" t="n">
        <v>0</v>
      </c>
      <c r="AZ776" s="39" t="n">
        <v>3666.63</v>
      </c>
      <c r="BB776" t="inlineStr">
        <is>
          <t>Crédito Directo</t>
        </is>
      </c>
      <c r="BH776" t="inlineStr">
        <is>
          <t>No</t>
        </is>
      </c>
      <c r="BK776" t="inlineStr">
        <is>
          <t>PENDIENTE</t>
        </is>
      </c>
      <c r="BV776" t="inlineStr">
        <is>
          <t>No</t>
        </is>
      </c>
      <c r="BW776" s="76" t="n">
        <v>46079.41944444444</v>
      </c>
      <c r="BX776" t="inlineStr">
        <is>
          <t>Magaly Guevara Perez</t>
        </is>
      </c>
      <c r="BZ776" t="n">
        <v>17</v>
      </c>
      <c r="CB776" t="n">
        <v>0</v>
      </c>
      <c r="CF776" t="inlineStr">
        <is>
          <t>Cobranzas_2027.csv</t>
        </is>
      </c>
      <c r="CG776" t="n">
        <v>2027</v>
      </c>
      <c r="CH776" t="inlineStr">
        <is>
          <t>01/01/2024</t>
        </is>
      </c>
      <c r="CI776" t="inlineStr">
        <is>
          <t>24/08/2031</t>
        </is>
      </c>
    </row>
    <row r="777">
      <c r="A777" t="inlineStr">
        <is>
          <t>RESIDENCIAL BEYOND</t>
        </is>
      </c>
      <c r="B777" t="inlineStr">
        <is>
          <t>Etapa 1</t>
        </is>
      </c>
      <c r="C777" t="inlineStr">
        <is>
          <t>Edificio</t>
        </is>
      </c>
      <c r="D777" t="inlineStr">
        <is>
          <t>A</t>
        </is>
      </c>
      <c r="E777" t="inlineStr">
        <is>
          <t>Departamento</t>
        </is>
      </c>
      <c r="F777" t="inlineStr">
        <is>
          <t>201</t>
        </is>
      </c>
      <c r="G777" t="n">
        <v>70</v>
      </c>
      <c r="H777" t="n">
        <v>0</v>
      </c>
      <c r="I777" s="39" t="n">
        <v>518500</v>
      </c>
      <c r="J777" s="39" t="n">
        <v>469500</v>
      </c>
      <c r="K777" t="inlineStr">
        <is>
          <t>Edificio</t>
        </is>
      </c>
      <c r="L777" t="inlineStr">
        <is>
          <t>A</t>
        </is>
      </c>
      <c r="M777" t="inlineStr">
        <is>
          <t>Estacionamiento</t>
        </is>
      </c>
      <c r="N777" t="inlineStr">
        <is>
          <t>E 16</t>
        </is>
      </c>
      <c r="O777" t="n">
        <v>12.5</v>
      </c>
      <c r="P777" t="n">
        <v>0</v>
      </c>
      <c r="Q777" s="39" t="n">
        <v>50400</v>
      </c>
      <c r="R777" s="39" t="n">
        <v>50400</v>
      </c>
      <c r="Y777" s="39" t="n"/>
      <c r="Z777" s="39" t="n"/>
      <c r="AG777" s="39" t="n"/>
      <c r="AH777" s="39" t="n"/>
      <c r="AI777" t="inlineStr">
        <is>
          <t>Marco Antonio Cordova Oropeza</t>
        </is>
      </c>
      <c r="AJ777" t="inlineStr">
        <is>
          <t>22079563</t>
        </is>
      </c>
      <c r="AK777" t="inlineStr">
        <is>
          <t>Av.Cayetano Heredia 435 Int.1 Urb Fundo Oyague</t>
        </is>
      </c>
      <c r="AL777" t="n">
        <v>0</v>
      </c>
      <c r="AM777" t="inlineStr">
        <is>
          <t>1513-257-6062</t>
        </is>
      </c>
      <c r="AN777" t="inlineStr">
        <is>
          <t>maancoor@gmail.com</t>
        </is>
      </c>
      <c r="AO777" t="inlineStr">
        <is>
          <t>LIMA</t>
        </is>
      </c>
      <c r="AP777" t="inlineStr">
        <is>
          <t>JESUS MARIA</t>
        </is>
      </c>
      <c r="AQ777" s="75" t="n">
        <v>46415</v>
      </c>
      <c r="AR777" s="75" t="n"/>
      <c r="AS777" t="inlineStr">
        <is>
          <t>SALDO FINANCIAR</t>
        </is>
      </c>
      <c r="AT777" t="n">
        <v>7</v>
      </c>
      <c r="AU777" t="n">
        <v>37270.91</v>
      </c>
      <c r="AV777" t="n">
        <v>0</v>
      </c>
      <c r="AW777" t="n">
        <v>0</v>
      </c>
      <c r="AX777" s="39" t="n">
        <v>37270.91</v>
      </c>
      <c r="AY777" s="39" t="n">
        <v>0</v>
      </c>
      <c r="AZ777" s="39" t="n">
        <v>37270.91</v>
      </c>
      <c r="BB777" t="inlineStr">
        <is>
          <t>Crédito Directo</t>
        </is>
      </c>
      <c r="BH777" t="inlineStr">
        <is>
          <t>No</t>
        </is>
      </c>
      <c r="BK777" t="inlineStr">
        <is>
          <t>PENDIENTE</t>
        </is>
      </c>
      <c r="BV777" t="inlineStr">
        <is>
          <t>No</t>
        </is>
      </c>
      <c r="BW777" s="76" t="n">
        <v>45986.54513888889</v>
      </c>
      <c r="BX777" t="inlineStr">
        <is>
          <t>Magaly Guevara Perez</t>
        </is>
      </c>
      <c r="BZ777" t="n">
        <v>1</v>
      </c>
      <c r="CB777" t="n">
        <v>0</v>
      </c>
      <c r="CF777" t="inlineStr">
        <is>
          <t>Cobranzas_2027.csv</t>
        </is>
      </c>
      <c r="CG777" t="n">
        <v>2027</v>
      </c>
      <c r="CH777" t="inlineStr">
        <is>
          <t>01/01/2024</t>
        </is>
      </c>
      <c r="CI777" t="inlineStr">
        <is>
          <t>24/08/2031</t>
        </is>
      </c>
    </row>
    <row r="778">
      <c r="A778" t="inlineStr">
        <is>
          <t>RESIDENCIAL BEYOND</t>
        </is>
      </c>
      <c r="B778" t="inlineStr">
        <is>
          <t>Etapa 1</t>
        </is>
      </c>
      <c r="C778" t="inlineStr">
        <is>
          <t>Edificio</t>
        </is>
      </c>
      <c r="D778" t="inlineStr">
        <is>
          <t>A</t>
        </is>
      </c>
      <c r="E778" t="inlineStr">
        <is>
          <t>Departamento</t>
        </is>
      </c>
      <c r="F778" t="inlineStr">
        <is>
          <t>201</t>
        </is>
      </c>
      <c r="G778" t="n">
        <v>70</v>
      </c>
      <c r="H778" t="n">
        <v>0</v>
      </c>
      <c r="I778" s="39" t="n">
        <v>518500</v>
      </c>
      <c r="J778" s="39" t="n">
        <v>469500</v>
      </c>
      <c r="K778" t="inlineStr">
        <is>
          <t>Edificio</t>
        </is>
      </c>
      <c r="L778" t="inlineStr">
        <is>
          <t>A</t>
        </is>
      </c>
      <c r="M778" t="inlineStr">
        <is>
          <t>Estacionamiento</t>
        </is>
      </c>
      <c r="N778" t="inlineStr">
        <is>
          <t>E 16</t>
        </is>
      </c>
      <c r="O778" t="n">
        <v>12.5</v>
      </c>
      <c r="P778" t="n">
        <v>0</v>
      </c>
      <c r="Q778" s="39" t="n">
        <v>50400</v>
      </c>
      <c r="R778" s="39" t="n">
        <v>50400</v>
      </c>
      <c r="Y778" s="39" t="n"/>
      <c r="Z778" s="39" t="n"/>
      <c r="AG778" s="39" t="n"/>
      <c r="AH778" s="39" t="n"/>
      <c r="AI778" t="inlineStr">
        <is>
          <t>Marco Antonio Cordova Oropeza</t>
        </is>
      </c>
      <c r="AJ778" t="inlineStr">
        <is>
          <t>22079563</t>
        </is>
      </c>
      <c r="AK778" t="inlineStr">
        <is>
          <t>Av.Cayetano Heredia 435 Int.1 Urb Fundo Oyague</t>
        </is>
      </c>
      <c r="AL778" t="n">
        <v>0</v>
      </c>
      <c r="AM778" t="inlineStr">
        <is>
          <t>1513-257-6062</t>
        </is>
      </c>
      <c r="AN778" t="inlineStr">
        <is>
          <t>maancoor@gmail.com</t>
        </is>
      </c>
      <c r="AO778" t="inlineStr">
        <is>
          <t>LIMA</t>
        </is>
      </c>
      <c r="AP778" t="inlineStr">
        <is>
          <t>JESUS MARIA</t>
        </is>
      </c>
      <c r="AQ778" s="75" t="n">
        <v>46446</v>
      </c>
      <c r="AR778" s="75" t="n"/>
      <c r="AS778" t="inlineStr">
        <is>
          <t>SALDO FINANCIAR</t>
        </is>
      </c>
      <c r="AT778" t="n">
        <v>8</v>
      </c>
      <c r="AU778" t="n">
        <v>37270.91</v>
      </c>
      <c r="AV778" t="n">
        <v>0</v>
      </c>
      <c r="AW778" t="n">
        <v>0</v>
      </c>
      <c r="AX778" s="39" t="n">
        <v>37270.91</v>
      </c>
      <c r="AY778" s="39" t="n">
        <v>0</v>
      </c>
      <c r="AZ778" s="39" t="n">
        <v>37270.91</v>
      </c>
      <c r="BB778" t="inlineStr">
        <is>
          <t>Crédito Directo</t>
        </is>
      </c>
      <c r="BH778" t="inlineStr">
        <is>
          <t>No</t>
        </is>
      </c>
      <c r="BK778" t="inlineStr">
        <is>
          <t>PENDIENTE</t>
        </is>
      </c>
      <c r="BV778" t="inlineStr">
        <is>
          <t>No</t>
        </is>
      </c>
      <c r="BW778" s="76" t="n">
        <v>45986.54513888889</v>
      </c>
      <c r="BX778" t="inlineStr">
        <is>
          <t>Magaly Guevara Perez</t>
        </is>
      </c>
      <c r="BZ778" t="n">
        <v>1</v>
      </c>
      <c r="CB778" t="n">
        <v>0</v>
      </c>
      <c r="CF778" t="inlineStr">
        <is>
          <t>Cobranzas_2027.csv</t>
        </is>
      </c>
      <c r="CG778" t="n">
        <v>2027</v>
      </c>
      <c r="CH778" t="inlineStr">
        <is>
          <t>01/01/2024</t>
        </is>
      </c>
      <c r="CI778" t="inlineStr">
        <is>
          <t>24/08/2031</t>
        </is>
      </c>
    </row>
    <row r="779">
      <c r="A779" t="inlineStr">
        <is>
          <t>RESIDENCIAL BEYOND</t>
        </is>
      </c>
      <c r="B779" t="inlineStr">
        <is>
          <t>Etapa 1</t>
        </is>
      </c>
      <c r="C779" t="inlineStr">
        <is>
          <t>Edificio</t>
        </is>
      </c>
      <c r="D779" t="inlineStr">
        <is>
          <t>A</t>
        </is>
      </c>
      <c r="E779" t="inlineStr">
        <is>
          <t>Departamento</t>
        </is>
      </c>
      <c r="F779" t="inlineStr">
        <is>
          <t>201</t>
        </is>
      </c>
      <c r="G779" t="n">
        <v>70</v>
      </c>
      <c r="H779" t="n">
        <v>0</v>
      </c>
      <c r="I779" s="39" t="n">
        <v>518500</v>
      </c>
      <c r="J779" s="39" t="n">
        <v>469500</v>
      </c>
      <c r="K779" t="inlineStr">
        <is>
          <t>Edificio</t>
        </is>
      </c>
      <c r="L779" t="inlineStr">
        <is>
          <t>A</t>
        </is>
      </c>
      <c r="M779" t="inlineStr">
        <is>
          <t>Estacionamiento</t>
        </is>
      </c>
      <c r="N779" t="inlineStr">
        <is>
          <t>E 16</t>
        </is>
      </c>
      <c r="O779" t="n">
        <v>12.5</v>
      </c>
      <c r="P779" t="n">
        <v>0</v>
      </c>
      <c r="Q779" s="39" t="n">
        <v>50400</v>
      </c>
      <c r="R779" s="39" t="n">
        <v>50400</v>
      </c>
      <c r="Y779" s="39" t="n"/>
      <c r="Z779" s="39" t="n"/>
      <c r="AG779" s="39" t="n"/>
      <c r="AH779" s="39" t="n"/>
      <c r="AI779" t="inlineStr">
        <is>
          <t>Marco Antonio Cordova Oropeza</t>
        </is>
      </c>
      <c r="AJ779" t="inlineStr">
        <is>
          <t>22079563</t>
        </is>
      </c>
      <c r="AK779" t="inlineStr">
        <is>
          <t>Av.Cayetano Heredia 435 Int.1 Urb Fundo Oyague</t>
        </is>
      </c>
      <c r="AL779" t="n">
        <v>0</v>
      </c>
      <c r="AM779" t="inlineStr">
        <is>
          <t>1513-257-6062</t>
        </is>
      </c>
      <c r="AN779" t="inlineStr">
        <is>
          <t>maancoor@gmail.com</t>
        </is>
      </c>
      <c r="AO779" t="inlineStr">
        <is>
          <t>LIMA</t>
        </is>
      </c>
      <c r="AP779" t="inlineStr">
        <is>
          <t>JESUS MARIA</t>
        </is>
      </c>
      <c r="AQ779" s="75" t="n">
        <v>46474</v>
      </c>
      <c r="AR779" s="75" t="n"/>
      <c r="AS779" t="inlineStr">
        <is>
          <t>SALDO FINANCIAR</t>
        </is>
      </c>
      <c r="AT779" t="n">
        <v>9</v>
      </c>
      <c r="AU779" t="n">
        <v>37270.91</v>
      </c>
      <c r="AV779" t="n">
        <v>0</v>
      </c>
      <c r="AW779" t="n">
        <v>0</v>
      </c>
      <c r="AX779" s="39" t="n">
        <v>37270.91</v>
      </c>
      <c r="AY779" s="39" t="n">
        <v>0</v>
      </c>
      <c r="AZ779" s="39" t="n">
        <v>37270.91</v>
      </c>
      <c r="BB779" t="inlineStr">
        <is>
          <t>Crédito Directo</t>
        </is>
      </c>
      <c r="BH779" t="inlineStr">
        <is>
          <t>No</t>
        </is>
      </c>
      <c r="BK779" t="inlineStr">
        <is>
          <t>PENDIENTE</t>
        </is>
      </c>
      <c r="BV779" t="inlineStr">
        <is>
          <t>No</t>
        </is>
      </c>
      <c r="BW779" s="76" t="n">
        <v>45986.54513888889</v>
      </c>
      <c r="BX779" t="inlineStr">
        <is>
          <t>Magaly Guevara Perez</t>
        </is>
      </c>
      <c r="BZ779" t="n">
        <v>1</v>
      </c>
      <c r="CB779" t="n">
        <v>0</v>
      </c>
      <c r="CF779" t="inlineStr">
        <is>
          <t>Cobranzas_2027.csv</t>
        </is>
      </c>
      <c r="CG779" t="n">
        <v>2027</v>
      </c>
      <c r="CH779" t="inlineStr">
        <is>
          <t>01/01/2024</t>
        </is>
      </c>
      <c r="CI779" t="inlineStr">
        <is>
          <t>24/08/2031</t>
        </is>
      </c>
    </row>
    <row r="780">
      <c r="A780" t="inlineStr">
        <is>
          <t>RESIDENCIAL BEYOND</t>
        </is>
      </c>
      <c r="B780" t="inlineStr">
        <is>
          <t>Etapa 1</t>
        </is>
      </c>
      <c r="C780" t="inlineStr">
        <is>
          <t>Edificio</t>
        </is>
      </c>
      <c r="D780" t="inlineStr">
        <is>
          <t>A</t>
        </is>
      </c>
      <c r="E780" t="inlineStr">
        <is>
          <t>Departamento</t>
        </is>
      </c>
      <c r="F780" t="inlineStr">
        <is>
          <t>201</t>
        </is>
      </c>
      <c r="G780" t="n">
        <v>70</v>
      </c>
      <c r="H780" t="n">
        <v>0</v>
      </c>
      <c r="I780" s="39" t="n">
        <v>518500</v>
      </c>
      <c r="J780" s="39" t="n">
        <v>469500</v>
      </c>
      <c r="K780" t="inlineStr">
        <is>
          <t>Edificio</t>
        </is>
      </c>
      <c r="L780" t="inlineStr">
        <is>
          <t>A</t>
        </is>
      </c>
      <c r="M780" t="inlineStr">
        <is>
          <t>Estacionamiento</t>
        </is>
      </c>
      <c r="N780" t="inlineStr">
        <is>
          <t>E 16</t>
        </is>
      </c>
      <c r="O780" t="n">
        <v>12.5</v>
      </c>
      <c r="P780" t="n">
        <v>0</v>
      </c>
      <c r="Q780" s="39" t="n">
        <v>50400</v>
      </c>
      <c r="R780" s="39" t="n">
        <v>50400</v>
      </c>
      <c r="Y780" s="39" t="n"/>
      <c r="Z780" s="39" t="n"/>
      <c r="AG780" s="39" t="n"/>
      <c r="AH780" s="39" t="n"/>
      <c r="AI780" t="inlineStr">
        <is>
          <t>Marco Antonio Cordova Oropeza</t>
        </is>
      </c>
      <c r="AJ780" t="inlineStr">
        <is>
          <t>22079563</t>
        </is>
      </c>
      <c r="AK780" t="inlineStr">
        <is>
          <t>Av.Cayetano Heredia 435 Int.1 Urb Fundo Oyague</t>
        </is>
      </c>
      <c r="AL780" t="n">
        <v>0</v>
      </c>
      <c r="AM780" t="inlineStr">
        <is>
          <t>1513-257-6062</t>
        </is>
      </c>
      <c r="AN780" t="inlineStr">
        <is>
          <t>maancoor@gmail.com</t>
        </is>
      </c>
      <c r="AO780" t="inlineStr">
        <is>
          <t>LIMA</t>
        </is>
      </c>
      <c r="AP780" t="inlineStr">
        <is>
          <t>JESUS MARIA</t>
        </is>
      </c>
      <c r="AQ780" s="75" t="n">
        <v>46505</v>
      </c>
      <c r="AR780" s="75" t="n"/>
      <c r="AS780" t="inlineStr">
        <is>
          <t>SALDO FINANCIAR</t>
        </is>
      </c>
      <c r="AT780" t="n">
        <v>10</v>
      </c>
      <c r="AU780" t="n">
        <v>37270.91</v>
      </c>
      <c r="AV780" t="n">
        <v>0</v>
      </c>
      <c r="AW780" t="n">
        <v>0</v>
      </c>
      <c r="AX780" s="39" t="n">
        <v>37270.91</v>
      </c>
      <c r="AY780" s="39" t="n">
        <v>0</v>
      </c>
      <c r="AZ780" s="39" t="n">
        <v>37270.91</v>
      </c>
      <c r="BB780" t="inlineStr">
        <is>
          <t>Crédito Directo</t>
        </is>
      </c>
      <c r="BH780" t="inlineStr">
        <is>
          <t>No</t>
        </is>
      </c>
      <c r="BK780" t="inlineStr">
        <is>
          <t>PENDIENTE</t>
        </is>
      </c>
      <c r="BV780" t="inlineStr">
        <is>
          <t>No</t>
        </is>
      </c>
      <c r="BW780" s="76" t="n">
        <v>45986.54513888889</v>
      </c>
      <c r="BX780" t="inlineStr">
        <is>
          <t>Magaly Guevara Perez</t>
        </is>
      </c>
      <c r="BZ780" t="n">
        <v>1</v>
      </c>
      <c r="CB780" t="n">
        <v>0</v>
      </c>
      <c r="CF780" t="inlineStr">
        <is>
          <t>Cobranzas_2027.csv</t>
        </is>
      </c>
      <c r="CG780" t="n">
        <v>2027</v>
      </c>
      <c r="CH780" t="inlineStr">
        <is>
          <t>01/01/2024</t>
        </is>
      </c>
      <c r="CI780" t="inlineStr">
        <is>
          <t>24/08/2031</t>
        </is>
      </c>
    </row>
    <row r="781">
      <c r="A781" t="inlineStr">
        <is>
          <t>RESIDENCIAL BEYOND</t>
        </is>
      </c>
      <c r="B781" t="inlineStr">
        <is>
          <t>Etapa 1</t>
        </is>
      </c>
      <c r="C781" t="inlineStr">
        <is>
          <t>Edificio</t>
        </is>
      </c>
      <c r="D781" t="inlineStr">
        <is>
          <t>A</t>
        </is>
      </c>
      <c r="E781" t="inlineStr">
        <is>
          <t>Departamento</t>
        </is>
      </c>
      <c r="F781" t="inlineStr">
        <is>
          <t>201</t>
        </is>
      </c>
      <c r="G781" t="n">
        <v>70</v>
      </c>
      <c r="H781" t="n">
        <v>0</v>
      </c>
      <c r="I781" s="39" t="n">
        <v>518500</v>
      </c>
      <c r="J781" s="39" t="n">
        <v>469500</v>
      </c>
      <c r="K781" t="inlineStr">
        <is>
          <t>Edificio</t>
        </is>
      </c>
      <c r="L781" t="inlineStr">
        <is>
          <t>A</t>
        </is>
      </c>
      <c r="M781" t="inlineStr">
        <is>
          <t>Estacionamiento</t>
        </is>
      </c>
      <c r="N781" t="inlineStr">
        <is>
          <t>E 16</t>
        </is>
      </c>
      <c r="O781" t="n">
        <v>12.5</v>
      </c>
      <c r="P781" t="n">
        <v>0</v>
      </c>
      <c r="Q781" s="39" t="n">
        <v>50400</v>
      </c>
      <c r="R781" s="39" t="n">
        <v>50400</v>
      </c>
      <c r="Y781" s="39" t="n"/>
      <c r="Z781" s="39" t="n"/>
      <c r="AG781" s="39" t="n"/>
      <c r="AH781" s="39" t="n"/>
      <c r="AI781" t="inlineStr">
        <is>
          <t>Marco Antonio Cordova Oropeza</t>
        </is>
      </c>
      <c r="AJ781" t="inlineStr">
        <is>
          <t>22079563</t>
        </is>
      </c>
      <c r="AK781" t="inlineStr">
        <is>
          <t>Av.Cayetano Heredia 435 Int.1 Urb Fundo Oyague</t>
        </is>
      </c>
      <c r="AL781" t="n">
        <v>0</v>
      </c>
      <c r="AM781" t="inlineStr">
        <is>
          <t>1513-257-6062</t>
        </is>
      </c>
      <c r="AN781" t="inlineStr">
        <is>
          <t>maancoor@gmail.com</t>
        </is>
      </c>
      <c r="AO781" t="inlineStr">
        <is>
          <t>LIMA</t>
        </is>
      </c>
      <c r="AP781" t="inlineStr">
        <is>
          <t>JESUS MARIA</t>
        </is>
      </c>
      <c r="AQ781" s="75" t="n">
        <v>46535</v>
      </c>
      <c r="AR781" s="75" t="n"/>
      <c r="AS781" t="inlineStr">
        <is>
          <t>SALDO FINANCIAR</t>
        </is>
      </c>
      <c r="AT781" t="n">
        <v>11</v>
      </c>
      <c r="AU781" t="n">
        <v>37270.9</v>
      </c>
      <c r="AV781" t="n">
        <v>0</v>
      </c>
      <c r="AW781" t="n">
        <v>0</v>
      </c>
      <c r="AX781" s="39" t="n">
        <v>37270.9</v>
      </c>
      <c r="AY781" s="39" t="n">
        <v>0</v>
      </c>
      <c r="AZ781" s="39" t="n">
        <v>37270.9</v>
      </c>
      <c r="BB781" t="inlineStr">
        <is>
          <t>Crédito Directo</t>
        </is>
      </c>
      <c r="BH781" t="inlineStr">
        <is>
          <t>No</t>
        </is>
      </c>
      <c r="BK781" t="inlineStr">
        <is>
          <t>PENDIENTE</t>
        </is>
      </c>
      <c r="BV781" t="inlineStr">
        <is>
          <t>No</t>
        </is>
      </c>
      <c r="BW781" s="76" t="n">
        <v>45986.54513888889</v>
      </c>
      <c r="BX781" t="inlineStr">
        <is>
          <t>Magaly Guevara Perez</t>
        </is>
      </c>
      <c r="BZ781" t="n">
        <v>1</v>
      </c>
      <c r="CB781" t="n">
        <v>0</v>
      </c>
      <c r="CF781" t="inlineStr">
        <is>
          <t>Cobranzas_2027.csv</t>
        </is>
      </c>
      <c r="CG781" t="n">
        <v>2027</v>
      </c>
      <c r="CH781" t="inlineStr">
        <is>
          <t>01/01/2024</t>
        </is>
      </c>
      <c r="CI781" t="inlineStr">
        <is>
          <t>24/08/2031</t>
        </is>
      </c>
    </row>
    <row r="782">
      <c r="A782" t="inlineStr">
        <is>
          <t>RESIDENCIAL BEYOND</t>
        </is>
      </c>
      <c r="B782" t="inlineStr">
        <is>
          <t>Etapa 1</t>
        </is>
      </c>
      <c r="C782" t="inlineStr">
        <is>
          <t>Edificio</t>
        </is>
      </c>
      <c r="D782" t="inlineStr">
        <is>
          <t>A</t>
        </is>
      </c>
      <c r="E782" t="inlineStr">
        <is>
          <t>Estacionamiento</t>
        </is>
      </c>
      <c r="F782" t="inlineStr">
        <is>
          <t>E 02</t>
        </is>
      </c>
      <c r="G782" t="n">
        <v>12.5</v>
      </c>
      <c r="H782" t="n">
        <v>0</v>
      </c>
      <c r="I782" s="39" t="n">
        <v>47500</v>
      </c>
      <c r="J782" s="39" t="n">
        <v>47500</v>
      </c>
      <c r="Q782" s="39" t="n"/>
      <c r="R782" s="39" t="n"/>
      <c r="Y782" s="39" t="n"/>
      <c r="Z782" s="39" t="n"/>
      <c r="AG782" s="39" t="n"/>
      <c r="AH782" s="39" t="n"/>
      <c r="AI782" t="inlineStr">
        <is>
          <t>Margarita Mercedes Lujan Paredes</t>
        </is>
      </c>
      <c r="AJ782" t="inlineStr">
        <is>
          <t>06772294</t>
        </is>
      </c>
      <c r="AK782" t="inlineStr">
        <is>
          <t>Jr. Aguarico 1412 Dpto. 202</t>
        </is>
      </c>
      <c r="AL782" t="n">
        <v>0</v>
      </c>
      <c r="AM782" t="inlineStr">
        <is>
          <t>949196249</t>
        </is>
      </c>
      <c r="AN782" t="inlineStr">
        <is>
          <t>maggilujan@hotmail.com</t>
        </is>
      </c>
      <c r="AO782" t="inlineStr">
        <is>
          <t>LIMA</t>
        </is>
      </c>
      <c r="AP782" t="inlineStr">
        <is>
          <t>BREÑA</t>
        </is>
      </c>
      <c r="AQ782" s="75" t="n">
        <v>46721</v>
      </c>
      <c r="AR782" s="75" t="n"/>
      <c r="AS782" t="inlineStr">
        <is>
          <t>SALDO FINANCIAR</t>
        </is>
      </c>
      <c r="AT782" t="n">
        <v>1</v>
      </c>
      <c r="AU782" t="n">
        <v>38000</v>
      </c>
      <c r="AV782" t="n">
        <v>0</v>
      </c>
      <c r="AW782" t="n">
        <v>0</v>
      </c>
      <c r="AX782" s="39" t="n">
        <v>38000</v>
      </c>
      <c r="AY782" s="39" t="n">
        <v>0</v>
      </c>
      <c r="AZ782" s="39" t="n">
        <v>38000</v>
      </c>
      <c r="BB782" t="inlineStr">
        <is>
          <t>Crédito Directo</t>
        </is>
      </c>
      <c r="BH782" t="inlineStr">
        <is>
          <t>No</t>
        </is>
      </c>
      <c r="BK782" t="inlineStr">
        <is>
          <t>PENDIENTE</t>
        </is>
      </c>
      <c r="BV782" t="inlineStr">
        <is>
          <t>No</t>
        </is>
      </c>
      <c r="BW782" s="76" t="n">
        <v>46020.63680555556</v>
      </c>
      <c r="BX782" t="inlineStr">
        <is>
          <t>Magaly Guevara Perez</t>
        </is>
      </c>
      <c r="BZ782" t="n">
        <v>48</v>
      </c>
      <c r="CB782" t="n">
        <v>0</v>
      </c>
      <c r="CF782" t="inlineStr">
        <is>
          <t>Cobranzas_2027.csv</t>
        </is>
      </c>
      <c r="CG782" t="n">
        <v>2027</v>
      </c>
      <c r="CH782" t="inlineStr">
        <is>
          <t>01/01/2024</t>
        </is>
      </c>
      <c r="CI782" t="inlineStr">
        <is>
          <t>24/08/2031</t>
        </is>
      </c>
    </row>
    <row r="783">
      <c r="A783" t="inlineStr">
        <is>
          <t>RESIDENCIAL BEYOND</t>
        </is>
      </c>
      <c r="B783" t="inlineStr">
        <is>
          <t>Etapa 1</t>
        </is>
      </c>
      <c r="C783" t="inlineStr">
        <is>
          <t>Edificio</t>
        </is>
      </c>
      <c r="D783" t="inlineStr">
        <is>
          <t>A</t>
        </is>
      </c>
      <c r="E783" t="inlineStr">
        <is>
          <t>Departamento</t>
        </is>
      </c>
      <c r="F783" t="inlineStr">
        <is>
          <t>902</t>
        </is>
      </c>
      <c r="G783" t="n">
        <v>57</v>
      </c>
      <c r="H783" t="n">
        <v>0</v>
      </c>
      <c r="I783" s="39" t="n">
        <v>469000</v>
      </c>
      <c r="J783" s="39" t="n">
        <v>429000</v>
      </c>
      <c r="Q783" s="39" t="n"/>
      <c r="R783" s="39" t="n"/>
      <c r="Y783" s="39" t="n"/>
      <c r="Z783" s="39" t="n"/>
      <c r="AG783" s="39" t="n"/>
      <c r="AH783" s="39" t="n"/>
      <c r="AI783" t="inlineStr">
        <is>
          <t>Medaly Mendoza .</t>
        </is>
      </c>
      <c r="AJ783" t="inlineStr">
        <is>
          <t>75197073</t>
        </is>
      </c>
      <c r="AK783" t="inlineStr">
        <is>
          <t>.</t>
        </is>
      </c>
      <c r="AL783" t="n">
        <v>0</v>
      </c>
      <c r="AM783" t="inlineStr">
        <is>
          <t>979218897</t>
        </is>
      </c>
      <c r="AN783" t="inlineStr">
        <is>
          <t>medalymendoza223@gmail.com</t>
        </is>
      </c>
      <c r="AO783" t="inlineStr">
        <is>
          <t>LIMA</t>
        </is>
      </c>
      <c r="AP783" t="inlineStr">
        <is>
          <t>JESUS MARIA</t>
        </is>
      </c>
      <c r="AQ783" s="75" t="n">
        <v>46417</v>
      </c>
      <c r="AR783" s="75" t="n"/>
      <c r="AS783" t="inlineStr">
        <is>
          <t>SALDO FINANCIAR</t>
        </is>
      </c>
      <c r="AT783" t="n">
        <v>1</v>
      </c>
      <c r="AU783" t="n">
        <v>386100</v>
      </c>
      <c r="AV783" t="n">
        <v>0</v>
      </c>
      <c r="AW783" t="n">
        <v>0</v>
      </c>
      <c r="AX783" s="39" t="n">
        <v>386100</v>
      </c>
      <c r="AY783" s="39" t="n">
        <v>0</v>
      </c>
      <c r="AZ783" s="39" t="n">
        <v>386100</v>
      </c>
      <c r="BB783" t="inlineStr">
        <is>
          <t>Ahorro</t>
        </is>
      </c>
      <c r="BH783" t="inlineStr">
        <is>
          <t>No</t>
        </is>
      </c>
      <c r="BK783" t="inlineStr">
        <is>
          <t>PENDIENTE</t>
        </is>
      </c>
      <c r="BV783" t="inlineStr">
        <is>
          <t>No</t>
        </is>
      </c>
      <c r="BW783" s="76" t="n">
        <v>46191.39652777778</v>
      </c>
      <c r="BX783" t="inlineStr">
        <is>
          <t>Kenny Salazar S</t>
        </is>
      </c>
      <c r="BZ783" t="n">
        <v>45</v>
      </c>
      <c r="CB783" t="n">
        <v>0</v>
      </c>
      <c r="CF783" t="inlineStr">
        <is>
          <t>Cobranzas_2027.csv</t>
        </is>
      </c>
      <c r="CG783" t="n">
        <v>2027</v>
      </c>
      <c r="CH783" t="inlineStr">
        <is>
          <t>01/01/2024</t>
        </is>
      </c>
      <c r="CI783" t="inlineStr">
        <is>
          <t>24/08/2031</t>
        </is>
      </c>
    </row>
    <row r="784">
      <c r="A784" t="inlineStr">
        <is>
          <t>RESIDENCIAL BEYOND</t>
        </is>
      </c>
      <c r="B784" t="inlineStr">
        <is>
          <t>Etapa 1</t>
        </is>
      </c>
      <c r="C784" t="inlineStr">
        <is>
          <t>Edificio</t>
        </is>
      </c>
      <c r="D784" t="inlineStr">
        <is>
          <t>A</t>
        </is>
      </c>
      <c r="E784" t="inlineStr">
        <is>
          <t>Departamento</t>
        </is>
      </c>
      <c r="F784" t="inlineStr">
        <is>
          <t>1502</t>
        </is>
      </c>
      <c r="G784" t="n">
        <v>57</v>
      </c>
      <c r="H784" t="n">
        <v>0</v>
      </c>
      <c r="I784" s="39" t="n">
        <v>430000</v>
      </c>
      <c r="J784" s="39" t="n">
        <v>369000</v>
      </c>
      <c r="K784" t="inlineStr">
        <is>
          <t>Edificio</t>
        </is>
      </c>
      <c r="L784" t="inlineStr">
        <is>
          <t>A</t>
        </is>
      </c>
      <c r="M784" t="inlineStr">
        <is>
          <t>Estacionamiento</t>
        </is>
      </c>
      <c r="N784" t="inlineStr">
        <is>
          <t>E 39</t>
        </is>
      </c>
      <c r="O784" t="n">
        <v>12.5</v>
      </c>
      <c r="P784" t="n">
        <v>0</v>
      </c>
      <c r="Q784" s="39" t="n">
        <v>43200</v>
      </c>
      <c r="R784" s="39" t="n">
        <v>43200</v>
      </c>
      <c r="Y784" s="39" t="n"/>
      <c r="Z784" s="39" t="n"/>
      <c r="AG784" s="39" t="n"/>
      <c r="AH784" s="39" t="n"/>
      <c r="AI784" t="inlineStr">
        <is>
          <t>Melanny Dayanna Flores Blas</t>
        </is>
      </c>
      <c r="AJ784" t="inlineStr">
        <is>
          <t>75334346</t>
        </is>
      </c>
      <c r="AK784" t="inlineStr">
        <is>
          <t xml:space="preserve">Av. Los Alisos Urb. Naranjal MZ Ñ-1 LT 27 </t>
        </is>
      </c>
      <c r="AL784" t="n">
        <v>0</v>
      </c>
      <c r="AM784" t="inlineStr">
        <is>
          <t>979775301</t>
        </is>
      </c>
      <c r="AN784" t="inlineStr">
        <is>
          <t>flores.d19958@gmail.com</t>
        </is>
      </c>
      <c r="AO784" t="inlineStr">
        <is>
          <t>LIMA</t>
        </is>
      </c>
      <c r="AP784" t="inlineStr">
        <is>
          <t>SAN MARTIN DE PORRES</t>
        </is>
      </c>
      <c r="AQ784" s="75" t="n">
        <v>46417</v>
      </c>
      <c r="AR784" s="75" t="n"/>
      <c r="AS784" t="inlineStr">
        <is>
          <t>SALDO FINANCIAR</t>
        </is>
      </c>
      <c r="AT784" t="n">
        <v>9</v>
      </c>
      <c r="AU784" t="n">
        <v>12000</v>
      </c>
      <c r="AV784" t="n">
        <v>0</v>
      </c>
      <c r="AW784" t="n">
        <v>0</v>
      </c>
      <c r="AX784" s="39" t="n">
        <v>12000</v>
      </c>
      <c r="AY784" s="39" t="n">
        <v>0</v>
      </c>
      <c r="AZ784" s="39" t="n">
        <v>12000</v>
      </c>
      <c r="BB784" t="inlineStr">
        <is>
          <t>Crédito Directo</t>
        </is>
      </c>
      <c r="BH784" t="inlineStr">
        <is>
          <t>No</t>
        </is>
      </c>
      <c r="BK784" t="inlineStr">
        <is>
          <t>PENDIENTE</t>
        </is>
      </c>
      <c r="BV784" t="inlineStr">
        <is>
          <t>No</t>
        </is>
      </c>
      <c r="BW784" s="76" t="n">
        <v>46046.47361111111</v>
      </c>
      <c r="BX784" t="inlineStr">
        <is>
          <t>Carla Michue M</t>
        </is>
      </c>
      <c r="BZ784" t="n">
        <v>10</v>
      </c>
      <c r="CB784" t="n">
        <v>0</v>
      </c>
      <c r="CF784" t="inlineStr">
        <is>
          <t>Cobranzas_2027.csv</t>
        </is>
      </c>
      <c r="CG784" t="n">
        <v>2027</v>
      </c>
      <c r="CH784" t="inlineStr">
        <is>
          <t>01/01/2024</t>
        </is>
      </c>
      <c r="CI784" t="inlineStr">
        <is>
          <t>24/08/2031</t>
        </is>
      </c>
    </row>
    <row r="785">
      <c r="A785" t="inlineStr">
        <is>
          <t>RESIDENCIAL BEYOND</t>
        </is>
      </c>
      <c r="B785" t="inlineStr">
        <is>
          <t>Etapa 1</t>
        </is>
      </c>
      <c r="C785" t="inlineStr">
        <is>
          <t>Edificio</t>
        </is>
      </c>
      <c r="D785" t="inlineStr">
        <is>
          <t>A</t>
        </is>
      </c>
      <c r="E785" t="inlineStr">
        <is>
          <t>Departamento</t>
        </is>
      </c>
      <c r="F785" t="inlineStr">
        <is>
          <t>1502</t>
        </is>
      </c>
      <c r="G785" t="n">
        <v>57</v>
      </c>
      <c r="H785" t="n">
        <v>0</v>
      </c>
      <c r="I785" s="39" t="n">
        <v>430000</v>
      </c>
      <c r="J785" s="39" t="n">
        <v>369000</v>
      </c>
      <c r="K785" t="inlineStr">
        <is>
          <t>Edificio</t>
        </is>
      </c>
      <c r="L785" t="inlineStr">
        <is>
          <t>A</t>
        </is>
      </c>
      <c r="M785" t="inlineStr">
        <is>
          <t>Estacionamiento</t>
        </is>
      </c>
      <c r="N785" t="inlineStr">
        <is>
          <t>E 39</t>
        </is>
      </c>
      <c r="O785" t="n">
        <v>12.5</v>
      </c>
      <c r="P785" t="n">
        <v>0</v>
      </c>
      <c r="Q785" s="39" t="n">
        <v>43200</v>
      </c>
      <c r="R785" s="39" t="n">
        <v>43200</v>
      </c>
      <c r="Y785" s="39" t="n"/>
      <c r="Z785" s="39" t="n"/>
      <c r="AG785" s="39" t="n"/>
      <c r="AH785" s="39" t="n"/>
      <c r="AI785" t="inlineStr">
        <is>
          <t>Melanny Dayanna Flores Blas</t>
        </is>
      </c>
      <c r="AJ785" t="inlineStr">
        <is>
          <t>75334346</t>
        </is>
      </c>
      <c r="AK785" t="inlineStr">
        <is>
          <t xml:space="preserve">Av. Los Alisos Urb. Naranjal MZ Ñ-1 LT 27 </t>
        </is>
      </c>
      <c r="AL785" t="n">
        <v>0</v>
      </c>
      <c r="AM785" t="inlineStr">
        <is>
          <t>979775301</t>
        </is>
      </c>
      <c r="AN785" t="inlineStr">
        <is>
          <t>flores.d19958@gmail.com</t>
        </is>
      </c>
      <c r="AO785" t="inlineStr">
        <is>
          <t>LIMA</t>
        </is>
      </c>
      <c r="AP785" t="inlineStr">
        <is>
          <t>SAN MARTIN DE PORRES</t>
        </is>
      </c>
      <c r="AQ785" s="75" t="n">
        <v>46446</v>
      </c>
      <c r="AR785" s="75" t="n"/>
      <c r="AS785" t="inlineStr">
        <is>
          <t>SALDO FINANCIAR</t>
        </is>
      </c>
      <c r="AT785" t="n">
        <v>10</v>
      </c>
      <c r="AU785" t="n">
        <v>12000</v>
      </c>
      <c r="AV785" t="n">
        <v>0</v>
      </c>
      <c r="AW785" t="n">
        <v>0</v>
      </c>
      <c r="AX785" s="39" t="n">
        <v>12000</v>
      </c>
      <c r="AY785" s="39" t="n">
        <v>0</v>
      </c>
      <c r="AZ785" s="39" t="n">
        <v>12000</v>
      </c>
      <c r="BB785" t="inlineStr">
        <is>
          <t>Crédito Directo</t>
        </is>
      </c>
      <c r="BH785" t="inlineStr">
        <is>
          <t>No</t>
        </is>
      </c>
      <c r="BK785" t="inlineStr">
        <is>
          <t>PENDIENTE</t>
        </is>
      </c>
      <c r="BV785" t="inlineStr">
        <is>
          <t>No</t>
        </is>
      </c>
      <c r="BW785" s="76" t="n">
        <v>46046.47361111111</v>
      </c>
      <c r="BX785" t="inlineStr">
        <is>
          <t>Carla Michue M</t>
        </is>
      </c>
      <c r="BZ785" t="n">
        <v>10</v>
      </c>
      <c r="CB785" t="n">
        <v>0</v>
      </c>
      <c r="CF785" t="inlineStr">
        <is>
          <t>Cobranzas_2027.csv</t>
        </is>
      </c>
      <c r="CG785" t="n">
        <v>2027</v>
      </c>
      <c r="CH785" t="inlineStr">
        <is>
          <t>01/01/2024</t>
        </is>
      </c>
      <c r="CI785" t="inlineStr">
        <is>
          <t>24/08/2031</t>
        </is>
      </c>
    </row>
    <row r="786">
      <c r="A786" t="inlineStr">
        <is>
          <t>RESIDENCIAL BEYOND</t>
        </is>
      </c>
      <c r="B786" t="inlineStr">
        <is>
          <t>Etapa 1</t>
        </is>
      </c>
      <c r="C786" t="inlineStr">
        <is>
          <t>Edificio</t>
        </is>
      </c>
      <c r="D786" t="inlineStr">
        <is>
          <t>A</t>
        </is>
      </c>
      <c r="E786" t="inlineStr">
        <is>
          <t>Departamento</t>
        </is>
      </c>
      <c r="F786" t="inlineStr">
        <is>
          <t>1502</t>
        </is>
      </c>
      <c r="G786" t="n">
        <v>57</v>
      </c>
      <c r="H786" t="n">
        <v>0</v>
      </c>
      <c r="I786" s="39" t="n">
        <v>430000</v>
      </c>
      <c r="J786" s="39" t="n">
        <v>369000</v>
      </c>
      <c r="K786" t="inlineStr">
        <is>
          <t>Edificio</t>
        </is>
      </c>
      <c r="L786" t="inlineStr">
        <is>
          <t>A</t>
        </is>
      </c>
      <c r="M786" t="inlineStr">
        <is>
          <t>Estacionamiento</t>
        </is>
      </c>
      <c r="N786" t="inlineStr">
        <is>
          <t>E 39</t>
        </is>
      </c>
      <c r="O786" t="n">
        <v>12.5</v>
      </c>
      <c r="P786" t="n">
        <v>0</v>
      </c>
      <c r="Q786" s="39" t="n">
        <v>43200</v>
      </c>
      <c r="R786" s="39" t="n">
        <v>43200</v>
      </c>
      <c r="Y786" s="39" t="n"/>
      <c r="Z786" s="39" t="n"/>
      <c r="AG786" s="39" t="n"/>
      <c r="AH786" s="39" t="n"/>
      <c r="AI786" t="inlineStr">
        <is>
          <t>Melanny Dayanna Flores Blas</t>
        </is>
      </c>
      <c r="AJ786" t="inlineStr">
        <is>
          <t>75334346</t>
        </is>
      </c>
      <c r="AK786" t="inlineStr">
        <is>
          <t xml:space="preserve">Av. Los Alisos Urb. Naranjal MZ Ñ-1 LT 27 </t>
        </is>
      </c>
      <c r="AL786" t="n">
        <v>0</v>
      </c>
      <c r="AM786" t="inlineStr">
        <is>
          <t>979775301</t>
        </is>
      </c>
      <c r="AN786" t="inlineStr">
        <is>
          <t>flores.d19958@gmail.com</t>
        </is>
      </c>
      <c r="AO786" t="inlineStr">
        <is>
          <t>LIMA</t>
        </is>
      </c>
      <c r="AP786" t="inlineStr">
        <is>
          <t>SAN MARTIN DE PORRES</t>
        </is>
      </c>
      <c r="AQ786" s="75" t="n">
        <v>46476</v>
      </c>
      <c r="AR786" s="75" t="n"/>
      <c r="AS786" t="inlineStr">
        <is>
          <t>SALDO FINANCIAR</t>
        </is>
      </c>
      <c r="AT786" t="n">
        <v>11</v>
      </c>
      <c r="AU786" t="n">
        <v>12000</v>
      </c>
      <c r="AV786" t="n">
        <v>0</v>
      </c>
      <c r="AW786" t="n">
        <v>0</v>
      </c>
      <c r="AX786" s="39" t="n">
        <v>12000</v>
      </c>
      <c r="AY786" s="39" t="n">
        <v>0</v>
      </c>
      <c r="AZ786" s="39" t="n">
        <v>12000</v>
      </c>
      <c r="BB786" t="inlineStr">
        <is>
          <t>Crédito Directo</t>
        </is>
      </c>
      <c r="BH786" t="inlineStr">
        <is>
          <t>No</t>
        </is>
      </c>
      <c r="BK786" t="inlineStr">
        <is>
          <t>PENDIENTE</t>
        </is>
      </c>
      <c r="BV786" t="inlineStr">
        <is>
          <t>No</t>
        </is>
      </c>
      <c r="BW786" s="76" t="n">
        <v>46046.47361111111</v>
      </c>
      <c r="BX786" t="inlineStr">
        <is>
          <t>Carla Michue M</t>
        </is>
      </c>
      <c r="BZ786" t="n">
        <v>10</v>
      </c>
      <c r="CB786" t="n">
        <v>0</v>
      </c>
      <c r="CF786" t="inlineStr">
        <is>
          <t>Cobranzas_2027.csv</t>
        </is>
      </c>
      <c r="CG786" t="n">
        <v>2027</v>
      </c>
      <c r="CH786" t="inlineStr">
        <is>
          <t>01/01/2024</t>
        </is>
      </c>
      <c r="CI786" t="inlineStr">
        <is>
          <t>24/08/2031</t>
        </is>
      </c>
    </row>
    <row r="787">
      <c r="A787" t="inlineStr">
        <is>
          <t>RESIDENCIAL BEYOND</t>
        </is>
      </c>
      <c r="B787" t="inlineStr">
        <is>
          <t>Etapa 1</t>
        </is>
      </c>
      <c r="C787" t="inlineStr">
        <is>
          <t>Edificio</t>
        </is>
      </c>
      <c r="D787" t="inlineStr">
        <is>
          <t>A</t>
        </is>
      </c>
      <c r="E787" t="inlineStr">
        <is>
          <t>Departamento</t>
        </is>
      </c>
      <c r="F787" t="inlineStr">
        <is>
          <t>1502</t>
        </is>
      </c>
      <c r="G787" t="n">
        <v>57</v>
      </c>
      <c r="H787" t="n">
        <v>0</v>
      </c>
      <c r="I787" s="39" t="n">
        <v>430000</v>
      </c>
      <c r="J787" s="39" t="n">
        <v>369000</v>
      </c>
      <c r="K787" t="inlineStr">
        <is>
          <t>Edificio</t>
        </is>
      </c>
      <c r="L787" t="inlineStr">
        <is>
          <t>A</t>
        </is>
      </c>
      <c r="M787" t="inlineStr">
        <is>
          <t>Estacionamiento</t>
        </is>
      </c>
      <c r="N787" t="inlineStr">
        <is>
          <t>E 39</t>
        </is>
      </c>
      <c r="O787" t="n">
        <v>12.5</v>
      </c>
      <c r="P787" t="n">
        <v>0</v>
      </c>
      <c r="Q787" s="39" t="n">
        <v>43200</v>
      </c>
      <c r="R787" s="39" t="n">
        <v>43200</v>
      </c>
      <c r="Y787" s="39" t="n"/>
      <c r="Z787" s="39" t="n"/>
      <c r="AG787" s="39" t="n"/>
      <c r="AH787" s="39" t="n"/>
      <c r="AI787" t="inlineStr">
        <is>
          <t>Melanny Dayanna Flores Blas</t>
        </is>
      </c>
      <c r="AJ787" t="inlineStr">
        <is>
          <t>75334346</t>
        </is>
      </c>
      <c r="AK787" t="inlineStr">
        <is>
          <t xml:space="preserve">Av. Los Alisos Urb. Naranjal MZ Ñ-1 LT 27 </t>
        </is>
      </c>
      <c r="AL787" t="n">
        <v>0</v>
      </c>
      <c r="AM787" t="inlineStr">
        <is>
          <t>979775301</t>
        </is>
      </c>
      <c r="AN787" t="inlineStr">
        <is>
          <t>flores.d19958@gmail.com</t>
        </is>
      </c>
      <c r="AO787" t="inlineStr">
        <is>
          <t>LIMA</t>
        </is>
      </c>
      <c r="AP787" t="inlineStr">
        <is>
          <t>SAN MARTIN DE PORRES</t>
        </is>
      </c>
      <c r="AQ787" s="75" t="n">
        <v>46507</v>
      </c>
      <c r="AR787" s="75" t="n"/>
      <c r="AS787" t="inlineStr">
        <is>
          <t>SALDO FINANCIAR</t>
        </is>
      </c>
      <c r="AT787" t="n">
        <v>12</v>
      </c>
      <c r="AU787" t="n">
        <v>12000</v>
      </c>
      <c r="AV787" t="n">
        <v>0</v>
      </c>
      <c r="AW787" t="n">
        <v>0</v>
      </c>
      <c r="AX787" s="39" t="n">
        <v>12000</v>
      </c>
      <c r="AY787" s="39" t="n">
        <v>0</v>
      </c>
      <c r="AZ787" s="39" t="n">
        <v>12000</v>
      </c>
      <c r="BB787" t="inlineStr">
        <is>
          <t>Crédito Directo</t>
        </is>
      </c>
      <c r="BH787" t="inlineStr">
        <is>
          <t>No</t>
        </is>
      </c>
      <c r="BK787" t="inlineStr">
        <is>
          <t>PENDIENTE</t>
        </is>
      </c>
      <c r="BV787" t="inlineStr">
        <is>
          <t>No</t>
        </is>
      </c>
      <c r="BW787" s="76" t="n">
        <v>46046.47361111111</v>
      </c>
      <c r="BX787" t="inlineStr">
        <is>
          <t>Carla Michue M</t>
        </is>
      </c>
      <c r="BZ787" t="n">
        <v>10</v>
      </c>
      <c r="CB787" t="n">
        <v>0</v>
      </c>
      <c r="CF787" t="inlineStr">
        <is>
          <t>Cobranzas_2027.csv</t>
        </is>
      </c>
      <c r="CG787" t="n">
        <v>2027</v>
      </c>
      <c r="CH787" t="inlineStr">
        <is>
          <t>01/01/2024</t>
        </is>
      </c>
      <c r="CI787" t="inlineStr">
        <is>
          <t>24/08/2031</t>
        </is>
      </c>
    </row>
    <row r="788">
      <c r="A788" t="inlineStr">
        <is>
          <t>RESIDENCIAL BEYOND</t>
        </is>
      </c>
      <c r="B788" t="inlineStr">
        <is>
          <t>Etapa 1</t>
        </is>
      </c>
      <c r="C788" t="inlineStr">
        <is>
          <t>Edificio</t>
        </is>
      </c>
      <c r="D788" t="inlineStr">
        <is>
          <t>A</t>
        </is>
      </c>
      <c r="E788" t="inlineStr">
        <is>
          <t>Departamento</t>
        </is>
      </c>
      <c r="F788" t="inlineStr">
        <is>
          <t>1502</t>
        </is>
      </c>
      <c r="G788" t="n">
        <v>57</v>
      </c>
      <c r="H788" t="n">
        <v>0</v>
      </c>
      <c r="I788" s="39" t="n">
        <v>430000</v>
      </c>
      <c r="J788" s="39" t="n">
        <v>369000</v>
      </c>
      <c r="K788" t="inlineStr">
        <is>
          <t>Edificio</t>
        </is>
      </c>
      <c r="L788" t="inlineStr">
        <is>
          <t>A</t>
        </is>
      </c>
      <c r="M788" t="inlineStr">
        <is>
          <t>Estacionamiento</t>
        </is>
      </c>
      <c r="N788" t="inlineStr">
        <is>
          <t>E 39</t>
        </is>
      </c>
      <c r="O788" t="n">
        <v>12.5</v>
      </c>
      <c r="P788" t="n">
        <v>0</v>
      </c>
      <c r="Q788" s="39" t="n">
        <v>43200</v>
      </c>
      <c r="R788" s="39" t="n">
        <v>43200</v>
      </c>
      <c r="Y788" s="39" t="n"/>
      <c r="Z788" s="39" t="n"/>
      <c r="AG788" s="39" t="n"/>
      <c r="AH788" s="39" t="n"/>
      <c r="AI788" t="inlineStr">
        <is>
          <t>Melanny Dayanna Flores Blas</t>
        </is>
      </c>
      <c r="AJ788" t="inlineStr">
        <is>
          <t>75334346</t>
        </is>
      </c>
      <c r="AK788" t="inlineStr">
        <is>
          <t xml:space="preserve">Av. Los Alisos Urb. Naranjal MZ Ñ-1 LT 27 </t>
        </is>
      </c>
      <c r="AL788" t="n">
        <v>0</v>
      </c>
      <c r="AM788" t="inlineStr">
        <is>
          <t>979775301</t>
        </is>
      </c>
      <c r="AN788" t="inlineStr">
        <is>
          <t>flores.d19958@gmail.com</t>
        </is>
      </c>
      <c r="AO788" t="inlineStr">
        <is>
          <t>LIMA</t>
        </is>
      </c>
      <c r="AP788" t="inlineStr">
        <is>
          <t>SAN MARTIN DE PORRES</t>
        </is>
      </c>
      <c r="AQ788" s="75" t="n">
        <v>46537</v>
      </c>
      <c r="AR788" s="75" t="n"/>
      <c r="AS788" t="inlineStr">
        <is>
          <t>SALDO FINANCIAR</t>
        </is>
      </c>
      <c r="AT788" t="n">
        <v>13</v>
      </c>
      <c r="AU788" t="n">
        <v>12000</v>
      </c>
      <c r="AV788" t="n">
        <v>0</v>
      </c>
      <c r="AW788" t="n">
        <v>0</v>
      </c>
      <c r="AX788" s="39" t="n">
        <v>12000</v>
      </c>
      <c r="AY788" s="39" t="n">
        <v>0</v>
      </c>
      <c r="AZ788" s="39" t="n">
        <v>12000</v>
      </c>
      <c r="BB788" t="inlineStr">
        <is>
          <t>Crédito Directo</t>
        </is>
      </c>
      <c r="BH788" t="inlineStr">
        <is>
          <t>No</t>
        </is>
      </c>
      <c r="BK788" t="inlineStr">
        <is>
          <t>PENDIENTE</t>
        </is>
      </c>
      <c r="BV788" t="inlineStr">
        <is>
          <t>No</t>
        </is>
      </c>
      <c r="BW788" s="76" t="n">
        <v>46046.47361111111</v>
      </c>
      <c r="BX788" t="inlineStr">
        <is>
          <t>Carla Michue M</t>
        </is>
      </c>
      <c r="BZ788" t="n">
        <v>10</v>
      </c>
      <c r="CB788" t="n">
        <v>0</v>
      </c>
      <c r="CF788" t="inlineStr">
        <is>
          <t>Cobranzas_2027.csv</t>
        </is>
      </c>
      <c r="CG788" t="n">
        <v>2027</v>
      </c>
      <c r="CH788" t="inlineStr">
        <is>
          <t>01/01/2024</t>
        </is>
      </c>
      <c r="CI788" t="inlineStr">
        <is>
          <t>24/08/2031</t>
        </is>
      </c>
    </row>
    <row r="789">
      <c r="A789" t="inlineStr">
        <is>
          <t>RESIDENCIAL BEYOND</t>
        </is>
      </c>
      <c r="B789" t="inlineStr">
        <is>
          <t>Etapa 1</t>
        </is>
      </c>
      <c r="C789" t="inlineStr">
        <is>
          <t>Edificio</t>
        </is>
      </c>
      <c r="D789" t="inlineStr">
        <is>
          <t>A</t>
        </is>
      </c>
      <c r="E789" t="inlineStr">
        <is>
          <t>Departamento</t>
        </is>
      </c>
      <c r="F789" t="inlineStr">
        <is>
          <t>1502</t>
        </is>
      </c>
      <c r="G789" t="n">
        <v>57</v>
      </c>
      <c r="H789" t="n">
        <v>0</v>
      </c>
      <c r="I789" s="39" t="n">
        <v>430000</v>
      </c>
      <c r="J789" s="39" t="n">
        <v>369000</v>
      </c>
      <c r="K789" t="inlineStr">
        <is>
          <t>Edificio</t>
        </is>
      </c>
      <c r="L789" t="inlineStr">
        <is>
          <t>A</t>
        </is>
      </c>
      <c r="M789" t="inlineStr">
        <is>
          <t>Estacionamiento</t>
        </is>
      </c>
      <c r="N789" t="inlineStr">
        <is>
          <t>E 39</t>
        </is>
      </c>
      <c r="O789" t="n">
        <v>12.5</v>
      </c>
      <c r="P789" t="n">
        <v>0</v>
      </c>
      <c r="Q789" s="39" t="n">
        <v>43200</v>
      </c>
      <c r="R789" s="39" t="n">
        <v>43200</v>
      </c>
      <c r="Y789" s="39" t="n"/>
      <c r="Z789" s="39" t="n"/>
      <c r="AG789" s="39" t="n"/>
      <c r="AH789" s="39" t="n"/>
      <c r="AI789" t="inlineStr">
        <is>
          <t>Melanny Dayanna Flores Blas</t>
        </is>
      </c>
      <c r="AJ789" t="inlineStr">
        <is>
          <t>75334346</t>
        </is>
      </c>
      <c r="AK789" t="inlineStr">
        <is>
          <t xml:space="preserve">Av. Los Alisos Urb. Naranjal MZ Ñ-1 LT 27 </t>
        </is>
      </c>
      <c r="AL789" t="n">
        <v>0</v>
      </c>
      <c r="AM789" t="inlineStr">
        <is>
          <t>979775301</t>
        </is>
      </c>
      <c r="AN789" t="inlineStr">
        <is>
          <t>flores.d19958@gmail.com</t>
        </is>
      </c>
      <c r="AO789" t="inlineStr">
        <is>
          <t>LIMA</t>
        </is>
      </c>
      <c r="AP789" t="inlineStr">
        <is>
          <t>SAN MARTIN DE PORRES</t>
        </is>
      </c>
      <c r="AQ789" s="75" t="n">
        <v>46568</v>
      </c>
      <c r="AR789" s="75" t="n"/>
      <c r="AS789" t="inlineStr">
        <is>
          <t>SALDO FINANCIAR</t>
        </is>
      </c>
      <c r="AT789" t="n">
        <v>14</v>
      </c>
      <c r="AU789" t="n">
        <v>12000</v>
      </c>
      <c r="AV789" t="n">
        <v>0</v>
      </c>
      <c r="AW789" t="n">
        <v>0</v>
      </c>
      <c r="AX789" s="39" t="n">
        <v>12000</v>
      </c>
      <c r="AY789" s="39" t="n">
        <v>0</v>
      </c>
      <c r="AZ789" s="39" t="n">
        <v>12000</v>
      </c>
      <c r="BB789" t="inlineStr">
        <is>
          <t>Crédito Directo</t>
        </is>
      </c>
      <c r="BH789" t="inlineStr">
        <is>
          <t>No</t>
        </is>
      </c>
      <c r="BK789" t="inlineStr">
        <is>
          <t>PENDIENTE</t>
        </is>
      </c>
      <c r="BV789" t="inlineStr">
        <is>
          <t>No</t>
        </is>
      </c>
      <c r="BW789" s="76" t="n">
        <v>46046.47361111111</v>
      </c>
      <c r="BX789" t="inlineStr">
        <is>
          <t>Carla Michue M</t>
        </is>
      </c>
      <c r="BZ789" t="n">
        <v>10</v>
      </c>
      <c r="CB789" t="n">
        <v>0</v>
      </c>
      <c r="CF789" t="inlineStr">
        <is>
          <t>Cobranzas_2027.csv</t>
        </is>
      </c>
      <c r="CG789" t="n">
        <v>2027</v>
      </c>
      <c r="CH789" t="inlineStr">
        <is>
          <t>01/01/2024</t>
        </is>
      </c>
      <c r="CI789" t="inlineStr">
        <is>
          <t>24/08/2031</t>
        </is>
      </c>
    </row>
    <row r="790">
      <c r="A790" t="inlineStr">
        <is>
          <t>RESIDENCIAL BEYOND</t>
        </is>
      </c>
      <c r="B790" t="inlineStr">
        <is>
          <t>Etapa 1</t>
        </is>
      </c>
      <c r="C790" t="inlineStr">
        <is>
          <t>Edificio</t>
        </is>
      </c>
      <c r="D790" t="inlineStr">
        <is>
          <t>A</t>
        </is>
      </c>
      <c r="E790" t="inlineStr">
        <is>
          <t>Departamento</t>
        </is>
      </c>
      <c r="F790" t="inlineStr">
        <is>
          <t>1502</t>
        </is>
      </c>
      <c r="G790" t="n">
        <v>57</v>
      </c>
      <c r="H790" t="n">
        <v>0</v>
      </c>
      <c r="I790" s="39" t="n">
        <v>430000</v>
      </c>
      <c r="J790" s="39" t="n">
        <v>369000</v>
      </c>
      <c r="K790" t="inlineStr">
        <is>
          <t>Edificio</t>
        </is>
      </c>
      <c r="L790" t="inlineStr">
        <is>
          <t>A</t>
        </is>
      </c>
      <c r="M790" t="inlineStr">
        <is>
          <t>Estacionamiento</t>
        </is>
      </c>
      <c r="N790" t="inlineStr">
        <is>
          <t>E 39</t>
        </is>
      </c>
      <c r="O790" t="n">
        <v>12.5</v>
      </c>
      <c r="P790" t="n">
        <v>0</v>
      </c>
      <c r="Q790" s="39" t="n">
        <v>43200</v>
      </c>
      <c r="R790" s="39" t="n">
        <v>43200</v>
      </c>
      <c r="Y790" s="39" t="n"/>
      <c r="Z790" s="39" t="n"/>
      <c r="AG790" s="39" t="n"/>
      <c r="AH790" s="39" t="n"/>
      <c r="AI790" t="inlineStr">
        <is>
          <t>Melanny Dayanna Flores Blas</t>
        </is>
      </c>
      <c r="AJ790" t="inlineStr">
        <is>
          <t>75334346</t>
        </is>
      </c>
      <c r="AK790" t="inlineStr">
        <is>
          <t xml:space="preserve">Av. Los Alisos Urb. Naranjal MZ Ñ-1 LT 27 </t>
        </is>
      </c>
      <c r="AL790" t="n">
        <v>0</v>
      </c>
      <c r="AM790" t="inlineStr">
        <is>
          <t>979775301</t>
        </is>
      </c>
      <c r="AN790" t="inlineStr">
        <is>
          <t>flores.d19958@gmail.com</t>
        </is>
      </c>
      <c r="AO790" t="inlineStr">
        <is>
          <t>LIMA</t>
        </is>
      </c>
      <c r="AP790" t="inlineStr">
        <is>
          <t>SAN MARTIN DE PORRES</t>
        </is>
      </c>
      <c r="AQ790" s="75" t="n">
        <v>46598</v>
      </c>
      <c r="AR790" s="75" t="n"/>
      <c r="AS790" t="inlineStr">
        <is>
          <t>SALDO FINANCIAR</t>
        </is>
      </c>
      <c r="AT790" t="n">
        <v>15</v>
      </c>
      <c r="AU790" t="n">
        <v>12000</v>
      </c>
      <c r="AV790" t="n">
        <v>0</v>
      </c>
      <c r="AW790" t="n">
        <v>0</v>
      </c>
      <c r="AX790" s="39" t="n">
        <v>12000</v>
      </c>
      <c r="AY790" s="39" t="n">
        <v>0</v>
      </c>
      <c r="AZ790" s="39" t="n">
        <v>12000</v>
      </c>
      <c r="BB790" t="inlineStr">
        <is>
          <t>Crédito Directo</t>
        </is>
      </c>
      <c r="BH790" t="inlineStr">
        <is>
          <t>No</t>
        </is>
      </c>
      <c r="BK790" t="inlineStr">
        <is>
          <t>PENDIENTE</t>
        </is>
      </c>
      <c r="BV790" t="inlineStr">
        <is>
          <t>No</t>
        </is>
      </c>
      <c r="BW790" s="76" t="n">
        <v>46046.47361111111</v>
      </c>
      <c r="BX790" t="inlineStr">
        <is>
          <t>Carla Michue M</t>
        </is>
      </c>
      <c r="BZ790" t="n">
        <v>10</v>
      </c>
      <c r="CB790" t="n">
        <v>0</v>
      </c>
      <c r="CF790" t="inlineStr">
        <is>
          <t>Cobranzas_2027.csv</t>
        </is>
      </c>
      <c r="CG790" t="n">
        <v>2027</v>
      </c>
      <c r="CH790" t="inlineStr">
        <is>
          <t>01/01/2024</t>
        </is>
      </c>
      <c r="CI790" t="inlineStr">
        <is>
          <t>24/08/2031</t>
        </is>
      </c>
    </row>
    <row r="791">
      <c r="A791" t="inlineStr">
        <is>
          <t>RESIDENCIAL BEYOND</t>
        </is>
      </c>
      <c r="B791" t="inlineStr">
        <is>
          <t>Etapa 1</t>
        </is>
      </c>
      <c r="C791" t="inlineStr">
        <is>
          <t>Edificio</t>
        </is>
      </c>
      <c r="D791" t="inlineStr">
        <is>
          <t>A</t>
        </is>
      </c>
      <c r="E791" t="inlineStr">
        <is>
          <t>Departamento</t>
        </is>
      </c>
      <c r="F791" t="inlineStr">
        <is>
          <t>1502</t>
        </is>
      </c>
      <c r="G791" t="n">
        <v>57</v>
      </c>
      <c r="H791" t="n">
        <v>0</v>
      </c>
      <c r="I791" s="39" t="n">
        <v>430000</v>
      </c>
      <c r="J791" s="39" t="n">
        <v>369000</v>
      </c>
      <c r="K791" t="inlineStr">
        <is>
          <t>Edificio</t>
        </is>
      </c>
      <c r="L791" t="inlineStr">
        <is>
          <t>A</t>
        </is>
      </c>
      <c r="M791" t="inlineStr">
        <is>
          <t>Estacionamiento</t>
        </is>
      </c>
      <c r="N791" t="inlineStr">
        <is>
          <t>E 39</t>
        </is>
      </c>
      <c r="O791" t="n">
        <v>12.5</v>
      </c>
      <c r="P791" t="n">
        <v>0</v>
      </c>
      <c r="Q791" s="39" t="n">
        <v>43200</v>
      </c>
      <c r="R791" s="39" t="n">
        <v>43200</v>
      </c>
      <c r="Y791" s="39" t="n"/>
      <c r="Z791" s="39" t="n"/>
      <c r="AG791" s="39" t="n"/>
      <c r="AH791" s="39" t="n"/>
      <c r="AI791" t="inlineStr">
        <is>
          <t>Melanny Dayanna Flores Blas</t>
        </is>
      </c>
      <c r="AJ791" t="inlineStr">
        <is>
          <t>75334346</t>
        </is>
      </c>
      <c r="AK791" t="inlineStr">
        <is>
          <t xml:space="preserve">Av. Los Alisos Urb. Naranjal MZ Ñ-1 LT 27 </t>
        </is>
      </c>
      <c r="AL791" t="n">
        <v>0</v>
      </c>
      <c r="AM791" t="inlineStr">
        <is>
          <t>979775301</t>
        </is>
      </c>
      <c r="AN791" t="inlineStr">
        <is>
          <t>flores.d19958@gmail.com</t>
        </is>
      </c>
      <c r="AO791" t="inlineStr">
        <is>
          <t>LIMA</t>
        </is>
      </c>
      <c r="AP791" t="inlineStr">
        <is>
          <t>SAN MARTIN DE PORRES</t>
        </is>
      </c>
      <c r="AQ791" s="75" t="n">
        <v>46629</v>
      </c>
      <c r="AR791" s="75" t="n"/>
      <c r="AS791" t="inlineStr">
        <is>
          <t>SALDO FINANCIAR</t>
        </is>
      </c>
      <c r="AT791" t="n">
        <v>16</v>
      </c>
      <c r="AU791" t="n">
        <v>12000</v>
      </c>
      <c r="AV791" t="n">
        <v>0</v>
      </c>
      <c r="AW791" t="n">
        <v>0</v>
      </c>
      <c r="AX791" s="39" t="n">
        <v>12000</v>
      </c>
      <c r="AY791" s="39" t="n">
        <v>0</v>
      </c>
      <c r="AZ791" s="39" t="n">
        <v>12000</v>
      </c>
      <c r="BB791" t="inlineStr">
        <is>
          <t>Crédito Directo</t>
        </is>
      </c>
      <c r="BH791" t="inlineStr">
        <is>
          <t>No</t>
        </is>
      </c>
      <c r="BK791" t="inlineStr">
        <is>
          <t>PENDIENTE</t>
        </is>
      </c>
      <c r="BV791" t="inlineStr">
        <is>
          <t>No</t>
        </is>
      </c>
      <c r="BW791" s="76" t="n">
        <v>46046.47361111111</v>
      </c>
      <c r="BX791" t="inlineStr">
        <is>
          <t>Carla Michue M</t>
        </is>
      </c>
      <c r="BZ791" t="n">
        <v>10</v>
      </c>
      <c r="CB791" t="n">
        <v>0</v>
      </c>
      <c r="CF791" t="inlineStr">
        <is>
          <t>Cobranzas_2027.csv</t>
        </is>
      </c>
      <c r="CG791" t="n">
        <v>2027</v>
      </c>
      <c r="CH791" t="inlineStr">
        <is>
          <t>01/01/2024</t>
        </is>
      </c>
      <c r="CI791" t="inlineStr">
        <is>
          <t>24/08/2031</t>
        </is>
      </c>
    </row>
    <row r="792">
      <c r="A792" t="inlineStr">
        <is>
          <t>RESIDENCIAL BEYOND</t>
        </is>
      </c>
      <c r="B792" t="inlineStr">
        <is>
          <t>Etapa 1</t>
        </is>
      </c>
      <c r="C792" t="inlineStr">
        <is>
          <t>Edificio</t>
        </is>
      </c>
      <c r="D792" t="inlineStr">
        <is>
          <t>A</t>
        </is>
      </c>
      <c r="E792" t="inlineStr">
        <is>
          <t>Departamento</t>
        </is>
      </c>
      <c r="F792" t="inlineStr">
        <is>
          <t>1502</t>
        </is>
      </c>
      <c r="G792" t="n">
        <v>57</v>
      </c>
      <c r="H792" t="n">
        <v>0</v>
      </c>
      <c r="I792" s="39" t="n">
        <v>430000</v>
      </c>
      <c r="J792" s="39" t="n">
        <v>369000</v>
      </c>
      <c r="K792" t="inlineStr">
        <is>
          <t>Edificio</t>
        </is>
      </c>
      <c r="L792" t="inlineStr">
        <is>
          <t>A</t>
        </is>
      </c>
      <c r="M792" t="inlineStr">
        <is>
          <t>Estacionamiento</t>
        </is>
      </c>
      <c r="N792" t="inlineStr">
        <is>
          <t>E 39</t>
        </is>
      </c>
      <c r="O792" t="n">
        <v>12.5</v>
      </c>
      <c r="P792" t="n">
        <v>0</v>
      </c>
      <c r="Q792" s="39" t="n">
        <v>43200</v>
      </c>
      <c r="R792" s="39" t="n">
        <v>43200</v>
      </c>
      <c r="Y792" s="39" t="n"/>
      <c r="Z792" s="39" t="n"/>
      <c r="AG792" s="39" t="n"/>
      <c r="AH792" s="39" t="n"/>
      <c r="AI792" t="inlineStr">
        <is>
          <t>Melanny Dayanna Flores Blas</t>
        </is>
      </c>
      <c r="AJ792" t="inlineStr">
        <is>
          <t>75334346</t>
        </is>
      </c>
      <c r="AK792" t="inlineStr">
        <is>
          <t xml:space="preserve">Av. Los Alisos Urb. Naranjal MZ Ñ-1 LT 27 </t>
        </is>
      </c>
      <c r="AL792" t="n">
        <v>0</v>
      </c>
      <c r="AM792" t="inlineStr">
        <is>
          <t>979775301</t>
        </is>
      </c>
      <c r="AN792" t="inlineStr">
        <is>
          <t>flores.d19958@gmail.com</t>
        </is>
      </c>
      <c r="AO792" t="inlineStr">
        <is>
          <t>LIMA</t>
        </is>
      </c>
      <c r="AP792" t="inlineStr">
        <is>
          <t>SAN MARTIN DE PORRES</t>
        </is>
      </c>
      <c r="AQ792" s="75" t="n">
        <v>46660</v>
      </c>
      <c r="AR792" s="75" t="n"/>
      <c r="AS792" t="inlineStr">
        <is>
          <t>SALDO FINANCIAR</t>
        </is>
      </c>
      <c r="AT792" t="n">
        <v>17</v>
      </c>
      <c r="AU792" t="n">
        <v>12000</v>
      </c>
      <c r="AV792" t="n">
        <v>0</v>
      </c>
      <c r="AW792" t="n">
        <v>0</v>
      </c>
      <c r="AX792" s="39" t="n">
        <v>12000</v>
      </c>
      <c r="AY792" s="39" t="n">
        <v>0</v>
      </c>
      <c r="AZ792" s="39" t="n">
        <v>12000</v>
      </c>
      <c r="BB792" t="inlineStr">
        <is>
          <t>Crédito Directo</t>
        </is>
      </c>
      <c r="BH792" t="inlineStr">
        <is>
          <t>No</t>
        </is>
      </c>
      <c r="BK792" t="inlineStr">
        <is>
          <t>PENDIENTE</t>
        </is>
      </c>
      <c r="BV792" t="inlineStr">
        <is>
          <t>No</t>
        </is>
      </c>
      <c r="BW792" s="76" t="n">
        <v>46046.47361111111</v>
      </c>
      <c r="BX792" t="inlineStr">
        <is>
          <t>Carla Michue M</t>
        </is>
      </c>
      <c r="BZ792" t="n">
        <v>10</v>
      </c>
      <c r="CB792" t="n">
        <v>0</v>
      </c>
      <c r="CF792" t="inlineStr">
        <is>
          <t>Cobranzas_2027.csv</t>
        </is>
      </c>
      <c r="CG792" t="n">
        <v>2027</v>
      </c>
      <c r="CH792" t="inlineStr">
        <is>
          <t>01/01/2024</t>
        </is>
      </c>
      <c r="CI792" t="inlineStr">
        <is>
          <t>24/08/2031</t>
        </is>
      </c>
    </row>
    <row r="793">
      <c r="A793" t="inlineStr">
        <is>
          <t>RESIDENCIAL BEYOND</t>
        </is>
      </c>
      <c r="B793" t="inlineStr">
        <is>
          <t>Etapa 1</t>
        </is>
      </c>
      <c r="C793" t="inlineStr">
        <is>
          <t>Edificio</t>
        </is>
      </c>
      <c r="D793" t="inlineStr">
        <is>
          <t>A</t>
        </is>
      </c>
      <c r="E793" t="inlineStr">
        <is>
          <t>Departamento</t>
        </is>
      </c>
      <c r="F793" t="inlineStr">
        <is>
          <t>1502</t>
        </is>
      </c>
      <c r="G793" t="n">
        <v>57</v>
      </c>
      <c r="H793" t="n">
        <v>0</v>
      </c>
      <c r="I793" s="39" t="n">
        <v>430000</v>
      </c>
      <c r="J793" s="39" t="n">
        <v>369000</v>
      </c>
      <c r="K793" t="inlineStr">
        <is>
          <t>Edificio</t>
        </is>
      </c>
      <c r="L793" t="inlineStr">
        <is>
          <t>A</t>
        </is>
      </c>
      <c r="M793" t="inlineStr">
        <is>
          <t>Estacionamiento</t>
        </is>
      </c>
      <c r="N793" t="inlineStr">
        <is>
          <t>E 39</t>
        </is>
      </c>
      <c r="O793" t="n">
        <v>12.5</v>
      </c>
      <c r="P793" t="n">
        <v>0</v>
      </c>
      <c r="Q793" s="39" t="n">
        <v>43200</v>
      </c>
      <c r="R793" s="39" t="n">
        <v>43200</v>
      </c>
      <c r="Y793" s="39" t="n"/>
      <c r="Z793" s="39" t="n"/>
      <c r="AG793" s="39" t="n"/>
      <c r="AH793" s="39" t="n"/>
      <c r="AI793" t="inlineStr">
        <is>
          <t>Melanny Dayanna Flores Blas</t>
        </is>
      </c>
      <c r="AJ793" t="inlineStr">
        <is>
          <t>75334346</t>
        </is>
      </c>
      <c r="AK793" t="inlineStr">
        <is>
          <t xml:space="preserve">Av. Los Alisos Urb. Naranjal MZ Ñ-1 LT 27 </t>
        </is>
      </c>
      <c r="AL793" t="n">
        <v>0</v>
      </c>
      <c r="AM793" t="inlineStr">
        <is>
          <t>979775301</t>
        </is>
      </c>
      <c r="AN793" t="inlineStr">
        <is>
          <t>flores.d19958@gmail.com</t>
        </is>
      </c>
      <c r="AO793" t="inlineStr">
        <is>
          <t>LIMA</t>
        </is>
      </c>
      <c r="AP793" t="inlineStr">
        <is>
          <t>SAN MARTIN DE PORRES</t>
        </is>
      </c>
      <c r="AQ793" s="75" t="n">
        <v>46690</v>
      </c>
      <c r="AR793" s="75" t="n"/>
      <c r="AS793" t="inlineStr">
        <is>
          <t>SALDO FINANCIAR</t>
        </is>
      </c>
      <c r="AT793" t="n">
        <v>18</v>
      </c>
      <c r="AU793" t="n">
        <v>63930</v>
      </c>
      <c r="AV793" t="n">
        <v>0</v>
      </c>
      <c r="AW793" t="n">
        <v>0</v>
      </c>
      <c r="AX793" s="39" t="n">
        <v>63930</v>
      </c>
      <c r="AY793" s="39" t="n">
        <v>0</v>
      </c>
      <c r="AZ793" s="39" t="n">
        <v>63930</v>
      </c>
      <c r="BB793" t="inlineStr">
        <is>
          <t>Crédito Directo</t>
        </is>
      </c>
      <c r="BH793" t="inlineStr">
        <is>
          <t>No</t>
        </is>
      </c>
      <c r="BK793" t="inlineStr">
        <is>
          <t>PENDIENTE</t>
        </is>
      </c>
      <c r="BV793" t="inlineStr">
        <is>
          <t>No</t>
        </is>
      </c>
      <c r="BW793" s="76" t="n">
        <v>46046.47361111111</v>
      </c>
      <c r="BX793" t="inlineStr">
        <is>
          <t>Carla Michue M</t>
        </is>
      </c>
      <c r="BZ793" t="n">
        <v>10</v>
      </c>
      <c r="CB793" t="n">
        <v>0</v>
      </c>
      <c r="CF793" t="inlineStr">
        <is>
          <t>Cobranzas_2027.csv</t>
        </is>
      </c>
      <c r="CG793" t="n">
        <v>2027</v>
      </c>
      <c r="CH793" t="inlineStr">
        <is>
          <t>01/01/2024</t>
        </is>
      </c>
      <c r="CI793" t="inlineStr">
        <is>
          <t>24/08/2031</t>
        </is>
      </c>
    </row>
    <row r="794">
      <c r="A794" t="inlineStr">
        <is>
          <t>RESIDENCIAL BEYOND</t>
        </is>
      </c>
      <c r="B794" t="inlineStr">
        <is>
          <t>Etapa 1</t>
        </is>
      </c>
      <c r="C794" t="inlineStr">
        <is>
          <t>Edificio</t>
        </is>
      </c>
      <c r="D794" t="inlineStr">
        <is>
          <t>A</t>
        </is>
      </c>
      <c r="E794" t="inlineStr">
        <is>
          <t>Departamento</t>
        </is>
      </c>
      <c r="F794" t="inlineStr">
        <is>
          <t>1603</t>
        </is>
      </c>
      <c r="G794" t="n">
        <v>68</v>
      </c>
      <c r="H794" t="n">
        <v>0</v>
      </c>
      <c r="I794" s="39" t="n">
        <v>493700</v>
      </c>
      <c r="J794" s="39" t="n">
        <v>436200</v>
      </c>
      <c r="K794" t="inlineStr">
        <is>
          <t>Edificio</t>
        </is>
      </c>
      <c r="L794" t="inlineStr">
        <is>
          <t>A</t>
        </is>
      </c>
      <c r="M794" t="inlineStr">
        <is>
          <t>Estacionamiento</t>
        </is>
      </c>
      <c r="N794" t="inlineStr">
        <is>
          <t>E 08 - D 08</t>
        </is>
      </c>
      <c r="O794" t="n">
        <v>12.5</v>
      </c>
      <c r="P794" t="n">
        <v>2.4</v>
      </c>
      <c r="Q794" s="39" t="n">
        <v>53800</v>
      </c>
      <c r="R794" s="39" t="n">
        <v>53800</v>
      </c>
      <c r="Y794" s="39" t="n"/>
      <c r="Z794" s="39" t="n"/>
      <c r="AG794" s="39" t="n"/>
      <c r="AH794" s="39" t="n"/>
      <c r="AI794" t="inlineStr">
        <is>
          <t>Mohammed Belhaj b</t>
        </is>
      </c>
      <c r="AJ794" t="inlineStr">
        <is>
          <t>NUoF6KHK3</t>
        </is>
      </c>
      <c r="AK794" t="inlineStr">
        <is>
          <t>Jr. Los Aromos Coop. Las Flores Mz 21LT. 31</t>
        </is>
      </c>
      <c r="AL794" t="n">
        <v>0</v>
      </c>
      <c r="AM794" t="inlineStr">
        <is>
          <t>922412765</t>
        </is>
      </c>
      <c r="AN794" t="inlineStr">
        <is>
          <t>mo.belhaj@outlook.com</t>
        </is>
      </c>
      <c r="AO794" t="inlineStr">
        <is>
          <t>LIMA</t>
        </is>
      </c>
      <c r="AP794" t="inlineStr">
        <is>
          <t>SAN JUAN DE LURIGANCHO</t>
        </is>
      </c>
      <c r="AQ794" s="75" t="n">
        <v>46418</v>
      </c>
      <c r="AR794" s="75" t="n"/>
      <c r="AS794" t="inlineStr">
        <is>
          <t>SALDO FINANCIAR</t>
        </is>
      </c>
      <c r="AT794" t="n">
        <v>6</v>
      </c>
      <c r="AU794" t="n">
        <v>20008.75</v>
      </c>
      <c r="AV794" t="n">
        <v>0</v>
      </c>
      <c r="AW794" t="n">
        <v>0</v>
      </c>
      <c r="AX794" s="39" t="n">
        <v>20008.75</v>
      </c>
      <c r="AY794" s="39" t="n">
        <v>0</v>
      </c>
      <c r="AZ794" s="39" t="n">
        <v>20008.75</v>
      </c>
      <c r="BB794" t="inlineStr">
        <is>
          <t>Crédito Directo</t>
        </is>
      </c>
      <c r="BH794" t="inlineStr">
        <is>
          <t>No</t>
        </is>
      </c>
      <c r="BK794" t="inlineStr">
        <is>
          <t>PENDIENTE</t>
        </is>
      </c>
      <c r="BV794" t="inlineStr">
        <is>
          <t>No</t>
        </is>
      </c>
      <c r="BW794" s="76" t="n">
        <v>46181.47777777778</v>
      </c>
      <c r="BX794" t="inlineStr">
        <is>
          <t>Carla Michue M</t>
        </is>
      </c>
      <c r="BZ794" t="n">
        <v>9</v>
      </c>
      <c r="CB794" t="n">
        <v>0</v>
      </c>
      <c r="CF794" t="inlineStr">
        <is>
          <t>Cobranzas_2027.csv</t>
        </is>
      </c>
      <c r="CG794" t="n">
        <v>2027</v>
      </c>
      <c r="CH794" t="inlineStr">
        <is>
          <t>01/01/2024</t>
        </is>
      </c>
      <c r="CI794" t="inlineStr">
        <is>
          <t>24/08/2031</t>
        </is>
      </c>
    </row>
    <row r="795">
      <c r="A795" t="inlineStr">
        <is>
          <t>RESIDENCIAL BEYOND</t>
        </is>
      </c>
      <c r="B795" t="inlineStr">
        <is>
          <t>Etapa 1</t>
        </is>
      </c>
      <c r="C795" t="inlineStr">
        <is>
          <t>Edificio</t>
        </is>
      </c>
      <c r="D795" t="inlineStr">
        <is>
          <t>A</t>
        </is>
      </c>
      <c r="E795" t="inlineStr">
        <is>
          <t>Departamento</t>
        </is>
      </c>
      <c r="F795" t="inlineStr">
        <is>
          <t>1603</t>
        </is>
      </c>
      <c r="G795" t="n">
        <v>68</v>
      </c>
      <c r="H795" t="n">
        <v>0</v>
      </c>
      <c r="I795" s="39" t="n">
        <v>493700</v>
      </c>
      <c r="J795" s="39" t="n">
        <v>436200</v>
      </c>
      <c r="K795" t="inlineStr">
        <is>
          <t>Edificio</t>
        </is>
      </c>
      <c r="L795" t="inlineStr">
        <is>
          <t>A</t>
        </is>
      </c>
      <c r="M795" t="inlineStr">
        <is>
          <t>Estacionamiento</t>
        </is>
      </c>
      <c r="N795" t="inlineStr">
        <is>
          <t>E 08 - D 08</t>
        </is>
      </c>
      <c r="O795" t="n">
        <v>12.5</v>
      </c>
      <c r="P795" t="n">
        <v>2.4</v>
      </c>
      <c r="Q795" s="39" t="n">
        <v>53800</v>
      </c>
      <c r="R795" s="39" t="n">
        <v>53800</v>
      </c>
      <c r="Y795" s="39" t="n"/>
      <c r="Z795" s="39" t="n"/>
      <c r="AG795" s="39" t="n"/>
      <c r="AH795" s="39" t="n"/>
      <c r="AI795" t="inlineStr">
        <is>
          <t>Mohammed Belhaj b</t>
        </is>
      </c>
      <c r="AJ795" t="inlineStr">
        <is>
          <t>NUoF6KHK3</t>
        </is>
      </c>
      <c r="AK795" t="inlineStr">
        <is>
          <t>Jr. Los Aromos Coop. Las Flores Mz 21LT. 31</t>
        </is>
      </c>
      <c r="AL795" t="n">
        <v>0</v>
      </c>
      <c r="AM795" t="inlineStr">
        <is>
          <t>922412765</t>
        </is>
      </c>
      <c r="AN795" t="inlineStr">
        <is>
          <t>mo.belhaj@outlook.com</t>
        </is>
      </c>
      <c r="AO795" t="inlineStr">
        <is>
          <t>LIMA</t>
        </is>
      </c>
      <c r="AP795" t="inlineStr">
        <is>
          <t>SAN JUAN DE LURIGANCHO</t>
        </is>
      </c>
      <c r="AQ795" s="75" t="n">
        <v>46446</v>
      </c>
      <c r="AR795" s="75" t="n"/>
      <c r="AS795" t="inlineStr">
        <is>
          <t>SALDO FINANCIAR</t>
        </is>
      </c>
      <c r="AT795" t="n">
        <v>7</v>
      </c>
      <c r="AU795" t="n">
        <v>20008.75</v>
      </c>
      <c r="AV795" t="n">
        <v>0</v>
      </c>
      <c r="AW795" t="n">
        <v>0</v>
      </c>
      <c r="AX795" s="39" t="n">
        <v>20008.75</v>
      </c>
      <c r="AY795" s="39" t="n">
        <v>0</v>
      </c>
      <c r="AZ795" s="39" t="n">
        <v>20008.75</v>
      </c>
      <c r="BB795" t="inlineStr">
        <is>
          <t>Crédito Directo</t>
        </is>
      </c>
      <c r="BH795" t="inlineStr">
        <is>
          <t>No</t>
        </is>
      </c>
      <c r="BK795" t="inlineStr">
        <is>
          <t>PENDIENTE</t>
        </is>
      </c>
      <c r="BV795" t="inlineStr">
        <is>
          <t>No</t>
        </is>
      </c>
      <c r="BW795" s="76" t="n">
        <v>46181.47777777778</v>
      </c>
      <c r="BX795" t="inlineStr">
        <is>
          <t>Carla Michue M</t>
        </is>
      </c>
      <c r="BZ795" t="n">
        <v>9</v>
      </c>
      <c r="CB795" t="n">
        <v>0</v>
      </c>
      <c r="CF795" t="inlineStr">
        <is>
          <t>Cobranzas_2027.csv</t>
        </is>
      </c>
      <c r="CG795" t="n">
        <v>2027</v>
      </c>
      <c r="CH795" t="inlineStr">
        <is>
          <t>01/01/2024</t>
        </is>
      </c>
      <c r="CI795" t="inlineStr">
        <is>
          <t>24/08/2031</t>
        </is>
      </c>
    </row>
    <row r="796">
      <c r="A796" t="inlineStr">
        <is>
          <t>RESIDENCIAL BEYOND</t>
        </is>
      </c>
      <c r="B796" t="inlineStr">
        <is>
          <t>Etapa 1</t>
        </is>
      </c>
      <c r="C796" t="inlineStr">
        <is>
          <t>Edificio</t>
        </is>
      </c>
      <c r="D796" t="inlineStr">
        <is>
          <t>A</t>
        </is>
      </c>
      <c r="E796" t="inlineStr">
        <is>
          <t>Departamento</t>
        </is>
      </c>
      <c r="F796" t="inlineStr">
        <is>
          <t>1603</t>
        </is>
      </c>
      <c r="G796" t="n">
        <v>68</v>
      </c>
      <c r="H796" t="n">
        <v>0</v>
      </c>
      <c r="I796" s="39" t="n">
        <v>493700</v>
      </c>
      <c r="J796" s="39" t="n">
        <v>436200</v>
      </c>
      <c r="K796" t="inlineStr">
        <is>
          <t>Edificio</t>
        </is>
      </c>
      <c r="L796" t="inlineStr">
        <is>
          <t>A</t>
        </is>
      </c>
      <c r="M796" t="inlineStr">
        <is>
          <t>Estacionamiento</t>
        </is>
      </c>
      <c r="N796" t="inlineStr">
        <is>
          <t>E 08 - D 08</t>
        </is>
      </c>
      <c r="O796" t="n">
        <v>12.5</v>
      </c>
      <c r="P796" t="n">
        <v>2.4</v>
      </c>
      <c r="Q796" s="39" t="n">
        <v>53800</v>
      </c>
      <c r="R796" s="39" t="n">
        <v>53800</v>
      </c>
      <c r="Y796" s="39" t="n"/>
      <c r="Z796" s="39" t="n"/>
      <c r="AG796" s="39" t="n"/>
      <c r="AH796" s="39" t="n"/>
      <c r="AI796" t="inlineStr">
        <is>
          <t>Mohammed Belhaj b</t>
        </is>
      </c>
      <c r="AJ796" t="inlineStr">
        <is>
          <t>NUoF6KHK3</t>
        </is>
      </c>
      <c r="AK796" t="inlineStr">
        <is>
          <t>Jr. Los Aromos Coop. Las Flores Mz 21LT. 31</t>
        </is>
      </c>
      <c r="AL796" t="n">
        <v>0</v>
      </c>
      <c r="AM796" t="inlineStr">
        <is>
          <t>922412765</t>
        </is>
      </c>
      <c r="AN796" t="inlineStr">
        <is>
          <t>mo.belhaj@outlook.com</t>
        </is>
      </c>
      <c r="AO796" t="inlineStr">
        <is>
          <t>LIMA</t>
        </is>
      </c>
      <c r="AP796" t="inlineStr">
        <is>
          <t>SAN JUAN DE LURIGANCHO</t>
        </is>
      </c>
      <c r="AQ796" s="75" t="n">
        <v>46477</v>
      </c>
      <c r="AR796" s="75" t="n"/>
      <c r="AS796" t="inlineStr">
        <is>
          <t>SALDO FINANCIAR</t>
        </is>
      </c>
      <c r="AT796" t="n">
        <v>8</v>
      </c>
      <c r="AU796" t="n">
        <v>20008.75</v>
      </c>
      <c r="AV796" t="n">
        <v>0</v>
      </c>
      <c r="AW796" t="n">
        <v>0</v>
      </c>
      <c r="AX796" s="39" t="n">
        <v>20008.75</v>
      </c>
      <c r="AY796" s="39" t="n">
        <v>0</v>
      </c>
      <c r="AZ796" s="39" t="n">
        <v>20008.75</v>
      </c>
      <c r="BB796" t="inlineStr">
        <is>
          <t>Crédito Directo</t>
        </is>
      </c>
      <c r="BH796" t="inlineStr">
        <is>
          <t>No</t>
        </is>
      </c>
      <c r="BK796" t="inlineStr">
        <is>
          <t>PENDIENTE</t>
        </is>
      </c>
      <c r="BV796" t="inlineStr">
        <is>
          <t>No</t>
        </is>
      </c>
      <c r="BW796" s="76" t="n">
        <v>46181.47777777778</v>
      </c>
      <c r="BX796" t="inlineStr">
        <is>
          <t>Carla Michue M</t>
        </is>
      </c>
      <c r="BZ796" t="n">
        <v>9</v>
      </c>
      <c r="CB796" t="n">
        <v>0</v>
      </c>
      <c r="CF796" t="inlineStr">
        <is>
          <t>Cobranzas_2027.csv</t>
        </is>
      </c>
      <c r="CG796" t="n">
        <v>2027</v>
      </c>
      <c r="CH796" t="inlineStr">
        <is>
          <t>01/01/2024</t>
        </is>
      </c>
      <c r="CI796" t="inlineStr">
        <is>
          <t>24/08/2031</t>
        </is>
      </c>
    </row>
    <row r="797">
      <c r="A797" t="inlineStr">
        <is>
          <t>RESIDENCIAL BEYOND</t>
        </is>
      </c>
      <c r="B797" t="inlineStr">
        <is>
          <t>Etapa 1</t>
        </is>
      </c>
      <c r="C797" t="inlineStr">
        <is>
          <t>Edificio</t>
        </is>
      </c>
      <c r="D797" t="inlineStr">
        <is>
          <t>A</t>
        </is>
      </c>
      <c r="E797" t="inlineStr">
        <is>
          <t>Departamento</t>
        </is>
      </c>
      <c r="F797" t="inlineStr">
        <is>
          <t>1603</t>
        </is>
      </c>
      <c r="G797" t="n">
        <v>68</v>
      </c>
      <c r="H797" t="n">
        <v>0</v>
      </c>
      <c r="I797" s="39" t="n">
        <v>493700</v>
      </c>
      <c r="J797" s="39" t="n">
        <v>436200</v>
      </c>
      <c r="K797" t="inlineStr">
        <is>
          <t>Edificio</t>
        </is>
      </c>
      <c r="L797" t="inlineStr">
        <is>
          <t>A</t>
        </is>
      </c>
      <c r="M797" t="inlineStr">
        <is>
          <t>Estacionamiento</t>
        </is>
      </c>
      <c r="N797" t="inlineStr">
        <is>
          <t>E 08 - D 08</t>
        </is>
      </c>
      <c r="O797" t="n">
        <v>12.5</v>
      </c>
      <c r="P797" t="n">
        <v>2.4</v>
      </c>
      <c r="Q797" s="39" t="n">
        <v>53800</v>
      </c>
      <c r="R797" s="39" t="n">
        <v>53800</v>
      </c>
      <c r="Y797" s="39" t="n"/>
      <c r="Z797" s="39" t="n"/>
      <c r="AG797" s="39" t="n"/>
      <c r="AH797" s="39" t="n"/>
      <c r="AI797" t="inlineStr">
        <is>
          <t>Mohammed Belhaj b</t>
        </is>
      </c>
      <c r="AJ797" t="inlineStr">
        <is>
          <t>NUoF6KHK3</t>
        </is>
      </c>
      <c r="AK797" t="inlineStr">
        <is>
          <t>Jr. Los Aromos Coop. Las Flores Mz 21LT. 31</t>
        </is>
      </c>
      <c r="AL797" t="n">
        <v>0</v>
      </c>
      <c r="AM797" t="inlineStr">
        <is>
          <t>922412765</t>
        </is>
      </c>
      <c r="AN797" t="inlineStr">
        <is>
          <t>mo.belhaj@outlook.com</t>
        </is>
      </c>
      <c r="AO797" t="inlineStr">
        <is>
          <t>LIMA</t>
        </is>
      </c>
      <c r="AP797" t="inlineStr">
        <is>
          <t>SAN JUAN DE LURIGANCHO</t>
        </is>
      </c>
      <c r="AQ797" s="75" t="n">
        <v>46507</v>
      </c>
      <c r="AR797" s="75" t="n"/>
      <c r="AS797" t="inlineStr">
        <is>
          <t>SALDO FINANCIAR</t>
        </is>
      </c>
      <c r="AT797" t="n">
        <v>9</v>
      </c>
      <c r="AU797" t="n">
        <v>20008.79</v>
      </c>
      <c r="AV797" t="n">
        <v>0</v>
      </c>
      <c r="AW797" t="n">
        <v>0</v>
      </c>
      <c r="AX797" s="39" t="n">
        <v>20008.79</v>
      </c>
      <c r="AY797" s="39" t="n">
        <v>0</v>
      </c>
      <c r="AZ797" s="39" t="n">
        <v>20008.79</v>
      </c>
      <c r="BB797" t="inlineStr">
        <is>
          <t>Crédito Directo</t>
        </is>
      </c>
      <c r="BH797" t="inlineStr">
        <is>
          <t>No</t>
        </is>
      </c>
      <c r="BK797" t="inlineStr">
        <is>
          <t>PENDIENTE</t>
        </is>
      </c>
      <c r="BV797" t="inlineStr">
        <is>
          <t>No</t>
        </is>
      </c>
      <c r="BW797" s="76" t="n">
        <v>46181.47777777778</v>
      </c>
      <c r="BX797" t="inlineStr">
        <is>
          <t>Carla Michue M</t>
        </is>
      </c>
      <c r="BZ797" t="n">
        <v>9</v>
      </c>
      <c r="CB797" t="n">
        <v>0</v>
      </c>
      <c r="CF797" t="inlineStr">
        <is>
          <t>Cobranzas_2027.csv</t>
        </is>
      </c>
      <c r="CG797" t="n">
        <v>2027</v>
      </c>
      <c r="CH797" t="inlineStr">
        <is>
          <t>01/01/2024</t>
        </is>
      </c>
      <c r="CI797" t="inlineStr">
        <is>
          <t>24/08/2031</t>
        </is>
      </c>
    </row>
    <row r="798">
      <c r="A798" t="inlineStr">
        <is>
          <t>RESIDENCIAL VENECIA</t>
        </is>
      </c>
      <c r="B798" t="inlineStr">
        <is>
          <t>Etapa 1</t>
        </is>
      </c>
      <c r="C798" t="inlineStr">
        <is>
          <t>Edificio</t>
        </is>
      </c>
      <c r="D798" t="inlineStr">
        <is>
          <t>A</t>
        </is>
      </c>
      <c r="E798" t="inlineStr">
        <is>
          <t>Departamento</t>
        </is>
      </c>
      <c r="F798" t="inlineStr">
        <is>
          <t>601</t>
        </is>
      </c>
      <c r="G798" t="n">
        <v>78</v>
      </c>
      <c r="H798" t="n">
        <v>0</v>
      </c>
      <c r="I798" s="39" t="n">
        <v>545000</v>
      </c>
      <c r="J798" s="39" t="n">
        <v>545000</v>
      </c>
      <c r="K798" t="inlineStr">
        <is>
          <t>Edificio</t>
        </is>
      </c>
      <c r="L798" t="inlineStr">
        <is>
          <t>A</t>
        </is>
      </c>
      <c r="M798" t="inlineStr">
        <is>
          <t>Estacionamiento</t>
        </is>
      </c>
      <c r="N798" t="inlineStr">
        <is>
          <t>E 11</t>
        </is>
      </c>
      <c r="O798" t="n">
        <v>14.25</v>
      </c>
      <c r="P798" t="n">
        <v>0</v>
      </c>
      <c r="Q798" s="39" t="n">
        <v>50800</v>
      </c>
      <c r="R798" s="39" t="n">
        <v>50800</v>
      </c>
      <c r="Y798" s="39" t="n"/>
      <c r="Z798" s="39" t="n"/>
      <c r="AG798" s="39" t="n"/>
      <c r="AH798" s="39" t="n"/>
      <c r="AI798" t="inlineStr">
        <is>
          <t>Norma Luz Tello Contreras</t>
        </is>
      </c>
      <c r="AJ798" t="inlineStr">
        <is>
          <t>04063971</t>
        </is>
      </c>
      <c r="AK798" t="inlineStr">
        <is>
          <t>Av. Militar 1745 - Dpto. 1202</t>
        </is>
      </c>
      <c r="AL798" t="n">
        <v>0</v>
      </c>
      <c r="AM798" t="inlineStr">
        <is>
          <t>952305311</t>
        </is>
      </c>
      <c r="AN798" t="inlineStr">
        <is>
          <t>normatello@gmail.com</t>
        </is>
      </c>
      <c r="AO798" t="inlineStr">
        <is>
          <t>LIMA</t>
        </is>
      </c>
      <c r="AP798" t="inlineStr">
        <is>
          <t>LA VICTORIA</t>
        </is>
      </c>
      <c r="AQ798" s="75" t="n">
        <v>46417</v>
      </c>
      <c r="AR798" s="75" t="n"/>
      <c r="AS798" t="inlineStr">
        <is>
          <t>SALDO FINANCIAR</t>
        </is>
      </c>
      <c r="AT798" t="n">
        <v>17</v>
      </c>
      <c r="AU798" t="n">
        <v>6000</v>
      </c>
      <c r="AV798" t="n">
        <v>0</v>
      </c>
      <c r="AW798" t="n">
        <v>0</v>
      </c>
      <c r="AX798" s="39" t="n">
        <v>6000</v>
      </c>
      <c r="AY798" s="39" t="n">
        <v>0</v>
      </c>
      <c r="AZ798" s="39" t="n">
        <v>6000</v>
      </c>
      <c r="BB798" t="inlineStr">
        <is>
          <t>Crédito Directo</t>
        </is>
      </c>
      <c r="BH798" t="inlineStr">
        <is>
          <t>No</t>
        </is>
      </c>
      <c r="BK798" t="inlineStr">
        <is>
          <t>PENDIENTE</t>
        </is>
      </c>
      <c r="BV798" t="inlineStr">
        <is>
          <t>No</t>
        </is>
      </c>
      <c r="BW798" s="76" t="n">
        <v>45857.51944444444</v>
      </c>
      <c r="BX798" t="inlineStr">
        <is>
          <t>Magaly Guevara Perez</t>
        </is>
      </c>
      <c r="BZ798" t="n">
        <v>11</v>
      </c>
      <c r="CB798" t="n">
        <v>0</v>
      </c>
      <c r="CF798" t="inlineStr">
        <is>
          <t>Cobranzas_2027.csv</t>
        </is>
      </c>
      <c r="CG798" t="n">
        <v>2027</v>
      </c>
      <c r="CH798" t="inlineStr">
        <is>
          <t>01/01/2024</t>
        </is>
      </c>
      <c r="CI798" t="inlineStr">
        <is>
          <t>24/08/2031</t>
        </is>
      </c>
    </row>
    <row r="799">
      <c r="A799" t="inlineStr">
        <is>
          <t>RESIDENCIAL VENECIA</t>
        </is>
      </c>
      <c r="B799" t="inlineStr">
        <is>
          <t>Etapa 1</t>
        </is>
      </c>
      <c r="C799" t="inlineStr">
        <is>
          <t>Edificio</t>
        </is>
      </c>
      <c r="D799" t="inlineStr">
        <is>
          <t>A</t>
        </is>
      </c>
      <c r="E799" t="inlineStr">
        <is>
          <t>Departamento</t>
        </is>
      </c>
      <c r="F799" t="inlineStr">
        <is>
          <t>601</t>
        </is>
      </c>
      <c r="G799" t="n">
        <v>78</v>
      </c>
      <c r="H799" t="n">
        <v>0</v>
      </c>
      <c r="I799" s="39" t="n">
        <v>545000</v>
      </c>
      <c r="J799" s="39" t="n">
        <v>545000</v>
      </c>
      <c r="K799" t="inlineStr">
        <is>
          <t>Edificio</t>
        </is>
      </c>
      <c r="L799" t="inlineStr">
        <is>
          <t>A</t>
        </is>
      </c>
      <c r="M799" t="inlineStr">
        <is>
          <t>Estacionamiento</t>
        </is>
      </c>
      <c r="N799" t="inlineStr">
        <is>
          <t>E 11</t>
        </is>
      </c>
      <c r="O799" t="n">
        <v>14.25</v>
      </c>
      <c r="P799" t="n">
        <v>0</v>
      </c>
      <c r="Q799" s="39" t="n">
        <v>50800</v>
      </c>
      <c r="R799" s="39" t="n">
        <v>50800</v>
      </c>
      <c r="Y799" s="39" t="n"/>
      <c r="Z799" s="39" t="n"/>
      <c r="AG799" s="39" t="n"/>
      <c r="AH799" s="39" t="n"/>
      <c r="AI799" t="inlineStr">
        <is>
          <t>Norma Luz Tello Contreras</t>
        </is>
      </c>
      <c r="AJ799" t="inlineStr">
        <is>
          <t>04063971</t>
        </is>
      </c>
      <c r="AK799" t="inlineStr">
        <is>
          <t>Av. Militar 1745 - Dpto. 1202</t>
        </is>
      </c>
      <c r="AL799" t="n">
        <v>0</v>
      </c>
      <c r="AM799" t="inlineStr">
        <is>
          <t>952305311</t>
        </is>
      </c>
      <c r="AN799" t="inlineStr">
        <is>
          <t>normatello@gmail.com</t>
        </is>
      </c>
      <c r="AO799" t="inlineStr">
        <is>
          <t>LIMA</t>
        </is>
      </c>
      <c r="AP799" t="inlineStr">
        <is>
          <t>LA VICTORIA</t>
        </is>
      </c>
      <c r="AQ799" s="75" t="n">
        <v>46446</v>
      </c>
      <c r="AR799" s="75" t="n"/>
      <c r="AS799" t="inlineStr">
        <is>
          <t>SALDO FINANCIAR</t>
        </is>
      </c>
      <c r="AT799" t="n">
        <v>18</v>
      </c>
      <c r="AU799" t="n">
        <v>6000</v>
      </c>
      <c r="AV799" t="n">
        <v>0</v>
      </c>
      <c r="AW799" t="n">
        <v>0</v>
      </c>
      <c r="AX799" s="39" t="n">
        <v>6000</v>
      </c>
      <c r="AY799" s="39" t="n">
        <v>0</v>
      </c>
      <c r="AZ799" s="39" t="n">
        <v>6000</v>
      </c>
      <c r="BB799" t="inlineStr">
        <is>
          <t>Crédito Directo</t>
        </is>
      </c>
      <c r="BH799" t="inlineStr">
        <is>
          <t>No</t>
        </is>
      </c>
      <c r="BK799" t="inlineStr">
        <is>
          <t>PENDIENTE</t>
        </is>
      </c>
      <c r="BV799" t="inlineStr">
        <is>
          <t>No</t>
        </is>
      </c>
      <c r="BW799" s="76" t="n">
        <v>45857.51944444444</v>
      </c>
      <c r="BX799" t="inlineStr">
        <is>
          <t>Magaly Guevara Perez</t>
        </is>
      </c>
      <c r="BZ799" t="n">
        <v>11</v>
      </c>
      <c r="CB799" t="n">
        <v>0</v>
      </c>
      <c r="CF799" t="inlineStr">
        <is>
          <t>Cobranzas_2027.csv</t>
        </is>
      </c>
      <c r="CG799" t="n">
        <v>2027</v>
      </c>
      <c r="CH799" t="inlineStr">
        <is>
          <t>01/01/2024</t>
        </is>
      </c>
      <c r="CI799" t="inlineStr">
        <is>
          <t>24/08/2031</t>
        </is>
      </c>
    </row>
    <row r="800">
      <c r="A800" t="inlineStr">
        <is>
          <t>RESIDENCIAL VENECIA</t>
        </is>
      </c>
      <c r="B800" t="inlineStr">
        <is>
          <t>Etapa 1</t>
        </is>
      </c>
      <c r="C800" t="inlineStr">
        <is>
          <t>Edificio</t>
        </is>
      </c>
      <c r="D800" t="inlineStr">
        <is>
          <t>A</t>
        </is>
      </c>
      <c r="E800" t="inlineStr">
        <is>
          <t>Departamento</t>
        </is>
      </c>
      <c r="F800" t="inlineStr">
        <is>
          <t>601</t>
        </is>
      </c>
      <c r="G800" t="n">
        <v>78</v>
      </c>
      <c r="H800" t="n">
        <v>0</v>
      </c>
      <c r="I800" s="39" t="n">
        <v>545000</v>
      </c>
      <c r="J800" s="39" t="n">
        <v>545000</v>
      </c>
      <c r="K800" t="inlineStr">
        <is>
          <t>Edificio</t>
        </is>
      </c>
      <c r="L800" t="inlineStr">
        <is>
          <t>A</t>
        </is>
      </c>
      <c r="M800" t="inlineStr">
        <is>
          <t>Estacionamiento</t>
        </is>
      </c>
      <c r="N800" t="inlineStr">
        <is>
          <t>E 11</t>
        </is>
      </c>
      <c r="O800" t="n">
        <v>14.25</v>
      </c>
      <c r="P800" t="n">
        <v>0</v>
      </c>
      <c r="Q800" s="39" t="n">
        <v>50800</v>
      </c>
      <c r="R800" s="39" t="n">
        <v>50800</v>
      </c>
      <c r="Y800" s="39" t="n"/>
      <c r="Z800" s="39" t="n"/>
      <c r="AG800" s="39" t="n"/>
      <c r="AH800" s="39" t="n"/>
      <c r="AI800" t="inlineStr">
        <is>
          <t>Norma Luz Tello Contreras</t>
        </is>
      </c>
      <c r="AJ800" t="inlineStr">
        <is>
          <t>04063971</t>
        </is>
      </c>
      <c r="AK800" t="inlineStr">
        <is>
          <t>Av. Militar 1745 - Dpto. 1202</t>
        </is>
      </c>
      <c r="AL800" t="n">
        <v>0</v>
      </c>
      <c r="AM800" t="inlineStr">
        <is>
          <t>952305311</t>
        </is>
      </c>
      <c r="AN800" t="inlineStr">
        <is>
          <t>normatello@gmail.com</t>
        </is>
      </c>
      <c r="AO800" t="inlineStr">
        <is>
          <t>LIMA</t>
        </is>
      </c>
      <c r="AP800" t="inlineStr">
        <is>
          <t>LA VICTORIA</t>
        </is>
      </c>
      <c r="AQ800" s="75" t="n">
        <v>46476</v>
      </c>
      <c r="AR800" s="75" t="n"/>
      <c r="AS800" t="inlineStr">
        <is>
          <t>SALDO FINANCIAR</t>
        </is>
      </c>
      <c r="AT800" t="n">
        <v>19</v>
      </c>
      <c r="AU800" t="n">
        <v>6000</v>
      </c>
      <c r="AV800" t="n">
        <v>0</v>
      </c>
      <c r="AW800" t="n">
        <v>0</v>
      </c>
      <c r="AX800" s="39" t="n">
        <v>6000</v>
      </c>
      <c r="AY800" s="39" t="n">
        <v>0</v>
      </c>
      <c r="AZ800" s="39" t="n">
        <v>6000</v>
      </c>
      <c r="BB800" t="inlineStr">
        <is>
          <t>Crédito Directo</t>
        </is>
      </c>
      <c r="BH800" t="inlineStr">
        <is>
          <t>No</t>
        </is>
      </c>
      <c r="BK800" t="inlineStr">
        <is>
          <t>PENDIENTE</t>
        </is>
      </c>
      <c r="BV800" t="inlineStr">
        <is>
          <t>No</t>
        </is>
      </c>
      <c r="BW800" s="76" t="n">
        <v>45857.51944444444</v>
      </c>
      <c r="BX800" t="inlineStr">
        <is>
          <t>Magaly Guevara Perez</t>
        </is>
      </c>
      <c r="BZ800" t="n">
        <v>11</v>
      </c>
      <c r="CB800" t="n">
        <v>0</v>
      </c>
      <c r="CF800" t="inlineStr">
        <is>
          <t>Cobranzas_2027.csv</t>
        </is>
      </c>
      <c r="CG800" t="n">
        <v>2027</v>
      </c>
      <c r="CH800" t="inlineStr">
        <is>
          <t>01/01/2024</t>
        </is>
      </c>
      <c r="CI800" t="inlineStr">
        <is>
          <t>24/08/2031</t>
        </is>
      </c>
    </row>
    <row r="801">
      <c r="A801" t="inlineStr">
        <is>
          <t>RESIDENCIAL VENECIA</t>
        </is>
      </c>
      <c r="B801" t="inlineStr">
        <is>
          <t>Etapa 1</t>
        </is>
      </c>
      <c r="C801" t="inlineStr">
        <is>
          <t>Edificio</t>
        </is>
      </c>
      <c r="D801" t="inlineStr">
        <is>
          <t>A</t>
        </is>
      </c>
      <c r="E801" t="inlineStr">
        <is>
          <t>Departamento</t>
        </is>
      </c>
      <c r="F801" t="inlineStr">
        <is>
          <t>601</t>
        </is>
      </c>
      <c r="G801" t="n">
        <v>78</v>
      </c>
      <c r="H801" t="n">
        <v>0</v>
      </c>
      <c r="I801" s="39" t="n">
        <v>545000</v>
      </c>
      <c r="J801" s="39" t="n">
        <v>545000</v>
      </c>
      <c r="K801" t="inlineStr">
        <is>
          <t>Edificio</t>
        </is>
      </c>
      <c r="L801" t="inlineStr">
        <is>
          <t>A</t>
        </is>
      </c>
      <c r="M801" t="inlineStr">
        <is>
          <t>Estacionamiento</t>
        </is>
      </c>
      <c r="N801" t="inlineStr">
        <is>
          <t>E 11</t>
        </is>
      </c>
      <c r="O801" t="n">
        <v>14.25</v>
      </c>
      <c r="P801" t="n">
        <v>0</v>
      </c>
      <c r="Q801" s="39" t="n">
        <v>50800</v>
      </c>
      <c r="R801" s="39" t="n">
        <v>50800</v>
      </c>
      <c r="Y801" s="39" t="n"/>
      <c r="Z801" s="39" t="n"/>
      <c r="AG801" s="39" t="n"/>
      <c r="AH801" s="39" t="n"/>
      <c r="AI801" t="inlineStr">
        <is>
          <t>Norma Luz Tello Contreras</t>
        </is>
      </c>
      <c r="AJ801" t="inlineStr">
        <is>
          <t>04063971</t>
        </is>
      </c>
      <c r="AK801" t="inlineStr">
        <is>
          <t>Av. Militar 1745 - Dpto. 1202</t>
        </is>
      </c>
      <c r="AL801" t="n">
        <v>0</v>
      </c>
      <c r="AM801" t="inlineStr">
        <is>
          <t>952305311</t>
        </is>
      </c>
      <c r="AN801" t="inlineStr">
        <is>
          <t>normatello@gmail.com</t>
        </is>
      </c>
      <c r="AO801" t="inlineStr">
        <is>
          <t>LIMA</t>
        </is>
      </c>
      <c r="AP801" t="inlineStr">
        <is>
          <t>LA VICTORIA</t>
        </is>
      </c>
      <c r="AQ801" s="75" t="n">
        <v>46507</v>
      </c>
      <c r="AR801" s="75" t="n"/>
      <c r="AS801" t="inlineStr">
        <is>
          <t>SALDO FINANCIAR</t>
        </is>
      </c>
      <c r="AT801" t="n">
        <v>20</v>
      </c>
      <c r="AU801" t="n">
        <v>238000</v>
      </c>
      <c r="AV801" t="n">
        <v>0</v>
      </c>
      <c r="AW801" t="n">
        <v>0</v>
      </c>
      <c r="AX801" s="39" t="n">
        <v>238000</v>
      </c>
      <c r="AY801" s="39" t="n">
        <v>0</v>
      </c>
      <c r="AZ801" s="39" t="n">
        <v>238000</v>
      </c>
      <c r="BB801" t="inlineStr">
        <is>
          <t>Crédito Directo</t>
        </is>
      </c>
      <c r="BH801" t="inlineStr">
        <is>
          <t>No</t>
        </is>
      </c>
      <c r="BK801" t="inlineStr">
        <is>
          <t>PENDIENTE</t>
        </is>
      </c>
      <c r="BV801" t="inlineStr">
        <is>
          <t>No</t>
        </is>
      </c>
      <c r="BW801" s="76" t="n">
        <v>45857.51944444444</v>
      </c>
      <c r="BX801" t="inlineStr">
        <is>
          <t>Magaly Guevara Perez</t>
        </is>
      </c>
      <c r="BZ801" t="n">
        <v>11</v>
      </c>
      <c r="CB801" t="n">
        <v>0</v>
      </c>
      <c r="CF801" t="inlineStr">
        <is>
          <t>Cobranzas_2027.csv</t>
        </is>
      </c>
      <c r="CG801" t="n">
        <v>2027</v>
      </c>
      <c r="CH801" t="inlineStr">
        <is>
          <t>01/01/2024</t>
        </is>
      </c>
      <c r="CI801" t="inlineStr">
        <is>
          <t>24/08/2031</t>
        </is>
      </c>
    </row>
    <row r="802">
      <c r="A802" t="inlineStr">
        <is>
          <t>RESIDENCIAL VENECIA</t>
        </is>
      </c>
      <c r="B802" t="inlineStr">
        <is>
          <t>Etapa 1</t>
        </is>
      </c>
      <c r="C802" t="inlineStr">
        <is>
          <t>Edificio</t>
        </is>
      </c>
      <c r="D802" t="inlineStr">
        <is>
          <t>A</t>
        </is>
      </c>
      <c r="E802" t="inlineStr">
        <is>
          <t>Departamento</t>
        </is>
      </c>
      <c r="F802" t="inlineStr">
        <is>
          <t>302</t>
        </is>
      </c>
      <c r="G802" t="n">
        <v>83</v>
      </c>
      <c r="H802" t="n">
        <v>0</v>
      </c>
      <c r="I802" s="39" t="n">
        <v>623000</v>
      </c>
      <c r="J802" s="39" t="n">
        <v>600000</v>
      </c>
      <c r="Q802" s="39" t="n"/>
      <c r="R802" s="39" t="n"/>
      <c r="Y802" s="39" t="n"/>
      <c r="Z802" s="39" t="n"/>
      <c r="AG802" s="39" t="n"/>
      <c r="AH802" s="39" t="n"/>
      <c r="AI802" t="inlineStr">
        <is>
          <t>Patricia Salazar Aparcana</t>
        </is>
      </c>
      <c r="AJ802" t="inlineStr">
        <is>
          <t>10142891</t>
        </is>
      </c>
      <c r="AK802" t="inlineStr">
        <is>
          <t xml:space="preserve"> Jr. Manco segundo 2258 dpto 207</t>
        </is>
      </c>
      <c r="AL802" t="n">
        <v>0</v>
      </c>
      <c r="AM802" t="inlineStr">
        <is>
          <t>996611448</t>
        </is>
      </c>
      <c r="AN802" t="inlineStr">
        <is>
          <t>PATRICIASALAZAR25@HOTMAIL.COM</t>
        </is>
      </c>
      <c r="AO802" t="inlineStr">
        <is>
          <t>LIMA</t>
        </is>
      </c>
      <c r="AP802" t="inlineStr">
        <is>
          <t>LINCE</t>
        </is>
      </c>
      <c r="AQ802" s="75" t="n">
        <v>46416</v>
      </c>
      <c r="AR802" s="75" t="n"/>
      <c r="AS802" t="inlineStr">
        <is>
          <t>SALDO FINANCIAR</t>
        </is>
      </c>
      <c r="AT802" t="n">
        <v>1</v>
      </c>
      <c r="AU802" t="n">
        <v>540000</v>
      </c>
      <c r="AV802" t="n">
        <v>0</v>
      </c>
      <c r="AW802" t="n">
        <v>0</v>
      </c>
      <c r="AX802" s="39" t="n">
        <v>540000</v>
      </c>
      <c r="AY802" s="39" t="n">
        <v>0</v>
      </c>
      <c r="AZ802" s="39" t="n">
        <v>540000</v>
      </c>
      <c r="BB802" t="inlineStr">
        <is>
          <t>Ahorro</t>
        </is>
      </c>
      <c r="BH802" t="inlineStr">
        <is>
          <t>No</t>
        </is>
      </c>
      <c r="BK802" t="inlineStr">
        <is>
          <t>PENDIENTE</t>
        </is>
      </c>
      <c r="BV802" t="inlineStr">
        <is>
          <t>No</t>
        </is>
      </c>
      <c r="BW802" s="76" t="n">
        <v>46081.33819444444</v>
      </c>
      <c r="BX802" t="inlineStr">
        <is>
          <t>Magaly Guevara Perez</t>
        </is>
      </c>
      <c r="BZ802" t="n">
        <v>1</v>
      </c>
      <c r="CB802" t="n">
        <v>0</v>
      </c>
      <c r="CF802" t="inlineStr">
        <is>
          <t>Cobranzas_2027.csv</t>
        </is>
      </c>
      <c r="CG802" t="n">
        <v>2027</v>
      </c>
      <c r="CH802" t="inlineStr">
        <is>
          <t>01/01/2024</t>
        </is>
      </c>
      <c r="CI802" t="inlineStr">
        <is>
          <t>24/08/2031</t>
        </is>
      </c>
    </row>
    <row r="803">
      <c r="A803" t="inlineStr">
        <is>
          <t>RESIDENCIAL BEYOND</t>
        </is>
      </c>
      <c r="B803" t="inlineStr">
        <is>
          <t>Etapa 1</t>
        </is>
      </c>
      <c r="C803" t="inlineStr">
        <is>
          <t>Edificio</t>
        </is>
      </c>
      <c r="D803" t="inlineStr">
        <is>
          <t>A</t>
        </is>
      </c>
      <c r="E803" t="inlineStr">
        <is>
          <t>Departamento</t>
        </is>
      </c>
      <c r="F803" t="inlineStr">
        <is>
          <t>1503</t>
        </is>
      </c>
      <c r="G803" t="n">
        <v>68</v>
      </c>
      <c r="H803" t="n">
        <v>0</v>
      </c>
      <c r="I803" s="39" t="n">
        <v>504700</v>
      </c>
      <c r="J803" s="39" t="n">
        <v>455000</v>
      </c>
      <c r="K803" t="inlineStr">
        <is>
          <t>Edificio</t>
        </is>
      </c>
      <c r="L803" t="inlineStr">
        <is>
          <t>A</t>
        </is>
      </c>
      <c r="M803" t="inlineStr">
        <is>
          <t>Estacionamiento</t>
        </is>
      </c>
      <c r="N803" t="inlineStr">
        <is>
          <t>E 01</t>
        </is>
      </c>
      <c r="O803" t="n">
        <v>12.5</v>
      </c>
      <c r="P803" t="n">
        <v>0</v>
      </c>
      <c r="Q803" s="39" t="n">
        <v>47500</v>
      </c>
      <c r="R803" s="39" t="n">
        <v>47500</v>
      </c>
      <c r="Y803" s="39" t="n"/>
      <c r="Z803" s="39" t="n"/>
      <c r="AG803" s="39" t="n"/>
      <c r="AH803" s="39" t="n"/>
      <c r="AI803" t="inlineStr">
        <is>
          <t>RIta Hermelinda Monje Casafranca</t>
        </is>
      </c>
      <c r="AJ803" t="inlineStr">
        <is>
          <t>23959890</t>
        </is>
      </c>
      <c r="AK803" t="inlineStr">
        <is>
          <t>Av. Gregorio Escobedo 570, Dpto N°1602</t>
        </is>
      </c>
      <c r="AL803" t="n">
        <v>0</v>
      </c>
      <c r="AM803" t="inlineStr">
        <is>
          <t>984620296</t>
        </is>
      </c>
      <c r="AN803" t="inlineStr">
        <is>
          <t>rhmc1611@gmail.com</t>
        </is>
      </c>
      <c r="AO803" t="inlineStr">
        <is>
          <t>LIMA</t>
        </is>
      </c>
      <c r="AP803" t="inlineStr">
        <is>
          <t>JESUS MARIA</t>
        </is>
      </c>
      <c r="AQ803" s="75" t="n">
        <v>46446</v>
      </c>
      <c r="AR803" s="75" t="n"/>
      <c r="AS803" t="inlineStr">
        <is>
          <t>CUOTA INICIAL</t>
        </is>
      </c>
      <c r="AT803" t="n">
        <v>4</v>
      </c>
      <c r="AU803" t="n">
        <v>50000</v>
      </c>
      <c r="AV803" t="n">
        <v>0</v>
      </c>
      <c r="AW803" t="n">
        <v>0</v>
      </c>
      <c r="AX803" s="39" t="n">
        <v>50000</v>
      </c>
      <c r="AY803" s="39" t="n">
        <v>0</v>
      </c>
      <c r="AZ803" s="39" t="n">
        <v>50000</v>
      </c>
      <c r="BB803" t="inlineStr">
        <is>
          <t>Crédito Directo</t>
        </is>
      </c>
      <c r="BH803" t="inlineStr">
        <is>
          <t>No</t>
        </is>
      </c>
      <c r="BK803" t="inlineStr">
        <is>
          <t>PENDIENTE</t>
        </is>
      </c>
      <c r="BV803" t="inlineStr">
        <is>
          <t>No</t>
        </is>
      </c>
      <c r="BW803" s="76" t="n">
        <v>46165.40555555555</v>
      </c>
      <c r="BX803" t="inlineStr">
        <is>
          <t>Kenny Salazar S</t>
        </is>
      </c>
      <c r="BZ803" t="n">
        <v>47</v>
      </c>
      <c r="CB803" t="n">
        <v>0</v>
      </c>
      <c r="CF803" t="inlineStr">
        <is>
          <t>Cobranzas_2027.csv</t>
        </is>
      </c>
      <c r="CG803" t="n">
        <v>2027</v>
      </c>
      <c r="CH803" t="inlineStr">
        <is>
          <t>01/01/2024</t>
        </is>
      </c>
      <c r="CI803" t="inlineStr">
        <is>
          <t>24/08/2031</t>
        </is>
      </c>
    </row>
    <row r="804">
      <c r="A804" t="inlineStr">
        <is>
          <t>RESIDENCIAL BEYOND</t>
        </is>
      </c>
      <c r="B804" t="inlineStr">
        <is>
          <t>Etapa 1</t>
        </is>
      </c>
      <c r="C804" t="inlineStr">
        <is>
          <t>Edificio</t>
        </is>
      </c>
      <c r="D804" t="inlineStr">
        <is>
          <t>A</t>
        </is>
      </c>
      <c r="E804" t="inlineStr">
        <is>
          <t>Departamento</t>
        </is>
      </c>
      <c r="F804" t="inlineStr">
        <is>
          <t>1503</t>
        </is>
      </c>
      <c r="G804" t="n">
        <v>68</v>
      </c>
      <c r="H804" t="n">
        <v>0</v>
      </c>
      <c r="I804" s="39" t="n">
        <v>504700</v>
      </c>
      <c r="J804" s="39" t="n">
        <v>455000</v>
      </c>
      <c r="K804" t="inlineStr">
        <is>
          <t>Edificio</t>
        </is>
      </c>
      <c r="L804" t="inlineStr">
        <is>
          <t>A</t>
        </is>
      </c>
      <c r="M804" t="inlineStr">
        <is>
          <t>Estacionamiento</t>
        </is>
      </c>
      <c r="N804" t="inlineStr">
        <is>
          <t>E 01</t>
        </is>
      </c>
      <c r="O804" t="n">
        <v>12.5</v>
      </c>
      <c r="P804" t="n">
        <v>0</v>
      </c>
      <c r="Q804" s="39" t="n">
        <v>47500</v>
      </c>
      <c r="R804" s="39" t="n">
        <v>47500</v>
      </c>
      <c r="Y804" s="39" t="n"/>
      <c r="Z804" s="39" t="n"/>
      <c r="AG804" s="39" t="n"/>
      <c r="AH804" s="39" t="n"/>
      <c r="AI804" t="inlineStr">
        <is>
          <t>RIta Hermelinda Monje Casafranca</t>
        </is>
      </c>
      <c r="AJ804" t="inlineStr">
        <is>
          <t>23959890</t>
        </is>
      </c>
      <c r="AK804" t="inlineStr">
        <is>
          <t>Av. Gregorio Escobedo 570, Dpto N°1602</t>
        </is>
      </c>
      <c r="AL804" t="n">
        <v>0</v>
      </c>
      <c r="AM804" t="inlineStr">
        <is>
          <t>984620296</t>
        </is>
      </c>
      <c r="AN804" t="inlineStr">
        <is>
          <t>rhmc1611@gmail.com</t>
        </is>
      </c>
      <c r="AO804" t="inlineStr">
        <is>
          <t>LIMA</t>
        </is>
      </c>
      <c r="AP804" t="inlineStr">
        <is>
          <t>JESUS MARIA</t>
        </is>
      </c>
      <c r="AQ804" s="75" t="n">
        <v>46598</v>
      </c>
      <c r="AR804" s="75" t="n"/>
      <c r="AS804" t="inlineStr">
        <is>
          <t>SALDO FINANCIAR</t>
        </is>
      </c>
      <c r="AT804" t="n">
        <v>1</v>
      </c>
      <c r="AU804" t="n">
        <v>352250</v>
      </c>
      <c r="AV804" t="n">
        <v>0</v>
      </c>
      <c r="AW804" t="n">
        <v>0</v>
      </c>
      <c r="AX804" s="39" t="n">
        <v>352250</v>
      </c>
      <c r="AY804" s="39" t="n">
        <v>0</v>
      </c>
      <c r="AZ804" s="39" t="n">
        <v>352250</v>
      </c>
      <c r="BB804" t="inlineStr">
        <is>
          <t>Crédito Directo</t>
        </is>
      </c>
      <c r="BH804" t="inlineStr">
        <is>
          <t>No</t>
        </is>
      </c>
      <c r="BK804" t="inlineStr">
        <is>
          <t>PENDIENTE</t>
        </is>
      </c>
      <c r="BV804" t="inlineStr">
        <is>
          <t>No</t>
        </is>
      </c>
      <c r="BW804" s="76" t="n">
        <v>46165.40555555555</v>
      </c>
      <c r="BX804" t="inlineStr">
        <is>
          <t>Kenny Salazar S</t>
        </is>
      </c>
      <c r="BZ804" t="n">
        <v>47</v>
      </c>
      <c r="CB804" t="n">
        <v>0</v>
      </c>
      <c r="CF804" t="inlineStr">
        <is>
          <t>Cobranzas_2027.csv</t>
        </is>
      </c>
      <c r="CG804" t="n">
        <v>2027</v>
      </c>
      <c r="CH804" t="inlineStr">
        <is>
          <t>01/01/2024</t>
        </is>
      </c>
      <c r="CI804" t="inlineStr">
        <is>
          <t>24/08/2031</t>
        </is>
      </c>
    </row>
    <row r="805">
      <c r="A805" t="inlineStr">
        <is>
          <t>RESIDENCIAL VENECIA</t>
        </is>
      </c>
      <c r="B805" t="inlineStr">
        <is>
          <t>Etapa 1</t>
        </is>
      </c>
      <c r="C805" t="inlineStr">
        <is>
          <t>Edificio</t>
        </is>
      </c>
      <c r="D805" t="inlineStr">
        <is>
          <t>A</t>
        </is>
      </c>
      <c r="E805" t="inlineStr">
        <is>
          <t>Departamento</t>
        </is>
      </c>
      <c r="F805" t="inlineStr">
        <is>
          <t>602</t>
        </is>
      </c>
      <c r="G805" t="n">
        <v>83</v>
      </c>
      <c r="H805" t="n">
        <v>0</v>
      </c>
      <c r="I805" s="39" t="n">
        <v>573000</v>
      </c>
      <c r="J805" s="39" t="n">
        <v>573000</v>
      </c>
      <c r="K805" t="inlineStr">
        <is>
          <t>Edificio</t>
        </is>
      </c>
      <c r="L805" t="inlineStr">
        <is>
          <t>A</t>
        </is>
      </c>
      <c r="M805" t="inlineStr">
        <is>
          <t>Estacionamiento</t>
        </is>
      </c>
      <c r="N805" t="inlineStr">
        <is>
          <t>E 24 - D 5</t>
        </is>
      </c>
      <c r="O805" t="n">
        <v>16.28</v>
      </c>
      <c r="P805" t="n">
        <v>0</v>
      </c>
      <c r="Q805" s="39" t="n">
        <v>51000</v>
      </c>
      <c r="R805" s="39" t="n">
        <v>51000</v>
      </c>
      <c r="Y805" s="39" t="n"/>
      <c r="Z805" s="39" t="n"/>
      <c r="AG805" s="39" t="n"/>
      <c r="AH805" s="39" t="n"/>
      <c r="AI805" t="inlineStr">
        <is>
          <t>Rocio Chuquimango Valencia</t>
        </is>
      </c>
      <c r="AJ805" t="inlineStr">
        <is>
          <t>26707781</t>
        </is>
      </c>
      <c r="AK805" t="inlineStr">
        <is>
          <t xml:space="preserve">AV.ATAHUALPA 337.INT 2 </t>
        </is>
      </c>
      <c r="AL805" t="n">
        <v>0</v>
      </c>
      <c r="AM805" t="inlineStr">
        <is>
          <t>976685767</t>
        </is>
      </c>
      <c r="AN805" t="inlineStr">
        <is>
          <t>rocio-0511@hotmail.com</t>
        </is>
      </c>
      <c r="AO805" t="inlineStr">
        <is>
          <t>CAJAMARCA</t>
        </is>
      </c>
      <c r="AP805" t="inlineStr">
        <is>
          <t>CAJAMARCA</t>
        </is>
      </c>
      <c r="AQ805" s="75" t="n">
        <v>46418</v>
      </c>
      <c r="AR805" s="75" t="n"/>
      <c r="AS805" t="inlineStr">
        <is>
          <t>SALDO FINANCIAR</t>
        </is>
      </c>
      <c r="AT805" t="n">
        <v>7</v>
      </c>
      <c r="AU805" t="n">
        <v>24266.67</v>
      </c>
      <c r="AV805" t="n">
        <v>0</v>
      </c>
      <c r="AW805" t="n">
        <v>0</v>
      </c>
      <c r="AX805" s="39" t="n">
        <v>24266.67</v>
      </c>
      <c r="AY805" s="39" t="n">
        <v>0</v>
      </c>
      <c r="AZ805" s="39" t="n">
        <v>24266.67</v>
      </c>
      <c r="BB805" t="inlineStr">
        <is>
          <t>Crédito Directo</t>
        </is>
      </c>
      <c r="BH805" t="inlineStr">
        <is>
          <t>No</t>
        </is>
      </c>
      <c r="BK805" t="inlineStr">
        <is>
          <t>PENDIENTE</t>
        </is>
      </c>
      <c r="BV805" t="inlineStr">
        <is>
          <t>No</t>
        </is>
      </c>
      <c r="BW805" s="76" t="n">
        <v>45898.34652777778</v>
      </c>
      <c r="BX805" t="inlineStr">
        <is>
          <t>Magaly Guevara Perez</t>
        </is>
      </c>
      <c r="BZ805" t="n">
        <v>12</v>
      </c>
      <c r="CB805" t="n">
        <v>0</v>
      </c>
      <c r="CF805" t="inlineStr">
        <is>
          <t>Cobranzas_2027.csv</t>
        </is>
      </c>
      <c r="CG805" t="n">
        <v>2027</v>
      </c>
      <c r="CH805" t="inlineStr">
        <is>
          <t>01/01/2024</t>
        </is>
      </c>
      <c r="CI805" t="inlineStr">
        <is>
          <t>24/08/2031</t>
        </is>
      </c>
    </row>
    <row r="806">
      <c r="A806" t="inlineStr">
        <is>
          <t>RESIDENCIAL VENECIA</t>
        </is>
      </c>
      <c r="B806" t="inlineStr">
        <is>
          <t>Etapa 1</t>
        </is>
      </c>
      <c r="C806" t="inlineStr">
        <is>
          <t>Edificio</t>
        </is>
      </c>
      <c r="D806" t="inlineStr">
        <is>
          <t>A</t>
        </is>
      </c>
      <c r="E806" t="inlineStr">
        <is>
          <t>Departamento</t>
        </is>
      </c>
      <c r="F806" t="inlineStr">
        <is>
          <t>602</t>
        </is>
      </c>
      <c r="G806" t="n">
        <v>83</v>
      </c>
      <c r="H806" t="n">
        <v>0</v>
      </c>
      <c r="I806" s="39" t="n">
        <v>573000</v>
      </c>
      <c r="J806" s="39" t="n">
        <v>573000</v>
      </c>
      <c r="K806" t="inlineStr">
        <is>
          <t>Edificio</t>
        </is>
      </c>
      <c r="L806" t="inlineStr">
        <is>
          <t>A</t>
        </is>
      </c>
      <c r="M806" t="inlineStr">
        <is>
          <t>Estacionamiento</t>
        </is>
      </c>
      <c r="N806" t="inlineStr">
        <is>
          <t>E 24 - D 5</t>
        </is>
      </c>
      <c r="O806" t="n">
        <v>16.28</v>
      </c>
      <c r="P806" t="n">
        <v>0</v>
      </c>
      <c r="Q806" s="39" t="n">
        <v>51000</v>
      </c>
      <c r="R806" s="39" t="n">
        <v>51000</v>
      </c>
      <c r="Y806" s="39" t="n"/>
      <c r="Z806" s="39" t="n"/>
      <c r="AG806" s="39" t="n"/>
      <c r="AH806" s="39" t="n"/>
      <c r="AI806" t="inlineStr">
        <is>
          <t>Rocio Chuquimango Valencia</t>
        </is>
      </c>
      <c r="AJ806" t="inlineStr">
        <is>
          <t>26707781</t>
        </is>
      </c>
      <c r="AK806" t="inlineStr">
        <is>
          <t xml:space="preserve">AV.ATAHUALPA 337.INT 2 </t>
        </is>
      </c>
      <c r="AL806" t="n">
        <v>0</v>
      </c>
      <c r="AM806" t="inlineStr">
        <is>
          <t>976685767</t>
        </is>
      </c>
      <c r="AN806" t="inlineStr">
        <is>
          <t>rocio-0511@hotmail.com</t>
        </is>
      </c>
      <c r="AO806" t="inlineStr">
        <is>
          <t>CAJAMARCA</t>
        </is>
      </c>
      <c r="AP806" t="inlineStr">
        <is>
          <t>CAJAMARCA</t>
        </is>
      </c>
      <c r="AQ806" s="75" t="n">
        <v>46446</v>
      </c>
      <c r="AR806" s="75" t="n"/>
      <c r="AS806" t="inlineStr">
        <is>
          <t>SALDO FINANCIAR</t>
        </is>
      </c>
      <c r="AT806" t="n">
        <v>8</v>
      </c>
      <c r="AU806" t="n">
        <v>24266.67</v>
      </c>
      <c r="AV806" t="n">
        <v>0</v>
      </c>
      <c r="AW806" t="n">
        <v>0</v>
      </c>
      <c r="AX806" s="39" t="n">
        <v>24266.67</v>
      </c>
      <c r="AY806" s="39" t="n">
        <v>0</v>
      </c>
      <c r="AZ806" s="39" t="n">
        <v>24266.67</v>
      </c>
      <c r="BB806" t="inlineStr">
        <is>
          <t>Crédito Directo</t>
        </is>
      </c>
      <c r="BH806" t="inlineStr">
        <is>
          <t>No</t>
        </is>
      </c>
      <c r="BK806" t="inlineStr">
        <is>
          <t>PENDIENTE</t>
        </is>
      </c>
      <c r="BV806" t="inlineStr">
        <is>
          <t>No</t>
        </is>
      </c>
      <c r="BW806" s="76" t="n">
        <v>45898.34652777778</v>
      </c>
      <c r="BX806" t="inlineStr">
        <is>
          <t>Magaly Guevara Perez</t>
        </is>
      </c>
      <c r="BZ806" t="n">
        <v>12</v>
      </c>
      <c r="CB806" t="n">
        <v>0</v>
      </c>
      <c r="CF806" t="inlineStr">
        <is>
          <t>Cobranzas_2027.csv</t>
        </is>
      </c>
      <c r="CG806" t="n">
        <v>2027</v>
      </c>
      <c r="CH806" t="inlineStr">
        <is>
          <t>01/01/2024</t>
        </is>
      </c>
      <c r="CI806" t="inlineStr">
        <is>
          <t>24/08/2031</t>
        </is>
      </c>
    </row>
    <row r="807">
      <c r="A807" t="inlineStr">
        <is>
          <t>RESIDENCIAL VENECIA</t>
        </is>
      </c>
      <c r="B807" t="inlineStr">
        <is>
          <t>Etapa 1</t>
        </is>
      </c>
      <c r="C807" t="inlineStr">
        <is>
          <t>Edificio</t>
        </is>
      </c>
      <c r="D807" t="inlineStr">
        <is>
          <t>A</t>
        </is>
      </c>
      <c r="E807" t="inlineStr">
        <is>
          <t>Departamento</t>
        </is>
      </c>
      <c r="F807" t="inlineStr">
        <is>
          <t>602</t>
        </is>
      </c>
      <c r="G807" t="n">
        <v>83</v>
      </c>
      <c r="H807" t="n">
        <v>0</v>
      </c>
      <c r="I807" s="39" t="n">
        <v>573000</v>
      </c>
      <c r="J807" s="39" t="n">
        <v>573000</v>
      </c>
      <c r="K807" t="inlineStr">
        <is>
          <t>Edificio</t>
        </is>
      </c>
      <c r="L807" t="inlineStr">
        <is>
          <t>A</t>
        </is>
      </c>
      <c r="M807" t="inlineStr">
        <is>
          <t>Estacionamiento</t>
        </is>
      </c>
      <c r="N807" t="inlineStr">
        <is>
          <t>E 24 - D 5</t>
        </is>
      </c>
      <c r="O807" t="n">
        <v>16.28</v>
      </c>
      <c r="P807" t="n">
        <v>0</v>
      </c>
      <c r="Q807" s="39" t="n">
        <v>51000</v>
      </c>
      <c r="R807" s="39" t="n">
        <v>51000</v>
      </c>
      <c r="Y807" s="39" t="n"/>
      <c r="Z807" s="39" t="n"/>
      <c r="AG807" s="39" t="n"/>
      <c r="AH807" s="39" t="n"/>
      <c r="AI807" t="inlineStr">
        <is>
          <t>Rocio Chuquimango Valencia</t>
        </is>
      </c>
      <c r="AJ807" t="inlineStr">
        <is>
          <t>26707781</t>
        </is>
      </c>
      <c r="AK807" t="inlineStr">
        <is>
          <t xml:space="preserve">AV.ATAHUALPA 337.INT 2 </t>
        </is>
      </c>
      <c r="AL807" t="n">
        <v>0</v>
      </c>
      <c r="AM807" t="inlineStr">
        <is>
          <t>976685767</t>
        </is>
      </c>
      <c r="AN807" t="inlineStr">
        <is>
          <t>rocio-0511@hotmail.com</t>
        </is>
      </c>
      <c r="AO807" t="inlineStr">
        <is>
          <t>CAJAMARCA</t>
        </is>
      </c>
      <c r="AP807" t="inlineStr">
        <is>
          <t>CAJAMARCA</t>
        </is>
      </c>
      <c r="AQ807" s="75" t="n">
        <v>46477</v>
      </c>
      <c r="AR807" s="75" t="n"/>
      <c r="AS807" t="inlineStr">
        <is>
          <t>SALDO FINANCIAR</t>
        </is>
      </c>
      <c r="AT807" t="n">
        <v>9</v>
      </c>
      <c r="AU807" t="n">
        <v>24266.67</v>
      </c>
      <c r="AV807" t="n">
        <v>0</v>
      </c>
      <c r="AW807" t="n">
        <v>0</v>
      </c>
      <c r="AX807" s="39" t="n">
        <v>24266.67</v>
      </c>
      <c r="AY807" s="39" t="n">
        <v>0</v>
      </c>
      <c r="AZ807" s="39" t="n">
        <v>24266.67</v>
      </c>
      <c r="BB807" t="inlineStr">
        <is>
          <t>Crédito Directo</t>
        </is>
      </c>
      <c r="BH807" t="inlineStr">
        <is>
          <t>No</t>
        </is>
      </c>
      <c r="BK807" t="inlineStr">
        <is>
          <t>PENDIENTE</t>
        </is>
      </c>
      <c r="BV807" t="inlineStr">
        <is>
          <t>No</t>
        </is>
      </c>
      <c r="BW807" s="76" t="n">
        <v>45898.34652777778</v>
      </c>
      <c r="BX807" t="inlineStr">
        <is>
          <t>Magaly Guevara Perez</t>
        </is>
      </c>
      <c r="BZ807" t="n">
        <v>12</v>
      </c>
      <c r="CB807" t="n">
        <v>0</v>
      </c>
      <c r="CF807" t="inlineStr">
        <is>
          <t>Cobranzas_2027.csv</t>
        </is>
      </c>
      <c r="CG807" t="n">
        <v>2027</v>
      </c>
      <c r="CH807" t="inlineStr">
        <is>
          <t>01/01/2024</t>
        </is>
      </c>
      <c r="CI807" t="inlineStr">
        <is>
          <t>24/08/2031</t>
        </is>
      </c>
    </row>
    <row r="808">
      <c r="A808" t="inlineStr">
        <is>
          <t>RESIDENCIAL VENECIA</t>
        </is>
      </c>
      <c r="B808" t="inlineStr">
        <is>
          <t>Etapa 1</t>
        </is>
      </c>
      <c r="C808" t="inlineStr">
        <is>
          <t>Edificio</t>
        </is>
      </c>
      <c r="D808" t="inlineStr">
        <is>
          <t>A</t>
        </is>
      </c>
      <c r="E808" t="inlineStr">
        <is>
          <t>Departamento</t>
        </is>
      </c>
      <c r="F808" t="inlineStr">
        <is>
          <t>602</t>
        </is>
      </c>
      <c r="G808" t="n">
        <v>83</v>
      </c>
      <c r="H808" t="n">
        <v>0</v>
      </c>
      <c r="I808" s="39" t="n">
        <v>573000</v>
      </c>
      <c r="J808" s="39" t="n">
        <v>573000</v>
      </c>
      <c r="K808" t="inlineStr">
        <is>
          <t>Edificio</t>
        </is>
      </c>
      <c r="L808" t="inlineStr">
        <is>
          <t>A</t>
        </is>
      </c>
      <c r="M808" t="inlineStr">
        <is>
          <t>Estacionamiento</t>
        </is>
      </c>
      <c r="N808" t="inlineStr">
        <is>
          <t>E 24 - D 5</t>
        </is>
      </c>
      <c r="O808" t="n">
        <v>16.28</v>
      </c>
      <c r="P808" t="n">
        <v>0</v>
      </c>
      <c r="Q808" s="39" t="n">
        <v>51000</v>
      </c>
      <c r="R808" s="39" t="n">
        <v>51000</v>
      </c>
      <c r="Y808" s="39" t="n"/>
      <c r="Z808" s="39" t="n"/>
      <c r="AG808" s="39" t="n"/>
      <c r="AH808" s="39" t="n"/>
      <c r="AI808" t="inlineStr">
        <is>
          <t>Rocio Chuquimango Valencia</t>
        </is>
      </c>
      <c r="AJ808" t="inlineStr">
        <is>
          <t>26707781</t>
        </is>
      </c>
      <c r="AK808" t="inlineStr">
        <is>
          <t xml:space="preserve">AV.ATAHUALPA 337.INT 2 </t>
        </is>
      </c>
      <c r="AL808" t="n">
        <v>0</v>
      </c>
      <c r="AM808" t="inlineStr">
        <is>
          <t>976685767</t>
        </is>
      </c>
      <c r="AN808" t="inlineStr">
        <is>
          <t>rocio-0511@hotmail.com</t>
        </is>
      </c>
      <c r="AO808" t="inlineStr">
        <is>
          <t>CAJAMARCA</t>
        </is>
      </c>
      <c r="AP808" t="inlineStr">
        <is>
          <t>CAJAMARCA</t>
        </is>
      </c>
      <c r="AQ808" s="75" t="n">
        <v>46507</v>
      </c>
      <c r="AR808" s="75" t="n"/>
      <c r="AS808" t="inlineStr">
        <is>
          <t>SALDO FINANCIAR</t>
        </is>
      </c>
      <c r="AT808" t="n">
        <v>10</v>
      </c>
      <c r="AU808" t="n">
        <v>24266.67</v>
      </c>
      <c r="AV808" t="n">
        <v>0</v>
      </c>
      <c r="AW808" t="n">
        <v>0</v>
      </c>
      <c r="AX808" s="39" t="n">
        <v>24266.67</v>
      </c>
      <c r="AY808" s="39" t="n">
        <v>0</v>
      </c>
      <c r="AZ808" s="39" t="n">
        <v>24266.67</v>
      </c>
      <c r="BB808" t="inlineStr">
        <is>
          <t>Crédito Directo</t>
        </is>
      </c>
      <c r="BH808" t="inlineStr">
        <is>
          <t>No</t>
        </is>
      </c>
      <c r="BK808" t="inlineStr">
        <is>
          <t>PENDIENTE</t>
        </is>
      </c>
      <c r="BV808" t="inlineStr">
        <is>
          <t>No</t>
        </is>
      </c>
      <c r="BW808" s="76" t="n">
        <v>45898.34652777778</v>
      </c>
      <c r="BX808" t="inlineStr">
        <is>
          <t>Magaly Guevara Perez</t>
        </is>
      </c>
      <c r="BZ808" t="n">
        <v>12</v>
      </c>
      <c r="CB808" t="n">
        <v>0</v>
      </c>
      <c r="CF808" t="inlineStr">
        <is>
          <t>Cobranzas_2027.csv</t>
        </is>
      </c>
      <c r="CG808" t="n">
        <v>2027</v>
      </c>
      <c r="CH808" t="inlineStr">
        <is>
          <t>01/01/2024</t>
        </is>
      </c>
      <c r="CI808" t="inlineStr">
        <is>
          <t>24/08/2031</t>
        </is>
      </c>
    </row>
    <row r="809">
      <c r="A809" t="inlineStr">
        <is>
          <t>RESIDENCIAL VENECIA</t>
        </is>
      </c>
      <c r="B809" t="inlineStr">
        <is>
          <t>Etapa 1</t>
        </is>
      </c>
      <c r="C809" t="inlineStr">
        <is>
          <t>Edificio</t>
        </is>
      </c>
      <c r="D809" t="inlineStr">
        <is>
          <t>A</t>
        </is>
      </c>
      <c r="E809" t="inlineStr">
        <is>
          <t>Departamento</t>
        </is>
      </c>
      <c r="F809" t="inlineStr">
        <is>
          <t>602</t>
        </is>
      </c>
      <c r="G809" t="n">
        <v>83</v>
      </c>
      <c r="H809" t="n">
        <v>0</v>
      </c>
      <c r="I809" s="39" t="n">
        <v>573000</v>
      </c>
      <c r="J809" s="39" t="n">
        <v>573000</v>
      </c>
      <c r="K809" t="inlineStr">
        <is>
          <t>Edificio</t>
        </is>
      </c>
      <c r="L809" t="inlineStr">
        <is>
          <t>A</t>
        </is>
      </c>
      <c r="M809" t="inlineStr">
        <is>
          <t>Estacionamiento</t>
        </is>
      </c>
      <c r="N809" t="inlineStr">
        <is>
          <t>E 24 - D 5</t>
        </is>
      </c>
      <c r="O809" t="n">
        <v>16.28</v>
      </c>
      <c r="P809" t="n">
        <v>0</v>
      </c>
      <c r="Q809" s="39" t="n">
        <v>51000</v>
      </c>
      <c r="R809" s="39" t="n">
        <v>51000</v>
      </c>
      <c r="Y809" s="39" t="n"/>
      <c r="Z809" s="39" t="n"/>
      <c r="AG809" s="39" t="n"/>
      <c r="AH809" s="39" t="n"/>
      <c r="AI809" t="inlineStr">
        <is>
          <t>Rocio Chuquimango Valencia</t>
        </is>
      </c>
      <c r="AJ809" t="inlineStr">
        <is>
          <t>26707781</t>
        </is>
      </c>
      <c r="AK809" t="inlineStr">
        <is>
          <t xml:space="preserve">AV.ATAHUALPA 337.INT 2 </t>
        </is>
      </c>
      <c r="AL809" t="n">
        <v>0</v>
      </c>
      <c r="AM809" t="inlineStr">
        <is>
          <t>976685767</t>
        </is>
      </c>
      <c r="AN809" t="inlineStr">
        <is>
          <t>rocio-0511@hotmail.com</t>
        </is>
      </c>
      <c r="AO809" t="inlineStr">
        <is>
          <t>CAJAMARCA</t>
        </is>
      </c>
      <c r="AP809" t="inlineStr">
        <is>
          <t>CAJAMARCA</t>
        </is>
      </c>
      <c r="AQ809" s="75" t="n">
        <v>46538</v>
      </c>
      <c r="AR809" s="75" t="n"/>
      <c r="AS809" t="inlineStr">
        <is>
          <t>SALDO FINANCIAR</t>
        </is>
      </c>
      <c r="AT809" t="n">
        <v>11</v>
      </c>
      <c r="AU809" t="n">
        <v>24266.67</v>
      </c>
      <c r="AV809" t="n">
        <v>0</v>
      </c>
      <c r="AW809" t="n">
        <v>0</v>
      </c>
      <c r="AX809" s="39" t="n">
        <v>24266.67</v>
      </c>
      <c r="AY809" s="39" t="n">
        <v>0</v>
      </c>
      <c r="AZ809" s="39" t="n">
        <v>24266.67</v>
      </c>
      <c r="BB809" t="inlineStr">
        <is>
          <t>Crédito Directo</t>
        </is>
      </c>
      <c r="BH809" t="inlineStr">
        <is>
          <t>No</t>
        </is>
      </c>
      <c r="BK809" t="inlineStr">
        <is>
          <t>PENDIENTE</t>
        </is>
      </c>
      <c r="BV809" t="inlineStr">
        <is>
          <t>No</t>
        </is>
      </c>
      <c r="BW809" s="76" t="n">
        <v>45898.34652777778</v>
      </c>
      <c r="BX809" t="inlineStr">
        <is>
          <t>Magaly Guevara Perez</t>
        </is>
      </c>
      <c r="BZ809" t="n">
        <v>12</v>
      </c>
      <c r="CB809" t="n">
        <v>0</v>
      </c>
      <c r="CF809" t="inlineStr">
        <is>
          <t>Cobranzas_2027.csv</t>
        </is>
      </c>
      <c r="CG809" t="n">
        <v>2027</v>
      </c>
      <c r="CH809" t="inlineStr">
        <is>
          <t>01/01/2024</t>
        </is>
      </c>
      <c r="CI809" t="inlineStr">
        <is>
          <t>24/08/2031</t>
        </is>
      </c>
    </row>
    <row r="810">
      <c r="A810" t="inlineStr">
        <is>
          <t>RESIDENCIAL VENECIA</t>
        </is>
      </c>
      <c r="B810" t="inlineStr">
        <is>
          <t>Etapa 1</t>
        </is>
      </c>
      <c r="C810" t="inlineStr">
        <is>
          <t>Edificio</t>
        </is>
      </c>
      <c r="D810" t="inlineStr">
        <is>
          <t>A</t>
        </is>
      </c>
      <c r="E810" t="inlineStr">
        <is>
          <t>Departamento</t>
        </is>
      </c>
      <c r="F810" t="inlineStr">
        <is>
          <t>602</t>
        </is>
      </c>
      <c r="G810" t="n">
        <v>83</v>
      </c>
      <c r="H810" t="n">
        <v>0</v>
      </c>
      <c r="I810" s="39" t="n">
        <v>573000</v>
      </c>
      <c r="J810" s="39" t="n">
        <v>573000</v>
      </c>
      <c r="K810" t="inlineStr">
        <is>
          <t>Edificio</t>
        </is>
      </c>
      <c r="L810" t="inlineStr">
        <is>
          <t>A</t>
        </is>
      </c>
      <c r="M810" t="inlineStr">
        <is>
          <t>Estacionamiento</t>
        </is>
      </c>
      <c r="N810" t="inlineStr">
        <is>
          <t>E 24 - D 5</t>
        </is>
      </c>
      <c r="O810" t="n">
        <v>16.28</v>
      </c>
      <c r="P810" t="n">
        <v>0</v>
      </c>
      <c r="Q810" s="39" t="n">
        <v>51000</v>
      </c>
      <c r="R810" s="39" t="n">
        <v>51000</v>
      </c>
      <c r="Y810" s="39" t="n"/>
      <c r="Z810" s="39" t="n"/>
      <c r="AG810" s="39" t="n"/>
      <c r="AH810" s="39" t="n"/>
      <c r="AI810" t="inlineStr">
        <is>
          <t>Rocio Chuquimango Valencia</t>
        </is>
      </c>
      <c r="AJ810" t="inlineStr">
        <is>
          <t>26707781</t>
        </is>
      </c>
      <c r="AK810" t="inlineStr">
        <is>
          <t xml:space="preserve">AV.ATAHUALPA 337.INT 2 </t>
        </is>
      </c>
      <c r="AL810" t="n">
        <v>0</v>
      </c>
      <c r="AM810" t="inlineStr">
        <is>
          <t>976685767</t>
        </is>
      </c>
      <c r="AN810" t="inlineStr">
        <is>
          <t>rocio-0511@hotmail.com</t>
        </is>
      </c>
      <c r="AO810" t="inlineStr">
        <is>
          <t>CAJAMARCA</t>
        </is>
      </c>
      <c r="AP810" t="inlineStr">
        <is>
          <t>CAJAMARCA</t>
        </is>
      </c>
      <c r="AQ810" s="75" t="n">
        <v>46568</v>
      </c>
      <c r="AR810" s="75" t="n"/>
      <c r="AS810" t="inlineStr">
        <is>
          <t>SALDO FINANCIAR</t>
        </is>
      </c>
      <c r="AT810" t="n">
        <v>12</v>
      </c>
      <c r="AU810" t="n">
        <v>24266.67</v>
      </c>
      <c r="AV810" t="n">
        <v>0</v>
      </c>
      <c r="AW810" t="n">
        <v>0</v>
      </c>
      <c r="AX810" s="39" t="n">
        <v>24266.67</v>
      </c>
      <c r="AY810" s="39" t="n">
        <v>0</v>
      </c>
      <c r="AZ810" s="39" t="n">
        <v>24266.67</v>
      </c>
      <c r="BB810" t="inlineStr">
        <is>
          <t>Crédito Directo</t>
        </is>
      </c>
      <c r="BH810" t="inlineStr">
        <is>
          <t>No</t>
        </is>
      </c>
      <c r="BK810" t="inlineStr">
        <is>
          <t>PENDIENTE</t>
        </is>
      </c>
      <c r="BV810" t="inlineStr">
        <is>
          <t>No</t>
        </is>
      </c>
      <c r="BW810" s="76" t="n">
        <v>45898.34652777778</v>
      </c>
      <c r="BX810" t="inlineStr">
        <is>
          <t>Magaly Guevara Perez</t>
        </is>
      </c>
      <c r="BZ810" t="n">
        <v>12</v>
      </c>
      <c r="CB810" t="n">
        <v>0</v>
      </c>
      <c r="CF810" t="inlineStr">
        <is>
          <t>Cobranzas_2027.csv</t>
        </is>
      </c>
      <c r="CG810" t="n">
        <v>2027</v>
      </c>
      <c r="CH810" t="inlineStr">
        <is>
          <t>01/01/2024</t>
        </is>
      </c>
      <c r="CI810" t="inlineStr">
        <is>
          <t>24/08/2031</t>
        </is>
      </c>
    </row>
    <row r="811">
      <c r="A811" t="inlineStr">
        <is>
          <t>RESIDENCIAL VENECIA</t>
        </is>
      </c>
      <c r="B811" t="inlineStr">
        <is>
          <t>Etapa 1</t>
        </is>
      </c>
      <c r="C811" t="inlineStr">
        <is>
          <t>Edificio</t>
        </is>
      </c>
      <c r="D811" t="inlineStr">
        <is>
          <t>A</t>
        </is>
      </c>
      <c r="E811" t="inlineStr">
        <is>
          <t>Departamento</t>
        </is>
      </c>
      <c r="F811" t="inlineStr">
        <is>
          <t>602</t>
        </is>
      </c>
      <c r="G811" t="n">
        <v>83</v>
      </c>
      <c r="H811" t="n">
        <v>0</v>
      </c>
      <c r="I811" s="39" t="n">
        <v>573000</v>
      </c>
      <c r="J811" s="39" t="n">
        <v>573000</v>
      </c>
      <c r="K811" t="inlineStr">
        <is>
          <t>Edificio</t>
        </is>
      </c>
      <c r="L811" t="inlineStr">
        <is>
          <t>A</t>
        </is>
      </c>
      <c r="M811" t="inlineStr">
        <is>
          <t>Estacionamiento</t>
        </is>
      </c>
      <c r="N811" t="inlineStr">
        <is>
          <t>E 24 - D 5</t>
        </is>
      </c>
      <c r="O811" t="n">
        <v>16.28</v>
      </c>
      <c r="P811" t="n">
        <v>0</v>
      </c>
      <c r="Q811" s="39" t="n">
        <v>51000</v>
      </c>
      <c r="R811" s="39" t="n">
        <v>51000</v>
      </c>
      <c r="Y811" s="39" t="n"/>
      <c r="Z811" s="39" t="n"/>
      <c r="AG811" s="39" t="n"/>
      <c r="AH811" s="39" t="n"/>
      <c r="AI811" t="inlineStr">
        <is>
          <t>Rocio Chuquimango Valencia</t>
        </is>
      </c>
      <c r="AJ811" t="inlineStr">
        <is>
          <t>26707781</t>
        </is>
      </c>
      <c r="AK811" t="inlineStr">
        <is>
          <t xml:space="preserve">AV.ATAHUALPA 337.INT 2 </t>
        </is>
      </c>
      <c r="AL811" t="n">
        <v>0</v>
      </c>
      <c r="AM811" t="inlineStr">
        <is>
          <t>976685767</t>
        </is>
      </c>
      <c r="AN811" t="inlineStr">
        <is>
          <t>rocio-0511@hotmail.com</t>
        </is>
      </c>
      <c r="AO811" t="inlineStr">
        <is>
          <t>CAJAMARCA</t>
        </is>
      </c>
      <c r="AP811" t="inlineStr">
        <is>
          <t>CAJAMARCA</t>
        </is>
      </c>
      <c r="AQ811" s="75" t="n">
        <v>46599</v>
      </c>
      <c r="AR811" s="75" t="n"/>
      <c r="AS811" t="inlineStr">
        <is>
          <t>SALDO FINANCIAR</t>
        </is>
      </c>
      <c r="AT811" t="n">
        <v>13</v>
      </c>
      <c r="AU811" t="n">
        <v>24266.67</v>
      </c>
      <c r="AV811" t="n">
        <v>0</v>
      </c>
      <c r="AW811" t="n">
        <v>0</v>
      </c>
      <c r="AX811" s="39" t="n">
        <v>24266.67</v>
      </c>
      <c r="AY811" s="39" t="n">
        <v>0</v>
      </c>
      <c r="AZ811" s="39" t="n">
        <v>24266.67</v>
      </c>
      <c r="BB811" t="inlineStr">
        <is>
          <t>Crédito Directo</t>
        </is>
      </c>
      <c r="BH811" t="inlineStr">
        <is>
          <t>No</t>
        </is>
      </c>
      <c r="BK811" t="inlineStr">
        <is>
          <t>PENDIENTE</t>
        </is>
      </c>
      <c r="BV811" t="inlineStr">
        <is>
          <t>No</t>
        </is>
      </c>
      <c r="BW811" s="76" t="n">
        <v>45898.34652777778</v>
      </c>
      <c r="BX811" t="inlineStr">
        <is>
          <t>Magaly Guevara Perez</t>
        </is>
      </c>
      <c r="BZ811" t="n">
        <v>12</v>
      </c>
      <c r="CB811" t="n">
        <v>0</v>
      </c>
      <c r="CF811" t="inlineStr">
        <is>
          <t>Cobranzas_2027.csv</t>
        </is>
      </c>
      <c r="CG811" t="n">
        <v>2027</v>
      </c>
      <c r="CH811" t="inlineStr">
        <is>
          <t>01/01/2024</t>
        </is>
      </c>
      <c r="CI811" t="inlineStr">
        <is>
          <t>24/08/2031</t>
        </is>
      </c>
    </row>
    <row r="812">
      <c r="A812" t="inlineStr">
        <is>
          <t>RESIDENCIAL VENECIA</t>
        </is>
      </c>
      <c r="B812" t="inlineStr">
        <is>
          <t>Etapa 1</t>
        </is>
      </c>
      <c r="C812" t="inlineStr">
        <is>
          <t>Edificio</t>
        </is>
      </c>
      <c r="D812" t="inlineStr">
        <is>
          <t>A</t>
        </is>
      </c>
      <c r="E812" t="inlineStr">
        <is>
          <t>Departamento</t>
        </is>
      </c>
      <c r="F812" t="inlineStr">
        <is>
          <t>602</t>
        </is>
      </c>
      <c r="G812" t="n">
        <v>83</v>
      </c>
      <c r="H812" t="n">
        <v>0</v>
      </c>
      <c r="I812" s="39" t="n">
        <v>573000</v>
      </c>
      <c r="J812" s="39" t="n">
        <v>573000</v>
      </c>
      <c r="K812" t="inlineStr">
        <is>
          <t>Edificio</t>
        </is>
      </c>
      <c r="L812" t="inlineStr">
        <is>
          <t>A</t>
        </is>
      </c>
      <c r="M812" t="inlineStr">
        <is>
          <t>Estacionamiento</t>
        </is>
      </c>
      <c r="N812" t="inlineStr">
        <is>
          <t>E 24 - D 5</t>
        </is>
      </c>
      <c r="O812" t="n">
        <v>16.28</v>
      </c>
      <c r="P812" t="n">
        <v>0</v>
      </c>
      <c r="Q812" s="39" t="n">
        <v>51000</v>
      </c>
      <c r="R812" s="39" t="n">
        <v>51000</v>
      </c>
      <c r="Y812" s="39" t="n"/>
      <c r="Z812" s="39" t="n"/>
      <c r="AG812" s="39" t="n"/>
      <c r="AH812" s="39" t="n"/>
      <c r="AI812" t="inlineStr">
        <is>
          <t>Rocio Chuquimango Valencia</t>
        </is>
      </c>
      <c r="AJ812" t="inlineStr">
        <is>
          <t>26707781</t>
        </is>
      </c>
      <c r="AK812" t="inlineStr">
        <is>
          <t xml:space="preserve">AV.ATAHUALPA 337.INT 2 </t>
        </is>
      </c>
      <c r="AL812" t="n">
        <v>0</v>
      </c>
      <c r="AM812" t="inlineStr">
        <is>
          <t>976685767</t>
        </is>
      </c>
      <c r="AN812" t="inlineStr">
        <is>
          <t>rocio-0511@hotmail.com</t>
        </is>
      </c>
      <c r="AO812" t="inlineStr">
        <is>
          <t>CAJAMARCA</t>
        </is>
      </c>
      <c r="AP812" t="inlineStr">
        <is>
          <t>CAJAMARCA</t>
        </is>
      </c>
      <c r="AQ812" s="75" t="n">
        <v>46630</v>
      </c>
      <c r="AR812" s="75" t="n"/>
      <c r="AS812" t="inlineStr">
        <is>
          <t>SALDO FINANCIAR</t>
        </is>
      </c>
      <c r="AT812" t="n">
        <v>14</v>
      </c>
      <c r="AU812" t="n">
        <v>24266.67</v>
      </c>
      <c r="AV812" t="n">
        <v>0</v>
      </c>
      <c r="AW812" t="n">
        <v>0</v>
      </c>
      <c r="AX812" s="39" t="n">
        <v>24266.67</v>
      </c>
      <c r="AY812" s="39" t="n">
        <v>0</v>
      </c>
      <c r="AZ812" s="39" t="n">
        <v>24266.67</v>
      </c>
      <c r="BB812" t="inlineStr">
        <is>
          <t>Crédito Directo</t>
        </is>
      </c>
      <c r="BH812" t="inlineStr">
        <is>
          <t>No</t>
        </is>
      </c>
      <c r="BK812" t="inlineStr">
        <is>
          <t>PENDIENTE</t>
        </is>
      </c>
      <c r="BV812" t="inlineStr">
        <is>
          <t>No</t>
        </is>
      </c>
      <c r="BW812" s="76" t="n">
        <v>45898.34652777778</v>
      </c>
      <c r="BX812" t="inlineStr">
        <is>
          <t>Magaly Guevara Perez</t>
        </is>
      </c>
      <c r="BZ812" t="n">
        <v>12</v>
      </c>
      <c r="CB812" t="n">
        <v>0</v>
      </c>
      <c r="CF812" t="inlineStr">
        <is>
          <t>Cobranzas_2027.csv</t>
        </is>
      </c>
      <c r="CG812" t="n">
        <v>2027</v>
      </c>
      <c r="CH812" t="inlineStr">
        <is>
          <t>01/01/2024</t>
        </is>
      </c>
      <c r="CI812" t="inlineStr">
        <is>
          <t>24/08/2031</t>
        </is>
      </c>
    </row>
    <row r="813">
      <c r="A813" t="inlineStr">
        <is>
          <t>RESIDENCIAL VENECIA</t>
        </is>
      </c>
      <c r="B813" t="inlineStr">
        <is>
          <t>Etapa 1</t>
        </is>
      </c>
      <c r="C813" t="inlineStr">
        <is>
          <t>Edificio</t>
        </is>
      </c>
      <c r="D813" t="inlineStr">
        <is>
          <t>A</t>
        </is>
      </c>
      <c r="E813" t="inlineStr">
        <is>
          <t>Departamento</t>
        </is>
      </c>
      <c r="F813" t="inlineStr">
        <is>
          <t>602</t>
        </is>
      </c>
      <c r="G813" t="n">
        <v>83</v>
      </c>
      <c r="H813" t="n">
        <v>0</v>
      </c>
      <c r="I813" s="39" t="n">
        <v>573000</v>
      </c>
      <c r="J813" s="39" t="n">
        <v>573000</v>
      </c>
      <c r="K813" t="inlineStr">
        <is>
          <t>Edificio</t>
        </is>
      </c>
      <c r="L813" t="inlineStr">
        <is>
          <t>A</t>
        </is>
      </c>
      <c r="M813" t="inlineStr">
        <is>
          <t>Estacionamiento</t>
        </is>
      </c>
      <c r="N813" t="inlineStr">
        <is>
          <t>E 24 - D 5</t>
        </is>
      </c>
      <c r="O813" t="n">
        <v>16.28</v>
      </c>
      <c r="P813" t="n">
        <v>0</v>
      </c>
      <c r="Q813" s="39" t="n">
        <v>51000</v>
      </c>
      <c r="R813" s="39" t="n">
        <v>51000</v>
      </c>
      <c r="Y813" s="39" t="n"/>
      <c r="Z813" s="39" t="n"/>
      <c r="AG813" s="39" t="n"/>
      <c r="AH813" s="39" t="n"/>
      <c r="AI813" t="inlineStr">
        <is>
          <t>Rocio Chuquimango Valencia</t>
        </is>
      </c>
      <c r="AJ813" t="inlineStr">
        <is>
          <t>26707781</t>
        </is>
      </c>
      <c r="AK813" t="inlineStr">
        <is>
          <t xml:space="preserve">AV.ATAHUALPA 337.INT 2 </t>
        </is>
      </c>
      <c r="AL813" t="n">
        <v>0</v>
      </c>
      <c r="AM813" t="inlineStr">
        <is>
          <t>976685767</t>
        </is>
      </c>
      <c r="AN813" t="inlineStr">
        <is>
          <t>rocio-0511@hotmail.com</t>
        </is>
      </c>
      <c r="AO813" t="inlineStr">
        <is>
          <t>CAJAMARCA</t>
        </is>
      </c>
      <c r="AP813" t="inlineStr">
        <is>
          <t>CAJAMARCA</t>
        </is>
      </c>
      <c r="AQ813" s="75" t="n">
        <v>46660</v>
      </c>
      <c r="AR813" s="75" t="n"/>
      <c r="AS813" t="inlineStr">
        <is>
          <t>SALDO FINANCIAR</t>
        </is>
      </c>
      <c r="AT813" t="n">
        <v>15</v>
      </c>
      <c r="AU813" t="n">
        <v>24266.67</v>
      </c>
      <c r="AV813" t="n">
        <v>0</v>
      </c>
      <c r="AW813" t="n">
        <v>0</v>
      </c>
      <c r="AX813" s="39" t="n">
        <v>24266.67</v>
      </c>
      <c r="AY813" s="39" t="n">
        <v>0</v>
      </c>
      <c r="AZ813" s="39" t="n">
        <v>24266.67</v>
      </c>
      <c r="BB813" t="inlineStr">
        <is>
          <t>Crédito Directo</t>
        </is>
      </c>
      <c r="BH813" t="inlineStr">
        <is>
          <t>No</t>
        </is>
      </c>
      <c r="BK813" t="inlineStr">
        <is>
          <t>PENDIENTE</t>
        </is>
      </c>
      <c r="BV813" t="inlineStr">
        <is>
          <t>No</t>
        </is>
      </c>
      <c r="BW813" s="76" t="n">
        <v>45898.34652777778</v>
      </c>
      <c r="BX813" t="inlineStr">
        <is>
          <t>Magaly Guevara Perez</t>
        </is>
      </c>
      <c r="BZ813" t="n">
        <v>12</v>
      </c>
      <c r="CB813" t="n">
        <v>0</v>
      </c>
      <c r="CF813" t="inlineStr">
        <is>
          <t>Cobranzas_2027.csv</t>
        </is>
      </c>
      <c r="CG813" t="n">
        <v>2027</v>
      </c>
      <c r="CH813" t="inlineStr">
        <is>
          <t>01/01/2024</t>
        </is>
      </c>
      <c r="CI813" t="inlineStr">
        <is>
          <t>24/08/2031</t>
        </is>
      </c>
    </row>
    <row r="814">
      <c r="A814" t="inlineStr">
        <is>
          <t>RESIDENCIAL VENECIA</t>
        </is>
      </c>
      <c r="B814" t="inlineStr">
        <is>
          <t>Etapa 1</t>
        </is>
      </c>
      <c r="C814" t="inlineStr">
        <is>
          <t>Edificio</t>
        </is>
      </c>
      <c r="D814" t="inlineStr">
        <is>
          <t>A</t>
        </is>
      </c>
      <c r="E814" t="inlineStr">
        <is>
          <t>Departamento</t>
        </is>
      </c>
      <c r="F814" t="inlineStr">
        <is>
          <t>602</t>
        </is>
      </c>
      <c r="G814" t="n">
        <v>83</v>
      </c>
      <c r="H814" t="n">
        <v>0</v>
      </c>
      <c r="I814" s="39" t="n">
        <v>573000</v>
      </c>
      <c r="J814" s="39" t="n">
        <v>573000</v>
      </c>
      <c r="K814" t="inlineStr">
        <is>
          <t>Edificio</t>
        </is>
      </c>
      <c r="L814" t="inlineStr">
        <is>
          <t>A</t>
        </is>
      </c>
      <c r="M814" t="inlineStr">
        <is>
          <t>Estacionamiento</t>
        </is>
      </c>
      <c r="N814" t="inlineStr">
        <is>
          <t>E 24 - D 5</t>
        </is>
      </c>
      <c r="O814" t="n">
        <v>16.28</v>
      </c>
      <c r="P814" t="n">
        <v>0</v>
      </c>
      <c r="Q814" s="39" t="n">
        <v>51000</v>
      </c>
      <c r="R814" s="39" t="n">
        <v>51000</v>
      </c>
      <c r="Y814" s="39" t="n"/>
      <c r="Z814" s="39" t="n"/>
      <c r="AG814" s="39" t="n"/>
      <c r="AH814" s="39" t="n"/>
      <c r="AI814" t="inlineStr">
        <is>
          <t>Rocio Chuquimango Valencia</t>
        </is>
      </c>
      <c r="AJ814" t="inlineStr">
        <is>
          <t>26707781</t>
        </is>
      </c>
      <c r="AK814" t="inlineStr">
        <is>
          <t xml:space="preserve">AV.ATAHUALPA 337.INT 2 </t>
        </is>
      </c>
      <c r="AL814" t="n">
        <v>0</v>
      </c>
      <c r="AM814" t="inlineStr">
        <is>
          <t>976685767</t>
        </is>
      </c>
      <c r="AN814" t="inlineStr">
        <is>
          <t>rocio-0511@hotmail.com</t>
        </is>
      </c>
      <c r="AO814" t="inlineStr">
        <is>
          <t>CAJAMARCA</t>
        </is>
      </c>
      <c r="AP814" t="inlineStr">
        <is>
          <t>CAJAMARCA</t>
        </is>
      </c>
      <c r="AQ814" s="75" t="n">
        <v>46691</v>
      </c>
      <c r="AR814" s="75" t="n"/>
      <c r="AS814" t="inlineStr">
        <is>
          <t>SALDO FINANCIAR</t>
        </is>
      </c>
      <c r="AT814" t="n">
        <v>16</v>
      </c>
      <c r="AU814" t="n">
        <v>24266.67</v>
      </c>
      <c r="AV814" t="n">
        <v>0</v>
      </c>
      <c r="AW814" t="n">
        <v>0</v>
      </c>
      <c r="AX814" s="39" t="n">
        <v>24266.67</v>
      </c>
      <c r="AY814" s="39" t="n">
        <v>0</v>
      </c>
      <c r="AZ814" s="39" t="n">
        <v>24266.67</v>
      </c>
      <c r="BB814" t="inlineStr">
        <is>
          <t>Crédito Directo</t>
        </is>
      </c>
      <c r="BH814" t="inlineStr">
        <is>
          <t>No</t>
        </is>
      </c>
      <c r="BK814" t="inlineStr">
        <is>
          <t>PENDIENTE</t>
        </is>
      </c>
      <c r="BV814" t="inlineStr">
        <is>
          <t>No</t>
        </is>
      </c>
      <c r="BW814" s="76" t="n">
        <v>45898.34652777778</v>
      </c>
      <c r="BX814" t="inlineStr">
        <is>
          <t>Magaly Guevara Perez</t>
        </is>
      </c>
      <c r="BZ814" t="n">
        <v>12</v>
      </c>
      <c r="CB814" t="n">
        <v>0</v>
      </c>
      <c r="CF814" t="inlineStr">
        <is>
          <t>Cobranzas_2027.csv</t>
        </is>
      </c>
      <c r="CG814" t="n">
        <v>2027</v>
      </c>
      <c r="CH814" t="inlineStr">
        <is>
          <t>01/01/2024</t>
        </is>
      </c>
      <c r="CI814" t="inlineStr">
        <is>
          <t>24/08/2031</t>
        </is>
      </c>
    </row>
    <row r="815">
      <c r="A815" t="inlineStr">
        <is>
          <t>RESIDENCIAL VENECIA</t>
        </is>
      </c>
      <c r="B815" t="inlineStr">
        <is>
          <t>Etapa 1</t>
        </is>
      </c>
      <c r="C815" t="inlineStr">
        <is>
          <t>Edificio</t>
        </is>
      </c>
      <c r="D815" t="inlineStr">
        <is>
          <t>A</t>
        </is>
      </c>
      <c r="E815" t="inlineStr">
        <is>
          <t>Departamento</t>
        </is>
      </c>
      <c r="F815" t="inlineStr">
        <is>
          <t>602</t>
        </is>
      </c>
      <c r="G815" t="n">
        <v>83</v>
      </c>
      <c r="H815" t="n">
        <v>0</v>
      </c>
      <c r="I815" s="39" t="n">
        <v>573000</v>
      </c>
      <c r="J815" s="39" t="n">
        <v>573000</v>
      </c>
      <c r="K815" t="inlineStr">
        <is>
          <t>Edificio</t>
        </is>
      </c>
      <c r="L815" t="inlineStr">
        <is>
          <t>A</t>
        </is>
      </c>
      <c r="M815" t="inlineStr">
        <is>
          <t>Estacionamiento</t>
        </is>
      </c>
      <c r="N815" t="inlineStr">
        <is>
          <t>E 24 - D 5</t>
        </is>
      </c>
      <c r="O815" t="n">
        <v>16.28</v>
      </c>
      <c r="P815" t="n">
        <v>0</v>
      </c>
      <c r="Q815" s="39" t="n">
        <v>51000</v>
      </c>
      <c r="R815" s="39" t="n">
        <v>51000</v>
      </c>
      <c r="Y815" s="39" t="n"/>
      <c r="Z815" s="39" t="n"/>
      <c r="AG815" s="39" t="n"/>
      <c r="AH815" s="39" t="n"/>
      <c r="AI815" t="inlineStr">
        <is>
          <t>Rocio Chuquimango Valencia</t>
        </is>
      </c>
      <c r="AJ815" t="inlineStr">
        <is>
          <t>26707781</t>
        </is>
      </c>
      <c r="AK815" t="inlineStr">
        <is>
          <t xml:space="preserve">AV.ATAHUALPA 337.INT 2 </t>
        </is>
      </c>
      <c r="AL815" t="n">
        <v>0</v>
      </c>
      <c r="AM815" t="inlineStr">
        <is>
          <t>976685767</t>
        </is>
      </c>
      <c r="AN815" t="inlineStr">
        <is>
          <t>rocio-0511@hotmail.com</t>
        </is>
      </c>
      <c r="AO815" t="inlineStr">
        <is>
          <t>CAJAMARCA</t>
        </is>
      </c>
      <c r="AP815" t="inlineStr">
        <is>
          <t>CAJAMARCA</t>
        </is>
      </c>
      <c r="AQ815" s="75" t="n">
        <v>46721</v>
      </c>
      <c r="AR815" s="75" t="n"/>
      <c r="AS815" t="inlineStr">
        <is>
          <t>SALDO FINANCIAR</t>
        </is>
      </c>
      <c r="AT815" t="n">
        <v>17</v>
      </c>
      <c r="AU815" t="n">
        <v>24266.67</v>
      </c>
      <c r="AV815" t="n">
        <v>0</v>
      </c>
      <c r="AW815" t="n">
        <v>0</v>
      </c>
      <c r="AX815" s="39" t="n">
        <v>24266.67</v>
      </c>
      <c r="AY815" s="39" t="n">
        <v>0</v>
      </c>
      <c r="AZ815" s="39" t="n">
        <v>24266.67</v>
      </c>
      <c r="BB815" t="inlineStr">
        <is>
          <t>Crédito Directo</t>
        </is>
      </c>
      <c r="BH815" t="inlineStr">
        <is>
          <t>No</t>
        </is>
      </c>
      <c r="BK815" t="inlineStr">
        <is>
          <t>PENDIENTE</t>
        </is>
      </c>
      <c r="BV815" t="inlineStr">
        <is>
          <t>No</t>
        </is>
      </c>
      <c r="BW815" s="76" t="n">
        <v>45898.34652777778</v>
      </c>
      <c r="BX815" t="inlineStr">
        <is>
          <t>Magaly Guevara Perez</t>
        </is>
      </c>
      <c r="BZ815" t="n">
        <v>12</v>
      </c>
      <c r="CB815" t="n">
        <v>0</v>
      </c>
      <c r="CF815" t="inlineStr">
        <is>
          <t>Cobranzas_2027.csv</t>
        </is>
      </c>
      <c r="CG815" t="n">
        <v>2027</v>
      </c>
      <c r="CH815" t="inlineStr">
        <is>
          <t>01/01/2024</t>
        </is>
      </c>
      <c r="CI815" t="inlineStr">
        <is>
          <t>24/08/2031</t>
        </is>
      </c>
    </row>
    <row r="816">
      <c r="A816" t="inlineStr">
        <is>
          <t>RESIDENCIAL VENECIA</t>
        </is>
      </c>
      <c r="B816" t="inlineStr">
        <is>
          <t>Etapa 1</t>
        </is>
      </c>
      <c r="C816" t="inlineStr">
        <is>
          <t>Edificio</t>
        </is>
      </c>
      <c r="D816" t="inlineStr">
        <is>
          <t>A</t>
        </is>
      </c>
      <c r="E816" t="inlineStr">
        <is>
          <t>Departamento</t>
        </is>
      </c>
      <c r="F816" t="inlineStr">
        <is>
          <t>602</t>
        </is>
      </c>
      <c r="G816" t="n">
        <v>83</v>
      </c>
      <c r="H816" t="n">
        <v>0</v>
      </c>
      <c r="I816" s="39" t="n">
        <v>573000</v>
      </c>
      <c r="J816" s="39" t="n">
        <v>573000</v>
      </c>
      <c r="K816" t="inlineStr">
        <is>
          <t>Edificio</t>
        </is>
      </c>
      <c r="L816" t="inlineStr">
        <is>
          <t>A</t>
        </is>
      </c>
      <c r="M816" t="inlineStr">
        <is>
          <t>Estacionamiento</t>
        </is>
      </c>
      <c r="N816" t="inlineStr">
        <is>
          <t>E 24 - D 5</t>
        </is>
      </c>
      <c r="O816" t="n">
        <v>16.28</v>
      </c>
      <c r="P816" t="n">
        <v>0</v>
      </c>
      <c r="Q816" s="39" t="n">
        <v>51000</v>
      </c>
      <c r="R816" s="39" t="n">
        <v>51000</v>
      </c>
      <c r="Y816" s="39" t="n"/>
      <c r="Z816" s="39" t="n"/>
      <c r="AG816" s="39" t="n"/>
      <c r="AH816" s="39" t="n"/>
      <c r="AI816" t="inlineStr">
        <is>
          <t>Rocio Chuquimango Valencia</t>
        </is>
      </c>
      <c r="AJ816" t="inlineStr">
        <is>
          <t>26707781</t>
        </is>
      </c>
      <c r="AK816" t="inlineStr">
        <is>
          <t xml:space="preserve">AV.ATAHUALPA 337.INT 2 </t>
        </is>
      </c>
      <c r="AL816" t="n">
        <v>0</v>
      </c>
      <c r="AM816" t="inlineStr">
        <is>
          <t>976685767</t>
        </is>
      </c>
      <c r="AN816" t="inlineStr">
        <is>
          <t>rocio-0511@hotmail.com</t>
        </is>
      </c>
      <c r="AO816" t="inlineStr">
        <is>
          <t>CAJAMARCA</t>
        </is>
      </c>
      <c r="AP816" t="inlineStr">
        <is>
          <t>CAJAMARCA</t>
        </is>
      </c>
      <c r="AQ816" s="75" t="n">
        <v>46752</v>
      </c>
      <c r="AR816" s="75" t="n"/>
      <c r="AS816" t="inlineStr">
        <is>
          <t>SALDO FINANCIAR</t>
        </is>
      </c>
      <c r="AT816" t="n">
        <v>18</v>
      </c>
      <c r="AU816" t="n">
        <v>24266.61</v>
      </c>
      <c r="AV816" t="n">
        <v>0</v>
      </c>
      <c r="AW816" t="n">
        <v>0</v>
      </c>
      <c r="AX816" s="39" t="n">
        <v>24266.61</v>
      </c>
      <c r="AY816" s="39" t="n">
        <v>0</v>
      </c>
      <c r="AZ816" s="39" t="n">
        <v>24266.61</v>
      </c>
      <c r="BB816" t="inlineStr">
        <is>
          <t>Crédito Directo</t>
        </is>
      </c>
      <c r="BH816" t="inlineStr">
        <is>
          <t>No</t>
        </is>
      </c>
      <c r="BK816" t="inlineStr">
        <is>
          <t>PENDIENTE</t>
        </is>
      </c>
      <c r="BV816" t="inlineStr">
        <is>
          <t>No</t>
        </is>
      </c>
      <c r="BW816" s="76" t="n">
        <v>45898.34652777778</v>
      </c>
      <c r="BX816" t="inlineStr">
        <is>
          <t>Magaly Guevara Perez</t>
        </is>
      </c>
      <c r="BZ816" t="n">
        <v>12</v>
      </c>
      <c r="CB816" t="n">
        <v>0</v>
      </c>
      <c r="CF816" t="inlineStr">
        <is>
          <t>Cobranzas_2027.csv</t>
        </is>
      </c>
      <c r="CG816" t="n">
        <v>2027</v>
      </c>
      <c r="CH816" t="inlineStr">
        <is>
          <t>01/01/2024</t>
        </is>
      </c>
      <c r="CI816" t="inlineStr">
        <is>
          <t>24/08/2031</t>
        </is>
      </c>
    </row>
    <row r="817">
      <c r="A817" t="inlineStr">
        <is>
          <t>RESIDENCIAL BEYOND</t>
        </is>
      </c>
      <c r="B817" t="inlineStr">
        <is>
          <t>Etapa 1</t>
        </is>
      </c>
      <c r="C817" t="inlineStr">
        <is>
          <t>Edificio</t>
        </is>
      </c>
      <c r="D817" t="inlineStr">
        <is>
          <t>A</t>
        </is>
      </c>
      <c r="E817" t="inlineStr">
        <is>
          <t>Departamento</t>
        </is>
      </c>
      <c r="F817" t="inlineStr">
        <is>
          <t>905</t>
        </is>
      </c>
      <c r="G817" t="n">
        <v>72</v>
      </c>
      <c r="H817" t="n">
        <v>0</v>
      </c>
      <c r="I817" s="39" t="n">
        <v>532100</v>
      </c>
      <c r="J817" s="39" t="n">
        <v>510000</v>
      </c>
      <c r="Q817" s="39" t="n"/>
      <c r="R817" s="39" t="n"/>
      <c r="Y817" s="39" t="n"/>
      <c r="Z817" s="39" t="n"/>
      <c r="AG817" s="39" t="n"/>
      <c r="AH817" s="39" t="n"/>
      <c r="AI817" t="inlineStr">
        <is>
          <t>Rocio del Pilar Quispe Vivanco</t>
        </is>
      </c>
      <c r="AJ817" t="inlineStr">
        <is>
          <t>46571077</t>
        </is>
      </c>
      <c r="AK817" t="inlineStr">
        <is>
          <t>Calle 49 MZ UU2 Lt.14 Urb. La Floresta</t>
        </is>
      </c>
      <c r="AL817" t="n">
        <v>0</v>
      </c>
      <c r="AM817" t="inlineStr">
        <is>
          <t>942198649</t>
        </is>
      </c>
      <c r="AN817" t="inlineStr">
        <is>
          <t>chio22011@hotmail.com</t>
        </is>
      </c>
      <c r="AO817" t="inlineStr">
        <is>
          <t>LIMA</t>
        </is>
      </c>
      <c r="AP817" t="inlineStr">
        <is>
          <t>LOS OLIVOS</t>
        </is>
      </c>
      <c r="AQ817" s="75" t="n">
        <v>46417</v>
      </c>
      <c r="AR817" s="75" t="n"/>
      <c r="AS817" t="inlineStr">
        <is>
          <t>SALDO FINANCIAR</t>
        </is>
      </c>
      <c r="AT817" t="n">
        <v>1</v>
      </c>
      <c r="AU817" t="n">
        <v>408000</v>
      </c>
      <c r="AV817" t="n">
        <v>0</v>
      </c>
      <c r="AW817" t="n">
        <v>0</v>
      </c>
      <c r="AX817" s="39" t="n">
        <v>408000</v>
      </c>
      <c r="AY817" s="39" t="n">
        <v>0</v>
      </c>
      <c r="AZ817" s="39" t="n">
        <v>408000</v>
      </c>
      <c r="BB817" t="inlineStr">
        <is>
          <t>Ahorro</t>
        </is>
      </c>
      <c r="BH817" t="inlineStr">
        <is>
          <t>No</t>
        </is>
      </c>
      <c r="BK817" t="inlineStr">
        <is>
          <t>PENDIENTE</t>
        </is>
      </c>
      <c r="BV817" t="inlineStr">
        <is>
          <t>No</t>
        </is>
      </c>
      <c r="BW817" s="76" t="n">
        <v>46174.33611111111</v>
      </c>
      <c r="BX817" t="inlineStr">
        <is>
          <t>Carla Michue M</t>
        </is>
      </c>
      <c r="BZ817" t="n">
        <v>43</v>
      </c>
      <c r="CB817" t="n">
        <v>0</v>
      </c>
      <c r="CF817" t="inlineStr">
        <is>
          <t>Cobranzas_2027.csv</t>
        </is>
      </c>
      <c r="CG817" t="n">
        <v>2027</v>
      </c>
      <c r="CH817" t="inlineStr">
        <is>
          <t>01/01/2024</t>
        </is>
      </c>
      <c r="CI817" t="inlineStr">
        <is>
          <t>24/08/2031</t>
        </is>
      </c>
    </row>
    <row r="818">
      <c r="A818" t="inlineStr">
        <is>
          <t>RESIDENCIAL BEYOND</t>
        </is>
      </c>
      <c r="B818" t="inlineStr">
        <is>
          <t>Etapa 1</t>
        </is>
      </c>
      <c r="C818" t="inlineStr">
        <is>
          <t>Edificio</t>
        </is>
      </c>
      <c r="D818" t="inlineStr">
        <is>
          <t>A</t>
        </is>
      </c>
      <c r="E818" t="inlineStr">
        <is>
          <t>Departamento</t>
        </is>
      </c>
      <c r="F818" t="inlineStr">
        <is>
          <t>301</t>
        </is>
      </c>
      <c r="G818" t="n">
        <v>70</v>
      </c>
      <c r="H818" t="n">
        <v>0</v>
      </c>
      <c r="I818" s="39" t="n">
        <v>518500</v>
      </c>
      <c r="J818" s="39" t="n">
        <v>475000</v>
      </c>
      <c r="K818" t="inlineStr">
        <is>
          <t>Edificio</t>
        </is>
      </c>
      <c r="L818" t="inlineStr">
        <is>
          <t>A</t>
        </is>
      </c>
      <c r="M818" t="inlineStr">
        <is>
          <t>Estacionamiento</t>
        </is>
      </c>
      <c r="N818" t="inlineStr">
        <is>
          <t>E 04 - D 02</t>
        </is>
      </c>
      <c r="O818" t="n">
        <v>12.5</v>
      </c>
      <c r="P818" t="n">
        <v>2</v>
      </c>
      <c r="Q818" s="39" t="n">
        <v>52500</v>
      </c>
      <c r="R818" s="39" t="n">
        <v>52500</v>
      </c>
      <c r="Y818" s="39" t="n"/>
      <c r="Z818" s="39" t="n"/>
      <c r="AG818" s="39" t="n"/>
      <c r="AH818" s="39" t="n"/>
      <c r="AI818" t="inlineStr">
        <is>
          <t>Victor Hugo Quispe Cupe</t>
        </is>
      </c>
      <c r="AJ818" t="inlineStr">
        <is>
          <t>09848317</t>
        </is>
      </c>
      <c r="AK818" t="inlineStr">
        <is>
          <t>Jr. Jose Arnaldo Marquez 1152</t>
        </is>
      </c>
      <c r="AL818" t="n">
        <v>0</v>
      </c>
      <c r="AM818" t="inlineStr">
        <is>
          <t>998980237</t>
        </is>
      </c>
      <c r="AN818" t="inlineStr">
        <is>
          <t>vitolosc58@gmail.com</t>
        </is>
      </c>
      <c r="AO818" t="inlineStr">
        <is>
          <t>LIMA</t>
        </is>
      </c>
      <c r="AP818" t="inlineStr">
        <is>
          <t>JESUS MARIA</t>
        </is>
      </c>
      <c r="AQ818" s="75" t="n">
        <v>46417</v>
      </c>
      <c r="AR818" s="75" t="n"/>
      <c r="AS818" t="inlineStr">
        <is>
          <t>SALDO FINANCIAR</t>
        </is>
      </c>
      <c r="AT818" t="n">
        <v>2</v>
      </c>
      <c r="AU818" t="n">
        <v>52222.22</v>
      </c>
      <c r="AV818" t="n">
        <v>0</v>
      </c>
      <c r="AW818" t="n">
        <v>0</v>
      </c>
      <c r="AX818" s="39" t="n">
        <v>52222.22</v>
      </c>
      <c r="AY818" s="39" t="n">
        <v>0</v>
      </c>
      <c r="AZ818" s="39" t="n">
        <v>52222.22</v>
      </c>
      <c r="BB818" t="inlineStr">
        <is>
          <t>Crédito Directo</t>
        </is>
      </c>
      <c r="BH818" t="inlineStr">
        <is>
          <t>No</t>
        </is>
      </c>
      <c r="BK818" t="inlineStr">
        <is>
          <t>PENDIENTE</t>
        </is>
      </c>
      <c r="BV818" t="inlineStr">
        <is>
          <t>No</t>
        </is>
      </c>
      <c r="BW818" s="76" t="n">
        <v>46136.41736111111</v>
      </c>
      <c r="BX818" t="inlineStr">
        <is>
          <t>Magaly Guevara Perez</t>
        </is>
      </c>
      <c r="BZ818" t="n">
        <v>5</v>
      </c>
      <c r="CB818" t="n">
        <v>0</v>
      </c>
      <c r="CF818" t="inlineStr">
        <is>
          <t>Cobranzas_2027.csv</t>
        </is>
      </c>
      <c r="CG818" t="n">
        <v>2027</v>
      </c>
      <c r="CH818" t="inlineStr">
        <is>
          <t>01/01/2024</t>
        </is>
      </c>
      <c r="CI818" t="inlineStr">
        <is>
          <t>24/08/2031</t>
        </is>
      </c>
    </row>
    <row r="819">
      <c r="A819" t="inlineStr">
        <is>
          <t>RESIDENCIAL BEYOND</t>
        </is>
      </c>
      <c r="B819" t="inlineStr">
        <is>
          <t>Etapa 1</t>
        </is>
      </c>
      <c r="C819" t="inlineStr">
        <is>
          <t>Edificio</t>
        </is>
      </c>
      <c r="D819" t="inlineStr">
        <is>
          <t>A</t>
        </is>
      </c>
      <c r="E819" t="inlineStr">
        <is>
          <t>Departamento</t>
        </is>
      </c>
      <c r="F819" t="inlineStr">
        <is>
          <t>301</t>
        </is>
      </c>
      <c r="G819" t="n">
        <v>70</v>
      </c>
      <c r="H819" t="n">
        <v>0</v>
      </c>
      <c r="I819" s="39" t="n">
        <v>518500</v>
      </c>
      <c r="J819" s="39" t="n">
        <v>475000</v>
      </c>
      <c r="K819" t="inlineStr">
        <is>
          <t>Edificio</t>
        </is>
      </c>
      <c r="L819" t="inlineStr">
        <is>
          <t>A</t>
        </is>
      </c>
      <c r="M819" t="inlineStr">
        <is>
          <t>Estacionamiento</t>
        </is>
      </c>
      <c r="N819" t="inlineStr">
        <is>
          <t>E 04 - D 02</t>
        </is>
      </c>
      <c r="O819" t="n">
        <v>12.5</v>
      </c>
      <c r="P819" t="n">
        <v>2</v>
      </c>
      <c r="Q819" s="39" t="n">
        <v>52500</v>
      </c>
      <c r="R819" s="39" t="n">
        <v>52500</v>
      </c>
      <c r="Y819" s="39" t="n"/>
      <c r="Z819" s="39" t="n"/>
      <c r="AG819" s="39" t="n"/>
      <c r="AH819" s="39" t="n"/>
      <c r="AI819" t="inlineStr">
        <is>
          <t>Victor Hugo Quispe Cupe</t>
        </is>
      </c>
      <c r="AJ819" t="inlineStr">
        <is>
          <t>09848317</t>
        </is>
      </c>
      <c r="AK819" t="inlineStr">
        <is>
          <t>Jr. Jose Arnaldo Marquez 1152</t>
        </is>
      </c>
      <c r="AL819" t="n">
        <v>0</v>
      </c>
      <c r="AM819" t="inlineStr">
        <is>
          <t>998980237</t>
        </is>
      </c>
      <c r="AN819" t="inlineStr">
        <is>
          <t>vitolosc58@gmail.com</t>
        </is>
      </c>
      <c r="AO819" t="inlineStr">
        <is>
          <t>LIMA</t>
        </is>
      </c>
      <c r="AP819" t="inlineStr">
        <is>
          <t>JESUS MARIA</t>
        </is>
      </c>
      <c r="AQ819" s="75" t="n">
        <v>46446</v>
      </c>
      <c r="AR819" s="75" t="n"/>
      <c r="AS819" t="inlineStr">
        <is>
          <t>SALDO FINANCIAR</t>
        </is>
      </c>
      <c r="AT819" t="n">
        <v>3</v>
      </c>
      <c r="AU819" t="n">
        <v>52222.22</v>
      </c>
      <c r="AV819" t="n">
        <v>0</v>
      </c>
      <c r="AW819" t="n">
        <v>0</v>
      </c>
      <c r="AX819" s="39" t="n">
        <v>52222.22</v>
      </c>
      <c r="AY819" s="39" t="n">
        <v>0</v>
      </c>
      <c r="AZ819" s="39" t="n">
        <v>52222.22</v>
      </c>
      <c r="BB819" t="inlineStr">
        <is>
          <t>Crédito Directo</t>
        </is>
      </c>
      <c r="BH819" t="inlineStr">
        <is>
          <t>No</t>
        </is>
      </c>
      <c r="BK819" t="inlineStr">
        <is>
          <t>PENDIENTE</t>
        </is>
      </c>
      <c r="BV819" t="inlineStr">
        <is>
          <t>No</t>
        </is>
      </c>
      <c r="BW819" s="76" t="n">
        <v>46136.41736111111</v>
      </c>
      <c r="BX819" t="inlineStr">
        <is>
          <t>Magaly Guevara Perez</t>
        </is>
      </c>
      <c r="BZ819" t="n">
        <v>5</v>
      </c>
      <c r="CB819" t="n">
        <v>0</v>
      </c>
      <c r="CF819" t="inlineStr">
        <is>
          <t>Cobranzas_2027.csv</t>
        </is>
      </c>
      <c r="CG819" t="n">
        <v>2027</v>
      </c>
      <c r="CH819" t="inlineStr">
        <is>
          <t>01/01/2024</t>
        </is>
      </c>
      <c r="CI819" t="inlineStr">
        <is>
          <t>24/08/2031</t>
        </is>
      </c>
    </row>
    <row r="820">
      <c r="A820" t="inlineStr">
        <is>
          <t>RESIDENCIAL BEYOND</t>
        </is>
      </c>
      <c r="B820" t="inlineStr">
        <is>
          <t>Etapa 1</t>
        </is>
      </c>
      <c r="C820" t="inlineStr">
        <is>
          <t>Edificio</t>
        </is>
      </c>
      <c r="D820" t="inlineStr">
        <is>
          <t>A</t>
        </is>
      </c>
      <c r="E820" t="inlineStr">
        <is>
          <t>Departamento</t>
        </is>
      </c>
      <c r="F820" t="inlineStr">
        <is>
          <t>301</t>
        </is>
      </c>
      <c r="G820" t="n">
        <v>70</v>
      </c>
      <c r="H820" t="n">
        <v>0</v>
      </c>
      <c r="I820" s="39" t="n">
        <v>518500</v>
      </c>
      <c r="J820" s="39" t="n">
        <v>475000</v>
      </c>
      <c r="K820" t="inlineStr">
        <is>
          <t>Edificio</t>
        </is>
      </c>
      <c r="L820" t="inlineStr">
        <is>
          <t>A</t>
        </is>
      </c>
      <c r="M820" t="inlineStr">
        <is>
          <t>Estacionamiento</t>
        </is>
      </c>
      <c r="N820" t="inlineStr">
        <is>
          <t>E 04 - D 02</t>
        </is>
      </c>
      <c r="O820" t="n">
        <v>12.5</v>
      </c>
      <c r="P820" t="n">
        <v>2</v>
      </c>
      <c r="Q820" s="39" t="n">
        <v>52500</v>
      </c>
      <c r="R820" s="39" t="n">
        <v>52500</v>
      </c>
      <c r="Y820" s="39" t="n"/>
      <c r="Z820" s="39" t="n"/>
      <c r="AG820" s="39" t="n"/>
      <c r="AH820" s="39" t="n"/>
      <c r="AI820" t="inlineStr">
        <is>
          <t>Victor Hugo Quispe Cupe</t>
        </is>
      </c>
      <c r="AJ820" t="inlineStr">
        <is>
          <t>09848317</t>
        </is>
      </c>
      <c r="AK820" t="inlineStr">
        <is>
          <t>Jr. Jose Arnaldo Marquez 1152</t>
        </is>
      </c>
      <c r="AL820" t="n">
        <v>0</v>
      </c>
      <c r="AM820" t="inlineStr">
        <is>
          <t>998980237</t>
        </is>
      </c>
      <c r="AN820" t="inlineStr">
        <is>
          <t>vitolosc58@gmail.com</t>
        </is>
      </c>
      <c r="AO820" t="inlineStr">
        <is>
          <t>LIMA</t>
        </is>
      </c>
      <c r="AP820" t="inlineStr">
        <is>
          <t>JESUS MARIA</t>
        </is>
      </c>
      <c r="AQ820" s="75" t="n">
        <v>46476</v>
      </c>
      <c r="AR820" s="75" t="n"/>
      <c r="AS820" t="inlineStr">
        <is>
          <t>SALDO FINANCIAR</t>
        </is>
      </c>
      <c r="AT820" t="n">
        <v>4</v>
      </c>
      <c r="AU820" t="n">
        <v>52222.22</v>
      </c>
      <c r="AV820" t="n">
        <v>0</v>
      </c>
      <c r="AW820" t="n">
        <v>0</v>
      </c>
      <c r="AX820" s="39" t="n">
        <v>52222.22</v>
      </c>
      <c r="AY820" s="39" t="n">
        <v>0</v>
      </c>
      <c r="AZ820" s="39" t="n">
        <v>52222.22</v>
      </c>
      <c r="BB820" t="inlineStr">
        <is>
          <t>Crédito Directo</t>
        </is>
      </c>
      <c r="BH820" t="inlineStr">
        <is>
          <t>No</t>
        </is>
      </c>
      <c r="BK820" t="inlineStr">
        <is>
          <t>PENDIENTE</t>
        </is>
      </c>
      <c r="BV820" t="inlineStr">
        <is>
          <t>No</t>
        </is>
      </c>
      <c r="BW820" s="76" t="n">
        <v>46136.41736111111</v>
      </c>
      <c r="BX820" t="inlineStr">
        <is>
          <t>Magaly Guevara Perez</t>
        </is>
      </c>
      <c r="BZ820" t="n">
        <v>5</v>
      </c>
      <c r="CB820" t="n">
        <v>0</v>
      </c>
      <c r="CF820" t="inlineStr">
        <is>
          <t>Cobranzas_2027.csv</t>
        </is>
      </c>
      <c r="CG820" t="n">
        <v>2027</v>
      </c>
      <c r="CH820" t="inlineStr">
        <is>
          <t>01/01/2024</t>
        </is>
      </c>
      <c r="CI820" t="inlineStr">
        <is>
          <t>24/08/2031</t>
        </is>
      </c>
    </row>
    <row r="821">
      <c r="A821" t="inlineStr">
        <is>
          <t>RESIDENCIAL BEYOND</t>
        </is>
      </c>
      <c r="B821" t="inlineStr">
        <is>
          <t>Etapa 1</t>
        </is>
      </c>
      <c r="C821" t="inlineStr">
        <is>
          <t>Edificio</t>
        </is>
      </c>
      <c r="D821" t="inlineStr">
        <is>
          <t>A</t>
        </is>
      </c>
      <c r="E821" t="inlineStr">
        <is>
          <t>Departamento</t>
        </is>
      </c>
      <c r="F821" t="inlineStr">
        <is>
          <t>301</t>
        </is>
      </c>
      <c r="G821" t="n">
        <v>70</v>
      </c>
      <c r="H821" t="n">
        <v>0</v>
      </c>
      <c r="I821" s="39" t="n">
        <v>518500</v>
      </c>
      <c r="J821" s="39" t="n">
        <v>475000</v>
      </c>
      <c r="K821" t="inlineStr">
        <is>
          <t>Edificio</t>
        </is>
      </c>
      <c r="L821" t="inlineStr">
        <is>
          <t>A</t>
        </is>
      </c>
      <c r="M821" t="inlineStr">
        <is>
          <t>Estacionamiento</t>
        </is>
      </c>
      <c r="N821" t="inlineStr">
        <is>
          <t>E 04 - D 02</t>
        </is>
      </c>
      <c r="O821" t="n">
        <v>12.5</v>
      </c>
      <c r="P821" t="n">
        <v>2</v>
      </c>
      <c r="Q821" s="39" t="n">
        <v>52500</v>
      </c>
      <c r="R821" s="39" t="n">
        <v>52500</v>
      </c>
      <c r="Y821" s="39" t="n"/>
      <c r="Z821" s="39" t="n"/>
      <c r="AG821" s="39" t="n"/>
      <c r="AH821" s="39" t="n"/>
      <c r="AI821" t="inlineStr">
        <is>
          <t>Victor Hugo Quispe Cupe</t>
        </is>
      </c>
      <c r="AJ821" t="inlineStr">
        <is>
          <t>09848317</t>
        </is>
      </c>
      <c r="AK821" t="inlineStr">
        <is>
          <t>Jr. Jose Arnaldo Marquez 1152</t>
        </is>
      </c>
      <c r="AL821" t="n">
        <v>0</v>
      </c>
      <c r="AM821" t="inlineStr">
        <is>
          <t>998980237</t>
        </is>
      </c>
      <c r="AN821" t="inlineStr">
        <is>
          <t>vitolosc58@gmail.com</t>
        </is>
      </c>
      <c r="AO821" t="inlineStr">
        <is>
          <t>LIMA</t>
        </is>
      </c>
      <c r="AP821" t="inlineStr">
        <is>
          <t>JESUS MARIA</t>
        </is>
      </c>
      <c r="AQ821" s="75" t="n">
        <v>46507</v>
      </c>
      <c r="AR821" s="75" t="n"/>
      <c r="AS821" t="inlineStr">
        <is>
          <t>SALDO FINANCIAR</t>
        </is>
      </c>
      <c r="AT821" t="n">
        <v>5</v>
      </c>
      <c r="AU821" t="n">
        <v>52222.22</v>
      </c>
      <c r="AV821" t="n">
        <v>0</v>
      </c>
      <c r="AW821" t="n">
        <v>0</v>
      </c>
      <c r="AX821" s="39" t="n">
        <v>52222.22</v>
      </c>
      <c r="AY821" s="39" t="n">
        <v>0</v>
      </c>
      <c r="AZ821" s="39" t="n">
        <v>52222.22</v>
      </c>
      <c r="BB821" t="inlineStr">
        <is>
          <t>Crédito Directo</t>
        </is>
      </c>
      <c r="BH821" t="inlineStr">
        <is>
          <t>No</t>
        </is>
      </c>
      <c r="BK821" t="inlineStr">
        <is>
          <t>PENDIENTE</t>
        </is>
      </c>
      <c r="BV821" t="inlineStr">
        <is>
          <t>No</t>
        </is>
      </c>
      <c r="BW821" s="76" t="n">
        <v>46136.41736111111</v>
      </c>
      <c r="BX821" t="inlineStr">
        <is>
          <t>Magaly Guevara Perez</t>
        </is>
      </c>
      <c r="BZ821" t="n">
        <v>5</v>
      </c>
      <c r="CB821" t="n">
        <v>0</v>
      </c>
      <c r="CF821" t="inlineStr">
        <is>
          <t>Cobranzas_2027.csv</t>
        </is>
      </c>
      <c r="CG821" t="n">
        <v>2027</v>
      </c>
      <c r="CH821" t="inlineStr">
        <is>
          <t>01/01/2024</t>
        </is>
      </c>
      <c r="CI821" t="inlineStr">
        <is>
          <t>24/08/2031</t>
        </is>
      </c>
    </row>
    <row r="822">
      <c r="A822" t="inlineStr">
        <is>
          <t>RESIDENCIAL BEYOND</t>
        </is>
      </c>
      <c r="B822" t="inlineStr">
        <is>
          <t>Etapa 1</t>
        </is>
      </c>
      <c r="C822" t="inlineStr">
        <is>
          <t>Edificio</t>
        </is>
      </c>
      <c r="D822" t="inlineStr">
        <is>
          <t>A</t>
        </is>
      </c>
      <c r="E822" t="inlineStr">
        <is>
          <t>Departamento</t>
        </is>
      </c>
      <c r="F822" t="inlineStr">
        <is>
          <t>301</t>
        </is>
      </c>
      <c r="G822" t="n">
        <v>70</v>
      </c>
      <c r="H822" t="n">
        <v>0</v>
      </c>
      <c r="I822" s="39" t="n">
        <v>518500</v>
      </c>
      <c r="J822" s="39" t="n">
        <v>475000</v>
      </c>
      <c r="K822" t="inlineStr">
        <is>
          <t>Edificio</t>
        </is>
      </c>
      <c r="L822" t="inlineStr">
        <is>
          <t>A</t>
        </is>
      </c>
      <c r="M822" t="inlineStr">
        <is>
          <t>Estacionamiento</t>
        </is>
      </c>
      <c r="N822" t="inlineStr">
        <is>
          <t>E 04 - D 02</t>
        </is>
      </c>
      <c r="O822" t="n">
        <v>12.5</v>
      </c>
      <c r="P822" t="n">
        <v>2</v>
      </c>
      <c r="Q822" s="39" t="n">
        <v>52500</v>
      </c>
      <c r="R822" s="39" t="n">
        <v>52500</v>
      </c>
      <c r="Y822" s="39" t="n"/>
      <c r="Z822" s="39" t="n"/>
      <c r="AG822" s="39" t="n"/>
      <c r="AH822" s="39" t="n"/>
      <c r="AI822" t="inlineStr">
        <is>
          <t>Victor Hugo Quispe Cupe</t>
        </is>
      </c>
      <c r="AJ822" t="inlineStr">
        <is>
          <t>09848317</t>
        </is>
      </c>
      <c r="AK822" t="inlineStr">
        <is>
          <t>Jr. Jose Arnaldo Marquez 1152</t>
        </is>
      </c>
      <c r="AL822" t="n">
        <v>0</v>
      </c>
      <c r="AM822" t="inlineStr">
        <is>
          <t>998980237</t>
        </is>
      </c>
      <c r="AN822" t="inlineStr">
        <is>
          <t>vitolosc58@gmail.com</t>
        </is>
      </c>
      <c r="AO822" t="inlineStr">
        <is>
          <t>LIMA</t>
        </is>
      </c>
      <c r="AP822" t="inlineStr">
        <is>
          <t>JESUS MARIA</t>
        </is>
      </c>
      <c r="AQ822" s="75" t="n">
        <v>46537</v>
      </c>
      <c r="AR822" s="75" t="n"/>
      <c r="AS822" t="inlineStr">
        <is>
          <t>SALDO FINANCIAR</t>
        </is>
      </c>
      <c r="AT822" t="n">
        <v>6</v>
      </c>
      <c r="AU822" t="n">
        <v>52222.22</v>
      </c>
      <c r="AV822" t="n">
        <v>0</v>
      </c>
      <c r="AW822" t="n">
        <v>0</v>
      </c>
      <c r="AX822" s="39" t="n">
        <v>52222.22</v>
      </c>
      <c r="AY822" s="39" t="n">
        <v>0</v>
      </c>
      <c r="AZ822" s="39" t="n">
        <v>52222.22</v>
      </c>
      <c r="BB822" t="inlineStr">
        <is>
          <t>Crédito Directo</t>
        </is>
      </c>
      <c r="BH822" t="inlineStr">
        <is>
          <t>No</t>
        </is>
      </c>
      <c r="BK822" t="inlineStr">
        <is>
          <t>PENDIENTE</t>
        </is>
      </c>
      <c r="BV822" t="inlineStr">
        <is>
          <t>No</t>
        </is>
      </c>
      <c r="BW822" s="76" t="n">
        <v>46136.41736111111</v>
      </c>
      <c r="BX822" t="inlineStr">
        <is>
          <t>Magaly Guevara Perez</t>
        </is>
      </c>
      <c r="BZ822" t="n">
        <v>5</v>
      </c>
      <c r="CB822" t="n">
        <v>0</v>
      </c>
      <c r="CF822" t="inlineStr">
        <is>
          <t>Cobranzas_2027.csv</t>
        </is>
      </c>
      <c r="CG822" t="n">
        <v>2027</v>
      </c>
      <c r="CH822" t="inlineStr">
        <is>
          <t>01/01/2024</t>
        </is>
      </c>
      <c r="CI822" t="inlineStr">
        <is>
          <t>24/08/2031</t>
        </is>
      </c>
    </row>
    <row r="823">
      <c r="A823" t="inlineStr">
        <is>
          <t>RESIDENCIAL BEYOND</t>
        </is>
      </c>
      <c r="B823" t="inlineStr">
        <is>
          <t>Etapa 1</t>
        </is>
      </c>
      <c r="C823" t="inlineStr">
        <is>
          <t>Edificio</t>
        </is>
      </c>
      <c r="D823" t="inlineStr">
        <is>
          <t>A</t>
        </is>
      </c>
      <c r="E823" t="inlineStr">
        <is>
          <t>Departamento</t>
        </is>
      </c>
      <c r="F823" t="inlineStr">
        <is>
          <t>301</t>
        </is>
      </c>
      <c r="G823" t="n">
        <v>70</v>
      </c>
      <c r="H823" t="n">
        <v>0</v>
      </c>
      <c r="I823" s="39" t="n">
        <v>518500</v>
      </c>
      <c r="J823" s="39" t="n">
        <v>475000</v>
      </c>
      <c r="K823" t="inlineStr">
        <is>
          <t>Edificio</t>
        </is>
      </c>
      <c r="L823" t="inlineStr">
        <is>
          <t>A</t>
        </is>
      </c>
      <c r="M823" t="inlineStr">
        <is>
          <t>Estacionamiento</t>
        </is>
      </c>
      <c r="N823" t="inlineStr">
        <is>
          <t>E 04 - D 02</t>
        </is>
      </c>
      <c r="O823" t="n">
        <v>12.5</v>
      </c>
      <c r="P823" t="n">
        <v>2</v>
      </c>
      <c r="Q823" s="39" t="n">
        <v>52500</v>
      </c>
      <c r="R823" s="39" t="n">
        <v>52500</v>
      </c>
      <c r="Y823" s="39" t="n"/>
      <c r="Z823" s="39" t="n"/>
      <c r="AG823" s="39" t="n"/>
      <c r="AH823" s="39" t="n"/>
      <c r="AI823" t="inlineStr">
        <is>
          <t>Victor Hugo Quispe Cupe</t>
        </is>
      </c>
      <c r="AJ823" t="inlineStr">
        <is>
          <t>09848317</t>
        </is>
      </c>
      <c r="AK823" t="inlineStr">
        <is>
          <t>Jr. Jose Arnaldo Marquez 1152</t>
        </is>
      </c>
      <c r="AL823" t="n">
        <v>0</v>
      </c>
      <c r="AM823" t="inlineStr">
        <is>
          <t>998980237</t>
        </is>
      </c>
      <c r="AN823" t="inlineStr">
        <is>
          <t>vitolosc58@gmail.com</t>
        </is>
      </c>
      <c r="AO823" t="inlineStr">
        <is>
          <t>LIMA</t>
        </is>
      </c>
      <c r="AP823" t="inlineStr">
        <is>
          <t>JESUS MARIA</t>
        </is>
      </c>
      <c r="AQ823" s="75" t="n">
        <v>46568</v>
      </c>
      <c r="AR823" s="75" t="n"/>
      <c r="AS823" t="inlineStr">
        <is>
          <t>SALDO FINANCIAR</t>
        </is>
      </c>
      <c r="AT823" t="n">
        <v>7</v>
      </c>
      <c r="AU823" t="n">
        <v>52222.22</v>
      </c>
      <c r="AV823" t="n">
        <v>0</v>
      </c>
      <c r="AW823" t="n">
        <v>0</v>
      </c>
      <c r="AX823" s="39" t="n">
        <v>52222.22</v>
      </c>
      <c r="AY823" s="39" t="n">
        <v>0</v>
      </c>
      <c r="AZ823" s="39" t="n">
        <v>52222.22</v>
      </c>
      <c r="BB823" t="inlineStr">
        <is>
          <t>Crédito Directo</t>
        </is>
      </c>
      <c r="BH823" t="inlineStr">
        <is>
          <t>No</t>
        </is>
      </c>
      <c r="BK823" t="inlineStr">
        <is>
          <t>PENDIENTE</t>
        </is>
      </c>
      <c r="BV823" t="inlineStr">
        <is>
          <t>No</t>
        </is>
      </c>
      <c r="BW823" s="76" t="n">
        <v>46136.41736111111</v>
      </c>
      <c r="BX823" t="inlineStr">
        <is>
          <t>Magaly Guevara Perez</t>
        </is>
      </c>
      <c r="BZ823" t="n">
        <v>5</v>
      </c>
      <c r="CB823" t="n">
        <v>0</v>
      </c>
      <c r="CF823" t="inlineStr">
        <is>
          <t>Cobranzas_2027.csv</t>
        </is>
      </c>
      <c r="CG823" t="n">
        <v>2027</v>
      </c>
      <c r="CH823" t="inlineStr">
        <is>
          <t>01/01/2024</t>
        </is>
      </c>
      <c r="CI823" t="inlineStr">
        <is>
          <t>24/08/2031</t>
        </is>
      </c>
    </row>
    <row r="824">
      <c r="A824" t="inlineStr">
        <is>
          <t>RESIDENCIAL BEYOND</t>
        </is>
      </c>
      <c r="B824" t="inlineStr">
        <is>
          <t>Etapa 1</t>
        </is>
      </c>
      <c r="C824" t="inlineStr">
        <is>
          <t>Edificio</t>
        </is>
      </c>
      <c r="D824" t="inlineStr">
        <is>
          <t>A</t>
        </is>
      </c>
      <c r="E824" t="inlineStr">
        <is>
          <t>Departamento</t>
        </is>
      </c>
      <c r="F824" t="inlineStr">
        <is>
          <t>301</t>
        </is>
      </c>
      <c r="G824" t="n">
        <v>70</v>
      </c>
      <c r="H824" t="n">
        <v>0</v>
      </c>
      <c r="I824" s="39" t="n">
        <v>518500</v>
      </c>
      <c r="J824" s="39" t="n">
        <v>475000</v>
      </c>
      <c r="K824" t="inlineStr">
        <is>
          <t>Edificio</t>
        </is>
      </c>
      <c r="L824" t="inlineStr">
        <is>
          <t>A</t>
        </is>
      </c>
      <c r="M824" t="inlineStr">
        <is>
          <t>Estacionamiento</t>
        </is>
      </c>
      <c r="N824" t="inlineStr">
        <is>
          <t>E 04 - D 02</t>
        </is>
      </c>
      <c r="O824" t="n">
        <v>12.5</v>
      </c>
      <c r="P824" t="n">
        <v>2</v>
      </c>
      <c r="Q824" s="39" t="n">
        <v>52500</v>
      </c>
      <c r="R824" s="39" t="n">
        <v>52500</v>
      </c>
      <c r="Y824" s="39" t="n"/>
      <c r="Z824" s="39" t="n"/>
      <c r="AG824" s="39" t="n"/>
      <c r="AH824" s="39" t="n"/>
      <c r="AI824" t="inlineStr">
        <is>
          <t>Victor Hugo Quispe Cupe</t>
        </is>
      </c>
      <c r="AJ824" t="inlineStr">
        <is>
          <t>09848317</t>
        </is>
      </c>
      <c r="AK824" t="inlineStr">
        <is>
          <t>Jr. Jose Arnaldo Marquez 1152</t>
        </is>
      </c>
      <c r="AL824" t="n">
        <v>0</v>
      </c>
      <c r="AM824" t="inlineStr">
        <is>
          <t>998980237</t>
        </is>
      </c>
      <c r="AN824" t="inlineStr">
        <is>
          <t>vitolosc58@gmail.com</t>
        </is>
      </c>
      <c r="AO824" t="inlineStr">
        <is>
          <t>LIMA</t>
        </is>
      </c>
      <c r="AP824" t="inlineStr">
        <is>
          <t>JESUS MARIA</t>
        </is>
      </c>
      <c r="AQ824" s="75" t="n">
        <v>46598</v>
      </c>
      <c r="AR824" s="75" t="n"/>
      <c r="AS824" t="inlineStr">
        <is>
          <t>SALDO FINANCIAR</t>
        </is>
      </c>
      <c r="AT824" t="n">
        <v>8</v>
      </c>
      <c r="AU824" t="n">
        <v>52222.22</v>
      </c>
      <c r="AV824" t="n">
        <v>0</v>
      </c>
      <c r="AW824" t="n">
        <v>0</v>
      </c>
      <c r="AX824" s="39" t="n">
        <v>52222.22</v>
      </c>
      <c r="AY824" s="39" t="n">
        <v>0</v>
      </c>
      <c r="AZ824" s="39" t="n">
        <v>52222.22</v>
      </c>
      <c r="BB824" t="inlineStr">
        <is>
          <t>Crédito Directo</t>
        </is>
      </c>
      <c r="BH824" t="inlineStr">
        <is>
          <t>No</t>
        </is>
      </c>
      <c r="BK824" t="inlineStr">
        <is>
          <t>PENDIENTE</t>
        </is>
      </c>
      <c r="BV824" t="inlineStr">
        <is>
          <t>No</t>
        </is>
      </c>
      <c r="BW824" s="76" t="n">
        <v>46136.41736111111</v>
      </c>
      <c r="BX824" t="inlineStr">
        <is>
          <t>Magaly Guevara Perez</t>
        </is>
      </c>
      <c r="BZ824" t="n">
        <v>5</v>
      </c>
      <c r="CB824" t="n">
        <v>0</v>
      </c>
      <c r="CF824" t="inlineStr">
        <is>
          <t>Cobranzas_2027.csv</t>
        </is>
      </c>
      <c r="CG824" t="n">
        <v>2027</v>
      </c>
      <c r="CH824" t="inlineStr">
        <is>
          <t>01/01/2024</t>
        </is>
      </c>
      <c r="CI824" t="inlineStr">
        <is>
          <t>24/08/2031</t>
        </is>
      </c>
    </row>
    <row r="825">
      <c r="A825" t="inlineStr">
        <is>
          <t>RESIDENCIAL BEYOND</t>
        </is>
      </c>
      <c r="B825" t="inlineStr">
        <is>
          <t>Etapa 1</t>
        </is>
      </c>
      <c r="C825" t="inlineStr">
        <is>
          <t>Edificio</t>
        </is>
      </c>
      <c r="D825" t="inlineStr">
        <is>
          <t>A</t>
        </is>
      </c>
      <c r="E825" t="inlineStr">
        <is>
          <t>Departamento</t>
        </is>
      </c>
      <c r="F825" t="inlineStr">
        <is>
          <t>301</t>
        </is>
      </c>
      <c r="G825" t="n">
        <v>70</v>
      </c>
      <c r="H825" t="n">
        <v>0</v>
      </c>
      <c r="I825" s="39" t="n">
        <v>518500</v>
      </c>
      <c r="J825" s="39" t="n">
        <v>475000</v>
      </c>
      <c r="K825" t="inlineStr">
        <is>
          <t>Edificio</t>
        </is>
      </c>
      <c r="L825" t="inlineStr">
        <is>
          <t>A</t>
        </is>
      </c>
      <c r="M825" t="inlineStr">
        <is>
          <t>Estacionamiento</t>
        </is>
      </c>
      <c r="N825" t="inlineStr">
        <is>
          <t>E 04 - D 02</t>
        </is>
      </c>
      <c r="O825" t="n">
        <v>12.5</v>
      </c>
      <c r="P825" t="n">
        <v>2</v>
      </c>
      <c r="Q825" s="39" t="n">
        <v>52500</v>
      </c>
      <c r="R825" s="39" t="n">
        <v>52500</v>
      </c>
      <c r="Y825" s="39" t="n"/>
      <c r="Z825" s="39" t="n"/>
      <c r="AG825" s="39" t="n"/>
      <c r="AH825" s="39" t="n"/>
      <c r="AI825" t="inlineStr">
        <is>
          <t>Victor Hugo Quispe Cupe</t>
        </is>
      </c>
      <c r="AJ825" t="inlineStr">
        <is>
          <t>09848317</t>
        </is>
      </c>
      <c r="AK825" t="inlineStr">
        <is>
          <t>Jr. Jose Arnaldo Marquez 1152</t>
        </is>
      </c>
      <c r="AL825" t="n">
        <v>0</v>
      </c>
      <c r="AM825" t="inlineStr">
        <is>
          <t>998980237</t>
        </is>
      </c>
      <c r="AN825" t="inlineStr">
        <is>
          <t>vitolosc58@gmail.com</t>
        </is>
      </c>
      <c r="AO825" t="inlineStr">
        <is>
          <t>LIMA</t>
        </is>
      </c>
      <c r="AP825" t="inlineStr">
        <is>
          <t>JESUS MARIA</t>
        </is>
      </c>
      <c r="AQ825" s="75" t="n">
        <v>46629</v>
      </c>
      <c r="AR825" s="75" t="n"/>
      <c r="AS825" t="inlineStr">
        <is>
          <t>SALDO FINANCIAR</t>
        </is>
      </c>
      <c r="AT825" t="n">
        <v>9</v>
      </c>
      <c r="AU825" t="n">
        <v>52222.24</v>
      </c>
      <c r="AV825" t="n">
        <v>0</v>
      </c>
      <c r="AW825" t="n">
        <v>0</v>
      </c>
      <c r="AX825" s="39" t="n">
        <v>52222.24</v>
      </c>
      <c r="AY825" s="39" t="n">
        <v>0</v>
      </c>
      <c r="AZ825" s="39" t="n">
        <v>52222.24</v>
      </c>
      <c r="BB825" t="inlineStr">
        <is>
          <t>Crédito Directo</t>
        </is>
      </c>
      <c r="BH825" t="inlineStr">
        <is>
          <t>No</t>
        </is>
      </c>
      <c r="BK825" t="inlineStr">
        <is>
          <t>PENDIENTE</t>
        </is>
      </c>
      <c r="BV825" t="inlineStr">
        <is>
          <t>No</t>
        </is>
      </c>
      <c r="BW825" s="76" t="n">
        <v>46136.41736111111</v>
      </c>
      <c r="BX825" t="inlineStr">
        <is>
          <t>Magaly Guevara Perez</t>
        </is>
      </c>
      <c r="BZ825" t="n">
        <v>5</v>
      </c>
      <c r="CB825" t="n">
        <v>0</v>
      </c>
      <c r="CF825" t="inlineStr">
        <is>
          <t>Cobranzas_2027.csv</t>
        </is>
      </c>
      <c r="CG825" t="n">
        <v>2027</v>
      </c>
      <c r="CH825" t="inlineStr">
        <is>
          <t>01/01/2024</t>
        </is>
      </c>
      <c r="CI825" t="inlineStr">
        <is>
          <t>24/08/2031</t>
        </is>
      </c>
    </row>
    <row r="826">
      <c r="A826" t="inlineStr">
        <is>
          <t>RESIDENCIAL BEYOND</t>
        </is>
      </c>
      <c r="B826" t="inlineStr">
        <is>
          <t>Etapa 1</t>
        </is>
      </c>
      <c r="C826" t="inlineStr">
        <is>
          <t>Edificio</t>
        </is>
      </c>
      <c r="D826" t="inlineStr">
        <is>
          <t>A</t>
        </is>
      </c>
      <c r="E826" t="inlineStr">
        <is>
          <t>Departamento</t>
        </is>
      </c>
      <c r="F826" t="inlineStr">
        <is>
          <t>603</t>
        </is>
      </c>
      <c r="G826" t="n">
        <v>68</v>
      </c>
      <c r="H826" t="n">
        <v>0</v>
      </c>
      <c r="I826" s="39" t="n">
        <v>504700</v>
      </c>
      <c r="J826" s="39" t="n">
        <v>478000</v>
      </c>
      <c r="K826" t="inlineStr">
        <is>
          <t>Edificio</t>
        </is>
      </c>
      <c r="L826" t="inlineStr">
        <is>
          <t>A</t>
        </is>
      </c>
      <c r="M826" t="inlineStr">
        <is>
          <t>Estacionamiento</t>
        </is>
      </c>
      <c r="N826" t="inlineStr">
        <is>
          <t>E 37 - D 23</t>
        </is>
      </c>
      <c r="O826" t="n">
        <v>12.5</v>
      </c>
      <c r="P826" t="n">
        <v>2.78</v>
      </c>
      <c r="Q826" s="39" t="n">
        <v>50000</v>
      </c>
      <c r="R826" s="39" t="n">
        <v>50000</v>
      </c>
      <c r="Y826" s="39" t="n"/>
      <c r="Z826" s="39" t="n"/>
      <c r="AG826" s="39" t="n"/>
      <c r="AH826" s="39" t="n"/>
      <c r="AI826" t="inlineStr">
        <is>
          <t>Vivina Pasco Blas Vda. De Saenz</t>
        </is>
      </c>
      <c r="AJ826" t="inlineStr">
        <is>
          <t>08494885</t>
        </is>
      </c>
      <c r="AK826" t="inlineStr">
        <is>
          <t>Av. Cordialidad 8079 Urb. Floresta De Pro</t>
        </is>
      </c>
      <c r="AL826" t="n">
        <v>0</v>
      </c>
      <c r="AM826" t="inlineStr">
        <is>
          <t>992686657</t>
        </is>
      </c>
      <c r="AN826" t="inlineStr">
        <is>
          <t>g.saenz22@gmail.com</t>
        </is>
      </c>
      <c r="AO826" t="inlineStr">
        <is>
          <t>LIMA</t>
        </is>
      </c>
      <c r="AP826" t="inlineStr">
        <is>
          <t>LOS OLIVOS</t>
        </is>
      </c>
      <c r="AQ826" s="75" t="n">
        <v>46537</v>
      </c>
      <c r="AR826" s="75" t="n"/>
      <c r="AS826" t="inlineStr">
        <is>
          <t>SALDO FINANCIAR</t>
        </is>
      </c>
      <c r="AT826" t="n">
        <v>2</v>
      </c>
      <c r="AU826" t="n">
        <v>66000</v>
      </c>
      <c r="AV826" t="n">
        <v>0</v>
      </c>
      <c r="AW826" t="n">
        <v>0</v>
      </c>
      <c r="AX826" s="39" t="n">
        <v>66000</v>
      </c>
      <c r="AY826" s="39" t="n">
        <v>0</v>
      </c>
      <c r="AZ826" s="39" t="n">
        <v>66000</v>
      </c>
      <c r="BB826" t="inlineStr">
        <is>
          <t>Ahorro</t>
        </is>
      </c>
      <c r="BH826" t="inlineStr">
        <is>
          <t>No</t>
        </is>
      </c>
      <c r="BK826" t="inlineStr">
        <is>
          <t>PENDIENTE</t>
        </is>
      </c>
      <c r="BV826" t="inlineStr">
        <is>
          <t>No</t>
        </is>
      </c>
      <c r="BW826" s="76" t="n">
        <v>46112.40555555555</v>
      </c>
      <c r="BX826" t="inlineStr">
        <is>
          <t>Magaly Guevara Perez</t>
        </is>
      </c>
      <c r="BZ826" t="n">
        <v>23</v>
      </c>
      <c r="CB826" t="n">
        <v>0</v>
      </c>
      <c r="CF826" t="inlineStr">
        <is>
          <t>Cobranzas_2027.csv</t>
        </is>
      </c>
      <c r="CG826" t="n">
        <v>2027</v>
      </c>
      <c r="CH826" t="inlineStr">
        <is>
          <t>01/01/2024</t>
        </is>
      </c>
      <c r="CI826" t="inlineStr">
        <is>
          <t>24/08/2031</t>
        </is>
      </c>
    </row>
    <row r="827">
      <c r="A827" t="inlineStr">
        <is>
          <t>RESIDENCIAL BEYOND</t>
        </is>
      </c>
      <c r="B827" t="inlineStr">
        <is>
          <t>Etapa 1</t>
        </is>
      </c>
      <c r="C827" t="inlineStr">
        <is>
          <t>Edificio</t>
        </is>
      </c>
      <c r="D827" t="inlineStr">
        <is>
          <t>A</t>
        </is>
      </c>
      <c r="E827" t="inlineStr">
        <is>
          <t>Departamento</t>
        </is>
      </c>
      <c r="F827" t="inlineStr">
        <is>
          <t>603</t>
        </is>
      </c>
      <c r="G827" t="n">
        <v>68</v>
      </c>
      <c r="H827" t="n">
        <v>0</v>
      </c>
      <c r="I827" s="39" t="n">
        <v>504700</v>
      </c>
      <c r="J827" s="39" t="n">
        <v>478000</v>
      </c>
      <c r="K827" t="inlineStr">
        <is>
          <t>Edificio</t>
        </is>
      </c>
      <c r="L827" t="inlineStr">
        <is>
          <t>A</t>
        </is>
      </c>
      <c r="M827" t="inlineStr">
        <is>
          <t>Estacionamiento</t>
        </is>
      </c>
      <c r="N827" t="inlineStr">
        <is>
          <t>E 37 - D 23</t>
        </is>
      </c>
      <c r="O827" t="n">
        <v>12.5</v>
      </c>
      <c r="P827" t="n">
        <v>2.78</v>
      </c>
      <c r="Q827" s="39" t="n">
        <v>50000</v>
      </c>
      <c r="R827" s="39" t="n">
        <v>50000</v>
      </c>
      <c r="Y827" s="39" t="n"/>
      <c r="Z827" s="39" t="n"/>
      <c r="AG827" s="39" t="n"/>
      <c r="AH827" s="39" t="n"/>
      <c r="AI827" t="inlineStr">
        <is>
          <t>Vivina Pasco Blas Vda. De Saenz</t>
        </is>
      </c>
      <c r="AJ827" t="inlineStr">
        <is>
          <t>08494885</t>
        </is>
      </c>
      <c r="AK827" t="inlineStr">
        <is>
          <t>Av. Cordialidad 8079 Urb. Floresta De Pro</t>
        </is>
      </c>
      <c r="AL827" t="n">
        <v>0</v>
      </c>
      <c r="AM827" t="inlineStr">
        <is>
          <t>992686657</t>
        </is>
      </c>
      <c r="AN827" t="inlineStr">
        <is>
          <t>g.saenz22@gmail.com</t>
        </is>
      </c>
      <c r="AO827" t="inlineStr">
        <is>
          <t>LIMA</t>
        </is>
      </c>
      <c r="AP827" t="inlineStr">
        <is>
          <t>LOS OLIVOS</t>
        </is>
      </c>
      <c r="AQ827" s="75" t="n">
        <v>46568</v>
      </c>
      <c r="AR827" s="75" t="n"/>
      <c r="AS827" t="inlineStr">
        <is>
          <t>SALDO FINANCIAR</t>
        </is>
      </c>
      <c r="AT827" t="n">
        <v>3</v>
      </c>
      <c r="AU827" t="n">
        <v>132000</v>
      </c>
      <c r="AV827" t="n">
        <v>0</v>
      </c>
      <c r="AW827" t="n">
        <v>0</v>
      </c>
      <c r="AX827" s="39" t="n">
        <v>132000</v>
      </c>
      <c r="AY827" s="39" t="n">
        <v>0</v>
      </c>
      <c r="AZ827" s="39" t="n">
        <v>132000</v>
      </c>
      <c r="BB827" t="inlineStr">
        <is>
          <t>Ahorro</t>
        </is>
      </c>
      <c r="BH827" t="inlineStr">
        <is>
          <t>No</t>
        </is>
      </c>
      <c r="BK827" t="inlineStr">
        <is>
          <t>PENDIENTE</t>
        </is>
      </c>
      <c r="BV827" t="inlineStr">
        <is>
          <t>No</t>
        </is>
      </c>
      <c r="BW827" s="76" t="n">
        <v>46112.40555555555</v>
      </c>
      <c r="BX827" t="inlineStr">
        <is>
          <t>Magaly Guevara Perez</t>
        </is>
      </c>
      <c r="BZ827" t="n">
        <v>23</v>
      </c>
      <c r="CB827" t="n">
        <v>0</v>
      </c>
      <c r="CF827" t="inlineStr">
        <is>
          <t>Cobranzas_2027.csv</t>
        </is>
      </c>
      <c r="CG827" t="n">
        <v>2027</v>
      </c>
      <c r="CH827" t="inlineStr">
        <is>
          <t>01/01/2024</t>
        </is>
      </c>
      <c r="CI827" t="inlineStr">
        <is>
          <t>24/08/2031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21875" bestFit="1" customWidth="1" min="15" max="15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Prada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24218600</v>
      </c>
      <c r="D11" s="53" t="n">
        <v>58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5</v>
      </c>
      <c r="L11" s="55" t="n">
        <v>81</v>
      </c>
    </row>
    <row r="12">
      <c r="B12" s="4" t="inlineStr">
        <is>
          <t>Departamento</t>
        </is>
      </c>
      <c r="C12" s="56" t="n">
        <v>16401100</v>
      </c>
      <c r="D12" s="56" t="n">
        <v>31</v>
      </c>
      <c r="F12" s="57">
        <f>IF(C12=0,0,G12/C12)</f>
        <v/>
      </c>
      <c r="G12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'Base_Cobranzas'!$AY$2:$AY$827&gt;0),'Base_Cobranzas'!$AY$2:$AY$827),0)</f>
        <v/>
      </c>
      <c r="H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PENDIENTE",UPPER(TRIM('Base_Cobranzas'!$BK$2:$BK$827)))),'Base_Cobranzas'!$AZ$2:$AZ$827),0)</f>
        <v/>
      </c>
      <c r="I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VENCIDO",UPPER(TRIM('Base_Cobranzas'!$BK$2:$BK$827)))),'Base_Cobranzas'!$AZ$2:$AZ$827),0)</f>
        <v/>
      </c>
      <c r="J12" s="57">
        <f>IF(C12=0,0,I12/C12)</f>
        <v/>
      </c>
      <c r="K12" s="59" t="n">
        <v>4</v>
      </c>
      <c r="L12" s="59" t="n">
        <v>101</v>
      </c>
    </row>
    <row r="13">
      <c r="B13" s="4" t="inlineStr">
        <is>
          <t>Departamento + Estacionamiento</t>
        </is>
      </c>
      <c r="C13" s="56" t="n">
        <v>7817500</v>
      </c>
      <c r="D13" s="56" t="n">
        <v>27</v>
      </c>
      <c r="F13" s="57">
        <f>IF(C13=0,0,G13/C13)</f>
        <v/>
      </c>
      <c r="G13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3" s="57">
        <f>IF(C13=0,0,I13/C13)</f>
        <v/>
      </c>
      <c r="K13" s="59" t="n">
        <v>1</v>
      </c>
      <c r="L13" s="59" t="n">
        <v>22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807100</v>
      </c>
      <c r="D15" s="53" t="n">
        <v>15</v>
      </c>
      <c r="F15" s="54">
        <f>IF(C15=0,0,G15/C15)</f>
        <v/>
      </c>
      <c r="G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5" s="60">
        <f>IF(C15=0,0,I15/C15)</f>
        <v/>
      </c>
      <c r="K15" s="61" t="n">
        <v>4</v>
      </c>
      <c r="L15" s="61" t="n">
        <v>40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('Base_Cobranzas'!$AY$2:$AY$827&gt;0),'Base_Cobranzas'!$AY$2:$AY$827),0)</f>
        <v/>
      </c>
      <c r="H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PENDIENTE",UPPER(TRIM('Base_Cobranzas'!$BK$2:$BK$827)))),'Base_Cobranzas'!$AZ$2:$AZ$827),0)</f>
        <v/>
      </c>
      <c r="I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VENCIDO",UPPER(TRIM('Base_Cobranzas'!$BK$2:$BK$827)))),'Base_Cobranzas'!$AZ$2:$AZ$827)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('Base_Cobranzas'!$AY$2:$AY$827&gt;0),'Base_Cobranzas'!$AY$2:$AY$827),0)</f>
        <v/>
      </c>
      <c r="H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PENDIENTE",UPPER(TRIM('Base_Cobranzas'!$BK$2:$BK$827)))),'Base_Cobranzas'!$AZ$2:$AZ$827),0)</f>
        <v/>
      </c>
      <c r="I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VENCIDO",UPPER(TRIM('Base_Cobranzas'!$BK$2:$BK$827)))),'Base_Cobranzas'!$AZ$2:$AZ$827)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25025700</v>
      </c>
      <c r="D21" s="63" t="n">
        <v>73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9</v>
      </c>
      <c r="L21" s="67" t="n">
        <v>63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n">
        <v>46204</v>
      </c>
      <c r="L33" s="26" t="n">
        <v>46235</v>
      </c>
      <c r="M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D34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E34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F34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G34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H34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I34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J34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K34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L34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M34" s="70">
        <f>SUM(C34:L34)</f>
        <v/>
      </c>
    </row>
    <row r="35">
      <c r="B35" s="8" t="inlineStr">
        <is>
          <t>Crédito Hipotecario</t>
        </is>
      </c>
      <c r="C35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D35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E35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F35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G35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H35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I35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J35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K35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L35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M35" s="70">
        <f>SUM(C35:L35)</f>
        <v/>
      </c>
    </row>
    <row r="36">
      <c r="B36" s="8" t="inlineStr">
        <is>
          <t>Ahorro</t>
        </is>
      </c>
      <c r="C36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D36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E36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F36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G36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H36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I36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J36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K36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L36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M36" s="70">
        <f>SUM(C36:L36)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SUM(K34:K36)</f>
        <v/>
      </c>
      <c r="L37" s="71">
        <f>SUM(L34:L36)</f>
        <v/>
      </c>
      <c r="M37" s="71">
        <f>SUM(C37:L37)</f>
        <v/>
      </c>
      <c r="N37">
        <f>IF($G$21=M37,"OK","REVISAR")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2">
        <f>J39+K37</f>
        <v/>
      </c>
      <c r="L39" s="72">
        <f>K39+L37</f>
        <v/>
      </c>
      <c r="M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46266</v>
      </c>
      <c r="D45" s="26" t="n">
        <v>46296</v>
      </c>
      <c r="E45" s="26" t="n">
        <v>46327</v>
      </c>
      <c r="F45" s="26" t="n">
        <v>46357</v>
      </c>
      <c r="G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D46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E46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F46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G46" s="70">
        <f>SUM(C46:F46)</f>
        <v/>
      </c>
    </row>
    <row r="47">
      <c r="B47" s="8" t="inlineStr">
        <is>
          <t>Crédito Hipotecario</t>
        </is>
      </c>
      <c r="C47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D47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E47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F47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G47" s="70">
        <f>SUM(C47:F47)</f>
        <v/>
      </c>
    </row>
    <row r="48">
      <c r="B48" s="8" t="inlineStr">
        <is>
          <t>Ahorro</t>
        </is>
      </c>
      <c r="C48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D48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E48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F48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G48" s="70">
        <f>SUM(C48:F48)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SUM(C49:F49)</f>
        <v/>
      </c>
      <c r="H49">
        <f>IF($H$21=G49,"OK","REVISAR")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45901</v>
      </c>
      <c r="D57" s="26" t="n">
        <v>45931</v>
      </c>
      <c r="E57" s="26" t="n">
        <v>45962</v>
      </c>
      <c r="F57" s="26" t="n">
        <v>45992</v>
      </c>
      <c r="G57" s="26" t="n">
        <v>46023</v>
      </c>
      <c r="H57" s="26" t="n">
        <v>46054</v>
      </c>
      <c r="I57" s="26" t="n">
        <v>46082</v>
      </c>
      <c r="J57" s="26" t="n">
        <v>46113</v>
      </c>
      <c r="K57" s="26" t="n">
        <v>46143</v>
      </c>
      <c r="L57" s="26" t="n">
        <v>46174</v>
      </c>
      <c r="M57" s="26" t="n">
        <v>46204</v>
      </c>
      <c r="N57" s="26" t="n">
        <v>46235</v>
      </c>
      <c r="O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D58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E58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F58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G58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H58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I58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J58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K58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L58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M58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N58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O58" s="70">
        <f>SUM(C58:N58)</f>
        <v/>
      </c>
    </row>
    <row r="59">
      <c r="B59" s="8" t="inlineStr">
        <is>
          <t>Crédito Hipotecario</t>
        </is>
      </c>
      <c r="C59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D59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E59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F59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G59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H59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I59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J59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K59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L59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M59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N59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O59" s="70">
        <f>SUM(C59:N59)</f>
        <v/>
      </c>
    </row>
    <row r="60">
      <c r="B60" s="8" t="inlineStr">
        <is>
          <t>Ahorro</t>
        </is>
      </c>
      <c r="C60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D60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E60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F60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G60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H60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I60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J60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K60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L60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M60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N60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O60" s="70">
        <f>SUM(C60:N60)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SUM(N58:N60)</f>
        <v/>
      </c>
      <c r="O61" s="71">
        <f>SUM(C61:N61)</f>
        <v/>
      </c>
      <c r="P61">
        <f>IF($I$21=O61,"OK","REVISAR")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2">
        <f>M63+N61</f>
        <v/>
      </c>
      <c r="O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21875" bestFit="1" customWidth="1" min="15" max="15"/>
    <col width="14.21875" customWidth="1" min="16" max="16"/>
    <col width="14.21875" customWidth="1" min="17" max="17"/>
    <col width="14.21875" customWidth="1" min="18" max="18"/>
    <col width="14.21875" customWidth="1" min="19" max="19"/>
    <col width="14.21875" customWidth="1" min="20" max="20"/>
    <col width="14.21875" customWidth="1" min="21" max="21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Beyond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20931400</v>
      </c>
      <c r="D11" s="53" t="n">
        <v>65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22</v>
      </c>
      <c r="L11" s="55" t="n">
        <v>159</v>
      </c>
    </row>
    <row r="12">
      <c r="B12" s="4" t="inlineStr">
        <is>
          <t>Departamento</t>
        </is>
      </c>
      <c r="C12" s="56" t="n">
        <v>11805000</v>
      </c>
      <c r="D12" s="56" t="n">
        <v>26</v>
      </c>
      <c r="F12" s="57">
        <f>IF(C12=0,0,G12/C12)</f>
        <v/>
      </c>
      <c r="G12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'Base_Cobranzas'!$AY$2:$AY$827&gt;0),'Base_Cobranzas'!$AY$2:$AY$827),0)</f>
        <v/>
      </c>
      <c r="H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PENDIENTE",UPPER(TRIM('Base_Cobranzas'!$BK$2:$BK$827)))),'Base_Cobranzas'!$AZ$2:$AZ$827),0)</f>
        <v/>
      </c>
      <c r="I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VENCIDO",UPPER(TRIM('Base_Cobranzas'!$BK$2:$BK$827)))),'Base_Cobranzas'!$AZ$2:$AZ$827),0)</f>
        <v/>
      </c>
      <c r="J12" s="57">
        <f>IF(C12=0,0,I12/C12)</f>
        <v/>
      </c>
      <c r="K12" s="59" t="n">
        <v>15</v>
      </c>
      <c r="L12" s="59" t="n">
        <v>90</v>
      </c>
    </row>
    <row r="13">
      <c r="B13" s="4" t="inlineStr">
        <is>
          <t>Departamento + Estacionamiento</t>
        </is>
      </c>
      <c r="C13" s="56" t="n">
        <v>9126400</v>
      </c>
      <c r="D13" s="56" t="n">
        <v>39</v>
      </c>
      <c r="F13" s="57">
        <f>IF(C13=0,0,G13/C13)</f>
        <v/>
      </c>
      <c r="G13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3" s="57">
        <f>IF(C13=0,0,I13/C13)</f>
        <v/>
      </c>
      <c r="K13" s="59" t="n">
        <v>7</v>
      </c>
      <c r="L13" s="59" t="n">
        <v>218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98000</v>
      </c>
      <c r="D15" s="53" t="n">
        <v>2</v>
      </c>
      <c r="F15" s="54">
        <f>IF(C15=0,0,G15/C15)</f>
        <v/>
      </c>
      <c r="G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5" s="60">
        <f>IF(C15=0,0,I15/C15)</f>
        <v/>
      </c>
      <c r="K15" s="61" t="n">
        <v>1</v>
      </c>
      <c r="L15" s="61" t="n">
        <v>60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('Base_Cobranzas'!$AY$2:$AY$827&gt;0),'Base_Cobranzas'!$AY$2:$AY$827),0)</f>
        <v/>
      </c>
      <c r="H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PENDIENTE",UPPER(TRIM('Base_Cobranzas'!$BK$2:$BK$827)))),'Base_Cobranzas'!$AZ$2:$AZ$827),0)</f>
        <v/>
      </c>
      <c r="I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VENCIDO",UPPER(TRIM('Base_Cobranzas'!$BK$2:$BK$827)))),'Base_Cobranzas'!$AZ$2:$AZ$827)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('Base_Cobranzas'!$AY$2:$AY$827&gt;0),'Base_Cobranzas'!$AY$2:$AY$827),0)</f>
        <v/>
      </c>
      <c r="H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PENDIENTE",UPPER(TRIM('Base_Cobranzas'!$BK$2:$BK$827)))),'Base_Cobranzas'!$AZ$2:$AZ$827),0)</f>
        <v/>
      </c>
      <c r="I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VENCIDO",UPPER(TRIM('Base_Cobranzas'!$BK$2:$BK$827)))),'Base_Cobranzas'!$AZ$2:$AZ$827)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21029400</v>
      </c>
      <c r="D21" s="63" t="n">
        <v>67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23</v>
      </c>
      <c r="L21" s="67" t="n">
        <v>151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n">
        <v>46204</v>
      </c>
      <c r="L33" s="26" t="n">
        <v>46235</v>
      </c>
      <c r="M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D34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E34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F34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G34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H34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I34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J34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K34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L34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M34" s="70">
        <f>SUM(C34:L34)</f>
        <v/>
      </c>
    </row>
    <row r="35">
      <c r="B35" s="8" t="inlineStr">
        <is>
          <t>Crédito Hipotecario</t>
        </is>
      </c>
      <c r="C35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D35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E35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F35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G35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H35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I35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J35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K35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L35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M35" s="70">
        <f>SUM(C35:L35)</f>
        <v/>
      </c>
    </row>
    <row r="36">
      <c r="B36" s="8" t="inlineStr">
        <is>
          <t>Ahorro</t>
        </is>
      </c>
      <c r="C36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D36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E36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F36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G36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H36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I36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J36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K36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L36" s="69">
        <f>IFERROR(SUMPRODUCT(--ISNUMBER(SEARCH($B$6,'Base_Cobranzas'!$A$2:$A$827)),--('Base_Cobranzas'!$AR$2:$AR$827&gt;=IF(L$33&lt;3000,DATE(L$33,1,1),L$33)),--('Base_Cobranzas'!$AR$2:$AR$827&lt;IF(L$33&lt;3000,DATE(L$33+1,1,1),EDATE(L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M36" s="70">
        <f>SUM(C36:L36)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SUM(K34:K36)</f>
        <v/>
      </c>
      <c r="L37" s="71">
        <f>SUM(L34:L36)</f>
        <v/>
      </c>
      <c r="M37" s="71">
        <f>SUM(C37:L37)</f>
        <v/>
      </c>
      <c r="N37">
        <f>IF($G$21=M37,"OK","REVISAR")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2">
        <f>J39+K37</f>
        <v/>
      </c>
      <c r="L39" s="72">
        <f>K39+L37</f>
        <v/>
      </c>
      <c r="M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46266</v>
      </c>
      <c r="D45" s="26" t="n">
        <v>46296</v>
      </c>
      <c r="E45" s="26" t="n">
        <v>46327</v>
      </c>
      <c r="F45" s="26" t="n">
        <v>46357</v>
      </c>
      <c r="G45" s="26" t="n">
        <v>46388</v>
      </c>
      <c r="H45" s="26" t="n">
        <v>46419</v>
      </c>
      <c r="I45" s="26" t="n">
        <v>46447</v>
      </c>
      <c r="J45" s="26" t="n">
        <v>46478</v>
      </c>
      <c r="K45" s="26" t="n">
        <v>46508</v>
      </c>
      <c r="L45" s="26" t="n">
        <v>46539</v>
      </c>
      <c r="M45" s="26" t="n">
        <v>46569</v>
      </c>
      <c r="N45" s="26" t="n">
        <v>46600</v>
      </c>
      <c r="O45" s="26" t="n">
        <v>46631</v>
      </c>
      <c r="P45" s="26" t="n">
        <v>46661</v>
      </c>
      <c r="Q45" s="26" t="n">
        <v>46692</v>
      </c>
      <c r="R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D46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E46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F46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G46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H46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I46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J46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K46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L46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M46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N46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O46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P46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Q46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R46" s="70">
        <f>SUM(C46:Q46)</f>
        <v/>
      </c>
    </row>
    <row r="47">
      <c r="B47" s="8" t="inlineStr">
        <is>
          <t>Crédito Hipotecario</t>
        </is>
      </c>
      <c r="C47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D47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E47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F47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G47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H47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I47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J47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K47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L47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M47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N47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O47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P47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Q47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R47" s="70">
        <f>SUM(C47:Q47)</f>
        <v/>
      </c>
    </row>
    <row r="48">
      <c r="B48" s="8" t="inlineStr">
        <is>
          <t>Ahorro</t>
        </is>
      </c>
      <c r="C48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D48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E48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F48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G48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H48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I48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J48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K48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L48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M48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N48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O48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P48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Q48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R48" s="70">
        <f>SUM(C48:Q48)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SUM(C49:Q49)</f>
        <v/>
      </c>
      <c r="S49">
        <f>IF($H$21=R49,"OK","REVISAR")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45717</v>
      </c>
      <c r="D57" s="26" t="n">
        <v>45748</v>
      </c>
      <c r="E57" s="26" t="n">
        <v>45778</v>
      </c>
      <c r="F57" s="26" t="n">
        <v>45809</v>
      </c>
      <c r="G57" s="26" t="n">
        <v>45839</v>
      </c>
      <c r="H57" s="26" t="n">
        <v>45870</v>
      </c>
      <c r="I57" s="26" t="n">
        <v>45901</v>
      </c>
      <c r="J57" s="26" t="n">
        <v>45931</v>
      </c>
      <c r="K57" s="26" t="n">
        <v>45962</v>
      </c>
      <c r="L57" s="26" t="n">
        <v>45992</v>
      </c>
      <c r="M57" s="26" t="n">
        <v>46023</v>
      </c>
      <c r="N57" s="26" t="n">
        <v>46054</v>
      </c>
      <c r="O57" s="26" t="n">
        <v>46082</v>
      </c>
      <c r="P57" s="26" t="n">
        <v>46113</v>
      </c>
      <c r="Q57" s="26" t="n">
        <v>46143</v>
      </c>
      <c r="R57" s="26" t="n">
        <v>46174</v>
      </c>
      <c r="S57" s="26" t="n">
        <v>46204</v>
      </c>
      <c r="T57" s="26" t="n">
        <v>46235</v>
      </c>
      <c r="U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D58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E58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F58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G58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H58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I58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J58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K58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L58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M58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N58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O58" s="69">
        <f>IFERROR(SUMPRODUCT(--ISNUMBER(SEARCH($B$6,'Base_Cobranzas'!$A$2:$A$827)),--('Base_Cobranzas'!$AQ$2:$AQ$827&gt;=IF(O$57&lt;3000,DATE(O$57,1,1),O$57)),--('Base_Cobranzas'!$AQ$2:$AQ$827&lt;IF(O$57&lt;3000,DATE(O$57+1,1,1),EDATE(O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P58" s="69">
        <f>IFERROR(SUMPRODUCT(--ISNUMBER(SEARCH($B$6,'Base_Cobranzas'!$A$2:$A$827)),--('Base_Cobranzas'!$AQ$2:$AQ$827&gt;=IF(P$57&lt;3000,DATE(P$57,1,1),P$57)),--('Base_Cobranzas'!$AQ$2:$AQ$827&lt;IF(P$57&lt;3000,DATE(P$57+1,1,1),EDATE(P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Q58" s="69">
        <f>IFERROR(SUMPRODUCT(--ISNUMBER(SEARCH($B$6,'Base_Cobranzas'!$A$2:$A$827)),--('Base_Cobranzas'!$AQ$2:$AQ$827&gt;=IF(Q$57&lt;3000,DATE(Q$57,1,1),Q$57)),--('Base_Cobranzas'!$AQ$2:$AQ$827&lt;IF(Q$57&lt;3000,DATE(Q$57+1,1,1),EDATE(Q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R58" s="69">
        <f>IFERROR(SUMPRODUCT(--ISNUMBER(SEARCH($B$6,'Base_Cobranzas'!$A$2:$A$827)),--('Base_Cobranzas'!$AQ$2:$AQ$827&gt;=IF(R$57&lt;3000,DATE(R$57,1,1),R$57)),--('Base_Cobranzas'!$AQ$2:$AQ$827&lt;IF(R$57&lt;3000,DATE(R$57+1,1,1),EDATE(R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S58" s="69">
        <f>IFERROR(SUMPRODUCT(--ISNUMBER(SEARCH($B$6,'Base_Cobranzas'!$A$2:$A$827)),--('Base_Cobranzas'!$AQ$2:$AQ$827&gt;=IF(S$57&lt;3000,DATE(S$57,1,1),S$57)),--('Base_Cobranzas'!$AQ$2:$AQ$827&lt;IF(S$57&lt;3000,DATE(S$57+1,1,1),EDATE(S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T58" s="69">
        <f>IFERROR(SUMPRODUCT(--ISNUMBER(SEARCH($B$6,'Base_Cobranzas'!$A$2:$A$827)),--('Base_Cobranzas'!$AQ$2:$AQ$827&gt;=IF(T$57&lt;3000,DATE(T$57,1,1),T$57)),--('Base_Cobranzas'!$AQ$2:$AQ$827&lt;IF(T$57&lt;3000,DATE(T$57+1,1,1),EDATE(T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U58" s="70">
        <f>SUM(C58:T58)</f>
        <v/>
      </c>
    </row>
    <row r="59">
      <c r="B59" s="8" t="inlineStr">
        <is>
          <t>Crédito Hipotecario</t>
        </is>
      </c>
      <c r="C59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D59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E59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F59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G59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H59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I59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J59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K59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L59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M59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N59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O59" s="69">
        <f>IFERROR(SUMPRODUCT(--ISNUMBER(SEARCH($B$6,'Base_Cobranzas'!$A$2:$A$827)),--('Base_Cobranzas'!$AQ$2:$AQ$827&gt;=IF(O$57&lt;3000,DATE(O$57,1,1),O$57)),--('Base_Cobranzas'!$AQ$2:$AQ$827&lt;IF(O$57&lt;3000,DATE(O$57+1,1,1),EDATE(O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P59" s="69">
        <f>IFERROR(SUMPRODUCT(--ISNUMBER(SEARCH($B$6,'Base_Cobranzas'!$A$2:$A$827)),--('Base_Cobranzas'!$AQ$2:$AQ$827&gt;=IF(P$57&lt;3000,DATE(P$57,1,1),P$57)),--('Base_Cobranzas'!$AQ$2:$AQ$827&lt;IF(P$57&lt;3000,DATE(P$57+1,1,1),EDATE(P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Q59" s="69">
        <f>IFERROR(SUMPRODUCT(--ISNUMBER(SEARCH($B$6,'Base_Cobranzas'!$A$2:$A$827)),--('Base_Cobranzas'!$AQ$2:$AQ$827&gt;=IF(Q$57&lt;3000,DATE(Q$57,1,1),Q$57)),--('Base_Cobranzas'!$AQ$2:$AQ$827&lt;IF(Q$57&lt;3000,DATE(Q$57+1,1,1),EDATE(Q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R59" s="69">
        <f>IFERROR(SUMPRODUCT(--ISNUMBER(SEARCH($B$6,'Base_Cobranzas'!$A$2:$A$827)),--('Base_Cobranzas'!$AQ$2:$AQ$827&gt;=IF(R$57&lt;3000,DATE(R$57,1,1),R$57)),--('Base_Cobranzas'!$AQ$2:$AQ$827&lt;IF(R$57&lt;3000,DATE(R$57+1,1,1),EDATE(R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S59" s="69">
        <f>IFERROR(SUMPRODUCT(--ISNUMBER(SEARCH($B$6,'Base_Cobranzas'!$A$2:$A$827)),--('Base_Cobranzas'!$AQ$2:$AQ$827&gt;=IF(S$57&lt;3000,DATE(S$57,1,1),S$57)),--('Base_Cobranzas'!$AQ$2:$AQ$827&lt;IF(S$57&lt;3000,DATE(S$57+1,1,1),EDATE(S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T59" s="69">
        <f>IFERROR(SUMPRODUCT(--ISNUMBER(SEARCH($B$6,'Base_Cobranzas'!$A$2:$A$827)),--('Base_Cobranzas'!$AQ$2:$AQ$827&gt;=IF(T$57&lt;3000,DATE(T$57,1,1),T$57)),--('Base_Cobranzas'!$AQ$2:$AQ$827&lt;IF(T$57&lt;3000,DATE(T$57+1,1,1),EDATE(T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U59" s="70">
        <f>SUM(C59:T59)</f>
        <v/>
      </c>
    </row>
    <row r="60">
      <c r="B60" s="8" t="inlineStr">
        <is>
          <t>Ahorro</t>
        </is>
      </c>
      <c r="C60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D60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E60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F60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G60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H60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I60" s="69">
        <f>IFERROR(SUMPRODUCT(--ISNUMBER(SEARCH($B$6,'Base_Cobranzas'!$A$2:$A$827)),--('Base_Cobranzas'!$AQ$2:$AQ$827&gt;=IF(I$57&lt;3000,DATE(I$57,1,1),I$57)),--('Base_Cobranzas'!$AQ$2:$AQ$827&lt;IF(I$57&lt;3000,DATE(I$57+1,1,1),EDATE(I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J60" s="69">
        <f>IFERROR(SUMPRODUCT(--ISNUMBER(SEARCH($B$6,'Base_Cobranzas'!$A$2:$A$827)),--('Base_Cobranzas'!$AQ$2:$AQ$827&gt;=IF(J$57&lt;3000,DATE(J$57,1,1),J$57)),--('Base_Cobranzas'!$AQ$2:$AQ$827&lt;IF(J$57&lt;3000,DATE(J$57+1,1,1),EDATE(J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K60" s="69">
        <f>IFERROR(SUMPRODUCT(--ISNUMBER(SEARCH($B$6,'Base_Cobranzas'!$A$2:$A$827)),--('Base_Cobranzas'!$AQ$2:$AQ$827&gt;=IF(K$57&lt;3000,DATE(K$57,1,1),K$57)),--('Base_Cobranzas'!$AQ$2:$AQ$827&lt;IF(K$57&lt;3000,DATE(K$57+1,1,1),EDATE(K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L60" s="69">
        <f>IFERROR(SUMPRODUCT(--ISNUMBER(SEARCH($B$6,'Base_Cobranzas'!$A$2:$A$827)),--('Base_Cobranzas'!$AQ$2:$AQ$827&gt;=IF(L$57&lt;3000,DATE(L$57,1,1),L$57)),--('Base_Cobranzas'!$AQ$2:$AQ$827&lt;IF(L$57&lt;3000,DATE(L$57+1,1,1),EDATE(L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M60" s="69">
        <f>IFERROR(SUMPRODUCT(--ISNUMBER(SEARCH($B$6,'Base_Cobranzas'!$A$2:$A$827)),--('Base_Cobranzas'!$AQ$2:$AQ$827&gt;=IF(M$57&lt;3000,DATE(M$57,1,1),M$57)),--('Base_Cobranzas'!$AQ$2:$AQ$827&lt;IF(M$57&lt;3000,DATE(M$57+1,1,1),EDATE(M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N60" s="69">
        <f>IFERROR(SUMPRODUCT(--ISNUMBER(SEARCH($B$6,'Base_Cobranzas'!$A$2:$A$827)),--('Base_Cobranzas'!$AQ$2:$AQ$827&gt;=IF(N$57&lt;3000,DATE(N$57,1,1),N$57)),--('Base_Cobranzas'!$AQ$2:$AQ$827&lt;IF(N$57&lt;3000,DATE(N$57+1,1,1),EDATE(N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O60" s="69">
        <f>IFERROR(SUMPRODUCT(--ISNUMBER(SEARCH($B$6,'Base_Cobranzas'!$A$2:$A$827)),--('Base_Cobranzas'!$AQ$2:$AQ$827&gt;=IF(O$57&lt;3000,DATE(O$57,1,1),O$57)),--('Base_Cobranzas'!$AQ$2:$AQ$827&lt;IF(O$57&lt;3000,DATE(O$57+1,1,1),EDATE(O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P60" s="69">
        <f>IFERROR(SUMPRODUCT(--ISNUMBER(SEARCH($B$6,'Base_Cobranzas'!$A$2:$A$827)),--('Base_Cobranzas'!$AQ$2:$AQ$827&gt;=IF(P$57&lt;3000,DATE(P$57,1,1),P$57)),--('Base_Cobranzas'!$AQ$2:$AQ$827&lt;IF(P$57&lt;3000,DATE(P$57+1,1,1),EDATE(P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Q60" s="69">
        <f>IFERROR(SUMPRODUCT(--ISNUMBER(SEARCH($B$6,'Base_Cobranzas'!$A$2:$A$827)),--('Base_Cobranzas'!$AQ$2:$AQ$827&gt;=IF(Q$57&lt;3000,DATE(Q$57,1,1),Q$57)),--('Base_Cobranzas'!$AQ$2:$AQ$827&lt;IF(Q$57&lt;3000,DATE(Q$57+1,1,1),EDATE(Q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R60" s="69">
        <f>IFERROR(SUMPRODUCT(--ISNUMBER(SEARCH($B$6,'Base_Cobranzas'!$A$2:$A$827)),--('Base_Cobranzas'!$AQ$2:$AQ$827&gt;=IF(R$57&lt;3000,DATE(R$57,1,1),R$57)),--('Base_Cobranzas'!$AQ$2:$AQ$827&lt;IF(R$57&lt;3000,DATE(R$57+1,1,1),EDATE(R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S60" s="69">
        <f>IFERROR(SUMPRODUCT(--ISNUMBER(SEARCH($B$6,'Base_Cobranzas'!$A$2:$A$827)),--('Base_Cobranzas'!$AQ$2:$AQ$827&gt;=IF(S$57&lt;3000,DATE(S$57,1,1),S$57)),--('Base_Cobranzas'!$AQ$2:$AQ$827&lt;IF(S$57&lt;3000,DATE(S$57+1,1,1),EDATE(S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T60" s="69">
        <f>IFERROR(SUMPRODUCT(--ISNUMBER(SEARCH($B$6,'Base_Cobranzas'!$A$2:$A$827)),--('Base_Cobranzas'!$AQ$2:$AQ$827&gt;=IF(T$57&lt;3000,DATE(T$57,1,1),T$57)),--('Base_Cobranzas'!$AQ$2:$AQ$827&lt;IF(T$57&lt;3000,DATE(T$57+1,1,1),EDATE(T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U60" s="70">
        <f>SUM(C60:T60)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SUM(N58:N60)</f>
        <v/>
      </c>
      <c r="O61" s="71">
        <f>SUM(O58:O60)</f>
        <v/>
      </c>
      <c r="P61" s="71">
        <f>SUM(P58:P60)</f>
        <v/>
      </c>
      <c r="Q61" s="71">
        <f>SUM(Q58:Q60)</f>
        <v/>
      </c>
      <c r="R61" s="71">
        <f>SUM(R58:R60)</f>
        <v/>
      </c>
      <c r="S61" s="71">
        <f>SUM(S58:S60)</f>
        <v/>
      </c>
      <c r="T61" s="71">
        <f>SUM(T58:T60)</f>
        <v/>
      </c>
      <c r="U61" s="71">
        <f>SUM(C61:T61)</f>
        <v/>
      </c>
      <c r="V61">
        <f>IF($I$21=U61,"OK","REVISAR")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2">
        <f>M63+N61</f>
        <v/>
      </c>
      <c r="O63" s="72">
        <f>N63+O61</f>
        <v/>
      </c>
      <c r="P63" s="72">
        <f>O63+P61</f>
        <v/>
      </c>
      <c r="Q63" s="72">
        <f>P63+Q61</f>
        <v/>
      </c>
      <c r="R63" s="72">
        <f>Q63+R61</f>
        <v/>
      </c>
      <c r="S63" s="72">
        <f>R63+S61</f>
        <v/>
      </c>
      <c r="T63" s="72">
        <f>S63+T61</f>
        <v/>
      </c>
      <c r="U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3" customWidth="1" min="10" max="10"/>
    <col width="17.5546875" customWidth="1" min="11" max="11"/>
    <col width="12.21875" customWidth="1" min="12" max="12"/>
    <col width="12.21875" bestFit="1" customWidth="1" min="13" max="13"/>
    <col width="12.21875" customWidth="1" min="14" max="14"/>
    <col width="12.21875" bestFit="1" customWidth="1" min="15" max="15"/>
    <col width="12.21875" customWidth="1" min="16" max="16"/>
    <col width="12.21875" customWidth="1" min="17" max="17"/>
    <col width="12.21875" customWidth="1" min="18" max="18"/>
    <col width="12.21875" customWidth="1" min="19" max="19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Venecia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8411400</v>
      </c>
      <c r="D11" s="53" t="n">
        <v>24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5</v>
      </c>
      <c r="L11" s="55" t="n">
        <v>57</v>
      </c>
    </row>
    <row r="12">
      <c r="B12" s="4" t="inlineStr">
        <is>
          <t>Departamento</t>
        </is>
      </c>
      <c r="C12" s="56" t="n">
        <v>4780000</v>
      </c>
      <c r="D12" s="56" t="n">
        <v>10</v>
      </c>
      <c r="F12" s="57">
        <f>IF(C12=0,0,G12/C12)</f>
        <v/>
      </c>
      <c r="G12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'Base_Cobranzas'!$AY$2:$AY$827&gt;0),'Base_Cobranzas'!$AY$2:$AY$827),0)</f>
        <v/>
      </c>
      <c r="H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PENDIENTE",UPPER(TRIM('Base_Cobranzas'!$BK$2:$BK$827)))),'Base_Cobranzas'!$AZ$2:$AZ$827),0)</f>
        <v/>
      </c>
      <c r="I12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ISNUMBER(SEARCH("VENCIDO",UPPER(TRIM('Base_Cobranzas'!$BK$2:$BK$827)))),'Base_Cobranzas'!$AZ$2:$AZ$827),0)</f>
        <v/>
      </c>
      <c r="J12" s="57">
        <f>IF(C12=0,0,I12/C12)</f>
        <v/>
      </c>
      <c r="K12" s="59" t="n">
        <v>3</v>
      </c>
      <c r="L12" s="59" t="n">
        <v>28</v>
      </c>
    </row>
    <row r="13">
      <c r="B13" s="4" t="inlineStr">
        <is>
          <t>Departamento + Estacionamiento</t>
        </is>
      </c>
      <c r="C13" s="56" t="n">
        <v>3631400</v>
      </c>
      <c r="D13" s="56" t="n">
        <v>14</v>
      </c>
      <c r="F13" s="57">
        <f>IF(C13=0,0,G13/C13)</f>
        <v/>
      </c>
      <c r="G13" s="58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3" s="59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&gt;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3" s="57">
        <f>IF(C13=0,0,I13/C13)</f>
        <v/>
      </c>
      <c r="K13" s="59" t="n">
        <v>2</v>
      </c>
      <c r="L13" s="59" t="n">
        <v>73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102500</v>
      </c>
      <c r="D15" s="53" t="n">
        <v>2</v>
      </c>
      <c r="F15" s="54">
        <f>IF(C15=0,0,G15/C15)</f>
        <v/>
      </c>
      <c r="G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('Base_Cobranzas'!$AY$2:$AY$827&gt;0),'Base_Cobranzas'!$AY$2:$AY$827),0)</f>
        <v/>
      </c>
      <c r="H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PENDIENTE",UPPER(TRIM('Base_Cobranzas'!$BK$2:$BK$827)))),'Base_Cobranzas'!$AZ$2:$AZ$827),0)</f>
        <v/>
      </c>
      <c r="I15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&gt;0),--ISNUMBER(SEARCH("VENCIDO",UPPER(TRIM('Base_Cobranzas'!$BK$2:$BK$827)))),'Base_Cobranzas'!$AZ$2:$AZ$827),0)</f>
        <v/>
      </c>
      <c r="J15" s="60">
        <f>IF(C15=0,0,I15/C15)</f>
        <v/>
      </c>
      <c r="K15" s="61" t="n">
        <v>0</v>
      </c>
      <c r="L15" s="61" t="n">
        <v>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('Base_Cobranzas'!$AY$2:$AY$827&gt;0),'Base_Cobranzas'!$AY$2:$AY$827),0)</f>
        <v/>
      </c>
      <c r="H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PENDIENTE",UPPER(TRIM('Base_Cobranzas'!$BK$2:$BK$827)))),'Base_Cobranzas'!$AZ$2:$AZ$827),0)</f>
        <v/>
      </c>
      <c r="I17" s="55">
        <f>IFERROR(SUMPRODUCT(--ISNUMBER(SEARCH($B$6,'Base_Cobranzas'!$A$2:$A$827)),--((--ISNUMBER(SEARCH("DEPART",UPPER('Base_Cobranzas'!$E$2:$E$827)))+--ISNUMBER(SEARCH("DEPART",UPPER('Base_Cobranzas'!$M$2:$M$827)))+--ISNUMBER(SEARCH("DEPART",UPPER('Base_Cobranzas'!$U$2:$U$827)))+--ISNUMBER(SEARCH("DEPART",UPPER('Base_Cobranzas'!$AC$2:$AC$827))))=0),--((--ISNUMBER(SEARCH("ESTACION",UPPER('Base_Cobranzas'!$E$2:$E$827)))+--ISNUMBER(SEARCH("ESTACION",UPPER('Base_Cobranzas'!$M$2:$M$827)))+--ISNUMBER(SEARCH("ESTACION",UPPER('Base_Cobranzas'!$U$2:$U$827)))+--ISNUMBER(SEARCH("ESTACION",UPPER('Base_Cobranzas'!$AC$2:$AC$827))))=0),--((--ISNUMBER(SEARCH("DEPOS",UPPER('Base_Cobranzas'!$E$2:$E$827)))+--ISNUMBER(SEARCH("DEPOS",UPPER('Base_Cobranzas'!$M$2:$M$827)))+--ISNUMBER(SEARCH("DEPOS",UPPER('Base_Cobranzas'!$U$2:$U$827)))+--ISNUMBER(SEARCH("DEPOS",UPPER('Base_Cobranzas'!$AC$2:$AC$827))))&gt;0),--ISNUMBER(SEARCH("VENCIDO",UPPER(TRIM('Base_Cobranzas'!$BK$2:$BK$827)))),'Base_Cobranzas'!$AZ$2:$AZ$827)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('Base_Cobranzas'!$AY$2:$AY$827&gt;0),'Base_Cobranzas'!$AY$2:$AY$827),0)</f>
        <v/>
      </c>
      <c r="H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PENDIENTE",UPPER(TRIM('Base_Cobranzas'!$BK$2:$BK$827)))),'Base_Cobranzas'!$AZ$2:$AZ$827),0)</f>
        <v/>
      </c>
      <c r="I19" s="55">
        <f>IFERROR(SUMPRODUCT(--ISNUMBER(SEARCH($B$6,'Base_Cobranzas'!$A$2:$A$827)),--(((--ISNUMBER(SEARCH("LOCAL",UPPER('Base_Cobranzas'!$E$2:$E$827)))+--ISNUMBER(SEARCH("LOCAL",UPPER('Base_Cobranzas'!$M$2:$M$827)))+--ISNUMBER(SEARCH("LOCAL",UPPER('Base_Cobranzas'!$U$2:$U$827)))+--ISNUMBER(SEARCH("LOCAL",UPPER('Base_Cobranzas'!$AC$2:$AC$827))))+(--ISNUMBER(SEARCH("COMERCIAL",UPPER('Base_Cobranzas'!$E$2:$E$827)))+--ISNUMBER(SEARCH("COMERCIAL",UPPER('Base_Cobranzas'!$M$2:$M$827)))+--ISNUMBER(SEARCH("COMERCIAL",UPPER('Base_Cobranzas'!$U$2:$U$827)))+--ISNUMBER(SEARCH("COMERCIAL",UPPER('Base_Cobranzas'!$AC$2:$AC$827)))))&gt;0),--ISNUMBER(SEARCH("VENCIDO",UPPER(TRIM('Base_Cobranzas'!$BK$2:$BK$827)))),'Base_Cobranzas'!$AZ$2:$AZ$827)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8513900</v>
      </c>
      <c r="D21" s="63" t="n">
        <v>26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5</v>
      </c>
      <c r="L21" s="67" t="n">
        <v>57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2025</v>
      </c>
      <c r="D33" s="26" t="n">
        <v>46023</v>
      </c>
      <c r="E33" s="26" t="n">
        <v>46054</v>
      </c>
      <c r="F33" s="26" t="n">
        <v>46082</v>
      </c>
      <c r="G33" s="26" t="n">
        <v>46113</v>
      </c>
      <c r="H33" s="26" t="n">
        <v>46143</v>
      </c>
      <c r="I33" s="26" t="n">
        <v>46174</v>
      </c>
      <c r="J33" s="26" t="n">
        <v>46204</v>
      </c>
      <c r="K33" s="26" t="n">
        <v>46235</v>
      </c>
      <c r="L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D34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E34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F34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G34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H34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I34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J34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K34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34))),"DIRECTO",IF(ISNUMBER(SEARCH("HIPOT",UPPER($B34))),"HIPOT",IF(ISNUMBER(SEARCH("AHORRO",UPPER($B34))),"AHORRO",UPPER($B34)))),UPPER('Base_Cobranzas'!$BB$2:$BB$827))),--('Base_Cobranzas'!$AY$2:$AY$827&gt;0),'Base_Cobranzas'!$AY$2:$AY$827),0)</f>
        <v/>
      </c>
      <c r="L34" s="70">
        <f>SUM(C34:K34)</f>
        <v/>
      </c>
    </row>
    <row r="35">
      <c r="B35" s="8" t="inlineStr">
        <is>
          <t>Crédito Hipotecario</t>
        </is>
      </c>
      <c r="C35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D35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E35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F35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G35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H35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I35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J35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K35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35))),"DIRECTO",IF(ISNUMBER(SEARCH("HIPOT",UPPER($B35))),"HIPOT",IF(ISNUMBER(SEARCH("AHORRO",UPPER($B35))),"AHORRO",UPPER($B35)))),UPPER('Base_Cobranzas'!$BB$2:$BB$827))),--('Base_Cobranzas'!$AY$2:$AY$827&gt;0),'Base_Cobranzas'!$AY$2:$AY$827),0)</f>
        <v/>
      </c>
      <c r="L35" s="70">
        <f>SUM(C35:K35)</f>
        <v/>
      </c>
    </row>
    <row r="36">
      <c r="B36" s="8" t="inlineStr">
        <is>
          <t>Ahorro</t>
        </is>
      </c>
      <c r="C36" s="69">
        <f>IFERROR(SUMPRODUCT(--ISNUMBER(SEARCH($B$6,'Base_Cobranzas'!$A$2:$A$827)),--('Base_Cobranzas'!$AR$2:$AR$827&gt;=IF(C$33&lt;3000,DATE(C$33,1,1),C$33)),--('Base_Cobranzas'!$AR$2:$AR$827&lt;IF(C$33&lt;3000,DATE(C$33+1,1,1),EDATE(C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D36" s="69">
        <f>IFERROR(SUMPRODUCT(--ISNUMBER(SEARCH($B$6,'Base_Cobranzas'!$A$2:$A$827)),--('Base_Cobranzas'!$AR$2:$AR$827&gt;=IF(D$33&lt;3000,DATE(D$33,1,1),D$33)),--('Base_Cobranzas'!$AR$2:$AR$827&lt;IF(D$33&lt;3000,DATE(D$33+1,1,1),EDATE(D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E36" s="69">
        <f>IFERROR(SUMPRODUCT(--ISNUMBER(SEARCH($B$6,'Base_Cobranzas'!$A$2:$A$827)),--('Base_Cobranzas'!$AR$2:$AR$827&gt;=IF(E$33&lt;3000,DATE(E$33,1,1),E$33)),--('Base_Cobranzas'!$AR$2:$AR$827&lt;IF(E$33&lt;3000,DATE(E$33+1,1,1),EDATE(E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F36" s="69">
        <f>IFERROR(SUMPRODUCT(--ISNUMBER(SEARCH($B$6,'Base_Cobranzas'!$A$2:$A$827)),--('Base_Cobranzas'!$AR$2:$AR$827&gt;=IF(F$33&lt;3000,DATE(F$33,1,1),F$33)),--('Base_Cobranzas'!$AR$2:$AR$827&lt;IF(F$33&lt;3000,DATE(F$33+1,1,1),EDATE(F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G36" s="69">
        <f>IFERROR(SUMPRODUCT(--ISNUMBER(SEARCH($B$6,'Base_Cobranzas'!$A$2:$A$827)),--('Base_Cobranzas'!$AR$2:$AR$827&gt;=IF(G$33&lt;3000,DATE(G$33,1,1),G$33)),--('Base_Cobranzas'!$AR$2:$AR$827&lt;IF(G$33&lt;3000,DATE(G$33+1,1,1),EDATE(G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H36" s="69">
        <f>IFERROR(SUMPRODUCT(--ISNUMBER(SEARCH($B$6,'Base_Cobranzas'!$A$2:$A$827)),--('Base_Cobranzas'!$AR$2:$AR$827&gt;=IF(H$33&lt;3000,DATE(H$33,1,1),H$33)),--('Base_Cobranzas'!$AR$2:$AR$827&lt;IF(H$33&lt;3000,DATE(H$33+1,1,1),EDATE(H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I36" s="69">
        <f>IFERROR(SUMPRODUCT(--ISNUMBER(SEARCH($B$6,'Base_Cobranzas'!$A$2:$A$827)),--('Base_Cobranzas'!$AR$2:$AR$827&gt;=IF(I$33&lt;3000,DATE(I$33,1,1),I$33)),--('Base_Cobranzas'!$AR$2:$AR$827&lt;IF(I$33&lt;3000,DATE(I$33+1,1,1),EDATE(I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J36" s="69">
        <f>IFERROR(SUMPRODUCT(--ISNUMBER(SEARCH($B$6,'Base_Cobranzas'!$A$2:$A$827)),--('Base_Cobranzas'!$AR$2:$AR$827&gt;=IF(J$33&lt;3000,DATE(J$33,1,1),J$33)),--('Base_Cobranzas'!$AR$2:$AR$827&lt;IF(J$33&lt;3000,DATE(J$33+1,1,1),EDATE(J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K36" s="69">
        <f>IFERROR(SUMPRODUCT(--ISNUMBER(SEARCH($B$6,'Base_Cobranzas'!$A$2:$A$827)),--('Base_Cobranzas'!$AR$2:$AR$827&gt;=IF(K$33&lt;3000,DATE(K$33,1,1),K$33)),--('Base_Cobranzas'!$AR$2:$AR$827&lt;IF(K$33&lt;3000,DATE(K$33+1,1,1),EDATE(K$33,1))),--ISNUMBER(SEARCH(IF(ISNUMBER(SEARCH("DIRECTO",UPPER($B36))),"DIRECTO",IF(ISNUMBER(SEARCH("HIPOT",UPPER($B36))),"HIPOT",IF(ISNUMBER(SEARCH("AHORRO",UPPER($B36))),"AHORRO",UPPER($B36)))),UPPER('Base_Cobranzas'!$BB$2:$BB$827))),--('Base_Cobranzas'!$AY$2:$AY$827&gt;0),'Base_Cobranzas'!$AY$2:$AY$827),0)</f>
        <v/>
      </c>
      <c r="L36" s="70">
        <f>SUM(C36:K36)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SUM(K34:K36)</f>
        <v/>
      </c>
      <c r="L37" s="71">
        <f>SUM(C37:K37)</f>
        <v/>
      </c>
      <c r="M37">
        <f>IF($G$21=L37,"OK","REVISAR")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2">
        <f>J39+K37</f>
        <v/>
      </c>
      <c r="L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46266</v>
      </c>
      <c r="D45" s="26" t="n">
        <v>46296</v>
      </c>
      <c r="E45" s="26" t="n">
        <v>46327</v>
      </c>
      <c r="F45" s="26" t="n">
        <v>46357</v>
      </c>
      <c r="G45" s="26" t="n">
        <v>46388</v>
      </c>
      <c r="H45" s="26" t="n">
        <v>46419</v>
      </c>
      <c r="I45" s="26" t="n">
        <v>46447</v>
      </c>
      <c r="J45" s="26" t="n">
        <v>46478</v>
      </c>
      <c r="K45" s="26" t="n">
        <v>46508</v>
      </c>
      <c r="L45" s="26" t="n">
        <v>46539</v>
      </c>
      <c r="M45" s="26" t="n">
        <v>46569</v>
      </c>
      <c r="N45" s="26" t="n">
        <v>46600</v>
      </c>
      <c r="O45" s="26" t="n">
        <v>46631</v>
      </c>
      <c r="P45" s="26" t="n">
        <v>46661</v>
      </c>
      <c r="Q45" s="26" t="n">
        <v>46692</v>
      </c>
      <c r="R45" s="26" t="n">
        <v>46722</v>
      </c>
      <c r="S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D46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E46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F46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G46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H46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I46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J46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K46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L46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M46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N46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O46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P46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Q46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R46" s="69">
        <f>IFERROR(SUMPRODUCT(--ISNUMBER(SEARCH($B$6,'Base_Cobranzas'!$A$2:$A$827)),--('Base_Cobranzas'!$AQ$2:$AQ$827&gt;=IF(R$45&lt;3000,DATE(R$45,1,1),R$45)),--('Base_Cobranzas'!$AQ$2:$AQ$827&lt;IF(R$45&lt;3000,DATE(R$45+1,1,1),EDATE(R$45,1))),--ISNUMBER(SEARCH(IF(ISNUMBER(SEARCH("DIRECTO",UPPER($B46))),"DIRECTO",IF(ISNUMBER(SEARCH("HIPOT",UPPER($B46))),"HIPOT",IF(ISNUMBER(SEARCH("AHORRO",UPPER($B46))),"AHORRO",UPPER($B46)))),UPPER('Base_Cobranzas'!$BB$2:$BB$827))),--ISNUMBER(SEARCH("PENDIENTE",UPPER(TRIM('Base_Cobranzas'!$BK$2:$BK$827)))),'Base_Cobranzas'!$AZ$2:$AZ$827),0)</f>
        <v/>
      </c>
      <c r="S46" s="70">
        <f>SUM(C46:R46)</f>
        <v/>
      </c>
    </row>
    <row r="47">
      <c r="B47" s="8" t="inlineStr">
        <is>
          <t>Crédito Hipotecario</t>
        </is>
      </c>
      <c r="C47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D47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E47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F47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G47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H47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I47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J47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K47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L47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M47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N47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O47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P47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Q47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R47" s="69">
        <f>IFERROR(SUMPRODUCT(--ISNUMBER(SEARCH($B$6,'Base_Cobranzas'!$A$2:$A$827)),--('Base_Cobranzas'!$AQ$2:$AQ$827&gt;=IF(R$45&lt;3000,DATE(R$45,1,1),R$45)),--('Base_Cobranzas'!$AQ$2:$AQ$827&lt;IF(R$45&lt;3000,DATE(R$45+1,1,1),EDATE(R$45,1))),--ISNUMBER(SEARCH(IF(ISNUMBER(SEARCH("DIRECTO",UPPER($B47))),"DIRECTO",IF(ISNUMBER(SEARCH("HIPOT",UPPER($B47))),"HIPOT",IF(ISNUMBER(SEARCH("AHORRO",UPPER($B47))),"AHORRO",UPPER($B47)))),UPPER('Base_Cobranzas'!$BB$2:$BB$827))),--ISNUMBER(SEARCH("PENDIENTE",UPPER(TRIM('Base_Cobranzas'!$BK$2:$BK$827)))),'Base_Cobranzas'!$AZ$2:$AZ$827),0)</f>
        <v/>
      </c>
      <c r="S47" s="70">
        <f>SUM(C47:R47)</f>
        <v/>
      </c>
    </row>
    <row r="48">
      <c r="B48" s="8" t="inlineStr">
        <is>
          <t>Ahorro</t>
        </is>
      </c>
      <c r="C48" s="69">
        <f>IFERROR(SUMPRODUCT(--ISNUMBER(SEARCH($B$6,'Base_Cobranzas'!$A$2:$A$827)),--('Base_Cobranzas'!$AQ$2:$AQ$827&gt;=IF(C$45&lt;3000,DATE(C$45,1,1),C$45)),--('Base_Cobranzas'!$AQ$2:$AQ$827&lt;IF(C$45&lt;3000,DATE(C$45+1,1,1),EDATE(C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D48" s="69">
        <f>IFERROR(SUMPRODUCT(--ISNUMBER(SEARCH($B$6,'Base_Cobranzas'!$A$2:$A$827)),--('Base_Cobranzas'!$AQ$2:$AQ$827&gt;=IF(D$45&lt;3000,DATE(D$45,1,1),D$45)),--('Base_Cobranzas'!$AQ$2:$AQ$827&lt;IF(D$45&lt;3000,DATE(D$45+1,1,1),EDATE(D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E48" s="69">
        <f>IFERROR(SUMPRODUCT(--ISNUMBER(SEARCH($B$6,'Base_Cobranzas'!$A$2:$A$827)),--('Base_Cobranzas'!$AQ$2:$AQ$827&gt;=IF(E$45&lt;3000,DATE(E$45,1,1),E$45)),--('Base_Cobranzas'!$AQ$2:$AQ$827&lt;IF(E$45&lt;3000,DATE(E$45+1,1,1),EDATE(E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F48" s="69">
        <f>IFERROR(SUMPRODUCT(--ISNUMBER(SEARCH($B$6,'Base_Cobranzas'!$A$2:$A$827)),--('Base_Cobranzas'!$AQ$2:$AQ$827&gt;=IF(F$45&lt;3000,DATE(F$45,1,1),F$45)),--('Base_Cobranzas'!$AQ$2:$AQ$827&lt;IF(F$45&lt;3000,DATE(F$45+1,1,1),EDATE(F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G48" s="69">
        <f>IFERROR(SUMPRODUCT(--ISNUMBER(SEARCH($B$6,'Base_Cobranzas'!$A$2:$A$827)),--('Base_Cobranzas'!$AQ$2:$AQ$827&gt;=IF(G$45&lt;3000,DATE(G$45,1,1),G$45)),--('Base_Cobranzas'!$AQ$2:$AQ$827&lt;IF(G$45&lt;3000,DATE(G$45+1,1,1),EDATE(G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H48" s="69">
        <f>IFERROR(SUMPRODUCT(--ISNUMBER(SEARCH($B$6,'Base_Cobranzas'!$A$2:$A$827)),--('Base_Cobranzas'!$AQ$2:$AQ$827&gt;=IF(H$45&lt;3000,DATE(H$45,1,1),H$45)),--('Base_Cobranzas'!$AQ$2:$AQ$827&lt;IF(H$45&lt;3000,DATE(H$45+1,1,1),EDATE(H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I48" s="69">
        <f>IFERROR(SUMPRODUCT(--ISNUMBER(SEARCH($B$6,'Base_Cobranzas'!$A$2:$A$827)),--('Base_Cobranzas'!$AQ$2:$AQ$827&gt;=IF(I$45&lt;3000,DATE(I$45,1,1),I$45)),--('Base_Cobranzas'!$AQ$2:$AQ$827&lt;IF(I$45&lt;3000,DATE(I$45+1,1,1),EDATE(I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J48" s="69">
        <f>IFERROR(SUMPRODUCT(--ISNUMBER(SEARCH($B$6,'Base_Cobranzas'!$A$2:$A$827)),--('Base_Cobranzas'!$AQ$2:$AQ$827&gt;=IF(J$45&lt;3000,DATE(J$45,1,1),J$45)),--('Base_Cobranzas'!$AQ$2:$AQ$827&lt;IF(J$45&lt;3000,DATE(J$45+1,1,1),EDATE(J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K48" s="69">
        <f>IFERROR(SUMPRODUCT(--ISNUMBER(SEARCH($B$6,'Base_Cobranzas'!$A$2:$A$827)),--('Base_Cobranzas'!$AQ$2:$AQ$827&gt;=IF(K$45&lt;3000,DATE(K$45,1,1),K$45)),--('Base_Cobranzas'!$AQ$2:$AQ$827&lt;IF(K$45&lt;3000,DATE(K$45+1,1,1),EDATE(K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L48" s="69">
        <f>IFERROR(SUMPRODUCT(--ISNUMBER(SEARCH($B$6,'Base_Cobranzas'!$A$2:$A$827)),--('Base_Cobranzas'!$AQ$2:$AQ$827&gt;=IF(L$45&lt;3000,DATE(L$45,1,1),L$45)),--('Base_Cobranzas'!$AQ$2:$AQ$827&lt;IF(L$45&lt;3000,DATE(L$45+1,1,1),EDATE(L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M48" s="69">
        <f>IFERROR(SUMPRODUCT(--ISNUMBER(SEARCH($B$6,'Base_Cobranzas'!$A$2:$A$827)),--('Base_Cobranzas'!$AQ$2:$AQ$827&gt;=IF(M$45&lt;3000,DATE(M$45,1,1),M$45)),--('Base_Cobranzas'!$AQ$2:$AQ$827&lt;IF(M$45&lt;3000,DATE(M$45+1,1,1),EDATE(M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N48" s="69">
        <f>IFERROR(SUMPRODUCT(--ISNUMBER(SEARCH($B$6,'Base_Cobranzas'!$A$2:$A$827)),--('Base_Cobranzas'!$AQ$2:$AQ$827&gt;=IF(N$45&lt;3000,DATE(N$45,1,1),N$45)),--('Base_Cobranzas'!$AQ$2:$AQ$827&lt;IF(N$45&lt;3000,DATE(N$45+1,1,1),EDATE(N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O48" s="69">
        <f>IFERROR(SUMPRODUCT(--ISNUMBER(SEARCH($B$6,'Base_Cobranzas'!$A$2:$A$827)),--('Base_Cobranzas'!$AQ$2:$AQ$827&gt;=IF(O$45&lt;3000,DATE(O$45,1,1),O$45)),--('Base_Cobranzas'!$AQ$2:$AQ$827&lt;IF(O$45&lt;3000,DATE(O$45+1,1,1),EDATE(O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P48" s="69">
        <f>IFERROR(SUMPRODUCT(--ISNUMBER(SEARCH($B$6,'Base_Cobranzas'!$A$2:$A$827)),--('Base_Cobranzas'!$AQ$2:$AQ$827&gt;=IF(P$45&lt;3000,DATE(P$45,1,1),P$45)),--('Base_Cobranzas'!$AQ$2:$AQ$827&lt;IF(P$45&lt;3000,DATE(P$45+1,1,1),EDATE(P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Q48" s="69">
        <f>IFERROR(SUMPRODUCT(--ISNUMBER(SEARCH($B$6,'Base_Cobranzas'!$A$2:$A$827)),--('Base_Cobranzas'!$AQ$2:$AQ$827&gt;=IF(Q$45&lt;3000,DATE(Q$45,1,1),Q$45)),--('Base_Cobranzas'!$AQ$2:$AQ$827&lt;IF(Q$45&lt;3000,DATE(Q$45+1,1,1),EDATE(Q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R48" s="69">
        <f>IFERROR(SUMPRODUCT(--ISNUMBER(SEARCH($B$6,'Base_Cobranzas'!$A$2:$A$827)),--('Base_Cobranzas'!$AQ$2:$AQ$827&gt;=IF(R$45&lt;3000,DATE(R$45,1,1),R$45)),--('Base_Cobranzas'!$AQ$2:$AQ$827&lt;IF(R$45&lt;3000,DATE(R$45+1,1,1),EDATE(R$45,1))),--ISNUMBER(SEARCH(IF(ISNUMBER(SEARCH("DIRECTO",UPPER($B48))),"DIRECTO",IF(ISNUMBER(SEARCH("HIPOT",UPPER($B48))),"HIPOT",IF(ISNUMBER(SEARCH("AHORRO",UPPER($B48))),"AHORRO",UPPER($B48)))),UPPER('Base_Cobranzas'!$BB$2:$BB$827))),--ISNUMBER(SEARCH("PENDIENTE",UPPER(TRIM('Base_Cobranzas'!$BK$2:$BK$827)))),'Base_Cobranzas'!$AZ$2:$AZ$827),0)</f>
        <v/>
      </c>
      <c r="S48" s="70">
        <f>SUM(C48:R48)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SUM(R46:R48)</f>
        <v/>
      </c>
      <c r="S49" s="71">
        <f>SUM(C49:R49)</f>
        <v/>
      </c>
      <c r="T49">
        <f>IF($H$21=S49,"OK","REVISAR")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2">
        <f>Q51+R49</f>
        <v/>
      </c>
      <c r="S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46082</v>
      </c>
      <c r="D57" s="26" t="n">
        <v>46113</v>
      </c>
      <c r="E57" s="26" t="n">
        <v>46143</v>
      </c>
      <c r="F57" s="26" t="n">
        <v>46174</v>
      </c>
      <c r="G57" s="26" t="n">
        <v>46204</v>
      </c>
      <c r="H57" s="26" t="n">
        <v>46235</v>
      </c>
      <c r="I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D58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E58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F58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G58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H58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58))),"DIRECTO",IF(ISNUMBER(SEARCH("HIPOT",UPPER($B58))),"HIPOT",IF(ISNUMBER(SEARCH("AHORRO",UPPER($B58))),"AHORRO",UPPER($B58)))),UPPER('Base_Cobranzas'!$BB$2:$BB$827))),--ISNUMBER(SEARCH("VENCIDO",UPPER(TRIM('Base_Cobranzas'!$BK$2:$BK$827)))),'Base_Cobranzas'!$AZ$2:$AZ$827),0)</f>
        <v/>
      </c>
      <c r="I58" s="70">
        <f>SUM(C58:H58)</f>
        <v/>
      </c>
    </row>
    <row r="59">
      <c r="B59" s="8" t="inlineStr">
        <is>
          <t>Crédito Hipotecario</t>
        </is>
      </c>
      <c r="C59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D59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E59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F59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G59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H59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59))),"DIRECTO",IF(ISNUMBER(SEARCH("HIPOT",UPPER($B59))),"HIPOT",IF(ISNUMBER(SEARCH("AHORRO",UPPER($B59))),"AHORRO",UPPER($B59)))),UPPER('Base_Cobranzas'!$BB$2:$BB$827))),--ISNUMBER(SEARCH("VENCIDO",UPPER(TRIM('Base_Cobranzas'!$BK$2:$BK$827)))),'Base_Cobranzas'!$AZ$2:$AZ$827),0)</f>
        <v/>
      </c>
      <c r="I59" s="70">
        <f>SUM(C59:H59)</f>
        <v/>
      </c>
    </row>
    <row r="60">
      <c r="B60" s="8" t="inlineStr">
        <is>
          <t>Ahorro</t>
        </is>
      </c>
      <c r="C60" s="69">
        <f>IFERROR(SUMPRODUCT(--ISNUMBER(SEARCH($B$6,'Base_Cobranzas'!$A$2:$A$827)),--('Base_Cobranzas'!$AQ$2:$AQ$827&gt;=IF(C$57&lt;3000,DATE(C$57,1,1),C$57)),--('Base_Cobranzas'!$AQ$2:$AQ$827&lt;IF(C$57&lt;3000,DATE(C$57+1,1,1),EDATE(C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D60" s="69">
        <f>IFERROR(SUMPRODUCT(--ISNUMBER(SEARCH($B$6,'Base_Cobranzas'!$A$2:$A$827)),--('Base_Cobranzas'!$AQ$2:$AQ$827&gt;=IF(D$57&lt;3000,DATE(D$57,1,1),D$57)),--('Base_Cobranzas'!$AQ$2:$AQ$827&lt;IF(D$57&lt;3000,DATE(D$57+1,1,1),EDATE(D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E60" s="69">
        <f>IFERROR(SUMPRODUCT(--ISNUMBER(SEARCH($B$6,'Base_Cobranzas'!$A$2:$A$827)),--('Base_Cobranzas'!$AQ$2:$AQ$827&gt;=IF(E$57&lt;3000,DATE(E$57,1,1),E$57)),--('Base_Cobranzas'!$AQ$2:$AQ$827&lt;IF(E$57&lt;3000,DATE(E$57+1,1,1),EDATE(E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F60" s="69">
        <f>IFERROR(SUMPRODUCT(--ISNUMBER(SEARCH($B$6,'Base_Cobranzas'!$A$2:$A$827)),--('Base_Cobranzas'!$AQ$2:$AQ$827&gt;=IF(F$57&lt;3000,DATE(F$57,1,1),F$57)),--('Base_Cobranzas'!$AQ$2:$AQ$827&lt;IF(F$57&lt;3000,DATE(F$57+1,1,1),EDATE(F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G60" s="69">
        <f>IFERROR(SUMPRODUCT(--ISNUMBER(SEARCH($B$6,'Base_Cobranzas'!$A$2:$A$827)),--('Base_Cobranzas'!$AQ$2:$AQ$827&gt;=IF(G$57&lt;3000,DATE(G$57,1,1),G$57)),--('Base_Cobranzas'!$AQ$2:$AQ$827&lt;IF(G$57&lt;3000,DATE(G$57+1,1,1),EDATE(G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H60" s="69">
        <f>IFERROR(SUMPRODUCT(--ISNUMBER(SEARCH($B$6,'Base_Cobranzas'!$A$2:$A$827)),--('Base_Cobranzas'!$AQ$2:$AQ$827&gt;=IF(H$57&lt;3000,DATE(H$57,1,1),H$57)),--('Base_Cobranzas'!$AQ$2:$AQ$827&lt;IF(H$57&lt;3000,DATE(H$57+1,1,1),EDATE(H$57,1))),--ISNUMBER(SEARCH(IF(ISNUMBER(SEARCH("DIRECTO",UPPER($B60))),"DIRECTO",IF(ISNUMBER(SEARCH("HIPOT",UPPER($B60))),"HIPOT",IF(ISNUMBER(SEARCH("AHORRO",UPPER($B60))),"AHORRO",UPPER($B60)))),UPPER('Base_Cobranzas'!$BB$2:$BB$827))),--ISNUMBER(SEARCH("VENCIDO",UPPER(TRIM('Base_Cobranzas'!$BK$2:$BK$827)))),'Base_Cobranzas'!$AZ$2:$AZ$827),0)</f>
        <v/>
      </c>
      <c r="I60" s="70">
        <f>SUM(C60:H60)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SUM(C61:H61)</f>
        <v/>
      </c>
      <c r="J61">
        <f>IF($I$21=I61,"OK","REVISAR")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13.5546875" customWidth="1" min="5" max="5"/>
    <col width="14.77734375" customWidth="1" min="6" max="6"/>
    <col width="15.6640625" customWidth="1" min="7" max="7"/>
    <col width="14.33203125" customWidth="1" min="10" max="10"/>
  </cols>
  <sheetData>
    <row r="1" ht="33" customHeight="1">
      <c r="A1" s="79" t="inlineStr">
        <is>
          <t>REPORTE DE COBRANZAS</t>
        </is>
      </c>
    </row>
    <row r="2" ht="30.6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</row>
    <row r="4" ht="17.4" customHeight="1">
      <c r="A4" s="73" t="n"/>
      <c r="B4" s="73" t="n"/>
      <c r="C4" s="80" t="inlineStr">
        <is>
          <t>DEUDA TOTAL</t>
        </is>
      </c>
      <c r="G4" s="81" t="inlineStr">
        <is>
          <t>CLIENTES CON DEUDA</t>
        </is>
      </c>
      <c r="K4" s="73" t="n"/>
      <c r="L4" s="73" t="n"/>
      <c r="M4" s="73" t="n"/>
    </row>
    <row r="5" ht="32.4" customHeight="1">
      <c r="A5" s="73" t="n"/>
      <c r="B5" s="73" t="n"/>
      <c r="C5" s="82" t="n">
        <v>9102948.189999999</v>
      </c>
      <c r="G5" s="83" t="n">
        <v>37</v>
      </c>
      <c r="K5" s="73" t="n"/>
      <c r="L5" s="73" t="n"/>
      <c r="M5" s="73" t="n"/>
    </row>
    <row r="6">
      <c r="A6" s="73" t="n"/>
      <c r="B6" s="73" t="n"/>
      <c r="C6" s="73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</row>
    <row r="7" ht="15.6" customHeight="1">
      <c r="A7" s="84" t="inlineStr">
        <is>
          <t>PRADA</t>
        </is>
      </c>
      <c r="F7" s="85" t="inlineStr">
        <is>
          <t>DEUDA TOTAL</t>
        </is>
      </c>
      <c r="H7" s="86" t="n">
        <v>1581150</v>
      </c>
      <c r="J7" s="87" t="inlineStr">
        <is>
          <t>CLIENTE</t>
        </is>
      </c>
      <c r="L7" s="87" t="n">
        <v>9</v>
      </c>
    </row>
    <row r="8" ht="28.8" customHeight="1">
      <c r="A8" s="88" t="inlineStr">
        <is>
          <t>Rank</t>
        </is>
      </c>
      <c r="B8" s="88" t="inlineStr">
        <is>
          <t>Cliente</t>
        </is>
      </c>
      <c r="F8" s="88" t="inlineStr">
        <is>
          <t>Unidad</t>
        </is>
      </c>
      <c r="G8" s="88" t="inlineStr">
        <is>
          <t>Financiamiento</t>
        </is>
      </c>
      <c r="H8" s="88" t="inlineStr">
        <is>
          <t>Precio Venta</t>
        </is>
      </c>
      <c r="I8" s="88" t="inlineStr">
        <is>
          <t>Monto Cobrado</t>
        </is>
      </c>
      <c r="J8" s="88" t="inlineStr">
        <is>
          <t>Monto Deuda</t>
        </is>
      </c>
      <c r="L8" s="88" t="inlineStr">
        <is>
          <t>Tasa de Morosidad</t>
        </is>
      </c>
      <c r="M8" s="88" t="inlineStr">
        <is>
          <t>Días de atraso</t>
        </is>
      </c>
    </row>
    <row r="9" ht="28.8" customHeight="1">
      <c r="A9" s="89" t="n">
        <v>1</v>
      </c>
      <c r="B9" s="89" t="inlineStr">
        <is>
          <t>STEPHANIE LIZETH AQUINO HERRERA</t>
        </is>
      </c>
      <c r="F9" s="89" t="inlineStr">
        <is>
          <t>Dpto 1005</t>
        </is>
      </c>
      <c r="G9" s="89" t="inlineStr">
        <is>
          <t>Crédito Hipotecario</t>
        </is>
      </c>
      <c r="H9" s="90" t="n">
        <v>480000</v>
      </c>
      <c r="I9" s="90" t="n">
        <v>24000</v>
      </c>
      <c r="J9" s="91" t="n">
        <v>456000</v>
      </c>
      <c r="L9" s="92" t="n">
        <v>0.95</v>
      </c>
      <c r="M9" s="91" t="n">
        <v>40</v>
      </c>
    </row>
    <row r="10" ht="28.8" customHeight="1">
      <c r="A10" s="93" t="n">
        <v>2</v>
      </c>
      <c r="B10" s="93" t="inlineStr">
        <is>
          <t>Gisella Isabel Martinez Andrade</t>
        </is>
      </c>
      <c r="F10" s="93" t="inlineStr">
        <is>
          <t>Dpto 304, Estc E 27 - D 21</t>
        </is>
      </c>
      <c r="G10" s="93" t="inlineStr">
        <is>
          <t>Crédito Hipotecario</t>
        </is>
      </c>
      <c r="H10" s="94" t="n">
        <v>486500</v>
      </c>
      <c r="I10" s="94" t="n">
        <v>48650</v>
      </c>
      <c r="J10" s="95" t="n">
        <v>437850</v>
      </c>
      <c r="L10" s="96" t="n">
        <v>0.9</v>
      </c>
      <c r="M10" s="97" t="n">
        <v>22</v>
      </c>
    </row>
    <row r="11" ht="28.8" customHeight="1">
      <c r="A11" s="89" t="n">
        <v>3</v>
      </c>
      <c r="B11" s="89" t="inlineStr">
        <is>
          <t>Sussan Yassmine Rubin Domínguez</t>
        </is>
      </c>
      <c r="F11" s="89" t="inlineStr">
        <is>
          <t>Dpto 805</t>
        </is>
      </c>
      <c r="G11" s="89" t="inlineStr">
        <is>
          <t>Ahorro</t>
        </is>
      </c>
      <c r="H11" s="90" t="n">
        <v>470500</v>
      </c>
      <c r="I11" s="90" t="n">
        <v>42000</v>
      </c>
      <c r="J11" s="91" t="n">
        <v>428500</v>
      </c>
      <c r="L11" s="92" t="n">
        <v>0.9107332624867163</v>
      </c>
      <c r="M11" s="91" t="n">
        <v>176</v>
      </c>
    </row>
    <row r="12" ht="28.8" customHeight="1">
      <c r="A12" s="93" t="n">
        <v>4</v>
      </c>
      <c r="B12" s="93" t="inlineStr">
        <is>
          <t>PATROCINIO HUAMANI CUEVAS</t>
        </is>
      </c>
      <c r="F12" s="93" t="inlineStr">
        <is>
          <t>Dpto 503</t>
        </is>
      </c>
      <c r="G12" s="93" t="inlineStr">
        <is>
          <t>Crédito Directo</t>
        </is>
      </c>
      <c r="H12" s="94" t="n">
        <v>660000</v>
      </c>
      <c r="I12" s="94" t="n">
        <v>500000</v>
      </c>
      <c r="J12" s="95" t="n">
        <v>160000</v>
      </c>
      <c r="L12" s="96" t="n">
        <v>0.2424242424242424</v>
      </c>
      <c r="M12" s="97" t="n">
        <v>147</v>
      </c>
    </row>
    <row r="13" ht="28.8" customHeight="1">
      <c r="A13" s="89" t="n">
        <v>5</v>
      </c>
      <c r="B13" s="89" t="inlineStr">
        <is>
          <t>Luis Alberto Ovalle Huamanguilla</t>
        </is>
      </c>
      <c r="F13" s="89" t="inlineStr">
        <is>
          <t>Estc E 37 - D 28</t>
        </is>
      </c>
      <c r="G13" s="89" t="inlineStr">
        <is>
          <t>Crédito Directo</t>
        </is>
      </c>
      <c r="H13" s="90" t="n">
        <v>52000</v>
      </c>
      <c r="I13" s="90" t="n">
        <v>17000</v>
      </c>
      <c r="J13" s="91" t="n">
        <v>35000</v>
      </c>
      <c r="L13" s="92" t="n">
        <v>0.6730769230769231</v>
      </c>
      <c r="M13" s="91" t="n">
        <v>24</v>
      </c>
    </row>
    <row r="14" ht="28.8" customHeight="1">
      <c r="A14" s="93" t="n">
        <v>6</v>
      </c>
      <c r="B14" s="93" t="inlineStr">
        <is>
          <t>Karina Cabanillas Correa</t>
        </is>
      </c>
      <c r="F14" s="93" t="inlineStr">
        <is>
          <t>Estc E 09 - D 06</t>
        </is>
      </c>
      <c r="G14" s="93" t="inlineStr">
        <is>
          <t>Crédito Directo</t>
        </is>
      </c>
      <c r="H14" s="94" t="n">
        <v>52000</v>
      </c>
      <c r="I14" s="94" t="n">
        <v>31600</v>
      </c>
      <c r="J14" s="95" t="n">
        <v>20400</v>
      </c>
      <c r="L14" s="96" t="n">
        <v>0.3923076923076923</v>
      </c>
      <c r="M14" s="97" t="n">
        <v>55</v>
      </c>
    </row>
    <row r="15" ht="28.8" customHeight="1">
      <c r="A15" s="89" t="n">
        <v>7</v>
      </c>
      <c r="B15" s="89" t="inlineStr">
        <is>
          <t>Marita Angeles Milla</t>
        </is>
      </c>
      <c r="F15" s="89" t="inlineStr">
        <is>
          <t>Dpto 1004</t>
        </is>
      </c>
      <c r="G15" s="89" t="inlineStr">
        <is>
          <t>Ahorro</t>
        </is>
      </c>
      <c r="H15" s="90" t="n">
        <v>417700</v>
      </c>
      <c r="I15" s="90" t="n">
        <v>23770</v>
      </c>
      <c r="J15" s="91" t="n">
        <v>20000</v>
      </c>
      <c r="L15" s="92" t="n">
        <v>0.04788125448886761</v>
      </c>
      <c r="M15" s="91" t="n">
        <v>25</v>
      </c>
    </row>
    <row r="16" ht="28.8" customHeight="1">
      <c r="A16" s="93" t="n">
        <v>8</v>
      </c>
      <c r="B16" s="93" t="inlineStr">
        <is>
          <t>Elmo Calatayud Chumbes</t>
        </is>
      </c>
      <c r="F16" s="93" t="inlineStr">
        <is>
          <t>Estc E 13 - D 10</t>
        </is>
      </c>
      <c r="G16" s="93" t="inlineStr">
        <is>
          <t>Crédito Directo</t>
        </is>
      </c>
      <c r="H16" s="94" t="n">
        <v>57800</v>
      </c>
      <c r="I16" s="94" t="n">
        <v>20000</v>
      </c>
      <c r="J16" s="95" t="n">
        <v>18900</v>
      </c>
      <c r="L16" s="96" t="n">
        <v>0.3269896193771626</v>
      </c>
      <c r="M16" s="97" t="n">
        <v>25</v>
      </c>
    </row>
    <row r="17" ht="28.8" customHeight="1">
      <c r="A17" s="89" t="n">
        <v>9</v>
      </c>
      <c r="B17" s="89" t="inlineStr">
        <is>
          <t>Ayleen Katia Messarina Rios</t>
        </is>
      </c>
      <c r="F17" s="89" t="inlineStr">
        <is>
          <t>Estc E 14 - D 11</t>
        </is>
      </c>
      <c r="G17" s="89" t="inlineStr">
        <is>
          <t>Crédito Directo</t>
        </is>
      </c>
      <c r="H17" s="90" t="n">
        <v>56300</v>
      </c>
      <c r="I17" s="90" t="n">
        <v>51800</v>
      </c>
      <c r="J17" s="91" t="n">
        <v>4500</v>
      </c>
      <c r="L17" s="92" t="n">
        <v>0.07992895204262877</v>
      </c>
      <c r="M17" s="91" t="n">
        <v>25</v>
      </c>
    </row>
    <row r="18" ht="28.8" customHeight="1">
      <c r="A18" s="73" t="n"/>
      <c r="B18" s="73" t="n"/>
      <c r="C18" s="73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</row>
    <row r="19">
      <c r="A19" s="73" t="n"/>
      <c r="B19" s="73" t="n"/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</row>
    <row r="20" ht="15.6" customHeight="1">
      <c r="A20" s="84" t="inlineStr">
        <is>
          <t>BEYOND</t>
        </is>
      </c>
      <c r="F20" s="85" t="inlineStr">
        <is>
          <t>DEUDA TOTAL</t>
        </is>
      </c>
      <c r="H20" s="86" t="n">
        <v>7228131.52</v>
      </c>
      <c r="J20" s="87" t="inlineStr">
        <is>
          <t>CLIENTE</t>
        </is>
      </c>
      <c r="L20" s="87" t="n">
        <v>23</v>
      </c>
    </row>
    <row r="21" ht="28.8" customHeight="1">
      <c r="A21" s="88" t="inlineStr">
        <is>
          <t>Rank</t>
        </is>
      </c>
      <c r="B21" s="88" t="inlineStr">
        <is>
          <t>Cliente</t>
        </is>
      </c>
      <c r="F21" s="88" t="inlineStr">
        <is>
          <t>Unidad</t>
        </is>
      </c>
      <c r="G21" s="88" t="inlineStr">
        <is>
          <t>Financiamiento</t>
        </is>
      </c>
      <c r="H21" s="88" t="inlineStr">
        <is>
          <t>Precio Venta</t>
        </is>
      </c>
      <c r="I21" s="88" t="inlineStr">
        <is>
          <t>Monto Cobrado</t>
        </is>
      </c>
      <c r="J21" s="88" t="inlineStr">
        <is>
          <t>Monto Deuda</t>
        </is>
      </c>
      <c r="L21" s="88" t="inlineStr">
        <is>
          <t>Tasa de Morosidad</t>
        </is>
      </c>
      <c r="M21" s="88" t="inlineStr">
        <is>
          <t>Días de atraso</t>
        </is>
      </c>
    </row>
    <row r="22" ht="28.8" customHeight="1">
      <c r="A22" s="89" t="n">
        <v>1</v>
      </c>
      <c r="B22" s="89" t="inlineStr">
        <is>
          <t>RONALD ANTONIO TICONA ARONES</t>
        </is>
      </c>
      <c r="F22" s="89" t="inlineStr">
        <is>
          <t>Dpto 703, Dpto 704</t>
        </is>
      </c>
      <c r="G22" s="89" t="inlineStr">
        <is>
          <t>Crédito Hipotecario</t>
        </is>
      </c>
      <c r="H22" s="90" t="n">
        <v>942700</v>
      </c>
      <c r="I22" s="90" t="n">
        <v>94270</v>
      </c>
      <c r="J22" s="91" t="n">
        <v>848430</v>
      </c>
      <c r="L22" s="92" t="n">
        <v>0.9</v>
      </c>
      <c r="M22" s="91" t="n">
        <v>86</v>
      </c>
    </row>
    <row r="23" ht="28.8" customHeight="1">
      <c r="A23" s="93" t="n">
        <v>2</v>
      </c>
      <c r="B23" s="93" t="inlineStr">
        <is>
          <t>Tania Milagros Cotrina Vara</t>
        </is>
      </c>
      <c r="F23" s="93" t="inlineStr">
        <is>
          <t>Dpto 205</t>
        </is>
      </c>
      <c r="G23" s="93" t="inlineStr">
        <is>
          <t>Ahorro</t>
        </is>
      </c>
      <c r="H23" s="94" t="n">
        <v>577000</v>
      </c>
      <c r="I23" s="94" t="n">
        <v>92400</v>
      </c>
      <c r="J23" s="95" t="n">
        <v>484600</v>
      </c>
      <c r="L23" s="96" t="n">
        <v>0.8398613518197574</v>
      </c>
      <c r="M23" s="97" t="n">
        <v>47</v>
      </c>
    </row>
    <row r="24" ht="28.8" customHeight="1">
      <c r="A24" s="89" t="n">
        <v>3</v>
      </c>
      <c r="B24" s="89" t="inlineStr">
        <is>
          <t>Harry Anderson Yance Ruiz</t>
        </is>
      </c>
      <c r="F24" s="89" t="inlineStr">
        <is>
          <t>Dpto 805</t>
        </is>
      </c>
      <c r="G24" s="89" t="inlineStr">
        <is>
          <t>Crédito Hipotecario</t>
        </is>
      </c>
      <c r="H24" s="90" t="n">
        <v>532100</v>
      </c>
      <c r="I24" s="90" t="n">
        <v>53300</v>
      </c>
      <c r="J24" s="91" t="n">
        <v>478800</v>
      </c>
      <c r="L24" s="92" t="n">
        <v>0.8998308588611164</v>
      </c>
      <c r="M24" s="91" t="n">
        <v>147</v>
      </c>
    </row>
    <row r="25" ht="28.8" customHeight="1">
      <c r="A25" s="93" t="n">
        <v>4</v>
      </c>
      <c r="B25" s="93" t="inlineStr">
        <is>
          <t>Tania Jackeline Valladares Timana</t>
        </is>
      </c>
      <c r="F25" s="93" t="inlineStr">
        <is>
          <t>Dpto 1001</t>
        </is>
      </c>
      <c r="G25" s="93" t="inlineStr">
        <is>
          <t>Ahorro</t>
        </is>
      </c>
      <c r="H25" s="94" t="n">
        <v>518500</v>
      </c>
      <c r="I25" s="94" t="n">
        <v>39725</v>
      </c>
      <c r="J25" s="95" t="n">
        <v>478775</v>
      </c>
      <c r="L25" s="96" t="n">
        <v>0.9233847637415622</v>
      </c>
      <c r="M25" s="97" t="n">
        <v>205</v>
      </c>
    </row>
    <row r="26" ht="28.8" customHeight="1">
      <c r="A26" s="89" t="n">
        <v>5</v>
      </c>
      <c r="B26" s="89" t="inlineStr">
        <is>
          <t>Jimmy Luis Andrade Morveli</t>
        </is>
      </c>
      <c r="F26" s="89" t="inlineStr">
        <is>
          <t>Dpto 601</t>
        </is>
      </c>
      <c r="G26" s="89" t="inlineStr">
        <is>
          <t>Crédito Hipotecario</t>
        </is>
      </c>
      <c r="H26" s="90" t="n">
        <v>470000</v>
      </c>
      <c r="I26" s="90" t="n">
        <v>3000</v>
      </c>
      <c r="J26" s="91" t="n">
        <v>467000</v>
      </c>
      <c r="L26" s="92" t="n">
        <v>0.9936170212765958</v>
      </c>
      <c r="M26" s="91" t="n">
        <v>162</v>
      </c>
    </row>
    <row r="27" ht="28.8" customHeight="1">
      <c r="A27" s="93" t="n">
        <v>6</v>
      </c>
      <c r="B27" s="93" t="inlineStr">
        <is>
          <t>Leidy Lucero Espíritu Zabarburu</t>
        </is>
      </c>
      <c r="F27" s="93" t="inlineStr">
        <is>
          <t>Dpto 303</t>
        </is>
      </c>
      <c r="G27" s="93" t="inlineStr">
        <is>
          <t>Ahorro</t>
        </is>
      </c>
      <c r="H27" s="94" t="n">
        <v>458000</v>
      </c>
      <c r="I27" s="94" t="n">
        <v>22900</v>
      </c>
      <c r="J27" s="95" t="n">
        <v>435100</v>
      </c>
      <c r="L27" s="96" t="n">
        <v>0.95</v>
      </c>
      <c r="M27" s="97" t="n">
        <v>46</v>
      </c>
    </row>
    <row r="28" ht="28.8" customHeight="1">
      <c r="A28" s="89" t="n">
        <v>7</v>
      </c>
      <c r="B28" s="89" t="inlineStr">
        <is>
          <t>Francesca Giuliana Ramos Ortiz</t>
        </is>
      </c>
      <c r="F28" s="89" t="inlineStr">
        <is>
          <t>Dpto 501, Estc E 14 - D 12</t>
        </is>
      </c>
      <c r="G28" s="89" t="inlineStr">
        <is>
          <t>Ahorro</t>
        </is>
      </c>
      <c r="H28" s="90" t="n">
        <v>524500</v>
      </c>
      <c r="I28" s="90" t="n">
        <v>104900</v>
      </c>
      <c r="J28" s="91" t="n">
        <v>419600</v>
      </c>
      <c r="L28" s="92" t="n">
        <v>0.8</v>
      </c>
      <c r="M28" s="91" t="n">
        <v>24</v>
      </c>
    </row>
    <row r="29" ht="28.8" customHeight="1">
      <c r="A29" s="93" t="n">
        <v>8</v>
      </c>
      <c r="B29" s="93" t="inlineStr">
        <is>
          <t>Dolores Lissett Castillo Diaz</t>
        </is>
      </c>
      <c r="F29" s="93" t="inlineStr">
        <is>
          <t>Dpto 701, Estc E 17</t>
        </is>
      </c>
      <c r="G29" s="93" t="inlineStr">
        <is>
          <t>Ahorro</t>
        </is>
      </c>
      <c r="H29" s="94" t="n">
        <v>521800</v>
      </c>
      <c r="I29" s="94" t="n">
        <v>104360</v>
      </c>
      <c r="J29" s="95" t="n">
        <v>417440</v>
      </c>
      <c r="L29" s="96" t="n">
        <v>0.8</v>
      </c>
      <c r="M29" s="97" t="n">
        <v>30</v>
      </c>
    </row>
    <row r="30" ht="28.8" customHeight="1">
      <c r="A30" s="89" t="n">
        <v>9</v>
      </c>
      <c r="B30" s="89" t="inlineStr">
        <is>
          <t>Jhoully Kattherine Moreno Saavedra</t>
        </is>
      </c>
      <c r="F30" s="89" t="inlineStr">
        <is>
          <t>Dpto 204</t>
        </is>
      </c>
      <c r="G30" s="89" t="inlineStr">
        <is>
          <t>Crédito Hipotecario</t>
        </is>
      </c>
      <c r="H30" s="90" t="n">
        <v>450000</v>
      </c>
      <c r="I30" s="90" t="n">
        <v>45000</v>
      </c>
      <c r="J30" s="91" t="n">
        <v>405000</v>
      </c>
      <c r="L30" s="92" t="n">
        <v>0.9</v>
      </c>
      <c r="M30" s="91" t="n">
        <v>55</v>
      </c>
    </row>
    <row r="31" ht="28.8" customHeight="1">
      <c r="A31" s="93" t="n">
        <v>10</v>
      </c>
      <c r="B31" s="93" t="inlineStr">
        <is>
          <t>Mayra Andrea Montenegro Gomez</t>
        </is>
      </c>
      <c r="F31" s="93" t="inlineStr">
        <is>
          <t>Dpto 605</t>
        </is>
      </c>
      <c r="G31" s="93" t="inlineStr">
        <is>
          <t>Crédito Hipotecario</t>
        </is>
      </c>
      <c r="H31" s="94" t="n">
        <v>495000</v>
      </c>
      <c r="I31" s="94" t="n">
        <v>99000</v>
      </c>
      <c r="J31" s="95" t="n">
        <v>396000</v>
      </c>
      <c r="L31" s="96" t="n">
        <v>0.8</v>
      </c>
      <c r="M31" s="97" t="n">
        <v>24</v>
      </c>
    </row>
    <row r="32" ht="28.8" customHeight="1">
      <c r="A32" s="89" t="n">
        <v>11</v>
      </c>
      <c r="B32" s="89" t="inlineStr">
        <is>
          <t>Margarita Mercedes Lujas Paredes</t>
        </is>
      </c>
      <c r="F32" s="89" t="inlineStr">
        <is>
          <t>Dpto 202</t>
        </is>
      </c>
      <c r="G32" s="89" t="inlineStr">
        <is>
          <t>Ahorro</t>
        </is>
      </c>
      <c r="H32" s="90" t="n">
        <v>430000</v>
      </c>
      <c r="I32" s="90" t="n">
        <v>43000</v>
      </c>
      <c r="J32" s="91" t="n">
        <v>387000</v>
      </c>
      <c r="L32" s="92" t="n">
        <v>0.9</v>
      </c>
      <c r="M32" s="91" t="n">
        <v>24</v>
      </c>
    </row>
    <row r="33" ht="28.8" customHeight="1">
      <c r="A33" s="93" t="n">
        <v>12</v>
      </c>
      <c r="B33" s="93" t="inlineStr">
        <is>
          <t>Víctor Daniel Chuquihuaccha Hernandez</t>
        </is>
      </c>
      <c r="F33" s="93" t="inlineStr">
        <is>
          <t>Dpto 702</t>
        </is>
      </c>
      <c r="G33" s="93" t="inlineStr">
        <is>
          <t>Crédito Hipotecario</t>
        </is>
      </c>
      <c r="H33" s="94" t="n">
        <v>382000</v>
      </c>
      <c r="I33" s="94" t="n">
        <v>38200</v>
      </c>
      <c r="J33" s="95" t="n">
        <v>343800</v>
      </c>
      <c r="L33" s="96" t="n">
        <v>0.9</v>
      </c>
      <c r="M33" s="97" t="n">
        <v>174</v>
      </c>
    </row>
    <row r="34" ht="28.8" customHeight="1">
      <c r="A34" s="89" t="n">
        <v>13</v>
      </c>
      <c r="B34" s="89" t="inlineStr">
        <is>
          <t>Erla Liseth Carhuavilca Pérez</t>
        </is>
      </c>
      <c r="F34" s="89" t="inlineStr">
        <is>
          <t>Dpto 403, Estc E 06</t>
        </is>
      </c>
      <c r="G34" s="89" t="inlineStr">
        <is>
          <t>Ahorro</t>
        </is>
      </c>
      <c r="H34" s="90" t="n">
        <v>504700</v>
      </c>
      <c r="I34" s="90" t="n">
        <v>186000</v>
      </c>
      <c r="J34" s="91" t="n">
        <v>318700</v>
      </c>
      <c r="L34" s="92" t="n">
        <v>0.6314642361799089</v>
      </c>
      <c r="M34" s="91" t="n">
        <v>55</v>
      </c>
    </row>
    <row r="35" ht="28.8" customHeight="1">
      <c r="A35" s="93" t="n">
        <v>14</v>
      </c>
      <c r="B35" s="93" t="inlineStr">
        <is>
          <t>Danixa Thalia Manosalva Ameri</t>
        </is>
      </c>
      <c r="F35" s="93" t="inlineStr">
        <is>
          <t>Dpto 302</t>
        </is>
      </c>
      <c r="G35" s="93" t="inlineStr">
        <is>
          <t>Ahorro</t>
        </is>
      </c>
      <c r="H35" s="94" t="n">
        <v>381000</v>
      </c>
      <c r="I35" s="94" t="n">
        <v>64000</v>
      </c>
      <c r="J35" s="95" t="n">
        <v>317000</v>
      </c>
      <c r="L35" s="96" t="n">
        <v>0.8320209973753281</v>
      </c>
      <c r="M35" s="97" t="n">
        <v>55</v>
      </c>
    </row>
    <row r="36" ht="28.8" customHeight="1">
      <c r="A36" s="89" t="n">
        <v>15</v>
      </c>
      <c r="B36" s="89" t="inlineStr">
        <is>
          <t>Karla Ivette Necochea Lopezv</t>
        </is>
      </c>
      <c r="F36" s="89" t="inlineStr">
        <is>
          <t>Dpto 305</t>
        </is>
      </c>
      <c r="G36" s="89" t="inlineStr">
        <is>
          <t>Ahorro</t>
        </is>
      </c>
      <c r="H36" s="90" t="n">
        <v>495000</v>
      </c>
      <c r="I36" s="90" t="n">
        <v>48880</v>
      </c>
      <c r="J36" s="91" t="n">
        <v>198620</v>
      </c>
      <c r="L36" s="92" t="n">
        <v>0.4012525252525252</v>
      </c>
      <c r="M36" s="91" t="n">
        <v>70</v>
      </c>
    </row>
    <row r="37" ht="28.8" customHeight="1">
      <c r="A37" s="93" t="n">
        <v>16</v>
      </c>
      <c r="B37" s="93" t="inlineStr">
        <is>
          <t>Alejandra Leslye Solorio Peña</t>
        </is>
      </c>
      <c r="F37" s="93" t="inlineStr">
        <is>
          <t>Dpto 1306</t>
        </is>
      </c>
      <c r="G37" s="93" t="inlineStr">
        <is>
          <t>Ahorro</t>
        </is>
      </c>
      <c r="H37" s="94" t="n">
        <v>265000</v>
      </c>
      <c r="I37" s="94" t="n">
        <v>68600</v>
      </c>
      <c r="J37" s="95" t="n">
        <v>196400</v>
      </c>
      <c r="L37" s="96" t="n">
        <v>0.7411320754716981</v>
      </c>
      <c r="M37" s="97" t="n">
        <v>114</v>
      </c>
    </row>
    <row r="38" ht="28.8" customHeight="1">
      <c r="A38" s="89" t="n">
        <v>17</v>
      </c>
      <c r="B38" s="89" t="inlineStr">
        <is>
          <t>Dante Enrique Segura Florian</t>
        </is>
      </c>
      <c r="F38" s="89" t="inlineStr">
        <is>
          <t>Dpto 505, Estc E 05, Depósito D 05</t>
        </is>
      </c>
      <c r="G38" s="89" t="inlineStr">
        <is>
          <t>Crédito Directo</t>
        </is>
      </c>
      <c r="H38" s="90" t="n">
        <v>561500</v>
      </c>
      <c r="I38" s="90" t="n">
        <v>366605.7</v>
      </c>
      <c r="J38" s="91" t="n">
        <v>194894.3</v>
      </c>
      <c r="L38" s="92" t="n">
        <v>0.3470958147818344</v>
      </c>
      <c r="M38" s="91" t="n">
        <v>273</v>
      </c>
    </row>
    <row r="39" ht="28.8" customHeight="1">
      <c r="A39" s="93" t="n">
        <v>18</v>
      </c>
      <c r="B39" s="93" t="inlineStr">
        <is>
          <t>ERICK RAUL BEDOYA BACA</t>
        </is>
      </c>
      <c r="F39" s="93" t="inlineStr">
        <is>
          <t>Dpto 503, Estc E 12 - D 10</t>
        </is>
      </c>
      <c r="G39" s="93" t="inlineStr">
        <is>
          <t>Crédito Hipotecario</t>
        </is>
      </c>
      <c r="H39" s="94" t="n">
        <v>521500</v>
      </c>
      <c r="I39" s="94" t="n">
        <v>90500</v>
      </c>
      <c r="J39" s="95" t="n">
        <v>107750</v>
      </c>
      <c r="L39" s="96" t="n">
        <v>0.2066155321188878</v>
      </c>
      <c r="M39" s="97" t="n">
        <v>146</v>
      </c>
    </row>
    <row r="40" ht="28.8" customHeight="1">
      <c r="A40" s="89" t="n">
        <v>19</v>
      </c>
      <c r="B40" s="89" t="inlineStr">
        <is>
          <t>Victor Hugo Quispe Cupe</t>
        </is>
      </c>
      <c r="F40" s="89" t="inlineStr">
        <is>
          <t>Dpto 301, Estc E 04 - D 02</t>
        </is>
      </c>
      <c r="G40" s="89" t="inlineStr">
        <is>
          <t>Crédito Directo</t>
        </is>
      </c>
      <c r="H40" s="90" t="n">
        <v>527500</v>
      </c>
      <c r="I40" s="90" t="n">
        <v>3000</v>
      </c>
      <c r="J40" s="91" t="n">
        <v>106722.22</v>
      </c>
      <c r="L40" s="92" t="n">
        <v>0.2023170047393365</v>
      </c>
      <c r="M40" s="91" t="n">
        <v>237</v>
      </c>
    </row>
    <row r="41" ht="28.8" customHeight="1">
      <c r="A41" s="93" t="n">
        <v>20</v>
      </c>
      <c r="B41" s="93" t="inlineStr">
        <is>
          <t>Diana Carolina Asmat Cuno</t>
        </is>
      </c>
      <c r="F41" s="93" t="inlineStr">
        <is>
          <t>Dpto 1202</t>
        </is>
      </c>
      <c r="G41" s="93" t="inlineStr">
        <is>
          <t>Crédito Directo</t>
        </is>
      </c>
      <c r="H41" s="94" t="n">
        <v>370000</v>
      </c>
      <c r="I41" s="94" t="n">
        <v>30000</v>
      </c>
      <c r="J41" s="95" t="n">
        <v>99500</v>
      </c>
      <c r="L41" s="96" t="n">
        <v>0.2689189189189189</v>
      </c>
      <c r="M41" s="97" t="n">
        <v>24</v>
      </c>
    </row>
    <row r="42" ht="28.8" customHeight="1">
      <c r="A42" s="89" t="n">
        <v>21</v>
      </c>
      <c r="B42" s="89" t="inlineStr">
        <is>
          <t>Ronald José Claudio Ramírez</t>
        </is>
      </c>
      <c r="F42" s="89" t="inlineStr">
        <is>
          <t>Dpto 504, Estc E 07</t>
        </is>
      </c>
      <c r="G42" s="89" t="inlineStr">
        <is>
          <t>Ahorro</t>
        </is>
      </c>
      <c r="H42" s="90" t="n">
        <v>510000</v>
      </c>
      <c r="I42" s="90" t="n">
        <v>52500</v>
      </c>
      <c r="J42" s="91" t="n">
        <v>49500</v>
      </c>
      <c r="L42" s="92" t="n">
        <v>0.09705882352941177</v>
      </c>
      <c r="M42" s="91" t="n">
        <v>25</v>
      </c>
    </row>
    <row r="43" ht="28.8" customHeight="1">
      <c r="A43" s="93" t="n">
        <v>22</v>
      </c>
      <c r="B43" s="93" t="inlineStr">
        <is>
          <t>Marynn Yahara Minetto Peralta</t>
        </is>
      </c>
      <c r="F43" s="93" t="inlineStr">
        <is>
          <t>Estc E 18</t>
        </is>
      </c>
      <c r="G43" s="93" t="inlineStr">
        <is>
          <t>Crédito Directo</t>
        </is>
      </c>
      <c r="H43" s="94" t="n">
        <v>50500</v>
      </c>
      <c r="I43" s="94" t="n">
        <v>3000</v>
      </c>
      <c r="J43" s="95" t="n">
        <v>47500</v>
      </c>
      <c r="L43" s="96" t="n">
        <v>0.9405940594059405</v>
      </c>
      <c r="M43" s="97" t="n">
        <v>60</v>
      </c>
    </row>
    <row r="44" ht="28.8" customHeight="1">
      <c r="A44" s="89" t="n">
        <v>23</v>
      </c>
      <c r="B44" s="89" t="inlineStr">
        <is>
          <t>Luisa Liliana Esther Erazo Medina</t>
        </is>
      </c>
      <c r="F44" s="89" t="inlineStr">
        <is>
          <t>Dpto 602</t>
        </is>
      </c>
      <c r="G44" s="89" t="inlineStr">
        <is>
          <t>Ahorro</t>
        </is>
      </c>
      <c r="H44" s="90" t="n">
        <v>400000</v>
      </c>
      <c r="I44" s="90" t="n">
        <v>23000</v>
      </c>
      <c r="J44" s="91" t="n">
        <v>30000</v>
      </c>
      <c r="L44" s="92" t="n">
        <v>0.075</v>
      </c>
      <c r="M44" s="91" t="n">
        <v>24</v>
      </c>
    </row>
    <row r="45">
      <c r="A45" s="73" t="n"/>
      <c r="B45" s="73" t="n"/>
      <c r="C45" s="73" t="n"/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</row>
    <row r="46">
      <c r="A46" s="73" t="n"/>
      <c r="B46" s="73" t="n"/>
      <c r="C46" s="73" t="n"/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</row>
    <row r="47" ht="15.6" customHeight="1">
      <c r="A47" s="84" t="inlineStr">
        <is>
          <t>VENECIA</t>
        </is>
      </c>
      <c r="F47" s="85" t="inlineStr">
        <is>
          <t>DEUDA TOTAL</t>
        </is>
      </c>
      <c r="H47" s="86" t="n">
        <v>293666.67</v>
      </c>
      <c r="J47" s="87" t="inlineStr">
        <is>
          <t>CLIENTE</t>
        </is>
      </c>
      <c r="L47" s="87" t="n">
        <v>5</v>
      </c>
    </row>
    <row r="48" ht="28.8" customHeight="1">
      <c r="A48" s="88" t="inlineStr">
        <is>
          <t>Rank</t>
        </is>
      </c>
      <c r="B48" s="88" t="inlineStr">
        <is>
          <t>Cliente</t>
        </is>
      </c>
      <c r="F48" s="88" t="inlineStr">
        <is>
          <t>Unidad</t>
        </is>
      </c>
      <c r="G48" s="88" t="inlineStr">
        <is>
          <t>Financiamiento</t>
        </is>
      </c>
      <c r="H48" s="88" t="inlineStr">
        <is>
          <t>Precio Venta</t>
        </is>
      </c>
      <c r="I48" s="88" t="inlineStr">
        <is>
          <t>Monto Cobrado</t>
        </is>
      </c>
      <c r="J48" s="88" t="inlineStr">
        <is>
          <t>Monto Deuda</t>
        </is>
      </c>
      <c r="L48" s="88" t="inlineStr">
        <is>
          <t>Tasa de Morosidad</t>
        </is>
      </c>
      <c r="M48" s="88" t="inlineStr">
        <is>
          <t>Días de atraso</t>
        </is>
      </c>
    </row>
    <row r="49" ht="28.8" customHeight="1">
      <c r="A49" s="89" t="n">
        <v>1</v>
      </c>
      <c r="B49" s="89" t="inlineStr">
        <is>
          <t>Rocio Chuquimango Valencia</t>
        </is>
      </c>
      <c r="F49" s="89" t="inlineStr">
        <is>
          <t>Dpto 602, Estc E 24 - D 5</t>
        </is>
      </c>
      <c r="G49" s="89" t="inlineStr">
        <is>
          <t>Crédito Directo</t>
        </is>
      </c>
      <c r="H49" s="90" t="n">
        <v>624000</v>
      </c>
      <c r="I49" s="90" t="n">
        <v>67300</v>
      </c>
      <c r="J49" s="91" t="n">
        <v>144166.67</v>
      </c>
      <c r="L49" s="92" t="n">
        <v>0.2310363301282051</v>
      </c>
      <c r="M49" s="91" t="n">
        <v>40</v>
      </c>
    </row>
    <row r="50" ht="28.8" customHeight="1">
      <c r="A50" s="93" t="n">
        <v>2</v>
      </c>
      <c r="B50" s="93" t="inlineStr">
        <is>
          <t>Ubaldo Yovera Puruguay</t>
        </is>
      </c>
      <c r="F50" s="93" t="inlineStr">
        <is>
          <t>Dpto 402</t>
        </is>
      </c>
      <c r="G50" s="93" t="inlineStr">
        <is>
          <t>Ahorro</t>
        </is>
      </c>
      <c r="H50" s="94" t="n">
        <v>623000</v>
      </c>
      <c r="I50" s="94" t="n">
        <v>10000</v>
      </c>
      <c r="J50" s="95" t="n">
        <v>75300</v>
      </c>
      <c r="L50" s="96" t="n">
        <v>0.1208667736757624</v>
      </c>
      <c r="M50" s="97" t="n">
        <v>16</v>
      </c>
    </row>
    <row r="51" ht="28.8" customHeight="1">
      <c r="A51" s="89" t="n">
        <v>3</v>
      </c>
      <c r="B51" s="89" t="inlineStr">
        <is>
          <t>Irma Paulina Palomino Huaman</t>
        </is>
      </c>
      <c r="F51" s="89" t="inlineStr">
        <is>
          <t>Dpto 701</t>
        </is>
      </c>
      <c r="G51" s="89" t="inlineStr">
        <is>
          <t>Ahorro</t>
        </is>
      </c>
      <c r="H51" s="90" t="n">
        <v>561000</v>
      </c>
      <c r="I51" s="90" t="n">
        <v>21900</v>
      </c>
      <c r="J51" s="91" t="n">
        <v>34200</v>
      </c>
      <c r="L51" s="92" t="n">
        <v>0.06096256684491978</v>
      </c>
      <c r="M51" s="91" t="n">
        <v>24</v>
      </c>
    </row>
    <row r="52" ht="28.8" customHeight="1">
      <c r="A52" s="93" t="n">
        <v>4</v>
      </c>
      <c r="B52" s="93" t="inlineStr">
        <is>
          <t>Norma Luz Tello Contreras</t>
        </is>
      </c>
      <c r="F52" s="93" t="inlineStr">
        <is>
          <t>Dpto 601, Estc E 11</t>
        </is>
      </c>
      <c r="G52" s="93" t="inlineStr">
        <is>
          <t>Crédito Directo</t>
        </is>
      </c>
      <c r="H52" s="94" t="n">
        <v>595800</v>
      </c>
      <c r="I52" s="94" t="n">
        <v>279800</v>
      </c>
      <c r="J52" s="95" t="n">
        <v>30000</v>
      </c>
      <c r="L52" s="96" t="n">
        <v>0.05035246727089628</v>
      </c>
      <c r="M52" s="97" t="n">
        <v>86</v>
      </c>
    </row>
    <row r="53" ht="28.8" customHeight="1">
      <c r="A53" s="89" t="n">
        <v>5</v>
      </c>
      <c r="B53" s="89" t="inlineStr">
        <is>
          <t>Patricia Salazar Aparcana</t>
        </is>
      </c>
      <c r="F53" s="89" t="inlineStr">
        <is>
          <t>Dpto 302</t>
        </is>
      </c>
      <c r="G53" s="89" t="inlineStr">
        <is>
          <t>Ahorro</t>
        </is>
      </c>
      <c r="H53" s="90" t="n">
        <v>600000</v>
      </c>
      <c r="I53" s="90" t="n">
        <v>20000</v>
      </c>
      <c r="J53" s="91" t="n">
        <v>10000</v>
      </c>
      <c r="L53" s="92" t="n">
        <v>0.01666666666666667</v>
      </c>
      <c r="M53" s="91" t="n">
        <v>57</v>
      </c>
    </row>
    <row r="54">
      <c r="A54" s="73" t="n"/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</row>
    <row r="55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</row>
  </sheetData>
  <mergeCells count="100">
    <mergeCell ref="G4:J4"/>
    <mergeCell ref="J10:K10"/>
    <mergeCell ref="J28:K28"/>
    <mergeCell ref="B36:E36"/>
    <mergeCell ref="J9:K9"/>
    <mergeCell ref="J53:K53"/>
    <mergeCell ref="B22:E22"/>
    <mergeCell ref="B31:E31"/>
    <mergeCell ref="B12:E12"/>
    <mergeCell ref="B21:E21"/>
    <mergeCell ref="B39:E39"/>
    <mergeCell ref="J31:K31"/>
    <mergeCell ref="B14:E14"/>
    <mergeCell ref="B23:E23"/>
    <mergeCell ref="J21:K21"/>
    <mergeCell ref="B13:E13"/>
    <mergeCell ref="B38:E38"/>
    <mergeCell ref="J23:K23"/>
    <mergeCell ref="B40:E40"/>
    <mergeCell ref="L7:M7"/>
    <mergeCell ref="B49:E49"/>
    <mergeCell ref="B33:E33"/>
    <mergeCell ref="B51:E51"/>
    <mergeCell ref="B32:E32"/>
    <mergeCell ref="B26:E26"/>
    <mergeCell ref="B41:E41"/>
    <mergeCell ref="J34:K34"/>
    <mergeCell ref="B35:E35"/>
    <mergeCell ref="B50:E50"/>
    <mergeCell ref="F20:G20"/>
    <mergeCell ref="B16:E16"/>
    <mergeCell ref="B25:E25"/>
    <mergeCell ref="J49:K49"/>
    <mergeCell ref="J27:K27"/>
    <mergeCell ref="J36:K36"/>
    <mergeCell ref="C5:F5"/>
    <mergeCell ref="B27:E27"/>
    <mergeCell ref="F47:G47"/>
    <mergeCell ref="J20:K20"/>
    <mergeCell ref="J11:K11"/>
    <mergeCell ref="L20:M20"/>
    <mergeCell ref="C4:F4"/>
    <mergeCell ref="B11:E11"/>
    <mergeCell ref="J22:K22"/>
    <mergeCell ref="J12:K12"/>
    <mergeCell ref="B53:E53"/>
    <mergeCell ref="J51:K51"/>
    <mergeCell ref="B29:E29"/>
    <mergeCell ref="B37:E37"/>
    <mergeCell ref="J48:K48"/>
    <mergeCell ref="J29:K29"/>
    <mergeCell ref="J38:K38"/>
    <mergeCell ref="B15:E15"/>
    <mergeCell ref="B24:E24"/>
    <mergeCell ref="L47:M47"/>
    <mergeCell ref="J40:K40"/>
    <mergeCell ref="F7:G7"/>
    <mergeCell ref="J24:K24"/>
    <mergeCell ref="J26:K26"/>
    <mergeCell ref="J35:K35"/>
    <mergeCell ref="B43:E43"/>
    <mergeCell ref="J16:K16"/>
    <mergeCell ref="B52:E52"/>
    <mergeCell ref="J25:K25"/>
    <mergeCell ref="A47:E47"/>
    <mergeCell ref="B42:E42"/>
    <mergeCell ref="B17:E17"/>
    <mergeCell ref="J50:K50"/>
    <mergeCell ref="A20:E20"/>
    <mergeCell ref="B44:E44"/>
    <mergeCell ref="J42:K42"/>
    <mergeCell ref="B34:E34"/>
    <mergeCell ref="B28:E28"/>
    <mergeCell ref="J52:K52"/>
    <mergeCell ref="J39:K39"/>
    <mergeCell ref="B9:E9"/>
    <mergeCell ref="J44:K44"/>
    <mergeCell ref="H20:I20"/>
    <mergeCell ref="A1:M2"/>
    <mergeCell ref="J14:K14"/>
    <mergeCell ref="B30:E30"/>
    <mergeCell ref="J37:K37"/>
    <mergeCell ref="J13:K13"/>
    <mergeCell ref="J30:K30"/>
    <mergeCell ref="A7:E7"/>
    <mergeCell ref="J15:K15"/>
    <mergeCell ref="H7:I7"/>
    <mergeCell ref="J32:K32"/>
    <mergeCell ref="J7:K7"/>
    <mergeCell ref="B48:E48"/>
    <mergeCell ref="J41:K41"/>
    <mergeCell ref="H47:I47"/>
    <mergeCell ref="J47:K47"/>
    <mergeCell ref="B8:E8"/>
    <mergeCell ref="J43:K43"/>
    <mergeCell ref="J33:K33"/>
    <mergeCell ref="B10:E10"/>
    <mergeCell ref="J8:K8"/>
    <mergeCell ref="G5:J5"/>
    <mergeCell ref="J17:K17"/>
  </mergeCells>
  <conditionalFormatting sqref="J9:J17">
    <cfRule type="dataBar" priority="1">
      <dataBar>
        <cfvo type="num" val="0"/>
        <cfvo type="num" val="456000"/>
        <color rgb="FFE73349"/>
      </dataBar>
    </cfRule>
  </conditionalFormatting>
  <conditionalFormatting sqref="J22:J44">
    <cfRule type="dataBar" priority="2">
      <dataBar>
        <cfvo type="num" val="0"/>
        <cfvo type="num" val="848430"/>
        <color rgb="FFE73349"/>
      </dataBar>
    </cfRule>
  </conditionalFormatting>
  <conditionalFormatting sqref="J49:J53">
    <cfRule type="dataBar" priority="3">
      <dataBar>
        <cfvo type="num" val="0"/>
        <cfvo type="num" val="144166.67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sheetData>
    <row r="1" ht="34.2" customHeight="1">
      <c r="A1" s="79" t="inlineStr">
        <is>
          <t>REPORTE DE COBRANZAS POR CLIENTE</t>
        </is>
      </c>
    </row>
    <row r="2" ht="29.4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</row>
    <row r="4" ht="28.8" customHeight="1">
      <c r="A4" s="98" t="inlineStr">
        <is>
          <t>Rank</t>
        </is>
      </c>
      <c r="B4" s="98" t="inlineStr">
        <is>
          <t>Cliente</t>
        </is>
      </c>
      <c r="E4" s="98" t="inlineStr">
        <is>
          <t>Proyecto</t>
        </is>
      </c>
      <c r="G4" s="98" t="inlineStr">
        <is>
          <t>Tipo de Financiamiento</t>
        </is>
      </c>
      <c r="I4" s="98" t="inlineStr">
        <is>
          <t>Monto Vendido</t>
        </is>
      </c>
      <c r="K4" s="98" t="inlineStr">
        <is>
          <t>Deuda</t>
        </is>
      </c>
      <c r="M4" s="98" t="inlineStr">
        <is>
          <t>Días Atrasados</t>
        </is>
      </c>
      <c r="N4" s="98" t="inlineStr">
        <is>
          <t>Unidad Inmobiliaria</t>
        </is>
      </c>
      <c r="O4" s="98" t="inlineStr">
        <is>
          <t>Tasa de Morosidad</t>
        </is>
      </c>
    </row>
    <row r="5" ht="28.8" customHeight="1">
      <c r="A5" s="99" t="n">
        <v>1</v>
      </c>
      <c r="B5" s="99" t="inlineStr">
        <is>
          <t>RONALD ANTONIO TICONA ARONES</t>
        </is>
      </c>
      <c r="E5" s="99" t="inlineStr">
        <is>
          <t>Beyond</t>
        </is>
      </c>
      <c r="G5" s="99" t="inlineStr">
        <is>
          <t>Crédito Hipotecario</t>
        </is>
      </c>
      <c r="I5" s="100" t="n">
        <v>942700</v>
      </c>
      <c r="K5" s="100" t="n">
        <v>848430</v>
      </c>
      <c r="M5" s="100" t="n">
        <v>86</v>
      </c>
      <c r="N5" s="101" t="inlineStr">
        <is>
          <t>Dpto 703, Dpto 704</t>
        </is>
      </c>
      <c r="O5" s="102" t="n">
        <v>0.9</v>
      </c>
    </row>
    <row r="6" ht="28.8" customHeight="1">
      <c r="A6" s="103" t="n">
        <v>2</v>
      </c>
      <c r="B6" s="103" t="inlineStr">
        <is>
          <t>Tania Milagros Cotrina Vara</t>
        </is>
      </c>
      <c r="E6" s="103" t="inlineStr">
        <is>
          <t>Beyond</t>
        </is>
      </c>
      <c r="G6" s="103" t="inlineStr">
        <is>
          <t>Ahorro</t>
        </is>
      </c>
      <c r="I6" s="104" t="n">
        <v>577000</v>
      </c>
      <c r="K6" s="104" t="n">
        <v>484600</v>
      </c>
      <c r="M6" s="104" t="n">
        <v>47</v>
      </c>
      <c r="N6" s="105" t="inlineStr">
        <is>
          <t>Dpto 205</t>
        </is>
      </c>
      <c r="O6" s="106" t="n">
        <v>0.8398613518197574</v>
      </c>
    </row>
    <row r="7" ht="28.8" customHeight="1">
      <c r="A7" s="99" t="n">
        <v>3</v>
      </c>
      <c r="B7" s="99" t="inlineStr">
        <is>
          <t>Harry Anderson Yance Ruiz</t>
        </is>
      </c>
      <c r="E7" s="99" t="inlineStr">
        <is>
          <t>Beyond</t>
        </is>
      </c>
      <c r="G7" s="99" t="inlineStr">
        <is>
          <t>Crédito Hipotecario</t>
        </is>
      </c>
      <c r="I7" s="100" t="n">
        <v>532100</v>
      </c>
      <c r="K7" s="100" t="n">
        <v>478800</v>
      </c>
      <c r="M7" s="100" t="n">
        <v>147</v>
      </c>
      <c r="N7" s="101" t="inlineStr">
        <is>
          <t>Dpto 805</t>
        </is>
      </c>
      <c r="O7" s="102" t="n">
        <v>0.8998308588611164</v>
      </c>
    </row>
    <row r="8" ht="28.8" customHeight="1">
      <c r="A8" s="103" t="n">
        <v>4</v>
      </c>
      <c r="B8" s="103" t="inlineStr">
        <is>
          <t>Tania Jackeline Valladares Timana</t>
        </is>
      </c>
      <c r="E8" s="103" t="inlineStr">
        <is>
          <t>Beyond</t>
        </is>
      </c>
      <c r="G8" s="103" t="inlineStr">
        <is>
          <t>Ahorro</t>
        </is>
      </c>
      <c r="I8" s="104" t="n">
        <v>518500</v>
      </c>
      <c r="K8" s="104" t="n">
        <v>478775</v>
      </c>
      <c r="M8" s="104" t="n">
        <v>205</v>
      </c>
      <c r="N8" s="105" t="inlineStr">
        <is>
          <t>Dpto 1001</t>
        </is>
      </c>
      <c r="O8" s="106" t="n">
        <v>0.9233847637415622</v>
      </c>
    </row>
    <row r="9" ht="28.8" customHeight="1">
      <c r="A9" s="99" t="n">
        <v>5</v>
      </c>
      <c r="B9" s="99" t="inlineStr">
        <is>
          <t>Jimmy Luis Andrade Morveli</t>
        </is>
      </c>
      <c r="E9" s="99" t="inlineStr">
        <is>
          <t>Beyond</t>
        </is>
      </c>
      <c r="G9" s="99" t="inlineStr">
        <is>
          <t>Crédito Hipotecario</t>
        </is>
      </c>
      <c r="I9" s="100" t="n">
        <v>470000</v>
      </c>
      <c r="K9" s="100" t="n">
        <v>467000</v>
      </c>
      <c r="M9" s="100" t="n">
        <v>162</v>
      </c>
      <c r="N9" s="101" t="inlineStr">
        <is>
          <t>Dpto 601</t>
        </is>
      </c>
      <c r="O9" s="102" t="n">
        <v>0.9936170212765958</v>
      </c>
    </row>
    <row r="10" ht="28.8" customHeight="1">
      <c r="A10" s="103" t="n">
        <v>6</v>
      </c>
      <c r="B10" s="103" t="inlineStr">
        <is>
          <t>STEPHANIE LIZETH AQUINO HERRERA</t>
        </is>
      </c>
      <c r="E10" s="103" t="inlineStr">
        <is>
          <t>Prada</t>
        </is>
      </c>
      <c r="G10" s="103" t="inlineStr">
        <is>
          <t>Crédito Hipotecario</t>
        </is>
      </c>
      <c r="I10" s="104" t="n">
        <v>480000</v>
      </c>
      <c r="K10" s="104" t="n">
        <v>456000</v>
      </c>
      <c r="M10" s="104" t="n">
        <v>40</v>
      </c>
      <c r="N10" s="105" t="inlineStr">
        <is>
          <t>Dpto 1005</t>
        </is>
      </c>
      <c r="O10" s="106" t="n">
        <v>0.95</v>
      </c>
    </row>
    <row r="11" ht="28.8" customHeight="1">
      <c r="A11" s="99" t="n">
        <v>7</v>
      </c>
      <c r="B11" s="99" t="inlineStr">
        <is>
          <t>Gisella Isabel Martinez Andrade</t>
        </is>
      </c>
      <c r="E11" s="99" t="inlineStr">
        <is>
          <t>Prada</t>
        </is>
      </c>
      <c r="G11" s="99" t="inlineStr">
        <is>
          <t>Crédito Hipotecario</t>
        </is>
      </c>
      <c r="I11" s="100" t="n">
        <v>486500</v>
      </c>
      <c r="K11" s="100" t="n">
        <v>437850</v>
      </c>
      <c r="M11" s="100" t="n">
        <v>22</v>
      </c>
      <c r="N11" s="101" t="inlineStr">
        <is>
          <t>Dpto 304, Estc E 27 - D 21</t>
        </is>
      </c>
      <c r="O11" s="102" t="n">
        <v>0.9</v>
      </c>
    </row>
    <row r="12" ht="28.8" customHeight="1">
      <c r="A12" s="103" t="n">
        <v>8</v>
      </c>
      <c r="B12" s="103" t="inlineStr">
        <is>
          <t>Leidy Lucero Espíritu Zabarburu</t>
        </is>
      </c>
      <c r="E12" s="103" t="inlineStr">
        <is>
          <t>Beyond</t>
        </is>
      </c>
      <c r="G12" s="103" t="inlineStr">
        <is>
          <t>Ahorro</t>
        </is>
      </c>
      <c r="I12" s="104" t="n">
        <v>458000</v>
      </c>
      <c r="K12" s="104" t="n">
        <v>435100</v>
      </c>
      <c r="M12" s="104" t="n">
        <v>46</v>
      </c>
      <c r="N12" s="105" t="inlineStr">
        <is>
          <t>Dpto 303</t>
        </is>
      </c>
      <c r="O12" s="106" t="n">
        <v>0.95</v>
      </c>
    </row>
    <row r="13" ht="28.8" customHeight="1">
      <c r="A13" s="99" t="n">
        <v>9</v>
      </c>
      <c r="B13" s="99" t="inlineStr">
        <is>
          <t>Sussan Yassmine Rubin Domínguez</t>
        </is>
      </c>
      <c r="E13" s="99" t="inlineStr">
        <is>
          <t>Prada</t>
        </is>
      </c>
      <c r="G13" s="99" t="inlineStr">
        <is>
          <t>Ahorro</t>
        </is>
      </c>
      <c r="I13" s="100" t="n">
        <v>470500</v>
      </c>
      <c r="K13" s="100" t="n">
        <v>428500</v>
      </c>
      <c r="M13" s="100" t="n">
        <v>176</v>
      </c>
      <c r="N13" s="101" t="inlineStr">
        <is>
          <t>Dpto 805</t>
        </is>
      </c>
      <c r="O13" s="102" t="n">
        <v>0.9107332624867163</v>
      </c>
    </row>
    <row r="14" ht="28.8" customHeight="1">
      <c r="A14" s="103" t="n">
        <v>10</v>
      </c>
      <c r="B14" s="103" t="inlineStr">
        <is>
          <t>Francesca Giuliana Ramos Ortiz</t>
        </is>
      </c>
      <c r="E14" s="103" t="inlineStr">
        <is>
          <t>Beyond</t>
        </is>
      </c>
      <c r="G14" s="103" t="inlineStr">
        <is>
          <t>Ahorro</t>
        </is>
      </c>
      <c r="I14" s="104" t="n">
        <v>524500</v>
      </c>
      <c r="K14" s="104" t="n">
        <v>419600</v>
      </c>
      <c r="M14" s="104" t="n">
        <v>24</v>
      </c>
      <c r="N14" s="105" t="inlineStr">
        <is>
          <t>Dpto 501, Estc E 14 - D 12</t>
        </is>
      </c>
      <c r="O14" s="106" t="n">
        <v>0.8</v>
      </c>
    </row>
    <row r="15" ht="28.8" customHeight="1">
      <c r="A15" s="99" t="n">
        <v>11</v>
      </c>
      <c r="B15" s="99" t="inlineStr">
        <is>
          <t>Dolores Lissett Castillo Diaz</t>
        </is>
      </c>
      <c r="E15" s="99" t="inlineStr">
        <is>
          <t>Beyond</t>
        </is>
      </c>
      <c r="G15" s="99" t="inlineStr">
        <is>
          <t>Ahorro</t>
        </is>
      </c>
      <c r="I15" s="100" t="n">
        <v>521800</v>
      </c>
      <c r="K15" s="100" t="n">
        <v>417440</v>
      </c>
      <c r="M15" s="100" t="n">
        <v>30</v>
      </c>
      <c r="N15" s="101" t="inlineStr">
        <is>
          <t>Dpto 701, Estc E 17</t>
        </is>
      </c>
      <c r="O15" s="102" t="n">
        <v>0.8</v>
      </c>
    </row>
    <row r="16" ht="28.8" customHeight="1">
      <c r="A16" s="103" t="n">
        <v>12</v>
      </c>
      <c r="B16" s="103" t="inlineStr">
        <is>
          <t>Jhoully Kattherine Moreno Saavedra</t>
        </is>
      </c>
      <c r="E16" s="103" t="inlineStr">
        <is>
          <t>Beyond</t>
        </is>
      </c>
      <c r="G16" s="103" t="inlineStr">
        <is>
          <t>Crédito Hipotecario</t>
        </is>
      </c>
      <c r="I16" s="104" t="n">
        <v>450000</v>
      </c>
      <c r="K16" s="104" t="n">
        <v>405000</v>
      </c>
      <c r="M16" s="104" t="n">
        <v>55</v>
      </c>
      <c r="N16" s="105" t="inlineStr">
        <is>
          <t>Dpto 204</t>
        </is>
      </c>
      <c r="O16" s="106" t="n">
        <v>0.9</v>
      </c>
    </row>
    <row r="17" ht="28.8" customHeight="1">
      <c r="A17" s="99" t="n">
        <v>13</v>
      </c>
      <c r="B17" s="99" t="inlineStr">
        <is>
          <t>Mayra Andrea Montenegro Gomez</t>
        </is>
      </c>
      <c r="E17" s="99" t="inlineStr">
        <is>
          <t>Beyond</t>
        </is>
      </c>
      <c r="G17" s="99" t="inlineStr">
        <is>
          <t>Crédito Hipotecario</t>
        </is>
      </c>
      <c r="I17" s="100" t="n">
        <v>495000</v>
      </c>
      <c r="K17" s="100" t="n">
        <v>396000</v>
      </c>
      <c r="M17" s="100" t="n">
        <v>24</v>
      </c>
      <c r="N17" s="101" t="inlineStr">
        <is>
          <t>Dpto 605</t>
        </is>
      </c>
      <c r="O17" s="102" t="n">
        <v>0.8</v>
      </c>
    </row>
    <row r="18" ht="28.8" customHeight="1">
      <c r="A18" s="103" t="n">
        <v>14</v>
      </c>
      <c r="B18" s="103" t="inlineStr">
        <is>
          <t>Margarita Mercedes Lujas Paredes</t>
        </is>
      </c>
      <c r="E18" s="103" t="inlineStr">
        <is>
          <t>Beyond</t>
        </is>
      </c>
      <c r="G18" s="103" t="inlineStr">
        <is>
          <t>Ahorro</t>
        </is>
      </c>
      <c r="I18" s="104" t="n">
        <v>430000</v>
      </c>
      <c r="K18" s="104" t="n">
        <v>387000</v>
      </c>
      <c r="M18" s="104" t="n">
        <v>24</v>
      </c>
      <c r="N18" s="105" t="inlineStr">
        <is>
          <t>Dpto 202</t>
        </is>
      </c>
      <c r="O18" s="106" t="n">
        <v>0.9</v>
      </c>
    </row>
    <row r="19" ht="28.8" customHeight="1">
      <c r="A19" s="99" t="n">
        <v>15</v>
      </c>
      <c r="B19" s="99" t="inlineStr">
        <is>
          <t>Víctor Daniel Chuquihuaccha Hernandez</t>
        </is>
      </c>
      <c r="E19" s="99" t="inlineStr">
        <is>
          <t>Beyond</t>
        </is>
      </c>
      <c r="G19" s="99" t="inlineStr">
        <is>
          <t>Crédito Hipotecario</t>
        </is>
      </c>
      <c r="I19" s="100" t="n">
        <v>382000</v>
      </c>
      <c r="K19" s="100" t="n">
        <v>343800</v>
      </c>
      <c r="M19" s="100" t="n">
        <v>174</v>
      </c>
      <c r="N19" s="101" t="inlineStr">
        <is>
          <t>Dpto 702</t>
        </is>
      </c>
      <c r="O19" s="102" t="n">
        <v>0.9</v>
      </c>
    </row>
    <row r="20" ht="28.8" customHeight="1">
      <c r="A20" s="103" t="n">
        <v>16</v>
      </c>
      <c r="B20" s="103" t="inlineStr">
        <is>
          <t>Erla Liseth Carhuavilca Pérez</t>
        </is>
      </c>
      <c r="E20" s="103" t="inlineStr">
        <is>
          <t>Beyond</t>
        </is>
      </c>
      <c r="G20" s="103" t="inlineStr">
        <is>
          <t>Ahorro</t>
        </is>
      </c>
      <c r="I20" s="104" t="n">
        <v>504700</v>
      </c>
      <c r="K20" s="104" t="n">
        <v>318700</v>
      </c>
      <c r="M20" s="104" t="n">
        <v>55</v>
      </c>
      <c r="N20" s="105" t="inlineStr">
        <is>
          <t>Dpto 403, Estc E 06</t>
        </is>
      </c>
      <c r="O20" s="106" t="n">
        <v>0.6314642361799089</v>
      </c>
    </row>
    <row r="21" ht="28.8" customHeight="1">
      <c r="A21" s="99" t="n">
        <v>17</v>
      </c>
      <c r="B21" s="99" t="inlineStr">
        <is>
          <t>Danixa Thalia Manosalva Ameri</t>
        </is>
      </c>
      <c r="E21" s="99" t="inlineStr">
        <is>
          <t>Beyond</t>
        </is>
      </c>
      <c r="G21" s="99" t="inlineStr">
        <is>
          <t>Ahorro</t>
        </is>
      </c>
      <c r="I21" s="100" t="n">
        <v>381000</v>
      </c>
      <c r="K21" s="100" t="n">
        <v>317000</v>
      </c>
      <c r="M21" s="100" t="n">
        <v>55</v>
      </c>
      <c r="N21" s="101" t="inlineStr">
        <is>
          <t>Dpto 302</t>
        </is>
      </c>
      <c r="O21" s="102" t="n">
        <v>0.8320209973753281</v>
      </c>
    </row>
    <row r="22" ht="28.8" customHeight="1">
      <c r="A22" s="103" t="n">
        <v>18</v>
      </c>
      <c r="B22" s="103" t="inlineStr">
        <is>
          <t>Karla Ivette Necochea Lopezv</t>
        </is>
      </c>
      <c r="E22" s="103" t="inlineStr">
        <is>
          <t>Beyond</t>
        </is>
      </c>
      <c r="G22" s="103" t="inlineStr">
        <is>
          <t>Ahorro</t>
        </is>
      </c>
      <c r="I22" s="104" t="n">
        <v>495000</v>
      </c>
      <c r="K22" s="104" t="n">
        <v>198620</v>
      </c>
      <c r="M22" s="104" t="n">
        <v>70</v>
      </c>
      <c r="N22" s="105" t="inlineStr">
        <is>
          <t>Dpto 305</t>
        </is>
      </c>
      <c r="O22" s="106" t="n">
        <v>0.4012525252525252</v>
      </c>
    </row>
    <row r="23" ht="28.8" customHeight="1">
      <c r="A23" s="99" t="n">
        <v>19</v>
      </c>
      <c r="B23" s="99" t="inlineStr">
        <is>
          <t>Alejandra Leslye Solorio Peña</t>
        </is>
      </c>
      <c r="E23" s="99" t="inlineStr">
        <is>
          <t>Beyond</t>
        </is>
      </c>
      <c r="G23" s="99" t="inlineStr">
        <is>
          <t>Ahorro</t>
        </is>
      </c>
      <c r="I23" s="100" t="n">
        <v>265000</v>
      </c>
      <c r="K23" s="100" t="n">
        <v>196400</v>
      </c>
      <c r="M23" s="100" t="n">
        <v>114</v>
      </c>
      <c r="N23" s="101" t="inlineStr">
        <is>
          <t>Dpto 1306</t>
        </is>
      </c>
      <c r="O23" s="102" t="n">
        <v>0.7411320754716981</v>
      </c>
    </row>
    <row r="24" ht="28.8" customHeight="1">
      <c r="A24" s="103" t="n">
        <v>20</v>
      </c>
      <c r="B24" s="103" t="inlineStr">
        <is>
          <t>Dante Enrique Segura Florian</t>
        </is>
      </c>
      <c r="E24" s="103" t="inlineStr">
        <is>
          <t>Beyond</t>
        </is>
      </c>
      <c r="G24" s="103" t="inlineStr">
        <is>
          <t>Crédito Directo</t>
        </is>
      </c>
      <c r="I24" s="104" t="n">
        <v>561500</v>
      </c>
      <c r="K24" s="104" t="n">
        <v>194894.3</v>
      </c>
      <c r="M24" s="104" t="n">
        <v>273</v>
      </c>
      <c r="N24" s="105" t="inlineStr">
        <is>
          <t>Dpto 505, Estc E 05, Depósito D 05</t>
        </is>
      </c>
      <c r="O24" s="106" t="n">
        <v>0.3470958147818344</v>
      </c>
    </row>
    <row r="25" ht="28.8" customHeight="1">
      <c r="A25" s="99" t="n">
        <v>21</v>
      </c>
      <c r="B25" s="99" t="inlineStr">
        <is>
          <t>PATROCINIO HUAMANI CUEVAS</t>
        </is>
      </c>
      <c r="E25" s="99" t="inlineStr">
        <is>
          <t>Prada</t>
        </is>
      </c>
      <c r="G25" s="99" t="inlineStr">
        <is>
          <t>Crédito Directo</t>
        </is>
      </c>
      <c r="I25" s="100" t="n">
        <v>660000</v>
      </c>
      <c r="K25" s="100" t="n">
        <v>160000</v>
      </c>
      <c r="M25" s="100" t="n">
        <v>147</v>
      </c>
      <c r="N25" s="101" t="inlineStr">
        <is>
          <t>Dpto 503</t>
        </is>
      </c>
      <c r="O25" s="102" t="n">
        <v>0.2424242424242424</v>
      </c>
    </row>
    <row r="26" ht="28.8" customHeight="1">
      <c r="A26" s="103" t="n">
        <v>22</v>
      </c>
      <c r="B26" s="103" t="inlineStr">
        <is>
          <t>Rocio Chuquimango Valencia</t>
        </is>
      </c>
      <c r="E26" s="103" t="inlineStr">
        <is>
          <t>Venecia</t>
        </is>
      </c>
      <c r="G26" s="103" t="inlineStr">
        <is>
          <t>Crédito Directo</t>
        </is>
      </c>
      <c r="I26" s="104" t="n">
        <v>624000</v>
      </c>
      <c r="K26" s="104" t="n">
        <v>144166.67</v>
      </c>
      <c r="M26" s="104" t="n">
        <v>40</v>
      </c>
      <c r="N26" s="105" t="inlineStr">
        <is>
          <t>Dpto 602, Estc E 24 - D 5</t>
        </is>
      </c>
      <c r="O26" s="106" t="n">
        <v>0.2310363301282051</v>
      </c>
    </row>
    <row r="27" ht="28.8" customHeight="1">
      <c r="A27" s="99" t="n">
        <v>23</v>
      </c>
      <c r="B27" s="99" t="inlineStr">
        <is>
          <t>ERICK RAUL BEDOYA BACA</t>
        </is>
      </c>
      <c r="E27" s="99" t="inlineStr">
        <is>
          <t>Beyond</t>
        </is>
      </c>
      <c r="G27" s="99" t="inlineStr">
        <is>
          <t>Crédito Hipotecario</t>
        </is>
      </c>
      <c r="I27" s="100" t="n">
        <v>521500</v>
      </c>
      <c r="K27" s="100" t="n">
        <v>107750</v>
      </c>
      <c r="M27" s="100" t="n">
        <v>146</v>
      </c>
      <c r="N27" s="101" t="inlineStr">
        <is>
          <t>Dpto 503, Estc E 12 - D 10</t>
        </is>
      </c>
      <c r="O27" s="102" t="n">
        <v>0.2066155321188878</v>
      </c>
    </row>
    <row r="28" ht="28.8" customHeight="1">
      <c r="A28" s="103" t="n">
        <v>24</v>
      </c>
      <c r="B28" s="103" t="inlineStr">
        <is>
          <t>Victor Hugo Quispe Cupe</t>
        </is>
      </c>
      <c r="E28" s="103" t="inlineStr">
        <is>
          <t>Beyond</t>
        </is>
      </c>
      <c r="G28" s="103" t="inlineStr">
        <is>
          <t>Crédito Directo</t>
        </is>
      </c>
      <c r="I28" s="104" t="n">
        <v>527500</v>
      </c>
      <c r="K28" s="104" t="n">
        <v>106722.22</v>
      </c>
      <c r="M28" s="104" t="n">
        <v>237</v>
      </c>
      <c r="N28" s="105" t="inlineStr">
        <is>
          <t>Dpto 301, Estc E 04 - D 02</t>
        </is>
      </c>
      <c r="O28" s="106" t="n">
        <v>0.2023170047393365</v>
      </c>
    </row>
    <row r="29" ht="28.8" customHeight="1">
      <c r="A29" s="99" t="n">
        <v>25</v>
      </c>
      <c r="B29" s="99" t="inlineStr">
        <is>
          <t>Diana Carolina Asmat Cuno</t>
        </is>
      </c>
      <c r="E29" s="99" t="inlineStr">
        <is>
          <t>Beyond</t>
        </is>
      </c>
      <c r="G29" s="99" t="inlineStr">
        <is>
          <t>Crédito Directo</t>
        </is>
      </c>
      <c r="I29" s="100" t="n">
        <v>370000</v>
      </c>
      <c r="K29" s="100" t="n">
        <v>99500</v>
      </c>
      <c r="M29" s="100" t="n">
        <v>24</v>
      </c>
      <c r="N29" s="101" t="inlineStr">
        <is>
          <t>Dpto 1202</t>
        </is>
      </c>
      <c r="O29" s="102" t="n">
        <v>0.2689189189189189</v>
      </c>
    </row>
    <row r="30" ht="28.8" customHeight="1">
      <c r="A30" s="103" t="n">
        <v>26</v>
      </c>
      <c r="B30" s="103" t="inlineStr">
        <is>
          <t>Ubaldo Yovera Puruguay</t>
        </is>
      </c>
      <c r="E30" s="103" t="inlineStr">
        <is>
          <t>Venecia</t>
        </is>
      </c>
      <c r="G30" s="103" t="inlineStr">
        <is>
          <t>Ahorro</t>
        </is>
      </c>
      <c r="I30" s="104" t="n">
        <v>623000</v>
      </c>
      <c r="K30" s="104" t="n">
        <v>75300</v>
      </c>
      <c r="M30" s="104" t="n">
        <v>16</v>
      </c>
      <c r="N30" s="105" t="inlineStr">
        <is>
          <t>Dpto 402</t>
        </is>
      </c>
      <c r="O30" s="106" t="n">
        <v>0.1208667736757624</v>
      </c>
    </row>
    <row r="31" ht="28.8" customHeight="1">
      <c r="A31" s="99" t="n">
        <v>27</v>
      </c>
      <c r="B31" s="99" t="inlineStr">
        <is>
          <t>Ronald José Claudio Ramírez</t>
        </is>
      </c>
      <c r="E31" s="99" t="inlineStr">
        <is>
          <t>Beyond</t>
        </is>
      </c>
      <c r="G31" s="99" t="inlineStr">
        <is>
          <t>Ahorro</t>
        </is>
      </c>
      <c r="I31" s="100" t="n">
        <v>510000</v>
      </c>
      <c r="K31" s="100" t="n">
        <v>49500</v>
      </c>
      <c r="M31" s="100" t="n">
        <v>25</v>
      </c>
      <c r="N31" s="101" t="inlineStr">
        <is>
          <t>Dpto 504, Estc E 07</t>
        </is>
      </c>
      <c r="O31" s="102" t="n">
        <v>0.09705882352941177</v>
      </c>
    </row>
    <row r="32" ht="28.8" customHeight="1">
      <c r="A32" s="103" t="n">
        <v>28</v>
      </c>
      <c r="B32" s="103" t="inlineStr">
        <is>
          <t>Marynn Yahara Minetto Peralta</t>
        </is>
      </c>
      <c r="E32" s="103" t="inlineStr">
        <is>
          <t>Beyond</t>
        </is>
      </c>
      <c r="G32" s="103" t="inlineStr">
        <is>
          <t>Crédito Directo</t>
        </is>
      </c>
      <c r="I32" s="104" t="n">
        <v>50500</v>
      </c>
      <c r="K32" s="104" t="n">
        <v>47500</v>
      </c>
      <c r="M32" s="104" t="n">
        <v>60</v>
      </c>
      <c r="N32" s="105" t="inlineStr">
        <is>
          <t>Estc E 18</t>
        </is>
      </c>
      <c r="O32" s="106" t="n">
        <v>0.9405940594059405</v>
      </c>
    </row>
    <row r="33" ht="28.8" customHeight="1">
      <c r="A33" s="99" t="n">
        <v>29</v>
      </c>
      <c r="B33" s="99" t="inlineStr">
        <is>
          <t>Luis Alberto Ovalle Huamanguilla</t>
        </is>
      </c>
      <c r="E33" s="99" t="inlineStr">
        <is>
          <t>Prada</t>
        </is>
      </c>
      <c r="G33" s="99" t="inlineStr">
        <is>
          <t>Crédito Directo</t>
        </is>
      </c>
      <c r="I33" s="100" t="n">
        <v>52000</v>
      </c>
      <c r="K33" s="100" t="n">
        <v>35000</v>
      </c>
      <c r="M33" s="100" t="n">
        <v>24</v>
      </c>
      <c r="N33" s="101" t="inlineStr">
        <is>
          <t>Estc E 37 - D 28</t>
        </is>
      </c>
      <c r="O33" s="102" t="n">
        <v>0.6730769230769231</v>
      </c>
    </row>
    <row r="34" ht="28.8" customHeight="1">
      <c r="A34" s="103" t="n">
        <v>30</v>
      </c>
      <c r="B34" s="103" t="inlineStr">
        <is>
          <t>Irma Paulina Palomino Huaman</t>
        </is>
      </c>
      <c r="E34" s="103" t="inlineStr">
        <is>
          <t>Venecia</t>
        </is>
      </c>
      <c r="G34" s="103" t="inlineStr">
        <is>
          <t>Ahorro</t>
        </is>
      </c>
      <c r="I34" s="104" t="n">
        <v>561000</v>
      </c>
      <c r="K34" s="104" t="n">
        <v>34200</v>
      </c>
      <c r="M34" s="104" t="n">
        <v>24</v>
      </c>
      <c r="N34" s="105" t="inlineStr">
        <is>
          <t>Dpto 701</t>
        </is>
      </c>
      <c r="O34" s="106" t="n">
        <v>0.06096256684491978</v>
      </c>
    </row>
    <row r="35" ht="28.8" customHeight="1">
      <c r="A35" s="99" t="n">
        <v>31</v>
      </c>
      <c r="B35" s="99" t="inlineStr">
        <is>
          <t>Norma Luz Tello Contreras</t>
        </is>
      </c>
      <c r="E35" s="99" t="inlineStr">
        <is>
          <t>Venecia</t>
        </is>
      </c>
      <c r="G35" s="99" t="inlineStr">
        <is>
          <t>Crédito Directo</t>
        </is>
      </c>
      <c r="I35" s="100" t="n">
        <v>595800</v>
      </c>
      <c r="K35" s="100" t="n">
        <v>30000</v>
      </c>
      <c r="M35" s="100" t="n">
        <v>86</v>
      </c>
      <c r="N35" s="101" t="inlineStr">
        <is>
          <t>Dpto 601, Estc E 11</t>
        </is>
      </c>
      <c r="O35" s="102" t="n">
        <v>0.05035246727089628</v>
      </c>
    </row>
    <row r="36" ht="28.8" customHeight="1">
      <c r="A36" s="103" t="n">
        <v>32</v>
      </c>
      <c r="B36" s="103" t="inlineStr">
        <is>
          <t>Luisa Liliana Esther Erazo Medina</t>
        </is>
      </c>
      <c r="E36" s="103" t="inlineStr">
        <is>
          <t>Beyond</t>
        </is>
      </c>
      <c r="G36" s="103" t="inlineStr">
        <is>
          <t>Ahorro</t>
        </is>
      </c>
      <c r="I36" s="104" t="n">
        <v>400000</v>
      </c>
      <c r="K36" s="104" t="n">
        <v>30000</v>
      </c>
      <c r="M36" s="104" t="n">
        <v>24</v>
      </c>
      <c r="N36" s="105" t="inlineStr">
        <is>
          <t>Dpto 602</t>
        </is>
      </c>
      <c r="O36" s="106" t="n">
        <v>0.075</v>
      </c>
    </row>
    <row r="37" ht="28.8" customHeight="1">
      <c r="A37" s="99" t="n">
        <v>33</v>
      </c>
      <c r="B37" s="99" t="inlineStr">
        <is>
          <t>Karina Cabanillas Correa</t>
        </is>
      </c>
      <c r="E37" s="99" t="inlineStr">
        <is>
          <t>Prada</t>
        </is>
      </c>
      <c r="G37" s="99" t="inlineStr">
        <is>
          <t>Crédito Directo</t>
        </is>
      </c>
      <c r="I37" s="100" t="n">
        <v>52000</v>
      </c>
      <c r="K37" s="100" t="n">
        <v>20400</v>
      </c>
      <c r="M37" s="100" t="n">
        <v>55</v>
      </c>
      <c r="N37" s="101" t="inlineStr">
        <is>
          <t>Estc E 09 - D 06</t>
        </is>
      </c>
      <c r="O37" s="102" t="n">
        <v>0.3923076923076923</v>
      </c>
    </row>
    <row r="38" ht="28.8" customHeight="1">
      <c r="A38" s="103" t="n">
        <v>34</v>
      </c>
      <c r="B38" s="103" t="inlineStr">
        <is>
          <t>Marita Angeles Milla</t>
        </is>
      </c>
      <c r="E38" s="103" t="inlineStr">
        <is>
          <t>Prada</t>
        </is>
      </c>
      <c r="G38" s="103" t="inlineStr">
        <is>
          <t>Ahorro</t>
        </is>
      </c>
      <c r="I38" s="104" t="n">
        <v>417700</v>
      </c>
      <c r="K38" s="104" t="n">
        <v>20000</v>
      </c>
      <c r="M38" s="104" t="n">
        <v>25</v>
      </c>
      <c r="N38" s="105" t="inlineStr">
        <is>
          <t>Dpto 1004</t>
        </is>
      </c>
      <c r="O38" s="106" t="n">
        <v>0.04788125448886761</v>
      </c>
    </row>
    <row r="39" ht="28.8" customHeight="1">
      <c r="A39" s="99" t="n">
        <v>35</v>
      </c>
      <c r="B39" s="99" t="inlineStr">
        <is>
          <t>Elmo Calatayud Chumbes</t>
        </is>
      </c>
      <c r="E39" s="99" t="inlineStr">
        <is>
          <t>Prada</t>
        </is>
      </c>
      <c r="G39" s="99" t="inlineStr">
        <is>
          <t>Crédito Directo</t>
        </is>
      </c>
      <c r="I39" s="100" t="n">
        <v>57800</v>
      </c>
      <c r="K39" s="100" t="n">
        <v>18900</v>
      </c>
      <c r="M39" s="100" t="n">
        <v>25</v>
      </c>
      <c r="N39" s="101" t="inlineStr">
        <is>
          <t>Estc E 13 - D 10</t>
        </is>
      </c>
      <c r="O39" s="102" t="n">
        <v>0.3269896193771626</v>
      </c>
    </row>
    <row r="40" ht="28.8" customHeight="1">
      <c r="A40" s="103" t="n">
        <v>36</v>
      </c>
      <c r="B40" s="103" t="inlineStr">
        <is>
          <t>Patricia Salazar Aparcana</t>
        </is>
      </c>
      <c r="E40" s="103" t="inlineStr">
        <is>
          <t>Venecia</t>
        </is>
      </c>
      <c r="G40" s="103" t="inlineStr">
        <is>
          <t>Ahorro</t>
        </is>
      </c>
      <c r="I40" s="104" t="n">
        <v>600000</v>
      </c>
      <c r="K40" s="104" t="n">
        <v>10000</v>
      </c>
      <c r="M40" s="104" t="n">
        <v>57</v>
      </c>
      <c r="N40" s="105" t="inlineStr">
        <is>
          <t>Dpto 302</t>
        </is>
      </c>
      <c r="O40" s="106" t="n">
        <v>0.01666666666666667</v>
      </c>
    </row>
    <row r="41" ht="28.8" customHeight="1">
      <c r="A41" s="99" t="n">
        <v>37</v>
      </c>
      <c r="B41" s="99" t="inlineStr">
        <is>
          <t>Ayleen Katia Messarina Rios</t>
        </is>
      </c>
      <c r="E41" s="99" t="inlineStr">
        <is>
          <t>Prada</t>
        </is>
      </c>
      <c r="G41" s="99" t="inlineStr">
        <is>
          <t>Crédito Directo</t>
        </is>
      </c>
      <c r="I41" s="100" t="n">
        <v>56300</v>
      </c>
      <c r="K41" s="100" t="n">
        <v>4500</v>
      </c>
      <c r="M41" s="100" t="n">
        <v>25</v>
      </c>
      <c r="N41" s="101" t="inlineStr">
        <is>
          <t>Estc E 14 - D 11</t>
        </is>
      </c>
      <c r="O41" s="102" t="n">
        <v>0.07992895204262877</v>
      </c>
    </row>
  </sheetData>
  <mergeCells count="229">
    <mergeCell ref="G21:H21"/>
    <mergeCell ref="B11:D11"/>
    <mergeCell ref="O7:P7"/>
    <mergeCell ref="K24:L24"/>
    <mergeCell ref="O6:P6"/>
    <mergeCell ref="K33:L33"/>
    <mergeCell ref="O15:P15"/>
    <mergeCell ref="E23:F23"/>
    <mergeCell ref="G23:H23"/>
    <mergeCell ref="I26:J26"/>
    <mergeCell ref="E8:F8"/>
    <mergeCell ref="B34:D34"/>
    <mergeCell ref="K26:L26"/>
    <mergeCell ref="B28:D28"/>
    <mergeCell ref="K35:L35"/>
    <mergeCell ref="B37:D37"/>
    <mergeCell ref="I16:J16"/>
    <mergeCell ref="I25:J25"/>
    <mergeCell ref="O32:P32"/>
    <mergeCell ref="O26:P26"/>
    <mergeCell ref="O41:P41"/>
    <mergeCell ref="B30:D30"/>
    <mergeCell ref="G18:H18"/>
    <mergeCell ref="O35:P35"/>
    <mergeCell ref="B6:D6"/>
    <mergeCell ref="I18:J18"/>
    <mergeCell ref="B20:D20"/>
    <mergeCell ref="E34:F34"/>
    <mergeCell ref="O16:P16"/>
    <mergeCell ref="G34:H34"/>
    <mergeCell ref="O25:P25"/>
    <mergeCell ref="B4:D4"/>
    <mergeCell ref="E27:F27"/>
    <mergeCell ref="O40:P40"/>
    <mergeCell ref="E36:F36"/>
    <mergeCell ref="O27:P27"/>
    <mergeCell ref="O8:P8"/>
    <mergeCell ref="O17:P17"/>
    <mergeCell ref="G20:H20"/>
    <mergeCell ref="O11:P11"/>
    <mergeCell ref="I20:J20"/>
    <mergeCell ref="K28:L28"/>
    <mergeCell ref="K37:L37"/>
    <mergeCell ref="E22:F22"/>
    <mergeCell ref="I13:J13"/>
    <mergeCell ref="G22:H22"/>
    <mergeCell ref="K13:L13"/>
    <mergeCell ref="I30:J30"/>
    <mergeCell ref="E12:F12"/>
    <mergeCell ref="K30:L30"/>
    <mergeCell ref="G12:H12"/>
    <mergeCell ref="I6:J6"/>
    <mergeCell ref="I15:J15"/>
    <mergeCell ref="B8:D8"/>
    <mergeCell ref="K15:L15"/>
    <mergeCell ref="B17:D17"/>
    <mergeCell ref="E5:F5"/>
    <mergeCell ref="E14:F14"/>
    <mergeCell ref="G40:H40"/>
    <mergeCell ref="K21:L21"/>
    <mergeCell ref="B10:D10"/>
    <mergeCell ref="E4:F4"/>
    <mergeCell ref="B19:D19"/>
    <mergeCell ref="E38:F38"/>
    <mergeCell ref="O29:P29"/>
    <mergeCell ref="G7:H7"/>
    <mergeCell ref="G38:H38"/>
    <mergeCell ref="I32:J32"/>
    <mergeCell ref="I7:J7"/>
    <mergeCell ref="K32:L32"/>
    <mergeCell ref="I41:J41"/>
    <mergeCell ref="B9:D9"/>
    <mergeCell ref="K41:L41"/>
    <mergeCell ref="E40:F40"/>
    <mergeCell ref="O31:P31"/>
    <mergeCell ref="B5:D5"/>
    <mergeCell ref="B36:D36"/>
    <mergeCell ref="O21:P21"/>
    <mergeCell ref="G24:H24"/>
    <mergeCell ref="I24:J24"/>
    <mergeCell ref="G33:H33"/>
    <mergeCell ref="I33:J33"/>
    <mergeCell ref="K27:L27"/>
    <mergeCell ref="I8:J8"/>
    <mergeCell ref="O37:P37"/>
    <mergeCell ref="E26:F26"/>
    <mergeCell ref="I17:J17"/>
    <mergeCell ref="G26:H26"/>
    <mergeCell ref="K17:L17"/>
    <mergeCell ref="G35:H35"/>
    <mergeCell ref="I35:J35"/>
    <mergeCell ref="E16:F16"/>
    <mergeCell ref="B31:D31"/>
    <mergeCell ref="G16:H16"/>
    <mergeCell ref="E25:F25"/>
    <mergeCell ref="I10:J10"/>
    <mergeCell ref="G25:H25"/>
    <mergeCell ref="K10:L10"/>
    <mergeCell ref="I19:J19"/>
    <mergeCell ref="K19:L19"/>
    <mergeCell ref="B21:D21"/>
    <mergeCell ref="K6:L6"/>
    <mergeCell ref="B39:D39"/>
    <mergeCell ref="E18:F18"/>
    <mergeCell ref="G9:H9"/>
    <mergeCell ref="I9:J9"/>
    <mergeCell ref="K16:L16"/>
    <mergeCell ref="K25:L25"/>
    <mergeCell ref="B14:D14"/>
    <mergeCell ref="O19:P19"/>
    <mergeCell ref="B23:D23"/>
    <mergeCell ref="O34:P34"/>
    <mergeCell ref="A1:P2"/>
    <mergeCell ref="G11:H11"/>
    <mergeCell ref="O28:P28"/>
    <mergeCell ref="K9:L9"/>
    <mergeCell ref="I11:J11"/>
    <mergeCell ref="K5:L5"/>
    <mergeCell ref="B13:D13"/>
    <mergeCell ref="O9:P9"/>
    <mergeCell ref="E39:F39"/>
    <mergeCell ref="O39:P39"/>
    <mergeCell ref="O36:P36"/>
    <mergeCell ref="G39:H39"/>
    <mergeCell ref="O30:P30"/>
    <mergeCell ref="K29:L29"/>
    <mergeCell ref="K11:L11"/>
    <mergeCell ref="E20:F20"/>
    <mergeCell ref="E29:F29"/>
    <mergeCell ref="O5:P5"/>
    <mergeCell ref="O20:P20"/>
    <mergeCell ref="G37:H37"/>
    <mergeCell ref="E13:F13"/>
    <mergeCell ref="I37:J37"/>
    <mergeCell ref="K31:L31"/>
    <mergeCell ref="G13:H13"/>
    <mergeCell ref="O4:P4"/>
    <mergeCell ref="K40:L40"/>
    <mergeCell ref="E31:F31"/>
    <mergeCell ref="O22:P22"/>
    <mergeCell ref="I21:J21"/>
    <mergeCell ref="E6:F6"/>
    <mergeCell ref="E15:F15"/>
    <mergeCell ref="K8:L8"/>
    <mergeCell ref="B41:D41"/>
    <mergeCell ref="G15:H15"/>
    <mergeCell ref="B35:D35"/>
    <mergeCell ref="I23:J23"/>
    <mergeCell ref="K23:L23"/>
    <mergeCell ref="B25:D25"/>
    <mergeCell ref="K7:L7"/>
    <mergeCell ref="E32:F32"/>
    <mergeCell ref="E7:F7"/>
    <mergeCell ref="B22:D22"/>
    <mergeCell ref="G32:H32"/>
    <mergeCell ref="E41:F41"/>
    <mergeCell ref="O23:P23"/>
    <mergeCell ref="G41:H41"/>
    <mergeCell ref="O38:P38"/>
    <mergeCell ref="B12:D12"/>
    <mergeCell ref="K18:L18"/>
    <mergeCell ref="I34:J34"/>
    <mergeCell ref="K34:L34"/>
    <mergeCell ref="E24:F24"/>
    <mergeCell ref="O10:P10"/>
    <mergeCell ref="E33:F33"/>
    <mergeCell ref="G27:H27"/>
    <mergeCell ref="O24:P24"/>
    <mergeCell ref="I27:J27"/>
    <mergeCell ref="G36:H36"/>
    <mergeCell ref="O18:P18"/>
    <mergeCell ref="O33:P33"/>
    <mergeCell ref="I36:J36"/>
    <mergeCell ref="G8:H8"/>
    <mergeCell ref="E17:F17"/>
    <mergeCell ref="K36:L36"/>
    <mergeCell ref="B29:D29"/>
    <mergeCell ref="B38:D38"/>
    <mergeCell ref="G17:H17"/>
    <mergeCell ref="E35:F35"/>
    <mergeCell ref="K20:L20"/>
    <mergeCell ref="E10:F10"/>
    <mergeCell ref="G10:H10"/>
    <mergeCell ref="E19:F19"/>
    <mergeCell ref="G19:H19"/>
    <mergeCell ref="E28:F28"/>
    <mergeCell ref="B40:D40"/>
    <mergeCell ref="G28:H28"/>
    <mergeCell ref="I22:J22"/>
    <mergeCell ref="I28:J28"/>
    <mergeCell ref="B15:D15"/>
    <mergeCell ref="K22:L22"/>
    <mergeCell ref="G6:H6"/>
    <mergeCell ref="E9:F9"/>
    <mergeCell ref="B24:D24"/>
    <mergeCell ref="B33:D33"/>
    <mergeCell ref="I12:J12"/>
    <mergeCell ref="E30:F30"/>
    <mergeCell ref="K12:L12"/>
    <mergeCell ref="G30:H30"/>
    <mergeCell ref="B32:D32"/>
    <mergeCell ref="E11:F11"/>
    <mergeCell ref="G5:H5"/>
    <mergeCell ref="B26:D26"/>
    <mergeCell ref="I5:J5"/>
    <mergeCell ref="G14:H14"/>
    <mergeCell ref="I39:J39"/>
    <mergeCell ref="I14:J14"/>
    <mergeCell ref="B7:D7"/>
    <mergeCell ref="K14:L14"/>
    <mergeCell ref="K39:L39"/>
    <mergeCell ref="B16:D16"/>
    <mergeCell ref="O12:P12"/>
    <mergeCell ref="G29:H29"/>
    <mergeCell ref="G4:H4"/>
    <mergeCell ref="I29:J29"/>
    <mergeCell ref="I4:J4"/>
    <mergeCell ref="O13:P13"/>
    <mergeCell ref="I38:J38"/>
    <mergeCell ref="K38:L38"/>
    <mergeCell ref="O14:P14"/>
    <mergeCell ref="B18:D18"/>
    <mergeCell ref="B27:D27"/>
    <mergeCell ref="G31:H31"/>
    <mergeCell ref="E37:F37"/>
    <mergeCell ref="I31:J31"/>
    <mergeCell ref="K4:L4"/>
    <mergeCell ref="I40:J40"/>
    <mergeCell ref="E21:F21"/>
  </mergeCells>
  <conditionalFormatting sqref="K5:K41">
    <cfRule type="dataBar" priority="1">
      <dataBar>
        <cfvo type="num" val="0"/>
        <cfvo type="num" val="848430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cols>
    <col width="23.33203125" customWidth="1" min="1" max="1"/>
    <col width="19.21875" customWidth="1" min="2" max="2"/>
    <col width="16.21875" customWidth="1" min="3" max="3"/>
    <col width="17.88671875" customWidth="1" min="4" max="4"/>
    <col width="13" customWidth="1" min="5" max="5"/>
    <col width="16.21875" customWidth="1" min="6" max="6"/>
    <col width="14" customWidth="1" min="7" max="7"/>
    <col width="14.33203125" customWidth="1" min="8" max="8"/>
  </cols>
  <sheetData>
    <row r="1" ht="36" customHeight="1">
      <c r="A1" s="79" t="inlineStr">
        <is>
          <t>RESUMEN DE COBRANZAS</t>
        </is>
      </c>
      <c r="I1" s="73" t="n"/>
    </row>
    <row r="2" ht="30" customHeight="1">
      <c r="I2" s="73" t="n"/>
    </row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</row>
    <row r="4" ht="46.8" customHeight="1">
      <c r="A4" s="107" t="inlineStr">
        <is>
          <t>Proyecto</t>
        </is>
      </c>
      <c r="B4" s="107" t="inlineStr">
        <is>
          <t>Precio Venta</t>
        </is>
      </c>
      <c r="C4" s="107" t="inlineStr">
        <is>
          <t>Cobrado</t>
        </is>
      </c>
      <c r="D4" s="107" t="inlineStr">
        <is>
          <t>Por Cobrar</t>
        </is>
      </c>
      <c r="E4" s="107" t="inlineStr">
        <is>
          <t>Vencido</t>
        </is>
      </c>
      <c r="F4" s="107" t="inlineStr">
        <is>
          <t>Tasa Morosidad</t>
        </is>
      </c>
      <c r="G4" s="107" t="inlineStr">
        <is>
          <t>Cantidad de Clientes Morosos</t>
        </is>
      </c>
      <c r="H4" s="107" t="inlineStr">
        <is>
          <t>Días de Atraso Promedio</t>
        </is>
      </c>
      <c r="I4" s="73" t="n"/>
    </row>
    <row r="5" ht="18" customHeight="1">
      <c r="A5" s="108" t="inlineStr">
        <is>
          <t>Beyond</t>
        </is>
      </c>
      <c r="B5" s="109" t="n">
        <v>21029400</v>
      </c>
      <c r="C5" s="109" t="n">
        <v>4395925.48</v>
      </c>
      <c r="D5" s="109" t="n">
        <v>9405343</v>
      </c>
      <c r="E5" s="91" t="n">
        <v>7228131.52</v>
      </c>
      <c r="F5" s="110" t="n">
        <v>0.3437155372954054</v>
      </c>
      <c r="G5" s="109" t="n">
        <v>23</v>
      </c>
      <c r="H5" s="111" t="n">
        <v>151</v>
      </c>
      <c r="I5" s="112">
        <f>IF(ROUND(B5,0)=ROUND(C5+D5+E5,0),"OK","REVISAR")</f>
        <v/>
      </c>
    </row>
    <row r="6" ht="20.4" customHeight="1">
      <c r="A6" s="113" t="inlineStr">
        <is>
          <t>Prada</t>
        </is>
      </c>
      <c r="B6" s="97" t="n">
        <v>25025700</v>
      </c>
      <c r="C6" s="97" t="n">
        <v>22467830.18</v>
      </c>
      <c r="D6" s="97" t="n">
        <v>976719.8</v>
      </c>
      <c r="E6" s="95" t="n">
        <v>1581150</v>
      </c>
      <c r="F6" s="114" t="n">
        <v>0.06318104988072262</v>
      </c>
      <c r="G6" s="97" t="n">
        <v>9</v>
      </c>
      <c r="H6" s="104" t="n">
        <v>63</v>
      </c>
      <c r="I6" s="112">
        <f>IF(ROUND(B6,0)=ROUND(C6+D6+E6,0),"OK","REVISAR")</f>
        <v/>
      </c>
    </row>
    <row r="7" ht="18" customHeight="1">
      <c r="A7" s="108" t="inlineStr">
        <is>
          <t>Venecia</t>
        </is>
      </c>
      <c r="B7" s="109" t="n">
        <v>8513900</v>
      </c>
      <c r="C7" s="109" t="n">
        <v>4508586.68</v>
      </c>
      <c r="D7" s="109" t="n">
        <v>3711646.65</v>
      </c>
      <c r="E7" s="91" t="n">
        <v>293666.67</v>
      </c>
      <c r="F7" s="110" t="n">
        <v>0.0344926144305195</v>
      </c>
      <c r="G7" s="109" t="n">
        <v>5</v>
      </c>
      <c r="H7" s="111" t="n">
        <v>57</v>
      </c>
      <c r="I7" s="112">
        <f>IF(ROUND(B7,0)=ROUND(C7+D7+E7,0),"OK","REVISAR")</f>
        <v/>
      </c>
    </row>
    <row r="8">
      <c r="A8" s="115" t="inlineStr">
        <is>
          <t>TOTAL</t>
        </is>
      </c>
      <c r="B8" s="116" t="n">
        <v>54569000</v>
      </c>
      <c r="C8" s="116" t="n">
        <v>31372342.34</v>
      </c>
      <c r="D8" s="116" t="n">
        <v>14093709.45</v>
      </c>
      <c r="E8" s="116" t="n">
        <v>9102948.189999999</v>
      </c>
      <c r="F8" s="117" t="n">
        <v>0.1668153748465246</v>
      </c>
      <c r="G8" s="118" t="n">
        <v>37</v>
      </c>
      <c r="H8" s="119" t="n">
        <v>78</v>
      </c>
      <c r="I8" s="112">
        <f>IF(ROUND(B8,0)=ROUND(C8+D8+E8,0),"OK","REVISAR")</f>
        <v/>
      </c>
    </row>
  </sheetData>
  <mergeCells count="1">
    <mergeCell ref="A1:H2"/>
  </mergeCells>
  <conditionalFormatting sqref="A5:A7 E5:E7">
    <cfRule type="expression" priority="11" dxfId="0">
      <formula>AND($C5&gt;0,#REF!=MAX(#REF!))</formula>
    </cfRule>
  </conditionalFormatting>
  <conditionalFormatting sqref="E5:E7">
    <cfRule type="dataBar" priority="5">
      <dataBar>
        <cfvo type="min"/>
        <cfvo type="max"/>
        <color rgb="FFDC0D22"/>
      </dataBar>
    </cfRule>
    <cfRule type="dataBar" priority="6">
      <dataBar>
        <cfvo type="min"/>
        <cfvo type="max"/>
        <color rgb="FFDC0D22"/>
      </dataBar>
    </cfRule>
    <cfRule type="dataBar" priority="8">
      <dataBar>
        <cfvo type="min"/>
        <cfvo type="max"/>
        <color rgb="FFDC0D22"/>
      </dataBar>
    </cfRule>
  </conditionalFormatting>
  <conditionalFormatting sqref="H5:H7">
    <cfRule type="dataBar" priority="1">
      <dataBar>
        <cfvo type="min"/>
        <cfvo type="max"/>
        <color rgb="FFC17510"/>
      </dataBar>
    </cfRule>
    <cfRule type="dataBar" priority="2">
      <dataBar>
        <cfvo type="min"/>
        <cfvo type="max"/>
        <color rgb="FFC17510"/>
      </dataBar>
    </cfRule>
    <cfRule type="expression" priority="3" dxfId="0">
      <formula>AND($C5&gt;0,$E5=MAX($E$5:$E$7))</formula>
    </cfRule>
    <cfRule type="dataBar" priority="4">
      <dataBar>
        <cfvo type="min"/>
        <cfvo type="max"/>
        <color rgb="FFC17510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Eduardo Huamani</dc:creator>
  <dcterms:created xsi:type="dcterms:W3CDTF">2026-07-10T15:59:11Z</dcterms:created>
  <dcterms:modified xsi:type="dcterms:W3CDTF">2026-08-25T23:10:45Z</dcterms:modified>
  <cp:lastModifiedBy>Eduardo Huamani</cp:lastModifiedBy>
</cp:coreProperties>
</file>